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清光ランジェリー\"/>
    </mc:Choice>
  </mc:AlternateContent>
  <xr:revisionPtr revIDLastSave="0" documentId="13_ncr:1_{7BC17F1A-CFDE-43A2-95ED-D24E21EDA0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綿ジャガード前開きブラ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37" i="1" l="1"/>
  <c r="O1237" i="1"/>
  <c r="S1198" i="1"/>
  <c r="O1198" i="1"/>
  <c r="Q1242" i="1"/>
  <c r="R1241" i="1"/>
  <c r="Q1241" i="1"/>
  <c r="P1241" i="1"/>
  <c r="S1241" i="1" s="1"/>
  <c r="N1241" i="1"/>
  <c r="M1242" i="1"/>
  <c r="M1241" i="1"/>
  <c r="L1241" i="1"/>
  <c r="E1134" i="1"/>
  <c r="I1134" i="1"/>
  <c r="I1177" i="1"/>
  <c r="E1177" i="1"/>
  <c r="O1137" i="1"/>
  <c r="S1137" i="1"/>
  <c r="S1136" i="1"/>
  <c r="O1136" i="1"/>
  <c r="S1135" i="1"/>
  <c r="O1135" i="1"/>
  <c r="S1177" i="1"/>
  <c r="O1177" i="1"/>
  <c r="R1200" i="1"/>
  <c r="Q1200" i="1"/>
  <c r="S1200" i="1" s="1"/>
  <c r="P1200" i="1"/>
  <c r="N1200" i="1"/>
  <c r="M1200" i="1"/>
  <c r="L1200" i="1"/>
  <c r="S1242" i="1"/>
  <c r="O1242" i="1"/>
  <c r="O1241" i="1"/>
  <c r="S1238" i="1"/>
  <c r="O1238" i="1"/>
  <c r="S1240" i="1"/>
  <c r="O1240" i="1"/>
  <c r="S1196" i="1"/>
  <c r="O1196" i="1"/>
  <c r="O1098" i="1"/>
  <c r="S1098" i="1"/>
  <c r="O1153" i="1"/>
  <c r="S1153" i="1"/>
  <c r="O1154" i="1"/>
  <c r="S1154" i="1"/>
  <c r="S1155" i="1"/>
  <c r="O1155" i="1"/>
  <c r="S1197" i="1"/>
  <c r="O1197" i="1"/>
  <c r="I1080" i="1"/>
  <c r="E1080" i="1"/>
  <c r="S1113" i="1"/>
  <c r="O1113" i="1"/>
  <c r="S1112" i="1"/>
  <c r="O1112" i="1"/>
  <c r="O1200" i="1"/>
  <c r="S1199" i="1"/>
  <c r="O1199" i="1"/>
  <c r="S1243" i="1"/>
  <c r="O1243" i="1"/>
  <c r="O1152" i="1"/>
  <c r="S1152" i="1"/>
  <c r="S1114" i="1"/>
  <c r="O1114" i="1"/>
  <c r="O1151" i="1"/>
  <c r="S1151" i="1"/>
  <c r="O1156" i="1"/>
  <c r="S1156" i="1"/>
  <c r="O1157" i="1"/>
  <c r="S1157" i="1"/>
  <c r="H1244" i="1"/>
  <c r="G1244" i="1"/>
  <c r="F1244" i="1"/>
  <c r="D1244" i="1"/>
  <c r="C1244" i="1"/>
  <c r="B1244" i="1"/>
  <c r="I1243" i="1"/>
  <c r="E1243" i="1"/>
  <c r="I1242" i="1"/>
  <c r="E1242" i="1"/>
  <c r="I1241" i="1"/>
  <c r="E1241" i="1"/>
  <c r="I1240" i="1"/>
  <c r="E1240" i="1"/>
  <c r="I1239" i="1"/>
  <c r="E1239" i="1"/>
  <c r="I1238" i="1"/>
  <c r="E1238" i="1"/>
  <c r="I1237" i="1"/>
  <c r="E1237" i="1"/>
  <c r="I1236" i="1"/>
  <c r="E1236" i="1"/>
  <c r="I1235" i="1"/>
  <c r="E1235" i="1"/>
  <c r="I1234" i="1"/>
  <c r="E1234" i="1"/>
  <c r="I1233" i="1"/>
  <c r="E1233" i="1"/>
  <c r="I1232" i="1"/>
  <c r="E1232" i="1"/>
  <c r="I1231" i="1"/>
  <c r="E1231" i="1"/>
  <c r="I1230" i="1"/>
  <c r="E1230" i="1"/>
  <c r="I1229" i="1"/>
  <c r="E1229" i="1"/>
  <c r="I1228" i="1"/>
  <c r="E1228" i="1"/>
  <c r="I1227" i="1"/>
  <c r="E1227" i="1"/>
  <c r="I1226" i="1"/>
  <c r="E1226" i="1"/>
  <c r="I1225" i="1"/>
  <c r="E1225" i="1"/>
  <c r="I1224" i="1"/>
  <c r="E1224" i="1"/>
  <c r="I1223" i="1"/>
  <c r="E1223" i="1"/>
  <c r="I1222" i="1"/>
  <c r="E1222" i="1"/>
  <c r="I1221" i="1"/>
  <c r="E1221" i="1"/>
  <c r="I1220" i="1"/>
  <c r="E1220" i="1"/>
  <c r="I1218" i="1"/>
  <c r="E1218" i="1"/>
  <c r="I1217" i="1"/>
  <c r="E1217" i="1"/>
  <c r="I1216" i="1"/>
  <c r="E1216" i="1"/>
  <c r="I1215" i="1"/>
  <c r="E1215" i="1"/>
  <c r="I1214" i="1"/>
  <c r="E1214" i="1"/>
  <c r="I1213" i="1"/>
  <c r="E1213" i="1"/>
  <c r="I1212" i="1"/>
  <c r="E1212" i="1"/>
  <c r="I1211" i="1"/>
  <c r="E1211" i="1"/>
  <c r="I1210" i="1"/>
  <c r="E1210" i="1"/>
  <c r="I1209" i="1"/>
  <c r="E1209" i="1"/>
  <c r="H1201" i="1"/>
  <c r="G1201" i="1"/>
  <c r="F1201" i="1"/>
  <c r="D1201" i="1"/>
  <c r="C1201" i="1"/>
  <c r="B1201" i="1"/>
  <c r="E1201" i="1" s="1"/>
  <c r="I1200" i="1"/>
  <c r="E1200" i="1"/>
  <c r="I1199" i="1"/>
  <c r="E1199" i="1"/>
  <c r="I1198" i="1"/>
  <c r="E1198" i="1"/>
  <c r="I1197" i="1"/>
  <c r="E1197" i="1"/>
  <c r="I1196" i="1"/>
  <c r="E1196" i="1"/>
  <c r="I1195" i="1"/>
  <c r="E1195" i="1"/>
  <c r="I1194" i="1"/>
  <c r="E1194" i="1"/>
  <c r="I1193" i="1"/>
  <c r="E1193" i="1"/>
  <c r="I1192" i="1"/>
  <c r="E1192" i="1"/>
  <c r="I1191" i="1"/>
  <c r="E1191" i="1"/>
  <c r="I1190" i="1"/>
  <c r="E1190" i="1"/>
  <c r="I1189" i="1"/>
  <c r="E1189" i="1"/>
  <c r="I1188" i="1"/>
  <c r="E1188" i="1"/>
  <c r="I1187" i="1"/>
  <c r="E1187" i="1"/>
  <c r="I1186" i="1"/>
  <c r="E1186" i="1"/>
  <c r="I1185" i="1"/>
  <c r="E1185" i="1"/>
  <c r="I1184" i="1"/>
  <c r="E1184" i="1"/>
  <c r="I1183" i="1"/>
  <c r="E1183" i="1"/>
  <c r="I1182" i="1"/>
  <c r="E1182" i="1"/>
  <c r="I1181" i="1"/>
  <c r="E1181" i="1"/>
  <c r="I1180" i="1"/>
  <c r="E1180" i="1"/>
  <c r="I1179" i="1"/>
  <c r="E1179" i="1"/>
  <c r="I1178" i="1"/>
  <c r="E1178" i="1"/>
  <c r="I1175" i="1"/>
  <c r="E1175" i="1"/>
  <c r="I1174" i="1"/>
  <c r="E1174" i="1"/>
  <c r="I1173" i="1"/>
  <c r="E1173" i="1"/>
  <c r="I1172" i="1"/>
  <c r="E1172" i="1"/>
  <c r="I1171" i="1"/>
  <c r="E1171" i="1"/>
  <c r="I1170" i="1"/>
  <c r="E1170" i="1"/>
  <c r="I1169" i="1"/>
  <c r="E1169" i="1"/>
  <c r="I1168" i="1"/>
  <c r="E1168" i="1"/>
  <c r="I1167" i="1"/>
  <c r="E1167" i="1"/>
  <c r="I1166" i="1"/>
  <c r="E1166" i="1"/>
  <c r="H1158" i="1"/>
  <c r="G1158" i="1"/>
  <c r="F1158" i="1"/>
  <c r="I1158" i="1" s="1"/>
  <c r="D1158" i="1"/>
  <c r="C1158" i="1"/>
  <c r="B1158" i="1"/>
  <c r="I1157" i="1"/>
  <c r="E1157" i="1"/>
  <c r="I1156" i="1"/>
  <c r="E1156" i="1"/>
  <c r="I1155" i="1"/>
  <c r="E1155" i="1"/>
  <c r="I1154" i="1"/>
  <c r="E1154" i="1"/>
  <c r="I1153" i="1"/>
  <c r="E1153" i="1"/>
  <c r="I1152" i="1"/>
  <c r="E1152" i="1"/>
  <c r="I1151" i="1"/>
  <c r="E1151" i="1"/>
  <c r="I1150" i="1"/>
  <c r="E1150" i="1"/>
  <c r="I1149" i="1"/>
  <c r="E1149" i="1"/>
  <c r="I1148" i="1"/>
  <c r="E1148" i="1"/>
  <c r="I1147" i="1"/>
  <c r="E1147" i="1"/>
  <c r="I1146" i="1"/>
  <c r="E1146" i="1"/>
  <c r="I1145" i="1"/>
  <c r="E1145" i="1"/>
  <c r="I1144" i="1"/>
  <c r="E1144" i="1"/>
  <c r="I1143" i="1"/>
  <c r="E1143" i="1"/>
  <c r="I1142" i="1"/>
  <c r="E1142" i="1"/>
  <c r="I1141" i="1"/>
  <c r="E1141" i="1"/>
  <c r="I1140" i="1"/>
  <c r="E1140" i="1"/>
  <c r="I1139" i="1"/>
  <c r="E1139" i="1"/>
  <c r="I1138" i="1"/>
  <c r="E1138" i="1"/>
  <c r="I1137" i="1"/>
  <c r="E1137" i="1"/>
  <c r="I1136" i="1"/>
  <c r="E1136" i="1"/>
  <c r="I1135" i="1"/>
  <c r="E1135" i="1"/>
  <c r="I1132" i="1"/>
  <c r="E1132" i="1"/>
  <c r="I1131" i="1"/>
  <c r="E1131" i="1"/>
  <c r="I1130" i="1"/>
  <c r="E1130" i="1"/>
  <c r="I1129" i="1"/>
  <c r="E1129" i="1"/>
  <c r="I1128" i="1"/>
  <c r="E1128" i="1"/>
  <c r="I1127" i="1"/>
  <c r="E1127" i="1"/>
  <c r="I1126" i="1"/>
  <c r="E1126" i="1"/>
  <c r="I1125" i="1"/>
  <c r="E1125" i="1"/>
  <c r="I1124" i="1"/>
  <c r="E1124" i="1"/>
  <c r="I1123" i="1"/>
  <c r="E1123" i="1"/>
  <c r="O1080" i="1"/>
  <c r="S1080" i="1"/>
  <c r="O1081" i="1"/>
  <c r="S1081" i="1"/>
  <c r="O1082" i="1"/>
  <c r="S1082" i="1"/>
  <c r="S1127" i="1"/>
  <c r="O1127" i="1"/>
  <c r="S1126" i="1"/>
  <c r="O1126" i="1"/>
  <c r="O1108" i="1"/>
  <c r="S1108" i="1"/>
  <c r="O1109" i="1"/>
  <c r="S1109" i="1"/>
  <c r="O1110" i="1"/>
  <c r="S1110" i="1"/>
  <c r="O1111" i="1"/>
  <c r="S1111" i="1"/>
  <c r="S1169" i="1"/>
  <c r="O1169" i="1"/>
  <c r="O1167" i="1"/>
  <c r="S1167" i="1"/>
  <c r="O1168" i="1"/>
  <c r="S1168" i="1"/>
  <c r="O1170" i="1"/>
  <c r="S1170" i="1"/>
  <c r="O1210" i="1"/>
  <c r="S1210" i="1"/>
  <c r="O1211" i="1"/>
  <c r="S1211" i="1"/>
  <c r="O1212" i="1"/>
  <c r="S1212" i="1"/>
  <c r="O1235" i="1"/>
  <c r="S1235" i="1"/>
  <c r="O1236" i="1"/>
  <c r="S1236" i="1"/>
  <c r="O1239" i="1"/>
  <c r="S1239" i="1"/>
  <c r="O1192" i="1"/>
  <c r="S1192" i="1"/>
  <c r="O1193" i="1"/>
  <c r="S1193" i="1"/>
  <c r="O1194" i="1"/>
  <c r="S1194" i="1"/>
  <c r="O1195" i="1"/>
  <c r="S1195" i="1"/>
  <c r="O1124" i="1"/>
  <c r="S1124" i="1"/>
  <c r="O1125" i="1"/>
  <c r="S1125" i="1"/>
  <c r="O1149" i="1"/>
  <c r="S1149" i="1"/>
  <c r="O1150" i="1"/>
  <c r="S1150" i="1"/>
  <c r="O1106" i="1"/>
  <c r="S1106" i="1"/>
  <c r="O1083" i="1"/>
  <c r="S1083" i="1"/>
  <c r="R1244" i="1"/>
  <c r="Q1244" i="1"/>
  <c r="P1244" i="1"/>
  <c r="N1244" i="1"/>
  <c r="M1244" i="1"/>
  <c r="L1244" i="1"/>
  <c r="S1234" i="1"/>
  <c r="O1234" i="1"/>
  <c r="S1233" i="1"/>
  <c r="O1233" i="1"/>
  <c r="S1232" i="1"/>
  <c r="O1232" i="1"/>
  <c r="S1231" i="1"/>
  <c r="O1231" i="1"/>
  <c r="S1230" i="1"/>
  <c r="O1230" i="1"/>
  <c r="S1229" i="1"/>
  <c r="O1229" i="1"/>
  <c r="S1228" i="1"/>
  <c r="O1228" i="1"/>
  <c r="S1227" i="1"/>
  <c r="O1227" i="1"/>
  <c r="S1226" i="1"/>
  <c r="O1226" i="1"/>
  <c r="S1225" i="1"/>
  <c r="O1225" i="1"/>
  <c r="S1224" i="1"/>
  <c r="O1224" i="1"/>
  <c r="S1223" i="1"/>
  <c r="O1223" i="1"/>
  <c r="S1222" i="1"/>
  <c r="O1222" i="1"/>
  <c r="S1221" i="1"/>
  <c r="O1221" i="1"/>
  <c r="S1220" i="1"/>
  <c r="O1220" i="1"/>
  <c r="S1218" i="1"/>
  <c r="O1218" i="1"/>
  <c r="S1217" i="1"/>
  <c r="O1217" i="1"/>
  <c r="S1216" i="1"/>
  <c r="O1216" i="1"/>
  <c r="S1215" i="1"/>
  <c r="O1215" i="1"/>
  <c r="S1214" i="1"/>
  <c r="O1214" i="1"/>
  <c r="S1213" i="1"/>
  <c r="O1213" i="1"/>
  <c r="S1209" i="1"/>
  <c r="O1209" i="1"/>
  <c r="R1201" i="1"/>
  <c r="Q1201" i="1"/>
  <c r="P1201" i="1"/>
  <c r="N1201" i="1"/>
  <c r="M1201" i="1"/>
  <c r="L1201" i="1"/>
  <c r="S1191" i="1"/>
  <c r="O1191" i="1"/>
  <c r="S1190" i="1"/>
  <c r="O1190" i="1"/>
  <c r="S1189" i="1"/>
  <c r="O1189" i="1"/>
  <c r="S1188" i="1"/>
  <c r="O1188" i="1"/>
  <c r="S1187" i="1"/>
  <c r="O1187" i="1"/>
  <c r="S1186" i="1"/>
  <c r="O1186" i="1"/>
  <c r="S1185" i="1"/>
  <c r="O1185" i="1"/>
  <c r="S1184" i="1"/>
  <c r="O1184" i="1"/>
  <c r="S1183" i="1"/>
  <c r="O1183" i="1"/>
  <c r="S1182" i="1"/>
  <c r="O1182" i="1"/>
  <c r="S1181" i="1"/>
  <c r="O1181" i="1"/>
  <c r="S1180" i="1"/>
  <c r="O1180" i="1"/>
  <c r="S1179" i="1"/>
  <c r="O1179" i="1"/>
  <c r="S1178" i="1"/>
  <c r="O1178" i="1"/>
  <c r="S1175" i="1"/>
  <c r="O1175" i="1"/>
  <c r="S1174" i="1"/>
  <c r="O1174" i="1"/>
  <c r="S1173" i="1"/>
  <c r="O1173" i="1"/>
  <c r="S1172" i="1"/>
  <c r="O1172" i="1"/>
  <c r="S1171" i="1"/>
  <c r="O1171" i="1"/>
  <c r="S1166" i="1"/>
  <c r="O1166" i="1"/>
  <c r="R1158" i="1"/>
  <c r="Q1158" i="1"/>
  <c r="P1158" i="1"/>
  <c r="N1158" i="1"/>
  <c r="M1158" i="1"/>
  <c r="L1158" i="1"/>
  <c r="S1148" i="1"/>
  <c r="O1148" i="1"/>
  <c r="S1147" i="1"/>
  <c r="O1147" i="1"/>
  <c r="S1146" i="1"/>
  <c r="O1146" i="1"/>
  <c r="S1145" i="1"/>
  <c r="O1145" i="1"/>
  <c r="S1144" i="1"/>
  <c r="O1144" i="1"/>
  <c r="S1143" i="1"/>
  <c r="O1143" i="1"/>
  <c r="S1142" i="1"/>
  <c r="O1142" i="1"/>
  <c r="S1141" i="1"/>
  <c r="O1141" i="1"/>
  <c r="S1140" i="1"/>
  <c r="O1140" i="1"/>
  <c r="S1139" i="1"/>
  <c r="O1139" i="1"/>
  <c r="S1138" i="1"/>
  <c r="O1138" i="1"/>
  <c r="S1134" i="1"/>
  <c r="O1134" i="1"/>
  <c r="S1132" i="1"/>
  <c r="O1132" i="1"/>
  <c r="S1131" i="1"/>
  <c r="O1131" i="1"/>
  <c r="S1130" i="1"/>
  <c r="O1130" i="1"/>
  <c r="S1129" i="1"/>
  <c r="O1129" i="1"/>
  <c r="S1128" i="1"/>
  <c r="O1128" i="1"/>
  <c r="S1123" i="1"/>
  <c r="O1123" i="1"/>
  <c r="M1075" i="1"/>
  <c r="N1075" i="1"/>
  <c r="O1075" i="1"/>
  <c r="L1075" i="1"/>
  <c r="M1074" i="1"/>
  <c r="N1074" i="1"/>
  <c r="O1074" i="1"/>
  <c r="P1074" i="1"/>
  <c r="Q1074" i="1"/>
  <c r="R1074" i="1"/>
  <c r="S1074" i="1"/>
  <c r="L1074" i="1"/>
  <c r="E1081" i="1"/>
  <c r="I1081" i="1"/>
  <c r="E1082" i="1"/>
  <c r="I1082" i="1"/>
  <c r="E1091" i="1"/>
  <c r="I1091" i="1"/>
  <c r="E1092" i="1"/>
  <c r="I1092" i="1"/>
  <c r="E1093" i="1"/>
  <c r="I1093" i="1"/>
  <c r="E1094" i="1"/>
  <c r="I1094" i="1"/>
  <c r="E1095" i="1"/>
  <c r="I1095" i="1"/>
  <c r="E1096" i="1"/>
  <c r="I1096" i="1"/>
  <c r="E1097" i="1"/>
  <c r="I1097" i="1"/>
  <c r="O1091" i="1"/>
  <c r="S1091" i="1"/>
  <c r="O1092" i="1"/>
  <c r="S1092" i="1"/>
  <c r="O1093" i="1"/>
  <c r="S1093" i="1"/>
  <c r="O1094" i="1"/>
  <c r="S1094" i="1"/>
  <c r="O1095" i="1"/>
  <c r="S1095" i="1"/>
  <c r="O1096" i="1"/>
  <c r="S1096" i="1"/>
  <c r="O1097" i="1"/>
  <c r="S1097" i="1"/>
  <c r="R1115" i="1"/>
  <c r="Q1115" i="1"/>
  <c r="P1115" i="1"/>
  <c r="N1115" i="1"/>
  <c r="M1115" i="1"/>
  <c r="L1115" i="1"/>
  <c r="H1115" i="1"/>
  <c r="G1115" i="1"/>
  <c r="F1115" i="1"/>
  <c r="D1115" i="1"/>
  <c r="C1115" i="1"/>
  <c r="B1115" i="1"/>
  <c r="I1114" i="1"/>
  <c r="E1114" i="1"/>
  <c r="I1113" i="1"/>
  <c r="E1113" i="1"/>
  <c r="I1112" i="1"/>
  <c r="E1112" i="1"/>
  <c r="I1111" i="1"/>
  <c r="E1111" i="1"/>
  <c r="I1110" i="1"/>
  <c r="E1110" i="1"/>
  <c r="I1109" i="1"/>
  <c r="E1109" i="1"/>
  <c r="I1108" i="1"/>
  <c r="E1108" i="1"/>
  <c r="S1107" i="1"/>
  <c r="O1107" i="1"/>
  <c r="I1107" i="1"/>
  <c r="E1107" i="1"/>
  <c r="I1106" i="1"/>
  <c r="E1106" i="1"/>
  <c r="S1105" i="1"/>
  <c r="O1105" i="1"/>
  <c r="I1105" i="1"/>
  <c r="E1105" i="1"/>
  <c r="S1104" i="1"/>
  <c r="O1104" i="1"/>
  <c r="I1104" i="1"/>
  <c r="E1104" i="1"/>
  <c r="S1103" i="1"/>
  <c r="O1103" i="1"/>
  <c r="I1103" i="1"/>
  <c r="E1103" i="1"/>
  <c r="S1102" i="1"/>
  <c r="O1102" i="1"/>
  <c r="I1102" i="1"/>
  <c r="E1102" i="1"/>
  <c r="S1101" i="1"/>
  <c r="O1101" i="1"/>
  <c r="I1101" i="1"/>
  <c r="E1101" i="1"/>
  <c r="S1100" i="1"/>
  <c r="O1100" i="1"/>
  <c r="I1100" i="1"/>
  <c r="E1100" i="1"/>
  <c r="S1099" i="1"/>
  <c r="O1099" i="1"/>
  <c r="I1099" i="1"/>
  <c r="E1099" i="1"/>
  <c r="I1098" i="1"/>
  <c r="E1098" i="1"/>
  <c r="S1089" i="1"/>
  <c r="O1089" i="1"/>
  <c r="I1089" i="1"/>
  <c r="E1089" i="1"/>
  <c r="S1088" i="1"/>
  <c r="O1088" i="1"/>
  <c r="I1088" i="1"/>
  <c r="E1088" i="1"/>
  <c r="S1087" i="1"/>
  <c r="O1087" i="1"/>
  <c r="I1087" i="1"/>
  <c r="E1087" i="1"/>
  <c r="S1086" i="1"/>
  <c r="O1086" i="1"/>
  <c r="I1086" i="1"/>
  <c r="E1086" i="1"/>
  <c r="S1085" i="1"/>
  <c r="O1085" i="1"/>
  <c r="I1085" i="1"/>
  <c r="E1085" i="1"/>
  <c r="S1084" i="1"/>
  <c r="O1084" i="1"/>
  <c r="I1084" i="1"/>
  <c r="E1084" i="1"/>
  <c r="I1083" i="1"/>
  <c r="E1083" i="1"/>
  <c r="S1053" i="1"/>
  <c r="O1053" i="1"/>
  <c r="I1052" i="1"/>
  <c r="E1052" i="1"/>
  <c r="Q1072" i="1"/>
  <c r="E1048" i="1"/>
  <c r="I1048" i="1"/>
  <c r="S1049" i="1"/>
  <c r="O1049" i="1"/>
  <c r="S1048" i="1"/>
  <c r="O1048" i="1"/>
  <c r="S1020" i="1"/>
  <c r="O1020" i="1"/>
  <c r="R1029" i="1"/>
  <c r="N1029" i="1"/>
  <c r="S1016" i="1"/>
  <c r="O1016" i="1"/>
  <c r="S1028" i="1"/>
  <c r="Q986" i="1"/>
  <c r="S1013" i="1"/>
  <c r="O1013" i="1"/>
  <c r="O1007" i="1"/>
  <c r="S1007" i="1"/>
  <c r="S1006" i="1"/>
  <c r="O1006" i="1"/>
  <c r="S1005" i="1"/>
  <c r="O1005" i="1"/>
  <c r="I1005" i="1"/>
  <c r="E1005" i="1"/>
  <c r="M1029" i="1"/>
  <c r="O974" i="1"/>
  <c r="S974" i="1"/>
  <c r="I972" i="1"/>
  <c r="E972" i="1"/>
  <c r="O996" i="1"/>
  <c r="S996" i="1"/>
  <c r="O997" i="1"/>
  <c r="S997" i="1"/>
  <c r="O998" i="1"/>
  <c r="S998" i="1"/>
  <c r="O999" i="1"/>
  <c r="S999" i="1"/>
  <c r="O1000" i="1"/>
  <c r="S1000" i="1"/>
  <c r="O1001" i="1"/>
  <c r="S1001" i="1"/>
  <c r="S958" i="1"/>
  <c r="O958" i="1"/>
  <c r="S957" i="1"/>
  <c r="O957" i="1"/>
  <c r="S955" i="1"/>
  <c r="O955" i="1"/>
  <c r="E960" i="1"/>
  <c r="I960" i="1"/>
  <c r="I831" i="1"/>
  <c r="E831" i="1"/>
  <c r="S984" i="1"/>
  <c r="E985" i="1"/>
  <c r="I985" i="1"/>
  <c r="O960" i="1"/>
  <c r="S960" i="1"/>
  <c r="S983" i="1"/>
  <c r="O1023" i="1"/>
  <c r="S1023" i="1"/>
  <c r="O1024" i="1"/>
  <c r="S1024" i="1"/>
  <c r="S1026" i="1"/>
  <c r="O1026" i="1"/>
  <c r="S1025" i="1"/>
  <c r="O1025" i="1"/>
  <c r="O983" i="1"/>
  <c r="S982" i="1"/>
  <c r="O982" i="1"/>
  <c r="S981" i="1"/>
  <c r="O981" i="1"/>
  <c r="S980" i="1"/>
  <c r="O980" i="1"/>
  <c r="S979" i="1"/>
  <c r="O979" i="1"/>
  <c r="S978" i="1"/>
  <c r="O978" i="1"/>
  <c r="E1071" i="1"/>
  <c r="I1071" i="1"/>
  <c r="O1046" i="1"/>
  <c r="S1046" i="1"/>
  <c r="I825" i="1"/>
  <c r="E825" i="1"/>
  <c r="S940" i="1"/>
  <c r="H1072" i="1"/>
  <c r="G1072" i="1"/>
  <c r="F1072" i="1"/>
  <c r="D1072" i="1"/>
  <c r="C1072" i="1"/>
  <c r="B1072" i="1"/>
  <c r="I1070" i="1"/>
  <c r="E1070" i="1"/>
  <c r="I1069" i="1"/>
  <c r="E1069" i="1"/>
  <c r="I1068" i="1"/>
  <c r="E1068" i="1"/>
  <c r="I1067" i="1"/>
  <c r="E1067" i="1"/>
  <c r="I1066" i="1"/>
  <c r="E1066" i="1"/>
  <c r="I1065" i="1"/>
  <c r="E1065" i="1"/>
  <c r="I1064" i="1"/>
  <c r="E1064" i="1"/>
  <c r="I1063" i="1"/>
  <c r="E1063" i="1"/>
  <c r="I1062" i="1"/>
  <c r="E1062" i="1"/>
  <c r="I1061" i="1"/>
  <c r="E1061" i="1"/>
  <c r="I1060" i="1"/>
  <c r="E1060" i="1"/>
  <c r="I1059" i="1"/>
  <c r="E1059" i="1"/>
  <c r="I1058" i="1"/>
  <c r="E1058" i="1"/>
  <c r="I1057" i="1"/>
  <c r="E1057" i="1"/>
  <c r="I1056" i="1"/>
  <c r="E1056" i="1"/>
  <c r="I1055" i="1"/>
  <c r="E1055" i="1"/>
  <c r="I1054" i="1"/>
  <c r="E1054" i="1"/>
  <c r="I1053" i="1"/>
  <c r="E1053" i="1"/>
  <c r="I1051" i="1"/>
  <c r="E1051" i="1"/>
  <c r="I1050" i="1"/>
  <c r="E1050" i="1"/>
  <c r="I1049" i="1"/>
  <c r="E1049" i="1"/>
  <c r="I1046" i="1"/>
  <c r="E1046" i="1"/>
  <c r="I1045" i="1"/>
  <c r="E1045" i="1"/>
  <c r="I1044" i="1"/>
  <c r="E1044" i="1"/>
  <c r="I1043" i="1"/>
  <c r="E1043" i="1"/>
  <c r="I1042" i="1"/>
  <c r="E1042" i="1"/>
  <c r="I1041" i="1"/>
  <c r="E1041" i="1"/>
  <c r="I1040" i="1"/>
  <c r="E1040" i="1"/>
  <c r="I1039" i="1"/>
  <c r="E1039" i="1"/>
  <c r="I1038" i="1"/>
  <c r="E1038" i="1"/>
  <c r="I1037" i="1"/>
  <c r="E1037" i="1"/>
  <c r="O1021" i="1"/>
  <c r="S1021" i="1"/>
  <c r="O1022" i="1"/>
  <c r="S1022" i="1"/>
  <c r="O1027" i="1"/>
  <c r="S1027" i="1"/>
  <c r="O1028" i="1"/>
  <c r="O1064" i="1"/>
  <c r="S1064" i="1"/>
  <c r="O1065" i="1"/>
  <c r="S1065" i="1"/>
  <c r="O1066" i="1"/>
  <c r="S1066" i="1"/>
  <c r="O1067" i="1"/>
  <c r="S1067" i="1"/>
  <c r="O1068" i="1"/>
  <c r="S1068" i="1"/>
  <c r="O1069" i="1"/>
  <c r="S1069" i="1"/>
  <c r="O1039" i="1"/>
  <c r="S1039" i="1"/>
  <c r="O1040" i="1"/>
  <c r="S1040" i="1"/>
  <c r="O1041" i="1"/>
  <c r="S1041" i="1"/>
  <c r="O1042" i="1"/>
  <c r="S1042" i="1"/>
  <c r="O1043" i="1"/>
  <c r="S1043" i="1"/>
  <c r="O1044" i="1"/>
  <c r="S1044" i="1"/>
  <c r="O1045" i="1"/>
  <c r="S1045" i="1"/>
  <c r="R1072" i="1"/>
  <c r="P1072" i="1"/>
  <c r="N1072" i="1"/>
  <c r="M1072" i="1"/>
  <c r="L1072" i="1"/>
  <c r="O1071" i="1"/>
  <c r="S1070" i="1"/>
  <c r="O1070" i="1"/>
  <c r="S1063" i="1"/>
  <c r="O1063" i="1"/>
  <c r="S1062" i="1"/>
  <c r="O1062" i="1"/>
  <c r="S1061" i="1"/>
  <c r="O1061" i="1"/>
  <c r="S1060" i="1"/>
  <c r="O1060" i="1"/>
  <c r="S1059" i="1"/>
  <c r="O1059" i="1"/>
  <c r="S1058" i="1"/>
  <c r="O1058" i="1"/>
  <c r="S1057" i="1"/>
  <c r="O1057" i="1"/>
  <c r="S1056" i="1"/>
  <c r="O1056" i="1"/>
  <c r="S1055" i="1"/>
  <c r="O1055" i="1"/>
  <c r="S1054" i="1"/>
  <c r="O1054" i="1"/>
  <c r="S1052" i="1"/>
  <c r="O1052" i="1"/>
  <c r="S1051" i="1"/>
  <c r="O1051" i="1"/>
  <c r="S1050" i="1"/>
  <c r="O1050" i="1"/>
  <c r="S1038" i="1"/>
  <c r="O1038" i="1"/>
  <c r="S1037" i="1"/>
  <c r="O1037" i="1"/>
  <c r="O940" i="1"/>
  <c r="S939" i="1"/>
  <c r="O939" i="1"/>
  <c r="S938" i="1"/>
  <c r="O938" i="1"/>
  <c r="O881" i="1"/>
  <c r="S881" i="1"/>
  <c r="O882" i="1"/>
  <c r="S882" i="1"/>
  <c r="S921" i="1"/>
  <c r="O921" i="1"/>
  <c r="S920" i="1"/>
  <c r="O920" i="1"/>
  <c r="S941" i="1"/>
  <c r="S919" i="1"/>
  <c r="O919" i="1"/>
  <c r="S899" i="1"/>
  <c r="O984" i="1"/>
  <c r="O985" i="1"/>
  <c r="M1032" i="1"/>
  <c r="N1032" i="1"/>
  <c r="L1032" i="1"/>
  <c r="Q857" i="1"/>
  <c r="O826" i="1"/>
  <c r="S826" i="1"/>
  <c r="O827" i="1"/>
  <c r="S827" i="1"/>
  <c r="O828" i="1"/>
  <c r="S828" i="1"/>
  <c r="O829" i="1"/>
  <c r="S829" i="1"/>
  <c r="O830" i="1"/>
  <c r="S830" i="1"/>
  <c r="O831" i="1"/>
  <c r="S831" i="1"/>
  <c r="O956" i="1"/>
  <c r="S956" i="1"/>
  <c r="S954" i="1"/>
  <c r="O954" i="1"/>
  <c r="S953" i="1"/>
  <c r="O953" i="1"/>
  <c r="S913" i="1"/>
  <c r="O913" i="1"/>
  <c r="O824" i="1"/>
  <c r="S824" i="1"/>
  <c r="S910" i="1"/>
  <c r="O910" i="1"/>
  <c r="O852" i="1"/>
  <c r="S852" i="1"/>
  <c r="O838" i="1"/>
  <c r="S838" i="1"/>
  <c r="O839" i="1"/>
  <c r="S839" i="1"/>
  <c r="O840" i="1"/>
  <c r="S840" i="1"/>
  <c r="O841" i="1"/>
  <c r="S841" i="1"/>
  <c r="O842" i="1"/>
  <c r="S842" i="1"/>
  <c r="O843" i="1"/>
  <c r="S843" i="1"/>
  <c r="O844" i="1"/>
  <c r="S844" i="1"/>
  <c r="O845" i="1"/>
  <c r="S845" i="1"/>
  <c r="O846" i="1"/>
  <c r="S846" i="1"/>
  <c r="O847" i="1"/>
  <c r="S847" i="1"/>
  <c r="O848" i="1"/>
  <c r="S848" i="1"/>
  <c r="O849" i="1"/>
  <c r="S849" i="1"/>
  <c r="O850" i="1"/>
  <c r="S850" i="1"/>
  <c r="O851" i="1"/>
  <c r="S851" i="1"/>
  <c r="S853" i="1"/>
  <c r="O853" i="1"/>
  <c r="S854" i="1"/>
  <c r="O854" i="1"/>
  <c r="S897" i="1"/>
  <c r="O897" i="1"/>
  <c r="S856" i="1"/>
  <c r="O856" i="1"/>
  <c r="S855" i="1"/>
  <c r="O855" i="1"/>
  <c r="O899" i="1"/>
  <c r="S898" i="1"/>
  <c r="O898" i="1"/>
  <c r="O941" i="1"/>
  <c r="S942" i="1"/>
  <c r="O942" i="1"/>
  <c r="H1029" i="1"/>
  <c r="G1029" i="1"/>
  <c r="F1029" i="1"/>
  <c r="D1029" i="1"/>
  <c r="C1029" i="1"/>
  <c r="B1029" i="1"/>
  <c r="I1028" i="1"/>
  <c r="E1028" i="1"/>
  <c r="I1027" i="1"/>
  <c r="E1027" i="1"/>
  <c r="I1026" i="1"/>
  <c r="E1026" i="1"/>
  <c r="I1025" i="1"/>
  <c r="E1025" i="1"/>
  <c r="I1024" i="1"/>
  <c r="E1024" i="1"/>
  <c r="I1023" i="1"/>
  <c r="E1023" i="1"/>
  <c r="I1022" i="1"/>
  <c r="E1022" i="1"/>
  <c r="I1021" i="1"/>
  <c r="E1021" i="1"/>
  <c r="I1020" i="1"/>
  <c r="E1020" i="1"/>
  <c r="S1019" i="1"/>
  <c r="O1019" i="1"/>
  <c r="I1019" i="1"/>
  <c r="E1019" i="1"/>
  <c r="S1018" i="1"/>
  <c r="O1018" i="1"/>
  <c r="I1018" i="1"/>
  <c r="E1018" i="1"/>
  <c r="S1017" i="1"/>
  <c r="O1017" i="1"/>
  <c r="I1017" i="1"/>
  <c r="E1017" i="1"/>
  <c r="I1016" i="1"/>
  <c r="E1016" i="1"/>
  <c r="S1015" i="1"/>
  <c r="O1015" i="1"/>
  <c r="I1015" i="1"/>
  <c r="E1015" i="1"/>
  <c r="S1014" i="1"/>
  <c r="O1014" i="1"/>
  <c r="I1014" i="1"/>
  <c r="E1014" i="1"/>
  <c r="I1013" i="1"/>
  <c r="E1013" i="1"/>
  <c r="S1012" i="1"/>
  <c r="O1012" i="1"/>
  <c r="I1012" i="1"/>
  <c r="E1012" i="1"/>
  <c r="S1011" i="1"/>
  <c r="O1011" i="1"/>
  <c r="I1011" i="1"/>
  <c r="E1011" i="1"/>
  <c r="S1010" i="1"/>
  <c r="O1010" i="1"/>
  <c r="I1010" i="1"/>
  <c r="E1010" i="1"/>
  <c r="S1009" i="1"/>
  <c r="O1009" i="1"/>
  <c r="I1009" i="1"/>
  <c r="E1009" i="1"/>
  <c r="S1008" i="1"/>
  <c r="O1008" i="1"/>
  <c r="I1008" i="1"/>
  <c r="E1008" i="1"/>
  <c r="I1007" i="1"/>
  <c r="E1007" i="1"/>
  <c r="I1006" i="1"/>
  <c r="E1006" i="1"/>
  <c r="S1003" i="1"/>
  <c r="O1003" i="1"/>
  <c r="I1003" i="1"/>
  <c r="E1003" i="1"/>
  <c r="S1002" i="1"/>
  <c r="O1002" i="1"/>
  <c r="I1002" i="1"/>
  <c r="E1002" i="1"/>
  <c r="I1001" i="1"/>
  <c r="E1001" i="1"/>
  <c r="O1032" i="1"/>
  <c r="I1000" i="1"/>
  <c r="E1000" i="1"/>
  <c r="I999" i="1"/>
  <c r="E999" i="1"/>
  <c r="I998" i="1"/>
  <c r="E998" i="1"/>
  <c r="I997" i="1"/>
  <c r="E997" i="1"/>
  <c r="I996" i="1"/>
  <c r="E996" i="1"/>
  <c r="S995" i="1"/>
  <c r="O995" i="1"/>
  <c r="I995" i="1"/>
  <c r="E995" i="1"/>
  <c r="S994" i="1"/>
  <c r="O994" i="1"/>
  <c r="I994" i="1"/>
  <c r="E994" i="1"/>
  <c r="N986" i="1"/>
  <c r="M986" i="1"/>
  <c r="H986" i="1"/>
  <c r="G986" i="1"/>
  <c r="F986" i="1"/>
  <c r="D986" i="1"/>
  <c r="C986" i="1"/>
  <c r="B986" i="1"/>
  <c r="I984" i="1"/>
  <c r="E984" i="1"/>
  <c r="I983" i="1"/>
  <c r="E983" i="1"/>
  <c r="I982" i="1"/>
  <c r="E982" i="1"/>
  <c r="I981" i="1"/>
  <c r="E981" i="1"/>
  <c r="I980" i="1"/>
  <c r="E980" i="1"/>
  <c r="I979" i="1"/>
  <c r="E979" i="1"/>
  <c r="I978" i="1"/>
  <c r="E978" i="1"/>
  <c r="S977" i="1"/>
  <c r="O977" i="1"/>
  <c r="I977" i="1"/>
  <c r="E977" i="1"/>
  <c r="S976" i="1"/>
  <c r="O976" i="1"/>
  <c r="I976" i="1"/>
  <c r="E976" i="1"/>
  <c r="S975" i="1"/>
  <c r="O975" i="1"/>
  <c r="I975" i="1"/>
  <c r="E975" i="1"/>
  <c r="I974" i="1"/>
  <c r="E974" i="1"/>
  <c r="S973" i="1"/>
  <c r="O973" i="1"/>
  <c r="I973" i="1"/>
  <c r="E973" i="1"/>
  <c r="S972" i="1"/>
  <c r="O972" i="1"/>
  <c r="S971" i="1"/>
  <c r="O971" i="1"/>
  <c r="I971" i="1"/>
  <c r="E971" i="1"/>
  <c r="S970" i="1"/>
  <c r="O970" i="1"/>
  <c r="I970" i="1"/>
  <c r="E970" i="1"/>
  <c r="S969" i="1"/>
  <c r="O969" i="1"/>
  <c r="I969" i="1"/>
  <c r="E969" i="1"/>
  <c r="S968" i="1"/>
  <c r="O968" i="1"/>
  <c r="I968" i="1"/>
  <c r="E968" i="1"/>
  <c r="S967" i="1"/>
  <c r="O967" i="1"/>
  <c r="I967" i="1"/>
  <c r="E967" i="1"/>
  <c r="S966" i="1"/>
  <c r="O966" i="1"/>
  <c r="I966" i="1"/>
  <c r="E966" i="1"/>
  <c r="S965" i="1"/>
  <c r="O965" i="1"/>
  <c r="I965" i="1"/>
  <c r="E965" i="1"/>
  <c r="S964" i="1"/>
  <c r="O964" i="1"/>
  <c r="I964" i="1"/>
  <c r="E964" i="1"/>
  <c r="S963" i="1"/>
  <c r="O963" i="1"/>
  <c r="I963" i="1"/>
  <c r="E963" i="1"/>
  <c r="S962" i="1"/>
  <c r="O962" i="1"/>
  <c r="I962" i="1"/>
  <c r="E962" i="1"/>
  <c r="S959" i="1"/>
  <c r="O959" i="1"/>
  <c r="I959" i="1"/>
  <c r="E959" i="1"/>
  <c r="I958" i="1"/>
  <c r="E958" i="1"/>
  <c r="I957" i="1"/>
  <c r="E957" i="1"/>
  <c r="I956" i="1"/>
  <c r="E956" i="1"/>
  <c r="I955" i="1"/>
  <c r="E955" i="1"/>
  <c r="I954" i="1"/>
  <c r="E954" i="1"/>
  <c r="I953" i="1"/>
  <c r="E953" i="1"/>
  <c r="S952" i="1"/>
  <c r="O952" i="1"/>
  <c r="I952" i="1"/>
  <c r="E952" i="1"/>
  <c r="S951" i="1"/>
  <c r="O951" i="1"/>
  <c r="I951" i="1"/>
  <c r="E951" i="1"/>
  <c r="R943" i="1"/>
  <c r="P943" i="1"/>
  <c r="N943" i="1"/>
  <c r="M943" i="1"/>
  <c r="L943" i="1"/>
  <c r="H943" i="1"/>
  <c r="G943" i="1"/>
  <c r="F943" i="1"/>
  <c r="I943" i="1" s="1"/>
  <c r="D943" i="1"/>
  <c r="C943" i="1"/>
  <c r="B943" i="1"/>
  <c r="E943" i="1" s="1"/>
  <c r="I942" i="1"/>
  <c r="E942" i="1"/>
  <c r="I941" i="1"/>
  <c r="E941" i="1"/>
  <c r="I940" i="1"/>
  <c r="E940" i="1"/>
  <c r="I939" i="1"/>
  <c r="E939" i="1"/>
  <c r="I938" i="1"/>
  <c r="E938" i="1"/>
  <c r="S937" i="1"/>
  <c r="O937" i="1"/>
  <c r="I937" i="1"/>
  <c r="E937" i="1"/>
  <c r="S936" i="1"/>
  <c r="O936" i="1"/>
  <c r="I936" i="1"/>
  <c r="E936" i="1"/>
  <c r="S935" i="1"/>
  <c r="O935" i="1"/>
  <c r="I935" i="1"/>
  <c r="E935" i="1"/>
  <c r="S934" i="1"/>
  <c r="O934" i="1"/>
  <c r="I934" i="1"/>
  <c r="E934" i="1"/>
  <c r="S933" i="1"/>
  <c r="O933" i="1"/>
  <c r="I933" i="1"/>
  <c r="E933" i="1"/>
  <c r="S932" i="1"/>
  <c r="O932" i="1"/>
  <c r="I932" i="1"/>
  <c r="E932" i="1"/>
  <c r="S931" i="1"/>
  <c r="O931" i="1"/>
  <c r="I931" i="1"/>
  <c r="E931" i="1"/>
  <c r="S930" i="1"/>
  <c r="O930" i="1"/>
  <c r="I930" i="1"/>
  <c r="E930" i="1"/>
  <c r="S929" i="1"/>
  <c r="O929" i="1"/>
  <c r="I929" i="1"/>
  <c r="E929" i="1"/>
  <c r="S928" i="1"/>
  <c r="O928" i="1"/>
  <c r="I928" i="1"/>
  <c r="E928" i="1"/>
  <c r="S927" i="1"/>
  <c r="O927" i="1"/>
  <c r="I927" i="1"/>
  <c r="E927" i="1"/>
  <c r="S926" i="1"/>
  <c r="O926" i="1"/>
  <c r="I926" i="1"/>
  <c r="E926" i="1"/>
  <c r="S925" i="1"/>
  <c r="O925" i="1"/>
  <c r="I925" i="1"/>
  <c r="E925" i="1"/>
  <c r="S924" i="1"/>
  <c r="O924" i="1"/>
  <c r="I924" i="1"/>
  <c r="E924" i="1"/>
  <c r="S923" i="1"/>
  <c r="O923" i="1"/>
  <c r="I923" i="1"/>
  <c r="E923" i="1"/>
  <c r="S922" i="1"/>
  <c r="O922" i="1"/>
  <c r="I922" i="1"/>
  <c r="E922" i="1"/>
  <c r="I921" i="1"/>
  <c r="E921" i="1"/>
  <c r="I920" i="1"/>
  <c r="E920" i="1"/>
  <c r="I919" i="1"/>
  <c r="E919" i="1"/>
  <c r="S917" i="1"/>
  <c r="O917" i="1"/>
  <c r="I917" i="1"/>
  <c r="E917" i="1"/>
  <c r="S916" i="1"/>
  <c r="O916" i="1"/>
  <c r="I916" i="1"/>
  <c r="E916" i="1"/>
  <c r="S915" i="1"/>
  <c r="O915" i="1"/>
  <c r="I915" i="1"/>
  <c r="E915" i="1"/>
  <c r="S914" i="1"/>
  <c r="O914" i="1"/>
  <c r="I914" i="1"/>
  <c r="E914" i="1"/>
  <c r="I913" i="1"/>
  <c r="E913" i="1"/>
  <c r="S912" i="1"/>
  <c r="O912" i="1"/>
  <c r="I912" i="1"/>
  <c r="E912" i="1"/>
  <c r="S911" i="1"/>
  <c r="O911" i="1"/>
  <c r="I911" i="1"/>
  <c r="E911" i="1"/>
  <c r="I910" i="1"/>
  <c r="E910" i="1"/>
  <c r="S909" i="1"/>
  <c r="O909" i="1"/>
  <c r="I909" i="1"/>
  <c r="E909" i="1"/>
  <c r="S908" i="1"/>
  <c r="O908" i="1"/>
  <c r="I908" i="1"/>
  <c r="E908" i="1"/>
  <c r="O876" i="1"/>
  <c r="S876" i="1"/>
  <c r="O877" i="1"/>
  <c r="S877" i="1"/>
  <c r="O878" i="1"/>
  <c r="S878" i="1"/>
  <c r="O880" i="1"/>
  <c r="S880" i="1"/>
  <c r="O883" i="1"/>
  <c r="S883" i="1"/>
  <c r="O884" i="1"/>
  <c r="S884" i="1"/>
  <c r="O885" i="1"/>
  <c r="S885" i="1"/>
  <c r="O886" i="1"/>
  <c r="S886" i="1"/>
  <c r="O887" i="1"/>
  <c r="S887" i="1"/>
  <c r="O888" i="1"/>
  <c r="S888" i="1"/>
  <c r="O889" i="1"/>
  <c r="S889" i="1"/>
  <c r="O890" i="1"/>
  <c r="S890" i="1"/>
  <c r="O891" i="1"/>
  <c r="S891" i="1"/>
  <c r="O892" i="1"/>
  <c r="S892" i="1"/>
  <c r="O893" i="1"/>
  <c r="S893" i="1"/>
  <c r="O894" i="1"/>
  <c r="S894" i="1"/>
  <c r="O895" i="1"/>
  <c r="S895" i="1"/>
  <c r="O896" i="1"/>
  <c r="S896" i="1"/>
  <c r="S874" i="1"/>
  <c r="O874" i="1"/>
  <c r="S873" i="1"/>
  <c r="O873" i="1"/>
  <c r="S872" i="1"/>
  <c r="O872" i="1"/>
  <c r="S871" i="1"/>
  <c r="O871" i="1"/>
  <c r="S870" i="1"/>
  <c r="O870" i="1"/>
  <c r="S869" i="1"/>
  <c r="O869" i="1"/>
  <c r="S868" i="1"/>
  <c r="O868" i="1"/>
  <c r="S867" i="1"/>
  <c r="O867" i="1"/>
  <c r="S866" i="1"/>
  <c r="O866" i="1"/>
  <c r="S865" i="1"/>
  <c r="O865" i="1"/>
  <c r="H900" i="1"/>
  <c r="G900" i="1"/>
  <c r="F900" i="1"/>
  <c r="I900" i="1" s="1"/>
  <c r="D900" i="1"/>
  <c r="C900" i="1"/>
  <c r="B900" i="1"/>
  <c r="E900" i="1" s="1"/>
  <c r="I899" i="1"/>
  <c r="E899" i="1"/>
  <c r="I898" i="1"/>
  <c r="E898" i="1"/>
  <c r="I897" i="1"/>
  <c r="E897" i="1"/>
  <c r="I896" i="1"/>
  <c r="E896" i="1"/>
  <c r="I895" i="1"/>
  <c r="E895" i="1"/>
  <c r="I894" i="1"/>
  <c r="E894" i="1"/>
  <c r="I893" i="1"/>
  <c r="E893" i="1"/>
  <c r="I892" i="1"/>
  <c r="E892" i="1"/>
  <c r="I891" i="1"/>
  <c r="E891" i="1"/>
  <c r="I890" i="1"/>
  <c r="E890" i="1"/>
  <c r="I889" i="1"/>
  <c r="E889" i="1"/>
  <c r="R900" i="1"/>
  <c r="P900" i="1"/>
  <c r="M900" i="1"/>
  <c r="L900" i="1"/>
  <c r="I888" i="1"/>
  <c r="E888" i="1"/>
  <c r="I887" i="1"/>
  <c r="E887" i="1"/>
  <c r="I886" i="1"/>
  <c r="E886" i="1"/>
  <c r="I885" i="1"/>
  <c r="E885" i="1"/>
  <c r="I884" i="1"/>
  <c r="E884" i="1"/>
  <c r="I883" i="1"/>
  <c r="E883" i="1"/>
  <c r="I882" i="1"/>
  <c r="E882" i="1"/>
  <c r="I881" i="1"/>
  <c r="E881" i="1"/>
  <c r="I880" i="1"/>
  <c r="E880" i="1"/>
  <c r="S879" i="1"/>
  <c r="O879" i="1"/>
  <c r="I879" i="1"/>
  <c r="E879" i="1"/>
  <c r="I878" i="1"/>
  <c r="E878" i="1"/>
  <c r="I877" i="1"/>
  <c r="E877" i="1"/>
  <c r="I876" i="1"/>
  <c r="E876" i="1"/>
  <c r="I874" i="1"/>
  <c r="E874" i="1"/>
  <c r="I873" i="1"/>
  <c r="E873" i="1"/>
  <c r="I872" i="1"/>
  <c r="E872" i="1"/>
  <c r="I871" i="1"/>
  <c r="E871" i="1"/>
  <c r="I870" i="1"/>
  <c r="E870" i="1"/>
  <c r="I869" i="1"/>
  <c r="E869" i="1"/>
  <c r="I868" i="1"/>
  <c r="E868" i="1"/>
  <c r="I867" i="1"/>
  <c r="E867" i="1"/>
  <c r="I866" i="1"/>
  <c r="E866" i="1"/>
  <c r="I865" i="1"/>
  <c r="E865" i="1"/>
  <c r="O836" i="1"/>
  <c r="S836" i="1"/>
  <c r="O837" i="1"/>
  <c r="S837" i="1"/>
  <c r="M860" i="1"/>
  <c r="N860" i="1"/>
  <c r="O860" i="1"/>
  <c r="L860" i="1"/>
  <c r="O812" i="1"/>
  <c r="S812" i="1"/>
  <c r="O813" i="1"/>
  <c r="S813" i="1"/>
  <c r="E822" i="1"/>
  <c r="I822" i="1"/>
  <c r="I785" i="1"/>
  <c r="E785" i="1"/>
  <c r="I784" i="1"/>
  <c r="E784" i="1"/>
  <c r="S811" i="1"/>
  <c r="O811" i="1"/>
  <c r="S799" i="1"/>
  <c r="O799" i="1"/>
  <c r="S792" i="1"/>
  <c r="O792" i="1"/>
  <c r="O833" i="1"/>
  <c r="S833" i="1"/>
  <c r="O834" i="1"/>
  <c r="S834" i="1"/>
  <c r="E833" i="1"/>
  <c r="I833" i="1"/>
  <c r="E834" i="1"/>
  <c r="I834" i="1"/>
  <c r="E835" i="1"/>
  <c r="I835" i="1"/>
  <c r="E836" i="1"/>
  <c r="I836" i="1"/>
  <c r="E837" i="1"/>
  <c r="I837" i="1"/>
  <c r="H857" i="1"/>
  <c r="G857" i="1"/>
  <c r="F857" i="1"/>
  <c r="I857" i="1" s="1"/>
  <c r="D857" i="1"/>
  <c r="C857" i="1"/>
  <c r="B857" i="1"/>
  <c r="I856" i="1"/>
  <c r="E856" i="1"/>
  <c r="R857" i="1"/>
  <c r="N857" i="1"/>
  <c r="M857" i="1"/>
  <c r="I855" i="1"/>
  <c r="E855" i="1"/>
  <c r="I854" i="1"/>
  <c r="E854" i="1"/>
  <c r="I853" i="1"/>
  <c r="E853" i="1"/>
  <c r="I852" i="1"/>
  <c r="E852" i="1"/>
  <c r="I851" i="1"/>
  <c r="E851" i="1"/>
  <c r="I850" i="1"/>
  <c r="E850" i="1"/>
  <c r="I849" i="1"/>
  <c r="E849" i="1"/>
  <c r="I848" i="1"/>
  <c r="E848" i="1"/>
  <c r="I847" i="1"/>
  <c r="E847" i="1"/>
  <c r="I846" i="1"/>
  <c r="E846" i="1"/>
  <c r="I845" i="1"/>
  <c r="E845" i="1"/>
  <c r="I844" i="1"/>
  <c r="E844" i="1"/>
  <c r="I843" i="1"/>
  <c r="E843" i="1"/>
  <c r="I842" i="1"/>
  <c r="E842" i="1"/>
  <c r="I841" i="1"/>
  <c r="E841" i="1"/>
  <c r="I840" i="1"/>
  <c r="E840" i="1"/>
  <c r="I839" i="1"/>
  <c r="E839" i="1"/>
  <c r="I838" i="1"/>
  <c r="E838" i="1"/>
  <c r="S835" i="1"/>
  <c r="O835" i="1"/>
  <c r="I830" i="1"/>
  <c r="E830" i="1"/>
  <c r="I829" i="1"/>
  <c r="E829" i="1"/>
  <c r="I828" i="1"/>
  <c r="E828" i="1"/>
  <c r="I827" i="1"/>
  <c r="E827" i="1"/>
  <c r="I826" i="1"/>
  <c r="E826" i="1"/>
  <c r="S825" i="1"/>
  <c r="O825" i="1"/>
  <c r="I824" i="1"/>
  <c r="E824" i="1"/>
  <c r="S823" i="1"/>
  <c r="O823" i="1"/>
  <c r="I823" i="1"/>
  <c r="E823" i="1"/>
  <c r="S822" i="1"/>
  <c r="O822" i="1"/>
  <c r="O791" i="1"/>
  <c r="S791" i="1"/>
  <c r="I791" i="1"/>
  <c r="E791" i="1"/>
  <c r="O767" i="1"/>
  <c r="S767" i="1"/>
  <c r="O768" i="1"/>
  <c r="S768" i="1"/>
  <c r="S770" i="1"/>
  <c r="O770" i="1"/>
  <c r="S769" i="1"/>
  <c r="O769" i="1"/>
  <c r="O810" i="1"/>
  <c r="S810" i="1"/>
  <c r="O790" i="1"/>
  <c r="S790" i="1"/>
  <c r="O793" i="1"/>
  <c r="S793" i="1"/>
  <c r="O794" i="1"/>
  <c r="S794" i="1"/>
  <c r="O795" i="1"/>
  <c r="S795" i="1"/>
  <c r="O796" i="1"/>
  <c r="S796" i="1"/>
  <c r="O797" i="1"/>
  <c r="S797" i="1"/>
  <c r="O798" i="1"/>
  <c r="S798" i="1"/>
  <c r="O800" i="1"/>
  <c r="S800" i="1"/>
  <c r="O801" i="1"/>
  <c r="S801" i="1"/>
  <c r="O802" i="1"/>
  <c r="S802" i="1"/>
  <c r="O803" i="1"/>
  <c r="S803" i="1"/>
  <c r="O804" i="1"/>
  <c r="S804" i="1"/>
  <c r="O805" i="1"/>
  <c r="S805" i="1"/>
  <c r="O806" i="1"/>
  <c r="S806" i="1"/>
  <c r="O807" i="1"/>
  <c r="S807" i="1"/>
  <c r="O808" i="1"/>
  <c r="S808" i="1"/>
  <c r="E779" i="1"/>
  <c r="I779" i="1"/>
  <c r="E790" i="1"/>
  <c r="I790" i="1"/>
  <c r="E792" i="1"/>
  <c r="I792" i="1"/>
  <c r="E793" i="1"/>
  <c r="I793" i="1"/>
  <c r="H814" i="1"/>
  <c r="G814" i="1"/>
  <c r="F814" i="1"/>
  <c r="D814" i="1"/>
  <c r="C814" i="1"/>
  <c r="B814" i="1"/>
  <c r="I813" i="1"/>
  <c r="E813" i="1"/>
  <c r="R814" i="1"/>
  <c r="R816" i="1" s="1"/>
  <c r="Q814" i="1"/>
  <c r="Q816" i="1" s="1"/>
  <c r="N814" i="1"/>
  <c r="N816" i="1" s="1"/>
  <c r="M814" i="1"/>
  <c r="M816" i="1" s="1"/>
  <c r="I812" i="1"/>
  <c r="E812" i="1"/>
  <c r="I811" i="1"/>
  <c r="E811" i="1"/>
  <c r="I810" i="1"/>
  <c r="E810" i="1"/>
  <c r="S809" i="1"/>
  <c r="O809" i="1"/>
  <c r="I809" i="1"/>
  <c r="E809" i="1"/>
  <c r="I808" i="1"/>
  <c r="E808" i="1"/>
  <c r="I807" i="1"/>
  <c r="E807" i="1"/>
  <c r="I806" i="1"/>
  <c r="E806" i="1"/>
  <c r="I805" i="1"/>
  <c r="E805" i="1"/>
  <c r="I804" i="1"/>
  <c r="E804" i="1"/>
  <c r="I803" i="1"/>
  <c r="E803" i="1"/>
  <c r="I802" i="1"/>
  <c r="E802" i="1"/>
  <c r="I801" i="1"/>
  <c r="E801" i="1"/>
  <c r="I800" i="1"/>
  <c r="E800" i="1"/>
  <c r="I799" i="1"/>
  <c r="E799" i="1"/>
  <c r="I798" i="1"/>
  <c r="E798" i="1"/>
  <c r="I797" i="1"/>
  <c r="E797" i="1"/>
  <c r="I796" i="1"/>
  <c r="E796" i="1"/>
  <c r="I795" i="1"/>
  <c r="E795" i="1"/>
  <c r="I794" i="1"/>
  <c r="E794" i="1"/>
  <c r="S788" i="1"/>
  <c r="O788" i="1"/>
  <c r="I788" i="1"/>
  <c r="E788" i="1"/>
  <c r="S787" i="1"/>
  <c r="O787" i="1"/>
  <c r="I787" i="1"/>
  <c r="E787" i="1"/>
  <c r="S786" i="1"/>
  <c r="O786" i="1"/>
  <c r="I786" i="1"/>
  <c r="E786" i="1"/>
  <c r="S785" i="1"/>
  <c r="O785" i="1"/>
  <c r="S784" i="1"/>
  <c r="O784" i="1"/>
  <c r="S783" i="1"/>
  <c r="O783" i="1"/>
  <c r="I783" i="1"/>
  <c r="E783" i="1"/>
  <c r="S782" i="1"/>
  <c r="O782" i="1"/>
  <c r="I782" i="1"/>
  <c r="E782" i="1"/>
  <c r="S781" i="1"/>
  <c r="O781" i="1"/>
  <c r="I781" i="1"/>
  <c r="E781" i="1"/>
  <c r="S780" i="1"/>
  <c r="O780" i="1"/>
  <c r="I780" i="1"/>
  <c r="E780" i="1"/>
  <c r="S779" i="1"/>
  <c r="O779" i="1"/>
  <c r="H778" i="1"/>
  <c r="H789" i="1" s="1"/>
  <c r="G778" i="1"/>
  <c r="G789" i="1" s="1"/>
  <c r="F778" i="1"/>
  <c r="I778" i="1" s="1"/>
  <c r="D778" i="1"/>
  <c r="D789" i="1" s="1"/>
  <c r="C778" i="1"/>
  <c r="C789" i="1" s="1"/>
  <c r="B778" i="1"/>
  <c r="E778" i="1" s="1"/>
  <c r="S764" i="1"/>
  <c r="O764" i="1"/>
  <c r="S763" i="1"/>
  <c r="O763" i="1"/>
  <c r="S762" i="1"/>
  <c r="O762" i="1"/>
  <c r="S761" i="1"/>
  <c r="O761" i="1"/>
  <c r="S760" i="1"/>
  <c r="O760" i="1"/>
  <c r="S759" i="1"/>
  <c r="O759" i="1"/>
  <c r="S758" i="1"/>
  <c r="O758" i="1"/>
  <c r="S757" i="1"/>
  <c r="O757" i="1"/>
  <c r="S756" i="1"/>
  <c r="O756" i="1"/>
  <c r="S755" i="1"/>
  <c r="O755" i="1"/>
  <c r="S754" i="1"/>
  <c r="O754" i="1"/>
  <c r="S753" i="1"/>
  <c r="O753" i="1"/>
  <c r="S752" i="1"/>
  <c r="O752" i="1"/>
  <c r="S751" i="1"/>
  <c r="O751" i="1"/>
  <c r="S750" i="1"/>
  <c r="O750" i="1"/>
  <c r="S749" i="1"/>
  <c r="O749" i="1"/>
  <c r="S748" i="1"/>
  <c r="O748" i="1"/>
  <c r="S747" i="1"/>
  <c r="O747" i="1"/>
  <c r="S723" i="1"/>
  <c r="O723" i="1"/>
  <c r="S722" i="1"/>
  <c r="O722" i="1"/>
  <c r="S721" i="1"/>
  <c r="O721" i="1"/>
  <c r="S720" i="1"/>
  <c r="O720" i="1"/>
  <c r="S719" i="1"/>
  <c r="O719" i="1"/>
  <c r="S718" i="1"/>
  <c r="O718" i="1"/>
  <c r="S717" i="1"/>
  <c r="O717" i="1"/>
  <c r="S716" i="1"/>
  <c r="O716" i="1"/>
  <c r="S715" i="1"/>
  <c r="O715" i="1"/>
  <c r="S714" i="1"/>
  <c r="O714" i="1"/>
  <c r="S713" i="1"/>
  <c r="O713" i="1"/>
  <c r="S712" i="1"/>
  <c r="O712" i="1"/>
  <c r="S711" i="1"/>
  <c r="O711" i="1"/>
  <c r="S710" i="1"/>
  <c r="O710" i="1"/>
  <c r="S709" i="1"/>
  <c r="O709" i="1"/>
  <c r="S708" i="1"/>
  <c r="O708" i="1"/>
  <c r="S707" i="1"/>
  <c r="O707" i="1"/>
  <c r="S706" i="1"/>
  <c r="O706" i="1"/>
  <c r="S705" i="1"/>
  <c r="O705" i="1"/>
  <c r="S704" i="1"/>
  <c r="O704" i="1"/>
  <c r="S680" i="1"/>
  <c r="O680" i="1"/>
  <c r="S679" i="1"/>
  <c r="O679" i="1"/>
  <c r="S678" i="1"/>
  <c r="O678" i="1"/>
  <c r="S677" i="1"/>
  <c r="O677" i="1"/>
  <c r="S676" i="1"/>
  <c r="O676" i="1"/>
  <c r="S675" i="1"/>
  <c r="O675" i="1"/>
  <c r="S674" i="1"/>
  <c r="O674" i="1"/>
  <c r="S673" i="1"/>
  <c r="O673" i="1"/>
  <c r="S672" i="1"/>
  <c r="O672" i="1"/>
  <c r="S671" i="1"/>
  <c r="O671" i="1"/>
  <c r="S670" i="1"/>
  <c r="O670" i="1"/>
  <c r="S669" i="1"/>
  <c r="O669" i="1"/>
  <c r="S668" i="1"/>
  <c r="O668" i="1"/>
  <c r="S667" i="1"/>
  <c r="O667" i="1"/>
  <c r="S666" i="1"/>
  <c r="O666" i="1"/>
  <c r="S665" i="1"/>
  <c r="O665" i="1"/>
  <c r="S664" i="1"/>
  <c r="O664" i="1"/>
  <c r="S663" i="1"/>
  <c r="O663" i="1"/>
  <c r="S662" i="1"/>
  <c r="O662" i="1"/>
  <c r="S661" i="1"/>
  <c r="O661" i="1"/>
  <c r="S633" i="1"/>
  <c r="O633" i="1"/>
  <c r="O724" i="1"/>
  <c r="S724" i="1"/>
  <c r="S725" i="1"/>
  <c r="O725" i="1"/>
  <c r="S726" i="1"/>
  <c r="O726" i="1"/>
  <c r="R727" i="1"/>
  <c r="Q727" i="1"/>
  <c r="P727" i="1"/>
  <c r="N727" i="1"/>
  <c r="M727" i="1"/>
  <c r="L727" i="1"/>
  <c r="O727" i="1" s="1"/>
  <c r="O765" i="1"/>
  <c r="S765" i="1"/>
  <c r="Q771" i="1"/>
  <c r="O739" i="1"/>
  <c r="S739" i="1"/>
  <c r="O740" i="1"/>
  <c r="S740" i="1"/>
  <c r="E736" i="1"/>
  <c r="I736" i="1"/>
  <c r="E737" i="1"/>
  <c r="I737" i="1"/>
  <c r="E738" i="1"/>
  <c r="I738" i="1"/>
  <c r="E747" i="1"/>
  <c r="I747" i="1"/>
  <c r="E748" i="1"/>
  <c r="I748" i="1"/>
  <c r="E749" i="1"/>
  <c r="I749" i="1"/>
  <c r="E750" i="1"/>
  <c r="I750" i="1"/>
  <c r="E751" i="1"/>
  <c r="I751" i="1"/>
  <c r="H771" i="1"/>
  <c r="G771" i="1"/>
  <c r="F771" i="1"/>
  <c r="D771" i="1"/>
  <c r="C771" i="1"/>
  <c r="B771" i="1"/>
  <c r="E771" i="1" s="1"/>
  <c r="I770" i="1"/>
  <c r="E770" i="1"/>
  <c r="I769" i="1"/>
  <c r="E769" i="1"/>
  <c r="R771" i="1"/>
  <c r="N771" i="1"/>
  <c r="M771" i="1"/>
  <c r="I768" i="1"/>
  <c r="E768" i="1"/>
  <c r="I767" i="1"/>
  <c r="E767" i="1"/>
  <c r="S766" i="1"/>
  <c r="O766" i="1"/>
  <c r="I766" i="1"/>
  <c r="E766" i="1"/>
  <c r="I765" i="1"/>
  <c r="E765" i="1"/>
  <c r="I764" i="1"/>
  <c r="E764" i="1"/>
  <c r="I763" i="1"/>
  <c r="E763" i="1"/>
  <c r="I762" i="1"/>
  <c r="E762" i="1"/>
  <c r="I761" i="1"/>
  <c r="E761" i="1"/>
  <c r="I760" i="1"/>
  <c r="E760" i="1"/>
  <c r="I759" i="1"/>
  <c r="E759" i="1"/>
  <c r="I758" i="1"/>
  <c r="E758" i="1"/>
  <c r="I757" i="1"/>
  <c r="E757" i="1"/>
  <c r="I756" i="1"/>
  <c r="E756" i="1"/>
  <c r="I755" i="1"/>
  <c r="E755" i="1"/>
  <c r="I754" i="1"/>
  <c r="E754" i="1"/>
  <c r="I753" i="1"/>
  <c r="E753" i="1"/>
  <c r="I752" i="1"/>
  <c r="E752" i="1"/>
  <c r="S745" i="1"/>
  <c r="O745" i="1"/>
  <c r="I745" i="1"/>
  <c r="E745" i="1"/>
  <c r="S744" i="1"/>
  <c r="O744" i="1"/>
  <c r="I744" i="1"/>
  <c r="E744" i="1"/>
  <c r="S743" i="1"/>
  <c r="O743" i="1"/>
  <c r="I743" i="1"/>
  <c r="E743" i="1"/>
  <c r="S742" i="1"/>
  <c r="O742" i="1"/>
  <c r="I742" i="1"/>
  <c r="E742" i="1"/>
  <c r="S741" i="1"/>
  <c r="O741" i="1"/>
  <c r="I741" i="1"/>
  <c r="E741" i="1"/>
  <c r="I740" i="1"/>
  <c r="E740" i="1"/>
  <c r="I739" i="1"/>
  <c r="E739" i="1"/>
  <c r="S738" i="1"/>
  <c r="O738" i="1"/>
  <c r="S737" i="1"/>
  <c r="O737" i="1"/>
  <c r="S736" i="1"/>
  <c r="O736" i="1"/>
  <c r="I695" i="1"/>
  <c r="E695" i="1"/>
  <c r="E436" i="1"/>
  <c r="I436" i="1"/>
  <c r="S684" i="1"/>
  <c r="I661" i="1"/>
  <c r="E661" i="1"/>
  <c r="S683" i="1"/>
  <c r="S625" i="1"/>
  <c r="O625" i="1"/>
  <c r="S624" i="1"/>
  <c r="O624" i="1"/>
  <c r="O681" i="1"/>
  <c r="S681" i="1"/>
  <c r="S636" i="1"/>
  <c r="O636" i="1"/>
  <c r="S635" i="1"/>
  <c r="O635" i="1"/>
  <c r="O638" i="1"/>
  <c r="S637" i="1"/>
  <c r="O618" i="1"/>
  <c r="S618" i="1"/>
  <c r="S580" i="1"/>
  <c r="O580" i="1"/>
  <c r="O683" i="1"/>
  <c r="S682" i="1"/>
  <c r="O682" i="1"/>
  <c r="O637" i="1"/>
  <c r="O684" i="1"/>
  <c r="S576" i="1"/>
  <c r="O576" i="1"/>
  <c r="S638" i="1"/>
  <c r="S640" i="1"/>
  <c r="O640" i="1"/>
  <c r="S639" i="1"/>
  <c r="O639" i="1"/>
  <c r="O641" i="1"/>
  <c r="S641" i="1"/>
  <c r="O610" i="1"/>
  <c r="S610" i="1"/>
  <c r="O611" i="1"/>
  <c r="S611" i="1"/>
  <c r="O612" i="1"/>
  <c r="S612" i="1"/>
  <c r="S654" i="1"/>
  <c r="O654" i="1"/>
  <c r="S696" i="1"/>
  <c r="O696" i="1"/>
  <c r="I1244" i="1" l="1"/>
  <c r="E1244" i="1"/>
  <c r="I1201" i="1"/>
  <c r="E1158" i="1"/>
  <c r="E1115" i="1"/>
  <c r="S1244" i="1"/>
  <c r="O1244" i="1"/>
  <c r="S1201" i="1"/>
  <c r="O1201" i="1"/>
  <c r="S1158" i="1"/>
  <c r="O1158" i="1"/>
  <c r="O1115" i="1"/>
  <c r="I1115" i="1"/>
  <c r="S1115" i="1"/>
  <c r="S1071" i="1"/>
  <c r="E1029" i="1"/>
  <c r="I1029" i="1"/>
  <c r="Q1029" i="1"/>
  <c r="N1031" i="1"/>
  <c r="O1072" i="1"/>
  <c r="R986" i="1"/>
  <c r="I986" i="1"/>
  <c r="S985" i="1"/>
  <c r="P986" i="1"/>
  <c r="L986" i="1"/>
  <c r="O986" i="1" s="1"/>
  <c r="E986" i="1"/>
  <c r="I1072" i="1"/>
  <c r="E1072" i="1"/>
  <c r="S1072" i="1"/>
  <c r="Q943" i="1"/>
  <c r="S943" i="1" s="1"/>
  <c r="Q900" i="1"/>
  <c r="L1029" i="1"/>
  <c r="O1029" i="1" s="1"/>
  <c r="P1029" i="1"/>
  <c r="M1031" i="1"/>
  <c r="L1031" i="1"/>
  <c r="O1031" i="1"/>
  <c r="O943" i="1"/>
  <c r="S900" i="1"/>
  <c r="N900" i="1"/>
  <c r="H815" i="1"/>
  <c r="H821" i="1" s="1"/>
  <c r="H832" i="1" s="1"/>
  <c r="H858" i="1" s="1"/>
  <c r="H864" i="1" s="1"/>
  <c r="H875" i="1" s="1"/>
  <c r="H901" i="1" s="1"/>
  <c r="H907" i="1" s="1"/>
  <c r="H918" i="1" s="1"/>
  <c r="H944" i="1" s="1"/>
  <c r="H950" i="1" s="1"/>
  <c r="H961" i="1" s="1"/>
  <c r="H987" i="1" s="1"/>
  <c r="H993" i="1" s="1"/>
  <c r="H1004" i="1" s="1"/>
  <c r="H1030" i="1" s="1"/>
  <c r="H1036" i="1" s="1"/>
  <c r="H1047" i="1" s="1"/>
  <c r="H1073" i="1" s="1"/>
  <c r="H1079" i="1" s="1"/>
  <c r="H1090" i="1" s="1"/>
  <c r="H1116" i="1" s="1"/>
  <c r="H1122" i="1" s="1"/>
  <c r="H1133" i="1" s="1"/>
  <c r="H1159" i="1" s="1"/>
  <c r="H1165" i="1" s="1"/>
  <c r="H1176" i="1" s="1"/>
  <c r="H1202" i="1" s="1"/>
  <c r="H1208" i="1" s="1"/>
  <c r="H1219" i="1" s="1"/>
  <c r="H1245" i="1" s="1"/>
  <c r="C815" i="1"/>
  <c r="C821" i="1" s="1"/>
  <c r="C832" i="1" s="1"/>
  <c r="C858" i="1" s="1"/>
  <c r="C864" i="1" s="1"/>
  <c r="C875" i="1" s="1"/>
  <c r="C901" i="1" s="1"/>
  <c r="C907" i="1" s="1"/>
  <c r="C918" i="1" s="1"/>
  <c r="C944" i="1" s="1"/>
  <c r="C950" i="1" s="1"/>
  <c r="C961" i="1" s="1"/>
  <c r="C987" i="1" s="1"/>
  <c r="C993" i="1" s="1"/>
  <c r="C1004" i="1" s="1"/>
  <c r="C1030" i="1" s="1"/>
  <c r="C1036" i="1" s="1"/>
  <c r="C1047" i="1" s="1"/>
  <c r="C1073" i="1" s="1"/>
  <c r="C1079" i="1" s="1"/>
  <c r="C1090" i="1" s="1"/>
  <c r="C1116" i="1" s="1"/>
  <c r="C1122" i="1" s="1"/>
  <c r="C1133" i="1" s="1"/>
  <c r="C1159" i="1" s="1"/>
  <c r="C1165" i="1" s="1"/>
  <c r="C1176" i="1" s="1"/>
  <c r="C1202" i="1" s="1"/>
  <c r="C1208" i="1" s="1"/>
  <c r="C1219" i="1" s="1"/>
  <c r="C1245" i="1" s="1"/>
  <c r="E814" i="1"/>
  <c r="E857" i="1"/>
  <c r="L857" i="1"/>
  <c r="O857" i="1" s="1"/>
  <c r="P857" i="1"/>
  <c r="S857" i="1" s="1"/>
  <c r="D815" i="1"/>
  <c r="D821" i="1" s="1"/>
  <c r="D832" i="1" s="1"/>
  <c r="D858" i="1" s="1"/>
  <c r="D864" i="1" s="1"/>
  <c r="D875" i="1" s="1"/>
  <c r="D901" i="1" s="1"/>
  <c r="D907" i="1" s="1"/>
  <c r="D918" i="1" s="1"/>
  <c r="D944" i="1" s="1"/>
  <c r="D950" i="1" s="1"/>
  <c r="D961" i="1" s="1"/>
  <c r="D987" i="1" s="1"/>
  <c r="D993" i="1" s="1"/>
  <c r="D1004" i="1" s="1"/>
  <c r="D1030" i="1" s="1"/>
  <c r="D1036" i="1" s="1"/>
  <c r="D1047" i="1" s="1"/>
  <c r="D1073" i="1" s="1"/>
  <c r="D1079" i="1" s="1"/>
  <c r="D1090" i="1" s="1"/>
  <c r="D1116" i="1" s="1"/>
  <c r="D1122" i="1" s="1"/>
  <c r="D1133" i="1" s="1"/>
  <c r="D1159" i="1" s="1"/>
  <c r="D1165" i="1" s="1"/>
  <c r="D1176" i="1" s="1"/>
  <c r="D1202" i="1" s="1"/>
  <c r="D1208" i="1" s="1"/>
  <c r="D1219" i="1" s="1"/>
  <c r="D1245" i="1" s="1"/>
  <c r="G815" i="1"/>
  <c r="G821" i="1" s="1"/>
  <c r="G832" i="1" s="1"/>
  <c r="G858" i="1" s="1"/>
  <c r="G864" i="1" s="1"/>
  <c r="G875" i="1" s="1"/>
  <c r="G901" i="1" s="1"/>
  <c r="G907" i="1" s="1"/>
  <c r="G918" i="1" s="1"/>
  <c r="G944" i="1" s="1"/>
  <c r="G950" i="1" s="1"/>
  <c r="G961" i="1" s="1"/>
  <c r="G987" i="1" s="1"/>
  <c r="G993" i="1" s="1"/>
  <c r="G1004" i="1" s="1"/>
  <c r="G1030" i="1" s="1"/>
  <c r="G1036" i="1" s="1"/>
  <c r="G1047" i="1" s="1"/>
  <c r="G1073" i="1" s="1"/>
  <c r="G1079" i="1" s="1"/>
  <c r="G1090" i="1" s="1"/>
  <c r="G1116" i="1" s="1"/>
  <c r="G1122" i="1" s="1"/>
  <c r="G1133" i="1" s="1"/>
  <c r="G1159" i="1" s="1"/>
  <c r="G1165" i="1" s="1"/>
  <c r="G1176" i="1" s="1"/>
  <c r="G1202" i="1" s="1"/>
  <c r="G1208" i="1" s="1"/>
  <c r="G1219" i="1" s="1"/>
  <c r="G1245" i="1" s="1"/>
  <c r="I814" i="1"/>
  <c r="B789" i="1"/>
  <c r="F789" i="1"/>
  <c r="L814" i="1"/>
  <c r="P814" i="1"/>
  <c r="S727" i="1"/>
  <c r="I771" i="1"/>
  <c r="L771" i="1"/>
  <c r="O771" i="1" s="1"/>
  <c r="P771" i="1"/>
  <c r="S771" i="1" s="1"/>
  <c r="R728" i="1"/>
  <c r="Q728" i="1"/>
  <c r="P728" i="1"/>
  <c r="N728" i="1"/>
  <c r="M728" i="1"/>
  <c r="L728" i="1"/>
  <c r="H728" i="1"/>
  <c r="G728" i="1"/>
  <c r="F728" i="1"/>
  <c r="D728" i="1"/>
  <c r="C728" i="1"/>
  <c r="B728" i="1"/>
  <c r="I727" i="1"/>
  <c r="E727" i="1"/>
  <c r="I726" i="1"/>
  <c r="E726" i="1"/>
  <c r="I725" i="1"/>
  <c r="E725" i="1"/>
  <c r="I724" i="1"/>
  <c r="E724" i="1"/>
  <c r="I723" i="1"/>
  <c r="E723" i="1"/>
  <c r="I722" i="1"/>
  <c r="E722" i="1"/>
  <c r="I721" i="1"/>
  <c r="E721" i="1"/>
  <c r="I720" i="1"/>
  <c r="E720" i="1"/>
  <c r="I719" i="1"/>
  <c r="E719" i="1"/>
  <c r="I718" i="1"/>
  <c r="E718" i="1"/>
  <c r="I717" i="1"/>
  <c r="E717" i="1"/>
  <c r="I716" i="1"/>
  <c r="E716" i="1"/>
  <c r="I715" i="1"/>
  <c r="E715" i="1"/>
  <c r="I714" i="1"/>
  <c r="E714" i="1"/>
  <c r="I713" i="1"/>
  <c r="E713" i="1"/>
  <c r="I712" i="1"/>
  <c r="E712" i="1"/>
  <c r="I711" i="1"/>
  <c r="E711" i="1"/>
  <c r="I710" i="1"/>
  <c r="E710" i="1"/>
  <c r="I709" i="1"/>
  <c r="E709" i="1"/>
  <c r="I708" i="1"/>
  <c r="E708" i="1"/>
  <c r="I707" i="1"/>
  <c r="E707" i="1"/>
  <c r="I706" i="1"/>
  <c r="E706" i="1"/>
  <c r="I705" i="1"/>
  <c r="E705" i="1"/>
  <c r="I704" i="1"/>
  <c r="E704" i="1"/>
  <c r="S702" i="1"/>
  <c r="O702" i="1"/>
  <c r="I702" i="1"/>
  <c r="E702" i="1"/>
  <c r="S701" i="1"/>
  <c r="O701" i="1"/>
  <c r="I701" i="1"/>
  <c r="E701" i="1"/>
  <c r="S700" i="1"/>
  <c r="O700" i="1"/>
  <c r="I700" i="1"/>
  <c r="E700" i="1"/>
  <c r="S699" i="1"/>
  <c r="O699" i="1"/>
  <c r="I699" i="1"/>
  <c r="E699" i="1"/>
  <c r="S698" i="1"/>
  <c r="O698" i="1"/>
  <c r="I698" i="1"/>
  <c r="E698" i="1"/>
  <c r="S697" i="1"/>
  <c r="O697" i="1"/>
  <c r="I697" i="1"/>
  <c r="E697" i="1"/>
  <c r="I696" i="1"/>
  <c r="E696" i="1"/>
  <c r="S695" i="1"/>
  <c r="O695" i="1"/>
  <c r="S694" i="1"/>
  <c r="O694" i="1"/>
  <c r="I694" i="1"/>
  <c r="E694" i="1"/>
  <c r="S693" i="1"/>
  <c r="O693" i="1"/>
  <c r="I693" i="1"/>
  <c r="E693" i="1"/>
  <c r="O555" i="1"/>
  <c r="S555" i="1"/>
  <c r="S598" i="1"/>
  <c r="O598" i="1"/>
  <c r="H685" i="1"/>
  <c r="G685" i="1"/>
  <c r="F685" i="1"/>
  <c r="D685" i="1"/>
  <c r="C685" i="1"/>
  <c r="B685" i="1"/>
  <c r="I684" i="1"/>
  <c r="E684" i="1"/>
  <c r="I683" i="1"/>
  <c r="E683" i="1"/>
  <c r="I682" i="1"/>
  <c r="E682" i="1"/>
  <c r="I681" i="1"/>
  <c r="E681" i="1"/>
  <c r="I680" i="1"/>
  <c r="E680" i="1"/>
  <c r="I679" i="1"/>
  <c r="E679" i="1"/>
  <c r="I678" i="1"/>
  <c r="E678" i="1"/>
  <c r="I677" i="1"/>
  <c r="E677" i="1"/>
  <c r="I676" i="1"/>
  <c r="E676" i="1"/>
  <c r="I675" i="1"/>
  <c r="E675" i="1"/>
  <c r="I674" i="1"/>
  <c r="E674" i="1"/>
  <c r="I673" i="1"/>
  <c r="E673" i="1"/>
  <c r="I672" i="1"/>
  <c r="E672" i="1"/>
  <c r="I671" i="1"/>
  <c r="E671" i="1"/>
  <c r="I670" i="1"/>
  <c r="E670" i="1"/>
  <c r="I669" i="1"/>
  <c r="E669" i="1"/>
  <c r="I668" i="1"/>
  <c r="E668" i="1"/>
  <c r="I667" i="1"/>
  <c r="E667" i="1"/>
  <c r="I666" i="1"/>
  <c r="E666" i="1"/>
  <c r="I665" i="1"/>
  <c r="E665" i="1"/>
  <c r="I664" i="1"/>
  <c r="E664" i="1"/>
  <c r="I663" i="1"/>
  <c r="E663" i="1"/>
  <c r="I662" i="1"/>
  <c r="E662" i="1"/>
  <c r="I659" i="1"/>
  <c r="E659" i="1"/>
  <c r="I658" i="1"/>
  <c r="E658" i="1"/>
  <c r="I657" i="1"/>
  <c r="E657" i="1"/>
  <c r="I656" i="1"/>
  <c r="E656" i="1"/>
  <c r="I655" i="1"/>
  <c r="E655" i="1"/>
  <c r="I654" i="1"/>
  <c r="E654" i="1"/>
  <c r="I653" i="1"/>
  <c r="E653" i="1"/>
  <c r="I652" i="1"/>
  <c r="E652" i="1"/>
  <c r="I651" i="1"/>
  <c r="E651" i="1"/>
  <c r="I650" i="1"/>
  <c r="E650" i="1"/>
  <c r="O565" i="1"/>
  <c r="S565" i="1"/>
  <c r="O566" i="1"/>
  <c r="S566" i="1"/>
  <c r="O567" i="1"/>
  <c r="S567" i="1"/>
  <c r="O568" i="1"/>
  <c r="S568" i="1"/>
  <c r="O569" i="1"/>
  <c r="S569" i="1"/>
  <c r="O594" i="1"/>
  <c r="S594" i="1"/>
  <c r="O595" i="1"/>
  <c r="S595" i="1"/>
  <c r="O596" i="1"/>
  <c r="S596" i="1"/>
  <c r="O597" i="1"/>
  <c r="S597" i="1"/>
  <c r="O607" i="1"/>
  <c r="S607" i="1"/>
  <c r="O608" i="1"/>
  <c r="S608" i="1"/>
  <c r="O609" i="1"/>
  <c r="S609" i="1"/>
  <c r="O613" i="1"/>
  <c r="S613" i="1"/>
  <c r="O614" i="1"/>
  <c r="S614" i="1"/>
  <c r="O615" i="1"/>
  <c r="S615" i="1"/>
  <c r="O616" i="1"/>
  <c r="S616" i="1"/>
  <c r="O619" i="1"/>
  <c r="S619" i="1"/>
  <c r="O620" i="1"/>
  <c r="S620" i="1"/>
  <c r="O621" i="1"/>
  <c r="S621" i="1"/>
  <c r="O622" i="1"/>
  <c r="S622" i="1"/>
  <c r="O623" i="1"/>
  <c r="S623" i="1"/>
  <c r="O626" i="1"/>
  <c r="S626" i="1"/>
  <c r="O627" i="1"/>
  <c r="S627" i="1"/>
  <c r="O628" i="1"/>
  <c r="S628" i="1"/>
  <c r="O629" i="1"/>
  <c r="S629" i="1"/>
  <c r="O630" i="1"/>
  <c r="S630" i="1"/>
  <c r="O631" i="1"/>
  <c r="S631" i="1"/>
  <c r="O632" i="1"/>
  <c r="S632" i="1"/>
  <c r="O634" i="1"/>
  <c r="S634" i="1"/>
  <c r="L642" i="1"/>
  <c r="M642" i="1"/>
  <c r="N642" i="1"/>
  <c r="P642" i="1"/>
  <c r="Q642" i="1"/>
  <c r="R642" i="1"/>
  <c r="O650" i="1"/>
  <c r="S650" i="1"/>
  <c r="O651" i="1"/>
  <c r="S651" i="1"/>
  <c r="O652" i="1"/>
  <c r="S652" i="1"/>
  <c r="O653" i="1"/>
  <c r="S653" i="1"/>
  <c r="O655" i="1"/>
  <c r="S655" i="1"/>
  <c r="O656" i="1"/>
  <c r="S656" i="1"/>
  <c r="O657" i="1"/>
  <c r="S657" i="1"/>
  <c r="O658" i="1"/>
  <c r="S658" i="1"/>
  <c r="O659" i="1"/>
  <c r="S659" i="1"/>
  <c r="L685" i="1"/>
  <c r="M685" i="1"/>
  <c r="N685" i="1"/>
  <c r="P685" i="1"/>
  <c r="Q685" i="1"/>
  <c r="R685" i="1"/>
  <c r="S1029" i="1" l="1"/>
  <c r="S986" i="1"/>
  <c r="O900" i="1"/>
  <c r="S814" i="1"/>
  <c r="S816" i="1" s="1"/>
  <c r="P816" i="1"/>
  <c r="O814" i="1"/>
  <c r="O816" i="1" s="1"/>
  <c r="L816" i="1"/>
  <c r="I789" i="1"/>
  <c r="I815" i="1" s="1"/>
  <c r="F815" i="1"/>
  <c r="F821" i="1" s="1"/>
  <c r="E789" i="1"/>
  <c r="E815" i="1" s="1"/>
  <c r="B815" i="1"/>
  <c r="B821" i="1" s="1"/>
  <c r="B832" i="1" s="1"/>
  <c r="B858" i="1" s="1"/>
  <c r="B864" i="1" s="1"/>
  <c r="E728" i="1"/>
  <c r="E685" i="1"/>
  <c r="O685" i="1"/>
  <c r="S728" i="1"/>
  <c r="I685" i="1"/>
  <c r="I728" i="1"/>
  <c r="O728" i="1"/>
  <c r="S642" i="1"/>
  <c r="O642" i="1"/>
  <c r="S685" i="1"/>
  <c r="E864" i="1" l="1"/>
  <c r="B875" i="1"/>
  <c r="E832" i="1"/>
  <c r="E858" i="1" s="1"/>
  <c r="I821" i="1"/>
  <c r="F832" i="1"/>
  <c r="E821" i="1"/>
  <c r="E540" i="1"/>
  <c r="E541" i="1"/>
  <c r="E542" i="1"/>
  <c r="E543" i="1"/>
  <c r="O538" i="1"/>
  <c r="S538" i="1"/>
  <c r="I540" i="1"/>
  <c r="B901" i="1" l="1"/>
  <c r="B907" i="1" s="1"/>
  <c r="E875" i="1"/>
  <c r="E901" i="1" s="1"/>
  <c r="I832" i="1"/>
  <c r="I858" i="1" s="1"/>
  <c r="F858" i="1"/>
  <c r="F864" i="1" s="1"/>
  <c r="H642" i="1"/>
  <c r="G642" i="1"/>
  <c r="F642" i="1"/>
  <c r="D642" i="1"/>
  <c r="C642" i="1"/>
  <c r="B642" i="1"/>
  <c r="I641" i="1"/>
  <c r="E641" i="1"/>
  <c r="I640" i="1"/>
  <c r="E640" i="1"/>
  <c r="I639" i="1"/>
  <c r="E639" i="1"/>
  <c r="I638" i="1"/>
  <c r="E638" i="1"/>
  <c r="I637" i="1"/>
  <c r="E637" i="1"/>
  <c r="I636" i="1"/>
  <c r="E636" i="1"/>
  <c r="I635" i="1"/>
  <c r="E635" i="1"/>
  <c r="I634" i="1"/>
  <c r="E634" i="1"/>
  <c r="I633" i="1"/>
  <c r="E633" i="1"/>
  <c r="I632" i="1"/>
  <c r="E632" i="1"/>
  <c r="I631" i="1"/>
  <c r="E631" i="1"/>
  <c r="I630" i="1"/>
  <c r="E630" i="1"/>
  <c r="I629" i="1"/>
  <c r="E629" i="1"/>
  <c r="I628" i="1"/>
  <c r="E628" i="1"/>
  <c r="I627" i="1"/>
  <c r="E627" i="1"/>
  <c r="I626" i="1"/>
  <c r="E626" i="1"/>
  <c r="I625" i="1"/>
  <c r="E625" i="1"/>
  <c r="I624" i="1"/>
  <c r="E624" i="1"/>
  <c r="I623" i="1"/>
  <c r="E623" i="1"/>
  <c r="I622" i="1"/>
  <c r="E622" i="1"/>
  <c r="I621" i="1"/>
  <c r="E621" i="1"/>
  <c r="I620" i="1"/>
  <c r="E620" i="1"/>
  <c r="I619" i="1"/>
  <c r="E619" i="1"/>
  <c r="I618" i="1"/>
  <c r="E618" i="1"/>
  <c r="I616" i="1"/>
  <c r="E616" i="1"/>
  <c r="I615" i="1"/>
  <c r="E615" i="1"/>
  <c r="I614" i="1"/>
  <c r="E614" i="1"/>
  <c r="I613" i="1"/>
  <c r="E613" i="1"/>
  <c r="I612" i="1"/>
  <c r="E612" i="1"/>
  <c r="I611" i="1"/>
  <c r="E611" i="1"/>
  <c r="I610" i="1"/>
  <c r="E610" i="1"/>
  <c r="I609" i="1"/>
  <c r="E609" i="1"/>
  <c r="I608" i="1"/>
  <c r="E608" i="1"/>
  <c r="I607" i="1"/>
  <c r="E607" i="1"/>
  <c r="I521" i="1"/>
  <c r="E521" i="1"/>
  <c r="O506" i="1"/>
  <c r="S506" i="1"/>
  <c r="I493" i="1"/>
  <c r="E493" i="1"/>
  <c r="I864" i="1" l="1"/>
  <c r="F875" i="1"/>
  <c r="E907" i="1"/>
  <c r="B918" i="1"/>
  <c r="E642" i="1"/>
  <c r="I642" i="1"/>
  <c r="R599" i="1"/>
  <c r="Q599" i="1"/>
  <c r="P599" i="1"/>
  <c r="N599" i="1"/>
  <c r="M599" i="1"/>
  <c r="L599" i="1"/>
  <c r="H599" i="1"/>
  <c r="G599" i="1"/>
  <c r="F599" i="1"/>
  <c r="D599" i="1"/>
  <c r="C599" i="1"/>
  <c r="B599" i="1"/>
  <c r="I598" i="1"/>
  <c r="E598" i="1"/>
  <c r="I597" i="1"/>
  <c r="E597" i="1"/>
  <c r="I596" i="1"/>
  <c r="E596" i="1"/>
  <c r="I595" i="1"/>
  <c r="E595" i="1"/>
  <c r="I594" i="1"/>
  <c r="E594" i="1"/>
  <c r="S593" i="1"/>
  <c r="O593" i="1"/>
  <c r="I593" i="1"/>
  <c r="E593" i="1"/>
  <c r="S592" i="1"/>
  <c r="O592" i="1"/>
  <c r="I592" i="1"/>
  <c r="E592" i="1"/>
  <c r="S591" i="1"/>
  <c r="O591" i="1"/>
  <c r="I591" i="1"/>
  <c r="E591" i="1"/>
  <c r="S590" i="1"/>
  <c r="O590" i="1"/>
  <c r="I590" i="1"/>
  <c r="E590" i="1"/>
  <c r="S589" i="1"/>
  <c r="O589" i="1"/>
  <c r="I589" i="1"/>
  <c r="E589" i="1"/>
  <c r="S588" i="1"/>
  <c r="O588" i="1"/>
  <c r="I588" i="1"/>
  <c r="E588" i="1"/>
  <c r="S587" i="1"/>
  <c r="O587" i="1"/>
  <c r="I587" i="1"/>
  <c r="E587" i="1"/>
  <c r="S586" i="1"/>
  <c r="O586" i="1"/>
  <c r="I586" i="1"/>
  <c r="E586" i="1"/>
  <c r="S585" i="1"/>
  <c r="O585" i="1"/>
  <c r="I585" i="1"/>
  <c r="E585" i="1"/>
  <c r="S584" i="1"/>
  <c r="O584" i="1"/>
  <c r="I584" i="1"/>
  <c r="E584" i="1"/>
  <c r="S583" i="1"/>
  <c r="O583" i="1"/>
  <c r="I583" i="1"/>
  <c r="E583" i="1"/>
  <c r="S582" i="1"/>
  <c r="O582" i="1"/>
  <c r="I582" i="1"/>
  <c r="E582" i="1"/>
  <c r="S581" i="1"/>
  <c r="O581" i="1"/>
  <c r="I581" i="1"/>
  <c r="E581" i="1"/>
  <c r="I580" i="1"/>
  <c r="E580" i="1"/>
  <c r="S579" i="1"/>
  <c r="O579" i="1"/>
  <c r="I579" i="1"/>
  <c r="E579" i="1"/>
  <c r="S578" i="1"/>
  <c r="O578" i="1"/>
  <c r="I578" i="1"/>
  <c r="E578" i="1"/>
  <c r="S577" i="1"/>
  <c r="O577" i="1"/>
  <c r="I577" i="1"/>
  <c r="E577" i="1"/>
  <c r="I576" i="1"/>
  <c r="E576" i="1"/>
  <c r="S575" i="1"/>
  <c r="O575" i="1"/>
  <c r="I575" i="1"/>
  <c r="E575" i="1"/>
  <c r="S573" i="1"/>
  <c r="O573" i="1"/>
  <c r="I573" i="1"/>
  <c r="E573" i="1"/>
  <c r="S572" i="1"/>
  <c r="O572" i="1"/>
  <c r="I572" i="1"/>
  <c r="E572" i="1"/>
  <c r="S571" i="1"/>
  <c r="O571" i="1"/>
  <c r="I571" i="1"/>
  <c r="E571" i="1"/>
  <c r="S570" i="1"/>
  <c r="O570" i="1"/>
  <c r="I570" i="1"/>
  <c r="E570" i="1"/>
  <c r="I569" i="1"/>
  <c r="E569" i="1"/>
  <c r="I568" i="1"/>
  <c r="E568" i="1"/>
  <c r="I567" i="1"/>
  <c r="E567" i="1"/>
  <c r="I566" i="1"/>
  <c r="E566" i="1"/>
  <c r="I565" i="1"/>
  <c r="E565" i="1"/>
  <c r="S564" i="1"/>
  <c r="O564" i="1"/>
  <c r="I564" i="1"/>
  <c r="E564" i="1"/>
  <c r="F901" i="1" l="1"/>
  <c r="F907" i="1" s="1"/>
  <c r="I875" i="1"/>
  <c r="I901" i="1" s="1"/>
  <c r="B944" i="1"/>
  <c r="B950" i="1" s="1"/>
  <c r="E918" i="1"/>
  <c r="E944" i="1" s="1"/>
  <c r="O599" i="1"/>
  <c r="S599" i="1"/>
  <c r="I599" i="1"/>
  <c r="E599" i="1"/>
  <c r="O532" i="1"/>
  <c r="S532" i="1"/>
  <c r="S505" i="1"/>
  <c r="O505" i="1"/>
  <c r="I907" i="1" l="1"/>
  <c r="F918" i="1"/>
  <c r="E950" i="1"/>
  <c r="B961" i="1"/>
  <c r="O549" i="1"/>
  <c r="S549" i="1"/>
  <c r="O550" i="1"/>
  <c r="S550" i="1"/>
  <c r="O551" i="1"/>
  <c r="S551" i="1"/>
  <c r="O552" i="1"/>
  <c r="S552" i="1"/>
  <c r="O553" i="1"/>
  <c r="S553" i="1"/>
  <c r="O554" i="1"/>
  <c r="S554" i="1"/>
  <c r="O533" i="1"/>
  <c r="S533" i="1"/>
  <c r="O534" i="1"/>
  <c r="S534" i="1"/>
  <c r="O535" i="1"/>
  <c r="S535" i="1"/>
  <c r="O536" i="1"/>
  <c r="S536" i="1"/>
  <c r="O537" i="1"/>
  <c r="S537" i="1"/>
  <c r="O539" i="1"/>
  <c r="S539" i="1"/>
  <c r="O540" i="1"/>
  <c r="S540" i="1"/>
  <c r="O541" i="1"/>
  <c r="S541" i="1"/>
  <c r="O542" i="1"/>
  <c r="S542" i="1"/>
  <c r="O543" i="1"/>
  <c r="S543" i="1"/>
  <c r="O544" i="1"/>
  <c r="S544" i="1"/>
  <c r="P556" i="1"/>
  <c r="M556" i="1"/>
  <c r="H556" i="1"/>
  <c r="G556" i="1"/>
  <c r="F556" i="1"/>
  <c r="D556" i="1"/>
  <c r="C556" i="1"/>
  <c r="B556" i="1"/>
  <c r="I555" i="1"/>
  <c r="E555" i="1"/>
  <c r="I554" i="1"/>
  <c r="E554" i="1"/>
  <c r="I553" i="1"/>
  <c r="E553" i="1"/>
  <c r="Q556" i="1"/>
  <c r="L556" i="1"/>
  <c r="I552" i="1"/>
  <c r="E552" i="1"/>
  <c r="R556" i="1"/>
  <c r="I551" i="1"/>
  <c r="E551" i="1"/>
  <c r="I550" i="1"/>
  <c r="E550" i="1"/>
  <c r="I549" i="1"/>
  <c r="E549" i="1"/>
  <c r="S548" i="1"/>
  <c r="O548" i="1"/>
  <c r="I548" i="1"/>
  <c r="E548" i="1"/>
  <c r="S547" i="1"/>
  <c r="O547" i="1"/>
  <c r="I547" i="1"/>
  <c r="E547" i="1"/>
  <c r="S546" i="1"/>
  <c r="O546" i="1"/>
  <c r="I546" i="1"/>
  <c r="E546" i="1"/>
  <c r="S545" i="1"/>
  <c r="O545" i="1"/>
  <c r="I545" i="1"/>
  <c r="E545" i="1"/>
  <c r="I544" i="1"/>
  <c r="E544" i="1"/>
  <c r="I543" i="1"/>
  <c r="I542" i="1"/>
  <c r="I541" i="1"/>
  <c r="I539" i="1"/>
  <c r="E539" i="1"/>
  <c r="I538" i="1"/>
  <c r="E538" i="1"/>
  <c r="I537" i="1"/>
  <c r="E537" i="1"/>
  <c r="I536" i="1"/>
  <c r="E536" i="1"/>
  <c r="I535" i="1"/>
  <c r="E535" i="1"/>
  <c r="I534" i="1"/>
  <c r="E534" i="1"/>
  <c r="I533" i="1"/>
  <c r="E533" i="1"/>
  <c r="I532" i="1"/>
  <c r="E532" i="1"/>
  <c r="S530" i="1"/>
  <c r="O530" i="1"/>
  <c r="I530" i="1"/>
  <c r="E530" i="1"/>
  <c r="S529" i="1"/>
  <c r="O529" i="1"/>
  <c r="I529" i="1"/>
  <c r="E529" i="1"/>
  <c r="S528" i="1"/>
  <c r="O528" i="1"/>
  <c r="I528" i="1"/>
  <c r="E528" i="1"/>
  <c r="S527" i="1"/>
  <c r="O527" i="1"/>
  <c r="I527" i="1"/>
  <c r="E527" i="1"/>
  <c r="S526" i="1"/>
  <c r="O526" i="1"/>
  <c r="I526" i="1"/>
  <c r="E526" i="1"/>
  <c r="S525" i="1"/>
  <c r="O525" i="1"/>
  <c r="I525" i="1"/>
  <c r="E525" i="1"/>
  <c r="S524" i="1"/>
  <c r="O524" i="1"/>
  <c r="I524" i="1"/>
  <c r="E524" i="1"/>
  <c r="S523" i="1"/>
  <c r="O523" i="1"/>
  <c r="I523" i="1"/>
  <c r="E523" i="1"/>
  <c r="S522" i="1"/>
  <c r="O522" i="1"/>
  <c r="I522" i="1"/>
  <c r="E522" i="1"/>
  <c r="S521" i="1"/>
  <c r="O521" i="1"/>
  <c r="I918" i="1" l="1"/>
  <c r="I944" i="1" s="1"/>
  <c r="F944" i="1"/>
  <c r="F950" i="1" s="1"/>
  <c r="B987" i="1"/>
  <c r="B993" i="1" s="1"/>
  <c r="E961" i="1"/>
  <c r="E987" i="1" s="1"/>
  <c r="I556" i="1"/>
  <c r="E556" i="1"/>
  <c r="S556" i="1"/>
  <c r="N556" i="1"/>
  <c r="F961" i="1" l="1"/>
  <c r="I950" i="1"/>
  <c r="E993" i="1"/>
  <c r="B1004" i="1"/>
  <c r="O556" i="1"/>
  <c r="O497" i="1"/>
  <c r="S497" i="1"/>
  <c r="O498" i="1"/>
  <c r="S498" i="1"/>
  <c r="O499" i="1"/>
  <c r="S499" i="1"/>
  <c r="F987" i="1" l="1"/>
  <c r="F993" i="1" s="1"/>
  <c r="I961" i="1"/>
  <c r="I987" i="1" s="1"/>
  <c r="E1004" i="1"/>
  <c r="E1030" i="1" s="1"/>
  <c r="B1030" i="1"/>
  <c r="B1036" i="1" s="1"/>
  <c r="O509" i="1"/>
  <c r="S467" i="1"/>
  <c r="O467" i="1"/>
  <c r="S508" i="1"/>
  <c r="O508" i="1"/>
  <c r="E1036" i="1" l="1"/>
  <c r="B1047" i="1"/>
  <c r="I993" i="1"/>
  <c r="F1004" i="1"/>
  <c r="I397" i="1"/>
  <c r="E397" i="1"/>
  <c r="I435" i="1"/>
  <c r="E435" i="1"/>
  <c r="E1047" i="1" l="1"/>
  <c r="E1073" i="1" s="1"/>
  <c r="B1073" i="1"/>
  <c r="B1079" i="1" s="1"/>
  <c r="I1004" i="1"/>
  <c r="I1030" i="1" s="1"/>
  <c r="F1030" i="1"/>
  <c r="F1036" i="1" s="1"/>
  <c r="S446" i="1"/>
  <c r="O446" i="1"/>
  <c r="O463" i="1"/>
  <c r="S463" i="1"/>
  <c r="O464" i="1"/>
  <c r="S464" i="1"/>
  <c r="O465" i="1"/>
  <c r="S465" i="1"/>
  <c r="O466" i="1"/>
  <c r="O469" i="1"/>
  <c r="S468" i="1"/>
  <c r="O468" i="1"/>
  <c r="S425" i="1"/>
  <c r="O425" i="1"/>
  <c r="S424" i="1"/>
  <c r="O424" i="1"/>
  <c r="E1079" i="1" l="1"/>
  <c r="B1090" i="1"/>
  <c r="I1036" i="1"/>
  <c r="F1047" i="1"/>
  <c r="S469" i="1"/>
  <c r="S466" i="1"/>
  <c r="O441" i="1"/>
  <c r="S441" i="1"/>
  <c r="O439" i="1"/>
  <c r="S439" i="1"/>
  <c r="O440" i="1"/>
  <c r="S440" i="1"/>
  <c r="E1090" i="1" l="1"/>
  <c r="E1116" i="1" s="1"/>
  <c r="B1116" i="1"/>
  <c r="B1122" i="1" s="1"/>
  <c r="I1047" i="1"/>
  <c r="I1073" i="1" s="1"/>
  <c r="F1073" i="1"/>
  <c r="F1079" i="1" s="1"/>
  <c r="S422" i="1"/>
  <c r="O422" i="1"/>
  <c r="E1122" i="1" l="1"/>
  <c r="B1133" i="1"/>
  <c r="I1079" i="1"/>
  <c r="F1090" i="1"/>
  <c r="O423" i="1"/>
  <c r="S423" i="1"/>
  <c r="E1133" i="1" l="1"/>
  <c r="E1159" i="1" s="1"/>
  <c r="B1159" i="1"/>
  <c r="B1165" i="1" s="1"/>
  <c r="I1090" i="1"/>
  <c r="I1116" i="1" s="1"/>
  <c r="F1116" i="1"/>
  <c r="F1122" i="1" s="1"/>
  <c r="I393" i="1"/>
  <c r="E393" i="1"/>
  <c r="E265" i="1"/>
  <c r="I265" i="1"/>
  <c r="I1122" i="1" l="1"/>
  <c r="F1133" i="1"/>
  <c r="E1165" i="1"/>
  <c r="B1176" i="1"/>
  <c r="H513" i="1"/>
  <c r="G513" i="1"/>
  <c r="F513" i="1"/>
  <c r="D513" i="1"/>
  <c r="C513" i="1"/>
  <c r="B513" i="1"/>
  <c r="I512" i="1"/>
  <c r="E512" i="1"/>
  <c r="I511" i="1"/>
  <c r="E511" i="1"/>
  <c r="I510" i="1"/>
  <c r="E510" i="1"/>
  <c r="I509" i="1"/>
  <c r="E509" i="1"/>
  <c r="I508" i="1"/>
  <c r="E508" i="1"/>
  <c r="I507" i="1"/>
  <c r="E507" i="1"/>
  <c r="I506" i="1"/>
  <c r="E506" i="1"/>
  <c r="I505" i="1"/>
  <c r="E505" i="1"/>
  <c r="I504" i="1"/>
  <c r="E504" i="1"/>
  <c r="I503" i="1"/>
  <c r="E503" i="1"/>
  <c r="I502" i="1"/>
  <c r="E502" i="1"/>
  <c r="I501" i="1"/>
  <c r="E501" i="1"/>
  <c r="I500" i="1"/>
  <c r="E500" i="1"/>
  <c r="I499" i="1"/>
  <c r="E499" i="1"/>
  <c r="I498" i="1"/>
  <c r="E498" i="1"/>
  <c r="I497" i="1"/>
  <c r="E497" i="1"/>
  <c r="I496" i="1"/>
  <c r="E496" i="1"/>
  <c r="I495" i="1"/>
  <c r="E495" i="1"/>
  <c r="I494" i="1"/>
  <c r="E494" i="1"/>
  <c r="I492" i="1"/>
  <c r="E492" i="1"/>
  <c r="I491" i="1"/>
  <c r="E491" i="1"/>
  <c r="I490" i="1"/>
  <c r="E490" i="1"/>
  <c r="I489" i="1"/>
  <c r="E489" i="1"/>
  <c r="I487" i="1"/>
  <c r="E487" i="1"/>
  <c r="I486" i="1"/>
  <c r="E486" i="1"/>
  <c r="I485" i="1"/>
  <c r="E485" i="1"/>
  <c r="I484" i="1"/>
  <c r="E484" i="1"/>
  <c r="I483" i="1"/>
  <c r="E483" i="1"/>
  <c r="I482" i="1"/>
  <c r="E482" i="1"/>
  <c r="I481" i="1"/>
  <c r="E481" i="1"/>
  <c r="I480" i="1"/>
  <c r="E480" i="1"/>
  <c r="I479" i="1"/>
  <c r="E479" i="1"/>
  <c r="I478" i="1"/>
  <c r="E478" i="1"/>
  <c r="O462" i="1"/>
  <c r="S462" i="1"/>
  <c r="S509" i="1"/>
  <c r="O507" i="1"/>
  <c r="S507" i="1"/>
  <c r="S510" i="1"/>
  <c r="O510" i="1"/>
  <c r="O483" i="1"/>
  <c r="S483" i="1"/>
  <c r="R513" i="1"/>
  <c r="Q513" i="1"/>
  <c r="P513" i="1"/>
  <c r="N513" i="1"/>
  <c r="M513" i="1"/>
  <c r="L513" i="1"/>
  <c r="S512" i="1"/>
  <c r="O512" i="1"/>
  <c r="S511" i="1"/>
  <c r="O511" i="1"/>
  <c r="S504" i="1"/>
  <c r="O504" i="1"/>
  <c r="S503" i="1"/>
  <c r="O503" i="1"/>
  <c r="S502" i="1"/>
  <c r="O502" i="1"/>
  <c r="S501" i="1"/>
  <c r="O501" i="1"/>
  <c r="S500" i="1"/>
  <c r="O500" i="1"/>
  <c r="S496" i="1"/>
  <c r="O496" i="1"/>
  <c r="S495" i="1"/>
  <c r="O495" i="1"/>
  <c r="S494" i="1"/>
  <c r="O494" i="1"/>
  <c r="S493" i="1"/>
  <c r="O493" i="1"/>
  <c r="S492" i="1"/>
  <c r="O492" i="1"/>
  <c r="S491" i="1"/>
  <c r="O491" i="1"/>
  <c r="S490" i="1"/>
  <c r="O490" i="1"/>
  <c r="S489" i="1"/>
  <c r="O489" i="1"/>
  <c r="S487" i="1"/>
  <c r="O487" i="1"/>
  <c r="S486" i="1"/>
  <c r="O486" i="1"/>
  <c r="S485" i="1"/>
  <c r="O485" i="1"/>
  <c r="S484" i="1"/>
  <c r="O484" i="1"/>
  <c r="S482" i="1"/>
  <c r="O482" i="1"/>
  <c r="S481" i="1"/>
  <c r="O481" i="1"/>
  <c r="S480" i="1"/>
  <c r="O480" i="1"/>
  <c r="S479" i="1"/>
  <c r="O479" i="1"/>
  <c r="S478" i="1"/>
  <c r="O478" i="1"/>
  <c r="I1133" i="1" l="1"/>
  <c r="I1159" i="1" s="1"/>
  <c r="F1159" i="1"/>
  <c r="F1165" i="1" s="1"/>
  <c r="E1176" i="1"/>
  <c r="E1202" i="1" s="1"/>
  <c r="B1202" i="1"/>
  <c r="B1208" i="1" s="1"/>
  <c r="I513" i="1"/>
  <c r="E513" i="1"/>
  <c r="O513" i="1"/>
  <c r="S513" i="1"/>
  <c r="O378" i="1"/>
  <c r="S378" i="1"/>
  <c r="O379" i="1"/>
  <c r="S379" i="1"/>
  <c r="O380" i="1"/>
  <c r="S380" i="1"/>
  <c r="O381" i="1"/>
  <c r="S381" i="1"/>
  <c r="O382" i="1"/>
  <c r="S382" i="1"/>
  <c r="O383" i="1"/>
  <c r="S383" i="1"/>
  <c r="I1165" i="1" l="1"/>
  <c r="F1176" i="1"/>
  <c r="E1208" i="1"/>
  <c r="B1219" i="1"/>
  <c r="O372" i="1"/>
  <c r="S372" i="1"/>
  <c r="I1176" i="1" l="1"/>
  <c r="I1202" i="1" s="1"/>
  <c r="F1202" i="1"/>
  <c r="F1208" i="1" s="1"/>
  <c r="E1219" i="1"/>
  <c r="E1245" i="1" s="1"/>
  <c r="B1245" i="1"/>
  <c r="H470" i="1"/>
  <c r="G470" i="1"/>
  <c r="F470" i="1"/>
  <c r="D470" i="1"/>
  <c r="C470" i="1"/>
  <c r="B470" i="1"/>
  <c r="I469" i="1"/>
  <c r="E469" i="1"/>
  <c r="I468" i="1"/>
  <c r="E468" i="1"/>
  <c r="I467" i="1"/>
  <c r="E467" i="1"/>
  <c r="I466" i="1"/>
  <c r="E466" i="1"/>
  <c r="I465" i="1"/>
  <c r="E465" i="1"/>
  <c r="I464" i="1"/>
  <c r="E464" i="1"/>
  <c r="I463" i="1"/>
  <c r="E463" i="1"/>
  <c r="I462" i="1"/>
  <c r="E462" i="1"/>
  <c r="I461" i="1"/>
  <c r="E461" i="1"/>
  <c r="I460" i="1"/>
  <c r="E460" i="1"/>
  <c r="I459" i="1"/>
  <c r="E459" i="1"/>
  <c r="I458" i="1"/>
  <c r="E458" i="1"/>
  <c r="I457" i="1"/>
  <c r="E457" i="1"/>
  <c r="I456" i="1"/>
  <c r="E456" i="1"/>
  <c r="I455" i="1"/>
  <c r="E455" i="1"/>
  <c r="I454" i="1"/>
  <c r="E454" i="1"/>
  <c r="I453" i="1"/>
  <c r="E453" i="1"/>
  <c r="I452" i="1"/>
  <c r="E452" i="1"/>
  <c r="I451" i="1"/>
  <c r="E451" i="1"/>
  <c r="I450" i="1"/>
  <c r="E450" i="1"/>
  <c r="I449" i="1"/>
  <c r="E449" i="1"/>
  <c r="I448" i="1"/>
  <c r="E448" i="1"/>
  <c r="I447" i="1"/>
  <c r="E447" i="1"/>
  <c r="I446" i="1"/>
  <c r="E446" i="1"/>
  <c r="I444" i="1"/>
  <c r="E444" i="1"/>
  <c r="I443" i="1"/>
  <c r="E443" i="1"/>
  <c r="I442" i="1"/>
  <c r="E442" i="1"/>
  <c r="I441" i="1"/>
  <c r="E441" i="1"/>
  <c r="I440" i="1"/>
  <c r="E440" i="1"/>
  <c r="I439" i="1"/>
  <c r="E439" i="1"/>
  <c r="I438" i="1"/>
  <c r="E438" i="1"/>
  <c r="I437" i="1"/>
  <c r="E437" i="1"/>
  <c r="O397" i="1"/>
  <c r="S397" i="1"/>
  <c r="O437" i="1"/>
  <c r="S437" i="1"/>
  <c r="O438" i="1"/>
  <c r="S438" i="1"/>
  <c r="R470" i="1"/>
  <c r="P470" i="1"/>
  <c r="N470" i="1"/>
  <c r="M470" i="1"/>
  <c r="S461" i="1"/>
  <c r="O461" i="1"/>
  <c r="S460" i="1"/>
  <c r="O460" i="1"/>
  <c r="S459" i="1"/>
  <c r="O459" i="1"/>
  <c r="S458" i="1"/>
  <c r="O458" i="1"/>
  <c r="S457" i="1"/>
  <c r="O457" i="1"/>
  <c r="S456" i="1"/>
  <c r="O456" i="1"/>
  <c r="S455" i="1"/>
  <c r="O455" i="1"/>
  <c r="S454" i="1"/>
  <c r="O454" i="1"/>
  <c r="S453" i="1"/>
  <c r="O453" i="1"/>
  <c r="S452" i="1"/>
  <c r="O452" i="1"/>
  <c r="S451" i="1"/>
  <c r="O451" i="1"/>
  <c r="S450" i="1"/>
  <c r="O450" i="1"/>
  <c r="S449" i="1"/>
  <c r="O449" i="1"/>
  <c r="S448" i="1"/>
  <c r="O448" i="1"/>
  <c r="S447" i="1"/>
  <c r="O447" i="1"/>
  <c r="S444" i="1"/>
  <c r="O444" i="1"/>
  <c r="S443" i="1"/>
  <c r="O443" i="1"/>
  <c r="S442" i="1"/>
  <c r="O442" i="1"/>
  <c r="S436" i="1"/>
  <c r="O436" i="1"/>
  <c r="S435" i="1"/>
  <c r="O435" i="1"/>
  <c r="I1208" i="1" l="1"/>
  <c r="F1219" i="1"/>
  <c r="E470" i="1"/>
  <c r="I470" i="1"/>
  <c r="Q470" i="1"/>
  <c r="L470" i="1"/>
  <c r="I1219" i="1" l="1"/>
  <c r="I1245" i="1" s="1"/>
  <c r="F1245" i="1"/>
  <c r="S470" i="1"/>
  <c r="O470" i="1"/>
  <c r="S368" i="1"/>
  <c r="O368" i="1"/>
  <c r="I310" i="1" l="1"/>
  <c r="E310" i="1"/>
  <c r="I264" i="1"/>
  <c r="E264" i="1"/>
  <c r="S331" i="1" l="1"/>
  <c r="O331" i="1"/>
  <c r="O335" i="1" l="1"/>
  <c r="S335" i="1"/>
  <c r="O336" i="1"/>
  <c r="S336" i="1"/>
  <c r="S338" i="1"/>
  <c r="O338" i="1"/>
  <c r="S337" i="1"/>
  <c r="O337" i="1"/>
  <c r="S376" i="1"/>
  <c r="O376" i="1"/>
  <c r="S377" i="1" l="1"/>
  <c r="O377" i="1"/>
  <c r="S323" i="1" l="1"/>
  <c r="O323" i="1"/>
  <c r="O354" i="1"/>
  <c r="S354" i="1"/>
  <c r="S394" i="1"/>
  <c r="O394" i="1"/>
  <c r="Q318" i="1" l="1"/>
  <c r="M318" i="1"/>
  <c r="O243" i="1" l="1"/>
  <c r="S243" i="1"/>
  <c r="O274" i="1"/>
  <c r="S274" i="1"/>
  <c r="S317" i="1" l="1"/>
  <c r="O317" i="1"/>
  <c r="O265" i="1" l="1"/>
  <c r="S265" i="1"/>
  <c r="O266" i="1"/>
  <c r="S266" i="1"/>
  <c r="S308" i="1"/>
  <c r="O308" i="1"/>
  <c r="I221" i="1" l="1"/>
  <c r="E221" i="1"/>
  <c r="O292" i="1"/>
  <c r="S292" i="1"/>
  <c r="O293" i="1"/>
  <c r="S293" i="1"/>
  <c r="O247" i="1"/>
  <c r="S247" i="1"/>
  <c r="O248" i="1"/>
  <c r="S248" i="1"/>
  <c r="O249" i="1"/>
  <c r="S249" i="1"/>
  <c r="O250" i="1"/>
  <c r="S250" i="1"/>
  <c r="O251" i="1"/>
  <c r="S251" i="1"/>
  <c r="O252" i="1"/>
  <c r="S252" i="1"/>
  <c r="O253" i="1"/>
  <c r="S253" i="1"/>
  <c r="S254" i="1"/>
  <c r="O254" i="1"/>
  <c r="S295" i="1"/>
  <c r="O295" i="1"/>
  <c r="S296" i="1"/>
  <c r="O296" i="1"/>
  <c r="S297" i="1"/>
  <c r="O297" i="1"/>
  <c r="S420" i="1"/>
  <c r="O420" i="1"/>
  <c r="S419" i="1"/>
  <c r="O419" i="1"/>
  <c r="O294" i="1" l="1"/>
  <c r="S294" i="1"/>
  <c r="N427" i="1"/>
  <c r="L427" i="1"/>
  <c r="R384" i="1"/>
  <c r="Q384" i="1"/>
  <c r="N384" i="1"/>
  <c r="M384" i="1"/>
  <c r="L384" i="1"/>
  <c r="S426" i="1"/>
  <c r="O426" i="1"/>
  <c r="S340" i="1"/>
  <c r="O340" i="1"/>
  <c r="S339" i="1"/>
  <c r="O339" i="1"/>
  <c r="O222" i="1"/>
  <c r="S222" i="1"/>
  <c r="O223" i="1"/>
  <c r="S223" i="1"/>
  <c r="O224" i="1"/>
  <c r="S224" i="1"/>
  <c r="O225" i="1"/>
  <c r="S225" i="1"/>
  <c r="S351" i="1"/>
  <c r="O351" i="1"/>
  <c r="R427" i="1"/>
  <c r="Q427" i="1"/>
  <c r="P427" i="1"/>
  <c r="M427" i="1"/>
  <c r="S421" i="1"/>
  <c r="O421" i="1"/>
  <c r="S418" i="1"/>
  <c r="O418" i="1"/>
  <c r="S417" i="1"/>
  <c r="O417" i="1"/>
  <c r="S416" i="1"/>
  <c r="O416" i="1"/>
  <c r="S415" i="1"/>
  <c r="O415" i="1"/>
  <c r="S414" i="1"/>
  <c r="O414" i="1"/>
  <c r="S413" i="1"/>
  <c r="O413" i="1"/>
  <c r="S412" i="1"/>
  <c r="O412" i="1"/>
  <c r="S411" i="1"/>
  <c r="O411" i="1"/>
  <c r="S410" i="1"/>
  <c r="O410" i="1"/>
  <c r="S409" i="1"/>
  <c r="O409" i="1"/>
  <c r="S408" i="1"/>
  <c r="O408" i="1"/>
  <c r="S407" i="1"/>
  <c r="O407" i="1"/>
  <c r="S406" i="1"/>
  <c r="O406" i="1"/>
  <c r="S405" i="1"/>
  <c r="O405" i="1"/>
  <c r="S404" i="1"/>
  <c r="O404" i="1"/>
  <c r="S403" i="1"/>
  <c r="O403" i="1"/>
  <c r="S401" i="1"/>
  <c r="O401" i="1"/>
  <c r="S400" i="1"/>
  <c r="O400" i="1"/>
  <c r="S399" i="1"/>
  <c r="O399" i="1"/>
  <c r="S398" i="1"/>
  <c r="O398" i="1"/>
  <c r="S396" i="1"/>
  <c r="O396" i="1"/>
  <c r="S395" i="1"/>
  <c r="O395" i="1"/>
  <c r="S393" i="1"/>
  <c r="O393" i="1"/>
  <c r="S392" i="1"/>
  <c r="O392" i="1"/>
  <c r="S375" i="1"/>
  <c r="O375" i="1"/>
  <c r="S374" i="1"/>
  <c r="O374" i="1"/>
  <c r="S373" i="1"/>
  <c r="O373" i="1"/>
  <c r="S371" i="1"/>
  <c r="O371" i="1"/>
  <c r="S370" i="1"/>
  <c r="O370" i="1"/>
  <c r="S369" i="1"/>
  <c r="O369" i="1"/>
  <c r="S367" i="1"/>
  <c r="O367" i="1"/>
  <c r="S366" i="1"/>
  <c r="O366" i="1"/>
  <c r="S365" i="1"/>
  <c r="O365" i="1"/>
  <c r="S364" i="1"/>
  <c r="O364" i="1"/>
  <c r="S363" i="1"/>
  <c r="O363" i="1"/>
  <c r="S362" i="1"/>
  <c r="O362" i="1"/>
  <c r="S361" i="1"/>
  <c r="O361" i="1"/>
  <c r="S360" i="1"/>
  <c r="O360" i="1"/>
  <c r="S358" i="1"/>
  <c r="O358" i="1"/>
  <c r="S357" i="1"/>
  <c r="O357" i="1"/>
  <c r="S356" i="1"/>
  <c r="O356" i="1"/>
  <c r="S355" i="1"/>
  <c r="O355" i="1"/>
  <c r="S353" i="1"/>
  <c r="O353" i="1"/>
  <c r="S352" i="1"/>
  <c r="O352" i="1"/>
  <c r="S350" i="1"/>
  <c r="O350" i="1"/>
  <c r="S349" i="1"/>
  <c r="O349" i="1"/>
  <c r="O334" i="1"/>
  <c r="S334" i="1"/>
  <c r="R341" i="1"/>
  <c r="Q341" i="1"/>
  <c r="L341" i="1"/>
  <c r="N341" i="1"/>
  <c r="M341" i="1"/>
  <c r="S333" i="1"/>
  <c r="O333" i="1"/>
  <c r="S332" i="1"/>
  <c r="O332" i="1"/>
  <c r="S330" i="1"/>
  <c r="O330" i="1"/>
  <c r="S329" i="1"/>
  <c r="O329" i="1"/>
  <c r="S328" i="1"/>
  <c r="O328" i="1"/>
  <c r="S327" i="1"/>
  <c r="O327" i="1"/>
  <c r="S326" i="1"/>
  <c r="O326" i="1"/>
  <c r="S325" i="1"/>
  <c r="O325" i="1"/>
  <c r="S324" i="1"/>
  <c r="O324" i="1"/>
  <c r="S322" i="1"/>
  <c r="O322" i="1"/>
  <c r="S321" i="1"/>
  <c r="O321" i="1"/>
  <c r="S320" i="1"/>
  <c r="O320" i="1"/>
  <c r="S319" i="1"/>
  <c r="O319" i="1"/>
  <c r="S318" i="1"/>
  <c r="O318" i="1"/>
  <c r="S315" i="1"/>
  <c r="O315" i="1"/>
  <c r="S314" i="1"/>
  <c r="O314" i="1"/>
  <c r="S313" i="1"/>
  <c r="O313" i="1"/>
  <c r="S312" i="1"/>
  <c r="O312" i="1"/>
  <c r="S311" i="1"/>
  <c r="O311" i="1"/>
  <c r="S310" i="1"/>
  <c r="O310" i="1"/>
  <c r="S309" i="1"/>
  <c r="O309" i="1"/>
  <c r="S307" i="1"/>
  <c r="O307" i="1"/>
  <c r="S306" i="1"/>
  <c r="O306" i="1"/>
  <c r="H427" i="1"/>
  <c r="G427" i="1"/>
  <c r="F427" i="1"/>
  <c r="D427" i="1"/>
  <c r="C427" i="1"/>
  <c r="B427" i="1"/>
  <c r="I426" i="1"/>
  <c r="E426" i="1"/>
  <c r="I425" i="1"/>
  <c r="E425" i="1"/>
  <c r="I424" i="1"/>
  <c r="E424" i="1"/>
  <c r="I423" i="1"/>
  <c r="E423" i="1"/>
  <c r="I422" i="1"/>
  <c r="E422" i="1"/>
  <c r="I421" i="1"/>
  <c r="E421" i="1"/>
  <c r="I420" i="1"/>
  <c r="E420" i="1"/>
  <c r="I419" i="1"/>
  <c r="E419" i="1"/>
  <c r="I418" i="1"/>
  <c r="E418" i="1"/>
  <c r="I417" i="1"/>
  <c r="E417" i="1"/>
  <c r="I416" i="1"/>
  <c r="E416" i="1"/>
  <c r="I415" i="1"/>
  <c r="E415" i="1"/>
  <c r="I414" i="1"/>
  <c r="E414" i="1"/>
  <c r="I413" i="1"/>
  <c r="E413" i="1"/>
  <c r="I412" i="1"/>
  <c r="E412" i="1"/>
  <c r="I411" i="1"/>
  <c r="E411" i="1"/>
  <c r="I410" i="1"/>
  <c r="E410" i="1"/>
  <c r="I409" i="1"/>
  <c r="E409" i="1"/>
  <c r="I408" i="1"/>
  <c r="E408" i="1"/>
  <c r="I407" i="1"/>
  <c r="E407" i="1"/>
  <c r="I406" i="1"/>
  <c r="E406" i="1"/>
  <c r="I405" i="1"/>
  <c r="E405" i="1"/>
  <c r="I404" i="1"/>
  <c r="E404" i="1"/>
  <c r="I403" i="1"/>
  <c r="E403" i="1"/>
  <c r="I401" i="1"/>
  <c r="E401" i="1"/>
  <c r="I400" i="1"/>
  <c r="E400" i="1"/>
  <c r="I399" i="1"/>
  <c r="E399" i="1"/>
  <c r="I398" i="1"/>
  <c r="E398" i="1"/>
  <c r="I396" i="1"/>
  <c r="E396" i="1"/>
  <c r="I395" i="1"/>
  <c r="E395" i="1"/>
  <c r="I394" i="1"/>
  <c r="E394" i="1"/>
  <c r="I392" i="1"/>
  <c r="E392" i="1"/>
  <c r="H384" i="1"/>
  <c r="G384" i="1"/>
  <c r="F384" i="1"/>
  <c r="D384" i="1"/>
  <c r="C384" i="1"/>
  <c r="B384" i="1"/>
  <c r="I383" i="1"/>
  <c r="E383" i="1"/>
  <c r="I382" i="1"/>
  <c r="E382" i="1"/>
  <c r="I381" i="1"/>
  <c r="E381" i="1"/>
  <c r="I380" i="1"/>
  <c r="E380" i="1"/>
  <c r="I379" i="1"/>
  <c r="E379" i="1"/>
  <c r="I378" i="1"/>
  <c r="E378" i="1"/>
  <c r="I377" i="1"/>
  <c r="E377" i="1"/>
  <c r="I376" i="1"/>
  <c r="E376" i="1"/>
  <c r="I375" i="1"/>
  <c r="E375" i="1"/>
  <c r="I374" i="1"/>
  <c r="E374" i="1"/>
  <c r="I373" i="1"/>
  <c r="E373" i="1"/>
  <c r="I372" i="1"/>
  <c r="E372" i="1"/>
  <c r="I371" i="1"/>
  <c r="E371" i="1"/>
  <c r="I370" i="1"/>
  <c r="E370" i="1"/>
  <c r="I369" i="1"/>
  <c r="E369" i="1"/>
  <c r="I368" i="1"/>
  <c r="E368" i="1"/>
  <c r="I367" i="1"/>
  <c r="E367" i="1"/>
  <c r="I366" i="1"/>
  <c r="E366" i="1"/>
  <c r="I365" i="1"/>
  <c r="E365" i="1"/>
  <c r="I364" i="1"/>
  <c r="E364" i="1"/>
  <c r="I363" i="1"/>
  <c r="E363" i="1"/>
  <c r="I362" i="1"/>
  <c r="E362" i="1"/>
  <c r="I361" i="1"/>
  <c r="E361" i="1"/>
  <c r="I360" i="1"/>
  <c r="E360" i="1"/>
  <c r="I358" i="1"/>
  <c r="E358" i="1"/>
  <c r="I357" i="1"/>
  <c r="E357" i="1"/>
  <c r="I356" i="1"/>
  <c r="E356" i="1"/>
  <c r="I355" i="1"/>
  <c r="E355" i="1"/>
  <c r="I354" i="1"/>
  <c r="E354" i="1"/>
  <c r="I353" i="1"/>
  <c r="E353" i="1"/>
  <c r="I352" i="1"/>
  <c r="E352" i="1"/>
  <c r="I351" i="1"/>
  <c r="E351" i="1"/>
  <c r="I350" i="1"/>
  <c r="E350" i="1"/>
  <c r="I349" i="1"/>
  <c r="E349" i="1"/>
  <c r="H341" i="1"/>
  <c r="G341" i="1"/>
  <c r="F341" i="1"/>
  <c r="D341" i="1"/>
  <c r="C341" i="1"/>
  <c r="B341" i="1"/>
  <c r="I340" i="1"/>
  <c r="E340" i="1"/>
  <c r="I339" i="1"/>
  <c r="E339" i="1"/>
  <c r="I338" i="1"/>
  <c r="E338" i="1"/>
  <c r="I337" i="1"/>
  <c r="E337" i="1"/>
  <c r="I336" i="1"/>
  <c r="E336" i="1"/>
  <c r="I335" i="1"/>
  <c r="E335" i="1"/>
  <c r="I334" i="1"/>
  <c r="E334" i="1"/>
  <c r="I333" i="1"/>
  <c r="E333" i="1"/>
  <c r="I332" i="1"/>
  <c r="E332" i="1"/>
  <c r="I331" i="1"/>
  <c r="E331" i="1"/>
  <c r="I330" i="1"/>
  <c r="E330" i="1"/>
  <c r="I329" i="1"/>
  <c r="E329" i="1"/>
  <c r="I328" i="1"/>
  <c r="E328" i="1"/>
  <c r="I327" i="1"/>
  <c r="E327" i="1"/>
  <c r="I326" i="1"/>
  <c r="E326" i="1"/>
  <c r="I325" i="1"/>
  <c r="E325" i="1"/>
  <c r="I324" i="1"/>
  <c r="E324" i="1"/>
  <c r="I323" i="1"/>
  <c r="E323" i="1"/>
  <c r="I322" i="1"/>
  <c r="E322" i="1"/>
  <c r="I321" i="1"/>
  <c r="E321" i="1"/>
  <c r="I320" i="1"/>
  <c r="E320" i="1"/>
  <c r="I319" i="1"/>
  <c r="E319" i="1"/>
  <c r="I318" i="1"/>
  <c r="E318" i="1"/>
  <c r="I317" i="1"/>
  <c r="E317" i="1"/>
  <c r="I315" i="1"/>
  <c r="E315" i="1"/>
  <c r="I314" i="1"/>
  <c r="E314" i="1"/>
  <c r="I313" i="1"/>
  <c r="E313" i="1"/>
  <c r="I312" i="1"/>
  <c r="E312" i="1"/>
  <c r="I311" i="1"/>
  <c r="E311" i="1"/>
  <c r="I309" i="1"/>
  <c r="E309" i="1"/>
  <c r="I308" i="1"/>
  <c r="E308" i="1"/>
  <c r="I307" i="1"/>
  <c r="E307" i="1"/>
  <c r="I306" i="1"/>
  <c r="E306" i="1"/>
  <c r="I341" i="1" l="1"/>
  <c r="E384" i="1"/>
  <c r="E427" i="1"/>
  <c r="I427" i="1"/>
  <c r="I384" i="1"/>
  <c r="E341" i="1"/>
  <c r="O427" i="1"/>
  <c r="P384" i="1"/>
  <c r="S384" i="1" s="1"/>
  <c r="S427" i="1"/>
  <c r="O384" i="1"/>
  <c r="O341" i="1"/>
  <c r="P341" i="1"/>
  <c r="S341" i="1" s="1"/>
  <c r="S290" i="1"/>
  <c r="O290" i="1"/>
  <c r="O232" i="1" l="1"/>
  <c r="S232" i="1"/>
  <c r="S231" i="1"/>
  <c r="O231" i="1"/>
  <c r="O289" i="1" l="1"/>
  <c r="S289" i="1"/>
  <c r="O291" i="1"/>
  <c r="S291" i="1"/>
  <c r="S286" i="1" l="1"/>
  <c r="O286" i="1"/>
  <c r="S288" i="1"/>
  <c r="O288" i="1"/>
  <c r="S287" i="1"/>
  <c r="O287" i="1"/>
  <c r="I197" i="1"/>
  <c r="E197" i="1"/>
  <c r="R298" i="1"/>
  <c r="Q298" i="1"/>
  <c r="P298" i="1"/>
  <c r="N298" i="1"/>
  <c r="M298" i="1"/>
  <c r="L298" i="1"/>
  <c r="H298" i="1"/>
  <c r="G298" i="1"/>
  <c r="F298" i="1"/>
  <c r="D298" i="1"/>
  <c r="C298" i="1"/>
  <c r="B298" i="1"/>
  <c r="I297" i="1"/>
  <c r="E297" i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E290" i="1"/>
  <c r="I289" i="1"/>
  <c r="E289" i="1"/>
  <c r="I288" i="1"/>
  <c r="E288" i="1"/>
  <c r="I287" i="1"/>
  <c r="E287" i="1"/>
  <c r="I286" i="1"/>
  <c r="E286" i="1"/>
  <c r="S285" i="1"/>
  <c r="O285" i="1"/>
  <c r="I285" i="1"/>
  <c r="E285" i="1"/>
  <c r="S284" i="1"/>
  <c r="O284" i="1"/>
  <c r="I284" i="1"/>
  <c r="E284" i="1"/>
  <c r="S283" i="1"/>
  <c r="O283" i="1"/>
  <c r="I283" i="1"/>
  <c r="E283" i="1"/>
  <c r="S282" i="1"/>
  <c r="O282" i="1"/>
  <c r="I282" i="1"/>
  <c r="E282" i="1"/>
  <c r="S281" i="1"/>
  <c r="O281" i="1"/>
  <c r="I281" i="1"/>
  <c r="E281" i="1"/>
  <c r="S280" i="1"/>
  <c r="O280" i="1"/>
  <c r="I280" i="1"/>
  <c r="E280" i="1"/>
  <c r="S279" i="1"/>
  <c r="O279" i="1"/>
  <c r="I279" i="1"/>
  <c r="E279" i="1"/>
  <c r="S278" i="1"/>
  <c r="O278" i="1"/>
  <c r="I278" i="1"/>
  <c r="E278" i="1"/>
  <c r="S277" i="1"/>
  <c r="O277" i="1"/>
  <c r="I277" i="1"/>
  <c r="E277" i="1"/>
  <c r="S276" i="1"/>
  <c r="O276" i="1"/>
  <c r="I276" i="1"/>
  <c r="E276" i="1"/>
  <c r="S275" i="1"/>
  <c r="O275" i="1"/>
  <c r="I275" i="1"/>
  <c r="E275" i="1"/>
  <c r="I274" i="1"/>
  <c r="E274" i="1"/>
  <c r="S272" i="1"/>
  <c r="O272" i="1"/>
  <c r="I272" i="1"/>
  <c r="E272" i="1"/>
  <c r="S271" i="1"/>
  <c r="O271" i="1"/>
  <c r="I271" i="1"/>
  <c r="E271" i="1"/>
  <c r="S270" i="1"/>
  <c r="O270" i="1"/>
  <c r="I270" i="1"/>
  <c r="E270" i="1"/>
  <c r="S269" i="1"/>
  <c r="O269" i="1"/>
  <c r="I269" i="1"/>
  <c r="E269" i="1"/>
  <c r="S268" i="1"/>
  <c r="O268" i="1"/>
  <c r="I268" i="1"/>
  <c r="E268" i="1"/>
  <c r="S267" i="1"/>
  <c r="O267" i="1"/>
  <c r="I267" i="1"/>
  <c r="E267" i="1"/>
  <c r="I266" i="1"/>
  <c r="E266" i="1"/>
  <c r="S264" i="1"/>
  <c r="O264" i="1"/>
  <c r="S263" i="1"/>
  <c r="O263" i="1"/>
  <c r="I263" i="1"/>
  <c r="E263" i="1"/>
  <c r="E298" i="1" l="1"/>
  <c r="I298" i="1"/>
  <c r="S298" i="1"/>
  <c r="O298" i="1"/>
  <c r="F211" i="1" l="1"/>
  <c r="B211" i="1"/>
  <c r="H211" i="1" l="1"/>
  <c r="D211" i="1"/>
  <c r="O206" i="1" l="1"/>
  <c r="S206" i="1"/>
  <c r="O207" i="1"/>
  <c r="S207" i="1"/>
  <c r="L208" i="1"/>
  <c r="M208" i="1"/>
  <c r="N208" i="1"/>
  <c r="P208" i="1"/>
  <c r="Q208" i="1"/>
  <c r="R208" i="1"/>
  <c r="M209" i="1"/>
  <c r="N209" i="1"/>
  <c r="Q209" i="1"/>
  <c r="R209" i="1"/>
  <c r="G211" i="1"/>
  <c r="I211" i="1" s="1"/>
  <c r="C211" i="1"/>
  <c r="E211" i="1" s="1"/>
  <c r="S192" i="1"/>
  <c r="O192" i="1"/>
  <c r="S208" i="1" l="1"/>
  <c r="S209" i="1"/>
  <c r="O209" i="1"/>
  <c r="O208" i="1"/>
  <c r="O190" i="1"/>
  <c r="S190" i="1"/>
  <c r="O138" i="1" l="1"/>
  <c r="S138" i="1"/>
  <c r="O166" i="1" l="1"/>
  <c r="S166" i="1"/>
  <c r="O167" i="1"/>
  <c r="S167" i="1"/>
  <c r="O168" i="1"/>
  <c r="S168" i="1"/>
  <c r="P255" i="1" l="1"/>
  <c r="P515" i="1" s="1"/>
  <c r="N255" i="1"/>
  <c r="N515" i="1" s="1"/>
  <c r="M255" i="1"/>
  <c r="M515" i="1" s="1"/>
  <c r="H255" i="1"/>
  <c r="G255" i="1"/>
  <c r="F255" i="1"/>
  <c r="D255" i="1"/>
  <c r="C255" i="1"/>
  <c r="B255" i="1"/>
  <c r="Q255" i="1"/>
  <c r="Q515" i="1" s="1"/>
  <c r="L255" i="1"/>
  <c r="L515" i="1" s="1"/>
  <c r="I254" i="1"/>
  <c r="E254" i="1"/>
  <c r="I253" i="1"/>
  <c r="E253" i="1"/>
  <c r="I252" i="1"/>
  <c r="E252" i="1"/>
  <c r="R255" i="1"/>
  <c r="R515" i="1" s="1"/>
  <c r="I251" i="1"/>
  <c r="E251" i="1"/>
  <c r="I250" i="1"/>
  <c r="E250" i="1"/>
  <c r="I249" i="1"/>
  <c r="E249" i="1"/>
  <c r="I248" i="1"/>
  <c r="E248" i="1"/>
  <c r="I247" i="1"/>
  <c r="E247" i="1"/>
  <c r="S246" i="1"/>
  <c r="O246" i="1"/>
  <c r="I246" i="1"/>
  <c r="E246" i="1"/>
  <c r="S245" i="1"/>
  <c r="O245" i="1"/>
  <c r="I245" i="1"/>
  <c r="E245" i="1"/>
  <c r="S244" i="1"/>
  <c r="O244" i="1"/>
  <c r="I244" i="1"/>
  <c r="E244" i="1"/>
  <c r="I243" i="1"/>
  <c r="E243" i="1"/>
  <c r="S242" i="1"/>
  <c r="O242" i="1"/>
  <c r="I242" i="1"/>
  <c r="E242" i="1"/>
  <c r="S241" i="1"/>
  <c r="O241" i="1"/>
  <c r="I241" i="1"/>
  <c r="E241" i="1"/>
  <c r="S240" i="1"/>
  <c r="O240" i="1"/>
  <c r="I240" i="1"/>
  <c r="E240" i="1"/>
  <c r="S239" i="1"/>
  <c r="O239" i="1"/>
  <c r="I239" i="1"/>
  <c r="E239" i="1"/>
  <c r="S238" i="1"/>
  <c r="O238" i="1"/>
  <c r="I238" i="1"/>
  <c r="E238" i="1"/>
  <c r="S237" i="1"/>
  <c r="O237" i="1"/>
  <c r="I237" i="1"/>
  <c r="E237" i="1"/>
  <c r="S236" i="1"/>
  <c r="O236" i="1"/>
  <c r="I236" i="1"/>
  <c r="E236" i="1"/>
  <c r="S235" i="1"/>
  <c r="O235" i="1"/>
  <c r="I235" i="1"/>
  <c r="E235" i="1"/>
  <c r="S234" i="1"/>
  <c r="O234" i="1"/>
  <c r="I234" i="1"/>
  <c r="E234" i="1"/>
  <c r="S233" i="1"/>
  <c r="O233" i="1"/>
  <c r="I233" i="1"/>
  <c r="E233" i="1"/>
  <c r="I232" i="1"/>
  <c r="E232" i="1"/>
  <c r="I231" i="1"/>
  <c r="E231" i="1"/>
  <c r="S229" i="1"/>
  <c r="O229" i="1"/>
  <c r="I229" i="1"/>
  <c r="E229" i="1"/>
  <c r="S228" i="1"/>
  <c r="O228" i="1"/>
  <c r="I228" i="1"/>
  <c r="E228" i="1"/>
  <c r="S227" i="1"/>
  <c r="O227" i="1"/>
  <c r="I227" i="1"/>
  <c r="E227" i="1"/>
  <c r="S226" i="1"/>
  <c r="O226" i="1"/>
  <c r="I226" i="1"/>
  <c r="E226" i="1"/>
  <c r="I225" i="1"/>
  <c r="E225" i="1"/>
  <c r="I224" i="1"/>
  <c r="E224" i="1"/>
  <c r="I223" i="1"/>
  <c r="E223" i="1"/>
  <c r="I222" i="1"/>
  <c r="E222" i="1"/>
  <c r="S221" i="1"/>
  <c r="O221" i="1"/>
  <c r="S220" i="1"/>
  <c r="O220" i="1"/>
  <c r="I220" i="1"/>
  <c r="E220" i="1"/>
  <c r="H212" i="1"/>
  <c r="G212" i="1"/>
  <c r="F212" i="1"/>
  <c r="D212" i="1"/>
  <c r="C212" i="1"/>
  <c r="B212" i="1"/>
  <c r="Q212" i="1"/>
  <c r="P212" i="1"/>
  <c r="N212" i="1"/>
  <c r="M212" i="1"/>
  <c r="S210" i="1"/>
  <c r="O210" i="1"/>
  <c r="I210" i="1"/>
  <c r="E210" i="1"/>
  <c r="I209" i="1"/>
  <c r="E209" i="1"/>
  <c r="I208" i="1"/>
  <c r="E208" i="1"/>
  <c r="I207" i="1"/>
  <c r="E207" i="1"/>
  <c r="I206" i="1"/>
  <c r="E206" i="1"/>
  <c r="S205" i="1"/>
  <c r="I205" i="1"/>
  <c r="E205" i="1"/>
  <c r="S204" i="1"/>
  <c r="O204" i="1"/>
  <c r="I204" i="1"/>
  <c r="E204" i="1"/>
  <c r="S203" i="1"/>
  <c r="O203" i="1"/>
  <c r="I203" i="1"/>
  <c r="E203" i="1"/>
  <c r="S202" i="1"/>
  <c r="O202" i="1"/>
  <c r="I202" i="1"/>
  <c r="E202" i="1"/>
  <c r="S201" i="1"/>
  <c r="O201" i="1"/>
  <c r="I201" i="1"/>
  <c r="E201" i="1"/>
  <c r="S200" i="1"/>
  <c r="O200" i="1"/>
  <c r="I200" i="1"/>
  <c r="E200" i="1"/>
  <c r="S199" i="1"/>
  <c r="O199" i="1"/>
  <c r="I199" i="1"/>
  <c r="E199" i="1"/>
  <c r="S198" i="1"/>
  <c r="O198" i="1"/>
  <c r="I198" i="1"/>
  <c r="E198" i="1"/>
  <c r="S197" i="1"/>
  <c r="O197" i="1"/>
  <c r="S196" i="1"/>
  <c r="O196" i="1"/>
  <c r="I196" i="1"/>
  <c r="E196" i="1"/>
  <c r="S195" i="1"/>
  <c r="O195" i="1"/>
  <c r="I195" i="1"/>
  <c r="E195" i="1"/>
  <c r="S194" i="1"/>
  <c r="O194" i="1"/>
  <c r="I194" i="1"/>
  <c r="E194" i="1"/>
  <c r="S193" i="1"/>
  <c r="O193" i="1"/>
  <c r="I193" i="1"/>
  <c r="E193" i="1"/>
  <c r="I192" i="1"/>
  <c r="E192" i="1"/>
  <c r="S191" i="1"/>
  <c r="O191" i="1"/>
  <c r="I191" i="1"/>
  <c r="E191" i="1"/>
  <c r="I190" i="1"/>
  <c r="E190" i="1"/>
  <c r="S189" i="1"/>
  <c r="O189" i="1"/>
  <c r="I189" i="1"/>
  <c r="E189" i="1"/>
  <c r="S188" i="1"/>
  <c r="O188" i="1"/>
  <c r="I188" i="1"/>
  <c r="E188" i="1"/>
  <c r="S186" i="1"/>
  <c r="O186" i="1"/>
  <c r="I186" i="1"/>
  <c r="E186" i="1"/>
  <c r="S185" i="1"/>
  <c r="O185" i="1"/>
  <c r="I185" i="1"/>
  <c r="E185" i="1"/>
  <c r="S184" i="1"/>
  <c r="O184" i="1"/>
  <c r="I184" i="1"/>
  <c r="E184" i="1"/>
  <c r="S183" i="1"/>
  <c r="O183" i="1"/>
  <c r="I183" i="1"/>
  <c r="E183" i="1"/>
  <c r="S182" i="1"/>
  <c r="O182" i="1"/>
  <c r="I182" i="1"/>
  <c r="E182" i="1"/>
  <c r="S181" i="1"/>
  <c r="O181" i="1"/>
  <c r="I181" i="1"/>
  <c r="E181" i="1"/>
  <c r="S180" i="1"/>
  <c r="O180" i="1"/>
  <c r="I180" i="1"/>
  <c r="E180" i="1"/>
  <c r="S179" i="1"/>
  <c r="O179" i="1"/>
  <c r="I179" i="1"/>
  <c r="E179" i="1"/>
  <c r="S178" i="1"/>
  <c r="O178" i="1"/>
  <c r="I178" i="1"/>
  <c r="E178" i="1"/>
  <c r="S177" i="1"/>
  <c r="O177" i="1"/>
  <c r="I177" i="1"/>
  <c r="E177" i="1"/>
  <c r="E255" i="1" l="1"/>
  <c r="O211" i="1"/>
  <c r="L212" i="1"/>
  <c r="O212" i="1" s="1"/>
  <c r="I212" i="1"/>
  <c r="I255" i="1"/>
  <c r="S211" i="1"/>
  <c r="S255" i="1"/>
  <c r="S515" i="1" s="1"/>
  <c r="O255" i="1"/>
  <c r="E212" i="1"/>
  <c r="O205" i="1"/>
  <c r="R212" i="1"/>
  <c r="S212" i="1" s="1"/>
  <c r="O515" i="1" l="1"/>
  <c r="O516" i="1" s="1"/>
  <c r="M516" i="1"/>
  <c r="N516" i="1"/>
  <c r="L516" i="1"/>
  <c r="E168" i="1"/>
  <c r="I168" i="1"/>
  <c r="O157" i="1" l="1"/>
  <c r="S157" i="1"/>
  <c r="O158" i="1"/>
  <c r="S158" i="1"/>
  <c r="O159" i="1"/>
  <c r="S159" i="1"/>
  <c r="O160" i="1"/>
  <c r="S160" i="1"/>
  <c r="S125" i="1" l="1"/>
  <c r="O125" i="1"/>
  <c r="S161" i="1"/>
  <c r="O161" i="1"/>
  <c r="S162" i="1" l="1"/>
  <c r="O162" i="1"/>
  <c r="S115" i="1" l="1"/>
  <c r="O115" i="1"/>
  <c r="S114" i="1"/>
  <c r="O114" i="1"/>
  <c r="S113" i="1"/>
  <c r="O113" i="1"/>
  <c r="S116" i="1"/>
  <c r="O116" i="1"/>
  <c r="S163" i="1" l="1"/>
  <c r="O163" i="1"/>
  <c r="S164" i="1" l="1"/>
  <c r="O164" i="1"/>
  <c r="O78" i="1"/>
  <c r="S78" i="1"/>
  <c r="O79" i="1"/>
  <c r="S79" i="1"/>
  <c r="S123" i="1"/>
  <c r="O123" i="1"/>
  <c r="O124" i="1" l="1"/>
  <c r="S124" i="1"/>
  <c r="S165" i="1"/>
  <c r="O165" i="1"/>
  <c r="S122" i="1" l="1"/>
  <c r="O122" i="1"/>
  <c r="R169" i="1"/>
  <c r="Q169" i="1"/>
  <c r="P169" i="1"/>
  <c r="N169" i="1"/>
  <c r="M169" i="1"/>
  <c r="L169" i="1"/>
  <c r="H169" i="1"/>
  <c r="G169" i="1"/>
  <c r="F169" i="1"/>
  <c r="D169" i="1"/>
  <c r="C169" i="1"/>
  <c r="B169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S156" i="1"/>
  <c r="O156" i="1"/>
  <c r="I156" i="1"/>
  <c r="E156" i="1"/>
  <c r="S155" i="1"/>
  <c r="O155" i="1"/>
  <c r="I155" i="1"/>
  <c r="E155" i="1"/>
  <c r="S154" i="1"/>
  <c r="O154" i="1"/>
  <c r="I154" i="1"/>
  <c r="E154" i="1"/>
  <c r="S153" i="1"/>
  <c r="O153" i="1"/>
  <c r="I153" i="1"/>
  <c r="E153" i="1"/>
  <c r="S152" i="1"/>
  <c r="O152" i="1"/>
  <c r="I152" i="1"/>
  <c r="E152" i="1"/>
  <c r="S151" i="1"/>
  <c r="O151" i="1"/>
  <c r="I151" i="1"/>
  <c r="E151" i="1"/>
  <c r="S150" i="1"/>
  <c r="O150" i="1"/>
  <c r="I150" i="1"/>
  <c r="E150" i="1"/>
  <c r="S149" i="1"/>
  <c r="O149" i="1"/>
  <c r="I149" i="1"/>
  <c r="E149" i="1"/>
  <c r="S148" i="1"/>
  <c r="O148" i="1"/>
  <c r="I148" i="1"/>
  <c r="E148" i="1"/>
  <c r="S147" i="1"/>
  <c r="O147" i="1"/>
  <c r="I147" i="1"/>
  <c r="E147" i="1"/>
  <c r="S146" i="1"/>
  <c r="O146" i="1"/>
  <c r="I146" i="1"/>
  <c r="E146" i="1"/>
  <c r="S145" i="1"/>
  <c r="O145" i="1"/>
  <c r="I145" i="1"/>
  <c r="E145" i="1"/>
  <c r="S143" i="1"/>
  <c r="O143" i="1"/>
  <c r="I143" i="1"/>
  <c r="E143" i="1"/>
  <c r="S142" i="1"/>
  <c r="O142" i="1"/>
  <c r="I142" i="1"/>
  <c r="E142" i="1"/>
  <c r="S141" i="1"/>
  <c r="O141" i="1"/>
  <c r="I141" i="1"/>
  <c r="E141" i="1"/>
  <c r="S140" i="1"/>
  <c r="O140" i="1"/>
  <c r="I140" i="1"/>
  <c r="E140" i="1"/>
  <c r="S139" i="1"/>
  <c r="O139" i="1"/>
  <c r="I139" i="1"/>
  <c r="E139" i="1"/>
  <c r="I138" i="1"/>
  <c r="E138" i="1"/>
  <c r="S137" i="1"/>
  <c r="O137" i="1"/>
  <c r="I137" i="1"/>
  <c r="E137" i="1"/>
  <c r="S136" i="1"/>
  <c r="O136" i="1"/>
  <c r="I136" i="1"/>
  <c r="E136" i="1"/>
  <c r="S135" i="1"/>
  <c r="O135" i="1"/>
  <c r="I135" i="1"/>
  <c r="E135" i="1"/>
  <c r="S134" i="1"/>
  <c r="O134" i="1"/>
  <c r="I134" i="1"/>
  <c r="E134" i="1"/>
  <c r="O37" i="1"/>
  <c r="S37" i="1"/>
  <c r="O38" i="1"/>
  <c r="S38" i="1"/>
  <c r="O39" i="1"/>
  <c r="S39" i="1"/>
  <c r="S77" i="1"/>
  <c r="O77" i="1"/>
  <c r="S36" i="1"/>
  <c r="O36" i="1"/>
  <c r="S35" i="1"/>
  <c r="O35" i="1"/>
  <c r="Q60" i="1"/>
  <c r="S60" i="1" s="1"/>
  <c r="M60" i="1"/>
  <c r="O60" i="1" s="1"/>
  <c r="S59" i="1"/>
  <c r="O59" i="1"/>
  <c r="S61" i="1"/>
  <c r="O61" i="1"/>
  <c r="O169" i="1" l="1"/>
  <c r="I169" i="1"/>
  <c r="E169" i="1"/>
  <c r="S169" i="1"/>
  <c r="S121" i="1"/>
  <c r="O121" i="1"/>
  <c r="I26" i="1"/>
  <c r="I8" i="1" l="1"/>
  <c r="E8" i="1"/>
  <c r="S82" i="1"/>
  <c r="O82" i="1"/>
  <c r="S81" i="1"/>
  <c r="O81" i="1"/>
  <c r="S80" i="1"/>
  <c r="O80" i="1"/>
  <c r="S76" i="1"/>
  <c r="O76" i="1"/>
  <c r="S50" i="1"/>
  <c r="O50" i="1"/>
  <c r="S120" i="1" l="1"/>
  <c r="O120" i="1"/>
  <c r="I21" i="1"/>
  <c r="E21" i="1"/>
  <c r="S20" i="1"/>
  <c r="O20" i="1"/>
  <c r="S19" i="1"/>
  <c r="O19" i="1"/>
  <c r="S93" i="1" l="1"/>
  <c r="O93" i="1"/>
  <c r="I20" i="1" l="1"/>
  <c r="E20" i="1"/>
  <c r="I7" i="1" l="1"/>
  <c r="E7" i="1"/>
  <c r="S51" i="1"/>
  <c r="O51" i="1"/>
  <c r="R126" i="1"/>
  <c r="Q126" i="1"/>
  <c r="P126" i="1"/>
  <c r="N126" i="1"/>
  <c r="M126" i="1"/>
  <c r="L126" i="1"/>
  <c r="H126" i="1"/>
  <c r="G126" i="1"/>
  <c r="F126" i="1"/>
  <c r="D126" i="1"/>
  <c r="C126" i="1"/>
  <c r="B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S119" i="1"/>
  <c r="O119" i="1"/>
  <c r="I119" i="1"/>
  <c r="E119" i="1"/>
  <c r="S118" i="1"/>
  <c r="O118" i="1"/>
  <c r="I118" i="1"/>
  <c r="E118" i="1"/>
  <c r="S117" i="1"/>
  <c r="O117" i="1"/>
  <c r="I117" i="1"/>
  <c r="E117" i="1"/>
  <c r="I116" i="1"/>
  <c r="E116" i="1"/>
  <c r="I115" i="1"/>
  <c r="E115" i="1"/>
  <c r="I114" i="1"/>
  <c r="E114" i="1"/>
  <c r="I113" i="1"/>
  <c r="E113" i="1"/>
  <c r="S112" i="1"/>
  <c r="O112" i="1"/>
  <c r="I112" i="1"/>
  <c r="E112" i="1"/>
  <c r="S111" i="1"/>
  <c r="O111" i="1"/>
  <c r="I111" i="1"/>
  <c r="E111" i="1"/>
  <c r="S110" i="1"/>
  <c r="O110" i="1"/>
  <c r="I110" i="1"/>
  <c r="E110" i="1"/>
  <c r="S109" i="1"/>
  <c r="O109" i="1"/>
  <c r="I109" i="1"/>
  <c r="E109" i="1"/>
  <c r="S108" i="1"/>
  <c r="O108" i="1"/>
  <c r="I108" i="1"/>
  <c r="E108" i="1"/>
  <c r="S107" i="1"/>
  <c r="O107" i="1"/>
  <c r="I107" i="1"/>
  <c r="E107" i="1"/>
  <c r="S106" i="1"/>
  <c r="O106" i="1"/>
  <c r="I106" i="1"/>
  <c r="E106" i="1"/>
  <c r="S105" i="1"/>
  <c r="O105" i="1"/>
  <c r="I105" i="1"/>
  <c r="E105" i="1"/>
  <c r="S104" i="1"/>
  <c r="O104" i="1"/>
  <c r="I104" i="1"/>
  <c r="E104" i="1"/>
  <c r="S103" i="1"/>
  <c r="O103" i="1"/>
  <c r="I103" i="1"/>
  <c r="E103" i="1"/>
  <c r="S102" i="1"/>
  <c r="O102" i="1"/>
  <c r="I102" i="1"/>
  <c r="E102" i="1"/>
  <c r="S100" i="1"/>
  <c r="O100" i="1"/>
  <c r="I100" i="1"/>
  <c r="E100" i="1"/>
  <c r="S99" i="1"/>
  <c r="O99" i="1"/>
  <c r="I99" i="1"/>
  <c r="E99" i="1"/>
  <c r="S98" i="1"/>
  <c r="O98" i="1"/>
  <c r="I98" i="1"/>
  <c r="E98" i="1"/>
  <c r="S97" i="1"/>
  <c r="O97" i="1"/>
  <c r="I97" i="1"/>
  <c r="E97" i="1"/>
  <c r="S96" i="1"/>
  <c r="O96" i="1"/>
  <c r="I96" i="1"/>
  <c r="E96" i="1"/>
  <c r="S95" i="1"/>
  <c r="O95" i="1"/>
  <c r="I95" i="1"/>
  <c r="E95" i="1"/>
  <c r="S94" i="1"/>
  <c r="O94" i="1"/>
  <c r="I94" i="1"/>
  <c r="E94" i="1"/>
  <c r="I93" i="1"/>
  <c r="E93" i="1"/>
  <c r="S92" i="1"/>
  <c r="O92" i="1"/>
  <c r="I92" i="1"/>
  <c r="E92" i="1"/>
  <c r="S91" i="1"/>
  <c r="O91" i="1"/>
  <c r="I91" i="1"/>
  <c r="E91" i="1"/>
  <c r="E126" i="1" l="1"/>
  <c r="I126" i="1"/>
  <c r="S126" i="1"/>
  <c r="O126" i="1"/>
  <c r="S75" i="1"/>
  <c r="O75" i="1"/>
  <c r="O34" i="1"/>
  <c r="S34" i="1"/>
  <c r="E5" i="1"/>
  <c r="E6" i="1"/>
  <c r="I5" i="1"/>
  <c r="I6" i="1"/>
  <c r="E48" i="1" l="1"/>
  <c r="E49" i="1"/>
  <c r="E50" i="1"/>
  <c r="I48" i="1"/>
  <c r="I49" i="1"/>
  <c r="R83" i="1"/>
  <c r="Q83" i="1"/>
  <c r="P83" i="1"/>
  <c r="N83" i="1"/>
  <c r="M83" i="1"/>
  <c r="L83" i="1"/>
  <c r="H83" i="1"/>
  <c r="G83" i="1"/>
  <c r="F83" i="1"/>
  <c r="D83" i="1"/>
  <c r="C83" i="1"/>
  <c r="B83" i="1"/>
  <c r="I82" i="1"/>
  <c r="E82" i="1"/>
  <c r="I81" i="1"/>
  <c r="E81" i="1"/>
  <c r="I80" i="1"/>
  <c r="E80" i="1"/>
  <c r="I79" i="1"/>
  <c r="E79" i="1"/>
  <c r="I78" i="1"/>
  <c r="E78" i="1"/>
  <c r="I77" i="1"/>
  <c r="E77" i="1"/>
  <c r="I76" i="1"/>
  <c r="E76" i="1"/>
  <c r="I75" i="1"/>
  <c r="E75" i="1"/>
  <c r="S74" i="1"/>
  <c r="O74" i="1"/>
  <c r="I74" i="1"/>
  <c r="E74" i="1"/>
  <c r="S73" i="1"/>
  <c r="O73" i="1"/>
  <c r="I73" i="1"/>
  <c r="E73" i="1"/>
  <c r="S72" i="1"/>
  <c r="O72" i="1"/>
  <c r="I72" i="1"/>
  <c r="E72" i="1"/>
  <c r="S71" i="1"/>
  <c r="O71" i="1"/>
  <c r="I71" i="1"/>
  <c r="E71" i="1"/>
  <c r="S70" i="1"/>
  <c r="O70" i="1"/>
  <c r="I70" i="1"/>
  <c r="E70" i="1"/>
  <c r="S69" i="1"/>
  <c r="O69" i="1"/>
  <c r="I69" i="1"/>
  <c r="E69" i="1"/>
  <c r="S68" i="1"/>
  <c r="O68" i="1"/>
  <c r="I68" i="1"/>
  <c r="E68" i="1"/>
  <c r="S67" i="1"/>
  <c r="O67" i="1"/>
  <c r="I67" i="1"/>
  <c r="E67" i="1"/>
  <c r="S66" i="1"/>
  <c r="O66" i="1"/>
  <c r="I66" i="1"/>
  <c r="E66" i="1"/>
  <c r="S65" i="1"/>
  <c r="O65" i="1"/>
  <c r="I65" i="1"/>
  <c r="E65" i="1"/>
  <c r="S64" i="1"/>
  <c r="O64" i="1"/>
  <c r="I64" i="1"/>
  <c r="E64" i="1"/>
  <c r="S63" i="1"/>
  <c r="O63" i="1"/>
  <c r="I63" i="1"/>
  <c r="E63" i="1"/>
  <c r="S62" i="1"/>
  <c r="O62" i="1"/>
  <c r="I62" i="1"/>
  <c r="E62" i="1"/>
  <c r="I61" i="1"/>
  <c r="E61" i="1"/>
  <c r="I60" i="1"/>
  <c r="E60" i="1"/>
  <c r="I59" i="1"/>
  <c r="E59" i="1"/>
  <c r="S57" i="1"/>
  <c r="O57" i="1"/>
  <c r="I57" i="1"/>
  <c r="E57" i="1"/>
  <c r="S56" i="1"/>
  <c r="O56" i="1"/>
  <c r="I56" i="1"/>
  <c r="E56" i="1"/>
  <c r="S55" i="1"/>
  <c r="O55" i="1"/>
  <c r="I55" i="1"/>
  <c r="E55" i="1"/>
  <c r="S54" i="1"/>
  <c r="O54" i="1"/>
  <c r="I54" i="1"/>
  <c r="E54" i="1"/>
  <c r="S53" i="1"/>
  <c r="O53" i="1"/>
  <c r="I53" i="1"/>
  <c r="E53" i="1"/>
  <c r="S52" i="1"/>
  <c r="O52" i="1"/>
  <c r="I52" i="1"/>
  <c r="E52" i="1"/>
  <c r="I51" i="1"/>
  <c r="E51" i="1"/>
  <c r="I50" i="1"/>
  <c r="S49" i="1"/>
  <c r="O49" i="1"/>
  <c r="S48" i="1"/>
  <c r="O48" i="1"/>
  <c r="E83" i="1" l="1"/>
  <c r="S83" i="1"/>
  <c r="O83" i="1"/>
  <c r="I83" i="1"/>
  <c r="S8" i="1"/>
  <c r="O8" i="1"/>
  <c r="O13" i="1"/>
  <c r="R40" i="1" l="1"/>
  <c r="R171" i="1" s="1"/>
  <c r="Q40" i="1"/>
  <c r="Q171" i="1" s="1"/>
  <c r="P40" i="1"/>
  <c r="P171" i="1" s="1"/>
  <c r="N40" i="1"/>
  <c r="N171" i="1" s="1"/>
  <c r="M40" i="1"/>
  <c r="M171" i="1" s="1"/>
  <c r="L40" i="1"/>
  <c r="L171" i="1" s="1"/>
  <c r="S33" i="1"/>
  <c r="O33" i="1"/>
  <c r="S32" i="1"/>
  <c r="O32" i="1"/>
  <c r="S31" i="1"/>
  <c r="O31" i="1"/>
  <c r="S30" i="1"/>
  <c r="O3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2" i="1"/>
  <c r="O22" i="1"/>
  <c r="S21" i="1"/>
  <c r="O21" i="1"/>
  <c r="S18" i="1"/>
  <c r="O18" i="1"/>
  <c r="S17" i="1"/>
  <c r="O17" i="1"/>
  <c r="S16" i="1"/>
  <c r="O16" i="1"/>
  <c r="R15" i="1"/>
  <c r="Q15" i="1"/>
  <c r="P15" i="1"/>
  <c r="N15" i="1"/>
  <c r="M15" i="1"/>
  <c r="L15" i="1"/>
  <c r="S14" i="1"/>
  <c r="O14" i="1"/>
  <c r="S13" i="1"/>
  <c r="S12" i="1"/>
  <c r="O12" i="1"/>
  <c r="S11" i="1"/>
  <c r="O11" i="1"/>
  <c r="S10" i="1"/>
  <c r="O10" i="1"/>
  <c r="S9" i="1"/>
  <c r="O9" i="1"/>
  <c r="S7" i="1"/>
  <c r="O7" i="1"/>
  <c r="S6" i="1"/>
  <c r="O6" i="1"/>
  <c r="S5" i="1"/>
  <c r="O5" i="1"/>
  <c r="S4" i="1"/>
  <c r="O4" i="1"/>
  <c r="P41" i="1" l="1"/>
  <c r="P47" i="1" s="1"/>
  <c r="P58" i="1" s="1"/>
  <c r="N41" i="1"/>
  <c r="N47" i="1" s="1"/>
  <c r="N58" i="1" s="1"/>
  <c r="N84" i="1" s="1"/>
  <c r="N90" i="1" s="1"/>
  <c r="N101" i="1" s="1"/>
  <c r="N127" i="1" s="1"/>
  <c r="N133" i="1" s="1"/>
  <c r="R41" i="1"/>
  <c r="R47" i="1" s="1"/>
  <c r="R58" i="1" s="1"/>
  <c r="R84" i="1" s="1"/>
  <c r="R90" i="1" s="1"/>
  <c r="R101" i="1" s="1"/>
  <c r="R127" i="1" s="1"/>
  <c r="R133" i="1" s="1"/>
  <c r="L41" i="1"/>
  <c r="Q41" i="1"/>
  <c r="Q47" i="1" s="1"/>
  <c r="Q58" i="1" s="1"/>
  <c r="Q84" i="1" s="1"/>
  <c r="Q90" i="1" s="1"/>
  <c r="Q101" i="1" s="1"/>
  <c r="Q127" i="1" s="1"/>
  <c r="Q133" i="1" s="1"/>
  <c r="Q144" i="1" s="1"/>
  <c r="Q170" i="1" s="1"/>
  <c r="Q176" i="1" s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Q348" i="1" s="1"/>
  <c r="Q359" i="1" s="1"/>
  <c r="Q385" i="1" s="1"/>
  <c r="Q391" i="1" s="1"/>
  <c r="Q402" i="1" s="1"/>
  <c r="Q428" i="1" s="1"/>
  <c r="Q434" i="1" s="1"/>
  <c r="Q445" i="1" s="1"/>
  <c r="Q471" i="1" s="1"/>
  <c r="Q477" i="1" s="1"/>
  <c r="Q488" i="1" s="1"/>
  <c r="Q514" i="1" s="1"/>
  <c r="Q520" i="1" s="1"/>
  <c r="Q531" i="1" s="1"/>
  <c r="Q557" i="1" s="1"/>
  <c r="Q563" i="1" s="1"/>
  <c r="Q574" i="1" s="1"/>
  <c r="Q600" i="1" s="1"/>
  <c r="Q606" i="1" s="1"/>
  <c r="Q617" i="1" s="1"/>
  <c r="Q643" i="1" s="1"/>
  <c r="Q649" i="1" s="1"/>
  <c r="Q660" i="1" s="1"/>
  <c r="Q686" i="1" s="1"/>
  <c r="Q692" i="1" s="1"/>
  <c r="Q703" i="1" s="1"/>
  <c r="Q729" i="1" s="1"/>
  <c r="Q735" i="1" s="1"/>
  <c r="Q746" i="1" s="1"/>
  <c r="Q772" i="1" s="1"/>
  <c r="Q778" i="1" s="1"/>
  <c r="Q789" i="1" s="1"/>
  <c r="Q815" i="1" s="1"/>
  <c r="Q821" i="1" s="1"/>
  <c r="Q832" i="1" s="1"/>
  <c r="Q858" i="1" s="1"/>
  <c r="Q864" i="1" s="1"/>
  <c r="Q875" i="1" s="1"/>
  <c r="Q901" i="1" s="1"/>
  <c r="Q907" i="1" s="1"/>
  <c r="Q918" i="1" s="1"/>
  <c r="Q944" i="1" s="1"/>
  <c r="Q950" i="1" s="1"/>
  <c r="Q961" i="1" s="1"/>
  <c r="Q987" i="1" s="1"/>
  <c r="Q993" i="1" s="1"/>
  <c r="Q1004" i="1" s="1"/>
  <c r="Q1030" i="1" s="1"/>
  <c r="Q1036" i="1" s="1"/>
  <c r="Q1047" i="1" s="1"/>
  <c r="Q1073" i="1" s="1"/>
  <c r="Q1079" i="1" s="1"/>
  <c r="Q1090" i="1" s="1"/>
  <c r="Q1116" i="1" s="1"/>
  <c r="Q1122" i="1" s="1"/>
  <c r="Q1133" i="1" s="1"/>
  <c r="Q1159" i="1" s="1"/>
  <c r="Q1165" i="1" s="1"/>
  <c r="Q1176" i="1" s="1"/>
  <c r="Q1202" i="1" s="1"/>
  <c r="Q1208" i="1" s="1"/>
  <c r="Q1219" i="1" s="1"/>
  <c r="Q1245" i="1" s="1"/>
  <c r="M41" i="1"/>
  <c r="M47" i="1" s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M471" i="1" s="1"/>
  <c r="M477" i="1" s="1"/>
  <c r="M488" i="1" s="1"/>
  <c r="M514" i="1" s="1"/>
  <c r="M520" i="1" s="1"/>
  <c r="M531" i="1" s="1"/>
  <c r="M557" i="1" s="1"/>
  <c r="M563" i="1" s="1"/>
  <c r="M574" i="1" s="1"/>
  <c r="M600" i="1" s="1"/>
  <c r="M606" i="1" s="1"/>
  <c r="M617" i="1" s="1"/>
  <c r="M643" i="1" s="1"/>
  <c r="S40" i="1"/>
  <c r="S171" i="1" s="1"/>
  <c r="O40" i="1"/>
  <c r="O171" i="1" s="1"/>
  <c r="S15" i="1"/>
  <c r="O15" i="1"/>
  <c r="M649" i="1" l="1"/>
  <c r="M660" i="1" s="1"/>
  <c r="M686" i="1" s="1"/>
  <c r="M692" i="1" s="1"/>
  <c r="M703" i="1" s="1"/>
  <c r="M729" i="1" s="1"/>
  <c r="M735" i="1" s="1"/>
  <c r="M746" i="1" s="1"/>
  <c r="M772" i="1" s="1"/>
  <c r="M778" i="1" s="1"/>
  <c r="M789" i="1" s="1"/>
  <c r="M815" i="1" s="1"/>
  <c r="M821" i="1" s="1"/>
  <c r="M832" i="1" s="1"/>
  <c r="M858" i="1" s="1"/>
  <c r="M864" i="1" s="1"/>
  <c r="M875" i="1" s="1"/>
  <c r="M901" i="1" s="1"/>
  <c r="M907" i="1" s="1"/>
  <c r="M918" i="1" s="1"/>
  <c r="M944" i="1" s="1"/>
  <c r="M950" i="1" s="1"/>
  <c r="M961" i="1" s="1"/>
  <c r="M987" i="1" s="1"/>
  <c r="M993" i="1" s="1"/>
  <c r="M1004" i="1" s="1"/>
  <c r="M1030" i="1" s="1"/>
  <c r="M1036" i="1" s="1"/>
  <c r="M1047" i="1" s="1"/>
  <c r="M1073" i="1" s="1"/>
  <c r="M1079" i="1" s="1"/>
  <c r="M1090" i="1" s="1"/>
  <c r="M1116" i="1" s="1"/>
  <c r="M1122" i="1" s="1"/>
  <c r="M1133" i="1" s="1"/>
  <c r="M1159" i="1" s="1"/>
  <c r="M1165" i="1" s="1"/>
  <c r="M1176" i="1" s="1"/>
  <c r="M1202" i="1" s="1"/>
  <c r="M1208" i="1" s="1"/>
  <c r="M1219" i="1" s="1"/>
  <c r="M1245" i="1" s="1"/>
  <c r="O172" i="1"/>
  <c r="M172" i="1"/>
  <c r="N172" i="1"/>
  <c r="L172" i="1"/>
  <c r="N144" i="1"/>
  <c r="R144" i="1"/>
  <c r="L47" i="1"/>
  <c r="L58" i="1" s="1"/>
  <c r="S47" i="1"/>
  <c r="S58" i="1"/>
  <c r="S84" i="1" s="1"/>
  <c r="P84" i="1"/>
  <c r="P90" i="1" s="1"/>
  <c r="S41" i="1"/>
  <c r="O41" i="1"/>
  <c r="H40" i="1"/>
  <c r="G40" i="1"/>
  <c r="F40" i="1"/>
  <c r="D40" i="1"/>
  <c r="C40" i="1"/>
  <c r="B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E26" i="1"/>
  <c r="I25" i="1"/>
  <c r="E25" i="1"/>
  <c r="I24" i="1"/>
  <c r="E24" i="1"/>
  <c r="I23" i="1"/>
  <c r="E23" i="1"/>
  <c r="I22" i="1"/>
  <c r="E22" i="1"/>
  <c r="I19" i="1"/>
  <c r="E19" i="1"/>
  <c r="I18" i="1"/>
  <c r="E18" i="1"/>
  <c r="I17" i="1"/>
  <c r="E17" i="1"/>
  <c r="I16" i="1"/>
  <c r="E16" i="1"/>
  <c r="I14" i="1"/>
  <c r="E14" i="1"/>
  <c r="I13" i="1"/>
  <c r="E13" i="1"/>
  <c r="I12" i="1"/>
  <c r="E12" i="1"/>
  <c r="I11" i="1"/>
  <c r="E11" i="1"/>
  <c r="I10" i="1"/>
  <c r="E10" i="1"/>
  <c r="I9" i="1"/>
  <c r="E9" i="1"/>
  <c r="N170" i="1" l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N520" i="1" s="1"/>
  <c r="N531" i="1" s="1"/>
  <c r="N557" i="1" s="1"/>
  <c r="N563" i="1" s="1"/>
  <c r="R170" i="1"/>
  <c r="R176" i="1" s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R348" i="1" s="1"/>
  <c r="R359" i="1" s="1"/>
  <c r="R385" i="1" s="1"/>
  <c r="R391" i="1" s="1"/>
  <c r="R402" i="1" s="1"/>
  <c r="R428" i="1" s="1"/>
  <c r="R434" i="1" s="1"/>
  <c r="R445" i="1" s="1"/>
  <c r="R471" i="1" s="1"/>
  <c r="R477" i="1" s="1"/>
  <c r="R488" i="1" s="1"/>
  <c r="R514" i="1" s="1"/>
  <c r="R520" i="1" s="1"/>
  <c r="R531" i="1" s="1"/>
  <c r="R557" i="1" s="1"/>
  <c r="R563" i="1" s="1"/>
  <c r="P101" i="1"/>
  <c r="S90" i="1"/>
  <c r="O47" i="1"/>
  <c r="M42" i="1"/>
  <c r="O42" i="1"/>
  <c r="N42" i="1"/>
  <c r="L42" i="1"/>
  <c r="L84" i="1"/>
  <c r="L90" i="1" s="1"/>
  <c r="O58" i="1"/>
  <c r="O84" i="1" s="1"/>
  <c r="E40" i="1"/>
  <c r="I40" i="1"/>
  <c r="R574" i="1" l="1"/>
  <c r="N574" i="1"/>
  <c r="P127" i="1"/>
  <c r="P133" i="1" s="1"/>
  <c r="S101" i="1"/>
  <c r="S127" i="1" s="1"/>
  <c r="L101" i="1"/>
  <c r="O90" i="1"/>
  <c r="H15" i="1"/>
  <c r="H41" i="1" s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D15" i="1"/>
  <c r="D41" i="1" s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D520" i="1" s="1"/>
  <c r="D531" i="1" s="1"/>
  <c r="D557" i="1" s="1"/>
  <c r="D563" i="1" s="1"/>
  <c r="D574" i="1" s="1"/>
  <c r="D600" i="1" s="1"/>
  <c r="D606" i="1" s="1"/>
  <c r="D617" i="1" l="1"/>
  <c r="D643" i="1" s="1"/>
  <c r="D649" i="1" s="1"/>
  <c r="D660" i="1" s="1"/>
  <c r="D686" i="1" s="1"/>
  <c r="D692" i="1" s="1"/>
  <c r="D703" i="1" s="1"/>
  <c r="D729" i="1" s="1"/>
  <c r="D735" i="1" s="1"/>
  <c r="R600" i="1"/>
  <c r="R606" i="1" s="1"/>
  <c r="R617" i="1" s="1"/>
  <c r="R643" i="1" s="1"/>
  <c r="R649" i="1" s="1"/>
  <c r="R660" i="1" s="1"/>
  <c r="R686" i="1" s="1"/>
  <c r="R692" i="1" s="1"/>
  <c r="R703" i="1" s="1"/>
  <c r="R729" i="1" s="1"/>
  <c r="R735" i="1" s="1"/>
  <c r="R746" i="1" s="1"/>
  <c r="R772" i="1" s="1"/>
  <c r="R778" i="1" s="1"/>
  <c r="R789" i="1" s="1"/>
  <c r="R815" i="1" s="1"/>
  <c r="R821" i="1" s="1"/>
  <c r="R832" i="1" s="1"/>
  <c r="R858" i="1" s="1"/>
  <c r="R864" i="1" s="1"/>
  <c r="R875" i="1" s="1"/>
  <c r="R901" i="1" s="1"/>
  <c r="R907" i="1" s="1"/>
  <c r="R918" i="1" s="1"/>
  <c r="R944" i="1" s="1"/>
  <c r="R950" i="1" s="1"/>
  <c r="R961" i="1" s="1"/>
  <c r="R987" i="1" s="1"/>
  <c r="R993" i="1" s="1"/>
  <c r="R1004" i="1" s="1"/>
  <c r="R1030" i="1" s="1"/>
  <c r="R1036" i="1" s="1"/>
  <c r="R1047" i="1" s="1"/>
  <c r="R1073" i="1" s="1"/>
  <c r="R1079" i="1" s="1"/>
  <c r="R1090" i="1" s="1"/>
  <c r="R1116" i="1" s="1"/>
  <c r="R1122" i="1" s="1"/>
  <c r="R1133" i="1" s="1"/>
  <c r="R1159" i="1" s="1"/>
  <c r="R1165" i="1" s="1"/>
  <c r="R1176" i="1" s="1"/>
  <c r="R1202" i="1" s="1"/>
  <c r="R1208" i="1" s="1"/>
  <c r="R1219" i="1" s="1"/>
  <c r="R1245" i="1" s="1"/>
  <c r="N600" i="1"/>
  <c r="N606" i="1" s="1"/>
  <c r="N617" i="1" s="1"/>
  <c r="N643" i="1" s="1"/>
  <c r="H273" i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H488" i="1" s="1"/>
  <c r="H514" i="1" s="1"/>
  <c r="H520" i="1" s="1"/>
  <c r="H531" i="1" s="1"/>
  <c r="H557" i="1" s="1"/>
  <c r="H563" i="1" s="1"/>
  <c r="H574" i="1" s="1"/>
  <c r="H600" i="1" s="1"/>
  <c r="H606" i="1" s="1"/>
  <c r="H617" i="1" s="1"/>
  <c r="H643" i="1" s="1"/>
  <c r="H649" i="1" s="1"/>
  <c r="H660" i="1" s="1"/>
  <c r="H686" i="1" s="1"/>
  <c r="H692" i="1" s="1"/>
  <c r="H703" i="1" s="1"/>
  <c r="H729" i="1" s="1"/>
  <c r="H735" i="1" s="1"/>
  <c r="P144" i="1"/>
  <c r="S133" i="1"/>
  <c r="L127" i="1"/>
  <c r="L133" i="1" s="1"/>
  <c r="O101" i="1"/>
  <c r="O127" i="1" s="1"/>
  <c r="C15" i="1"/>
  <c r="G15" i="1"/>
  <c r="G41" i="1" s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G316" i="1" s="1"/>
  <c r="G342" i="1" s="1"/>
  <c r="G348" i="1" s="1"/>
  <c r="G359" i="1" s="1"/>
  <c r="G385" i="1" s="1"/>
  <c r="G391" i="1" s="1"/>
  <c r="G402" i="1" s="1"/>
  <c r="G428" i="1" s="1"/>
  <c r="G434" i="1" s="1"/>
  <c r="G445" i="1" s="1"/>
  <c r="G471" i="1" s="1"/>
  <c r="G477" i="1" s="1"/>
  <c r="G488" i="1" s="1"/>
  <c r="G514" i="1" s="1"/>
  <c r="G520" i="1" s="1"/>
  <c r="G531" i="1" s="1"/>
  <c r="G557" i="1" s="1"/>
  <c r="G563" i="1" s="1"/>
  <c r="G574" i="1" s="1"/>
  <c r="G600" i="1" s="1"/>
  <c r="G606" i="1" s="1"/>
  <c r="G617" i="1" s="1"/>
  <c r="G643" i="1" s="1"/>
  <c r="G649" i="1" s="1"/>
  <c r="G660" i="1" s="1"/>
  <c r="G686" i="1" s="1"/>
  <c r="G692" i="1" s="1"/>
  <c r="G703" i="1" s="1"/>
  <c r="G729" i="1" s="1"/>
  <c r="G735" i="1" s="1"/>
  <c r="G746" i="1" s="1"/>
  <c r="G772" i="1" s="1"/>
  <c r="H746" i="1" l="1"/>
  <c r="D746" i="1"/>
  <c r="N649" i="1"/>
  <c r="N660" i="1" s="1"/>
  <c r="N686" i="1" s="1"/>
  <c r="N692" i="1" s="1"/>
  <c r="N703" i="1" s="1"/>
  <c r="N729" i="1" s="1"/>
  <c r="N735" i="1" s="1"/>
  <c r="N746" i="1" s="1"/>
  <c r="N772" i="1" s="1"/>
  <c r="N778" i="1" s="1"/>
  <c r="N789" i="1" s="1"/>
  <c r="N815" i="1" s="1"/>
  <c r="N821" i="1" s="1"/>
  <c r="N832" i="1" s="1"/>
  <c r="N858" i="1" s="1"/>
  <c r="N864" i="1" s="1"/>
  <c r="N875" i="1" s="1"/>
  <c r="N901" i="1" s="1"/>
  <c r="N907" i="1" s="1"/>
  <c r="N918" i="1" s="1"/>
  <c r="N944" i="1" s="1"/>
  <c r="N950" i="1" s="1"/>
  <c r="N961" i="1" s="1"/>
  <c r="N987" i="1" s="1"/>
  <c r="N993" i="1" s="1"/>
  <c r="N1004" i="1" s="1"/>
  <c r="N1030" i="1" s="1"/>
  <c r="N1036" i="1" s="1"/>
  <c r="N1047" i="1" s="1"/>
  <c r="N1073" i="1" s="1"/>
  <c r="N1079" i="1" s="1"/>
  <c r="N1090" i="1" s="1"/>
  <c r="N1116" i="1" s="1"/>
  <c r="N1122" i="1" s="1"/>
  <c r="N1133" i="1" s="1"/>
  <c r="N1159" i="1" s="1"/>
  <c r="N1165" i="1" s="1"/>
  <c r="N1176" i="1" s="1"/>
  <c r="N1202" i="1" s="1"/>
  <c r="N1208" i="1" s="1"/>
  <c r="N1219" i="1" s="1"/>
  <c r="N1245" i="1" s="1"/>
  <c r="L144" i="1"/>
  <c r="O133" i="1"/>
  <c r="P170" i="1"/>
  <c r="P176" i="1" s="1"/>
  <c r="S144" i="1"/>
  <c r="S170" i="1" s="1"/>
  <c r="I4" i="1"/>
  <c r="F15" i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C520" i="1" s="1"/>
  <c r="C531" i="1" s="1"/>
  <c r="C557" i="1" s="1"/>
  <c r="C563" i="1" s="1"/>
  <c r="C574" i="1" s="1"/>
  <c r="C600" i="1" s="1"/>
  <c r="C606" i="1" s="1"/>
  <c r="C617" i="1" s="1"/>
  <c r="C643" i="1" s="1"/>
  <c r="C649" i="1" s="1"/>
  <c r="C660" i="1" s="1"/>
  <c r="C686" i="1" s="1"/>
  <c r="C692" i="1" s="1"/>
  <c r="C703" i="1" s="1"/>
  <c r="C729" i="1" s="1"/>
  <c r="C735" i="1" s="1"/>
  <c r="C746" i="1" s="1"/>
  <c r="C772" i="1" s="1"/>
  <c r="H772" i="1" l="1"/>
  <c r="D772" i="1"/>
  <c r="P187" i="1"/>
  <c r="S176" i="1"/>
  <c r="L170" i="1"/>
  <c r="L176" i="1" s="1"/>
  <c r="O144" i="1"/>
  <c r="O170" i="1" s="1"/>
  <c r="B15" i="1"/>
  <c r="E4" i="1"/>
  <c r="I15" i="1"/>
  <c r="I41" i="1" s="1"/>
  <c r="F41" i="1"/>
  <c r="F47" i="1" s="1"/>
  <c r="P213" i="1" l="1"/>
  <c r="P219" i="1" s="1"/>
  <c r="S187" i="1"/>
  <c r="S213" i="1" s="1"/>
  <c r="O176" i="1"/>
  <c r="L187" i="1"/>
  <c r="F58" i="1"/>
  <c r="I47" i="1"/>
  <c r="B41" i="1"/>
  <c r="B47" i="1" s="1"/>
  <c r="E15" i="1"/>
  <c r="E41" i="1" s="1"/>
  <c r="S219" i="1" l="1"/>
  <c r="P230" i="1"/>
  <c r="L213" i="1"/>
  <c r="L219" i="1" s="1"/>
  <c r="O187" i="1"/>
  <c r="O213" i="1" s="1"/>
  <c r="B58" i="1"/>
  <c r="E47" i="1"/>
  <c r="F84" i="1"/>
  <c r="F90" i="1" s="1"/>
  <c r="I58" i="1"/>
  <c r="I84" i="1" s="1"/>
  <c r="P256" i="1" l="1"/>
  <c r="P262" i="1" s="1"/>
  <c r="S230" i="1"/>
  <c r="S256" i="1" s="1"/>
  <c r="L230" i="1"/>
  <c r="O219" i="1"/>
  <c r="I90" i="1"/>
  <c r="F101" i="1"/>
  <c r="B84" i="1"/>
  <c r="B90" i="1" s="1"/>
  <c r="E58" i="1"/>
  <c r="E84" i="1" s="1"/>
  <c r="S262" i="1" l="1"/>
  <c r="P273" i="1"/>
  <c r="L256" i="1"/>
  <c r="L262" i="1" s="1"/>
  <c r="O230" i="1"/>
  <c r="O256" i="1" s="1"/>
  <c r="B101" i="1"/>
  <c r="E90" i="1"/>
  <c r="I101" i="1"/>
  <c r="I127" i="1" s="1"/>
  <c r="F127" i="1"/>
  <c r="F133" i="1" s="1"/>
  <c r="S273" i="1" l="1"/>
  <c r="S299" i="1" s="1"/>
  <c r="P299" i="1"/>
  <c r="P305" i="1" s="1"/>
  <c r="O262" i="1"/>
  <c r="L273" i="1"/>
  <c r="F144" i="1"/>
  <c r="I133" i="1"/>
  <c r="B127" i="1"/>
  <c r="B133" i="1" s="1"/>
  <c r="E101" i="1"/>
  <c r="E127" i="1" s="1"/>
  <c r="P316" i="1" l="1"/>
  <c r="S305" i="1"/>
  <c r="L299" i="1"/>
  <c r="L305" i="1" s="1"/>
  <c r="O273" i="1"/>
  <c r="O299" i="1" s="1"/>
  <c r="E133" i="1"/>
  <c r="B144" i="1"/>
  <c r="I144" i="1"/>
  <c r="I170" i="1" s="1"/>
  <c r="F170" i="1"/>
  <c r="F176" i="1" s="1"/>
  <c r="S316" i="1" l="1"/>
  <c r="S342" i="1" s="1"/>
  <c r="P342" i="1"/>
  <c r="P348" i="1" s="1"/>
  <c r="O305" i="1"/>
  <c r="L316" i="1"/>
  <c r="F187" i="1"/>
  <c r="I176" i="1"/>
  <c r="B170" i="1"/>
  <c r="B176" i="1" s="1"/>
  <c r="E144" i="1"/>
  <c r="E170" i="1" s="1"/>
  <c r="P359" i="1" l="1"/>
  <c r="S348" i="1"/>
  <c r="L342" i="1"/>
  <c r="L348" i="1" s="1"/>
  <c r="O316" i="1"/>
  <c r="O342" i="1" s="1"/>
  <c r="I187" i="1"/>
  <c r="I213" i="1" s="1"/>
  <c r="F213" i="1"/>
  <c r="F219" i="1" s="1"/>
  <c r="E176" i="1"/>
  <c r="B187" i="1"/>
  <c r="P385" i="1" l="1"/>
  <c r="P391" i="1" s="1"/>
  <c r="S359" i="1"/>
  <c r="S385" i="1" s="1"/>
  <c r="L359" i="1"/>
  <c r="O348" i="1"/>
  <c r="F230" i="1"/>
  <c r="I219" i="1"/>
  <c r="E187" i="1"/>
  <c r="E213" i="1" s="1"/>
  <c r="B213" i="1"/>
  <c r="B219" i="1" s="1"/>
  <c r="P402" i="1" l="1"/>
  <c r="S391" i="1"/>
  <c r="L385" i="1"/>
  <c r="L391" i="1" s="1"/>
  <c r="O359" i="1"/>
  <c r="O385" i="1" s="1"/>
  <c r="F256" i="1"/>
  <c r="F262" i="1" s="1"/>
  <c r="I230" i="1"/>
  <c r="I256" i="1" s="1"/>
  <c r="E219" i="1"/>
  <c r="B230" i="1"/>
  <c r="P428" i="1" l="1"/>
  <c r="P434" i="1" s="1"/>
  <c r="S402" i="1"/>
  <c r="S428" i="1" s="1"/>
  <c r="L402" i="1"/>
  <c r="O391" i="1"/>
  <c r="F273" i="1"/>
  <c r="I262" i="1"/>
  <c r="B256" i="1"/>
  <c r="B262" i="1" s="1"/>
  <c r="E230" i="1"/>
  <c r="E256" i="1" s="1"/>
  <c r="P445" i="1" l="1"/>
  <c r="S434" i="1"/>
  <c r="L428" i="1"/>
  <c r="L434" i="1" s="1"/>
  <c r="O402" i="1"/>
  <c r="O428" i="1" s="1"/>
  <c r="E262" i="1"/>
  <c r="B273" i="1"/>
  <c r="F299" i="1"/>
  <c r="F305" i="1" s="1"/>
  <c r="I273" i="1"/>
  <c r="I299" i="1" s="1"/>
  <c r="L445" i="1" l="1"/>
  <c r="O434" i="1"/>
  <c r="P471" i="1"/>
  <c r="P477" i="1" s="1"/>
  <c r="S445" i="1"/>
  <c r="S471" i="1" s="1"/>
  <c r="F316" i="1"/>
  <c r="I305" i="1"/>
  <c r="E273" i="1"/>
  <c r="E299" i="1" s="1"/>
  <c r="B299" i="1"/>
  <c r="B305" i="1" s="1"/>
  <c r="P488" i="1" l="1"/>
  <c r="S477" i="1"/>
  <c r="O445" i="1"/>
  <c r="O471" i="1" s="1"/>
  <c r="L471" i="1"/>
  <c r="L477" i="1" s="1"/>
  <c r="B316" i="1"/>
  <c r="E305" i="1"/>
  <c r="F342" i="1"/>
  <c r="F348" i="1" s="1"/>
  <c r="I316" i="1"/>
  <c r="I342" i="1" s="1"/>
  <c r="S488" i="1" l="1"/>
  <c r="S514" i="1" s="1"/>
  <c r="P514" i="1"/>
  <c r="P520" i="1" s="1"/>
  <c r="L488" i="1"/>
  <c r="O477" i="1"/>
  <c r="F359" i="1"/>
  <c r="I348" i="1"/>
  <c r="B342" i="1"/>
  <c r="B348" i="1" s="1"/>
  <c r="E316" i="1"/>
  <c r="E342" i="1" s="1"/>
  <c r="S520" i="1" l="1"/>
  <c r="P531" i="1"/>
  <c r="L514" i="1"/>
  <c r="L520" i="1" s="1"/>
  <c r="O488" i="1"/>
  <c r="O514" i="1" s="1"/>
  <c r="B359" i="1"/>
  <c r="E348" i="1"/>
  <c r="F385" i="1"/>
  <c r="F391" i="1" s="1"/>
  <c r="I359" i="1"/>
  <c r="I385" i="1" s="1"/>
  <c r="P557" i="1" l="1"/>
  <c r="P563" i="1" s="1"/>
  <c r="S531" i="1"/>
  <c r="S557" i="1" s="1"/>
  <c r="L531" i="1"/>
  <c r="O520" i="1"/>
  <c r="F402" i="1"/>
  <c r="I391" i="1"/>
  <c r="B385" i="1"/>
  <c r="B391" i="1" s="1"/>
  <c r="E359" i="1"/>
  <c r="E385" i="1" s="1"/>
  <c r="P574" i="1" l="1"/>
  <c r="S563" i="1"/>
  <c r="L557" i="1"/>
  <c r="L563" i="1" s="1"/>
  <c r="O531" i="1"/>
  <c r="O557" i="1" s="1"/>
  <c r="B402" i="1"/>
  <c r="E391" i="1"/>
  <c r="I402" i="1"/>
  <c r="I428" i="1" s="1"/>
  <c r="F428" i="1"/>
  <c r="F434" i="1" s="1"/>
  <c r="L574" i="1" l="1"/>
  <c r="O563" i="1"/>
  <c r="P600" i="1"/>
  <c r="P606" i="1" s="1"/>
  <c r="S574" i="1"/>
  <c r="S600" i="1" s="1"/>
  <c r="F445" i="1"/>
  <c r="I434" i="1"/>
  <c r="B428" i="1"/>
  <c r="B434" i="1" s="1"/>
  <c r="E402" i="1"/>
  <c r="E428" i="1" s="1"/>
  <c r="S606" i="1" l="1"/>
  <c r="P617" i="1"/>
  <c r="L600" i="1"/>
  <c r="L606" i="1" s="1"/>
  <c r="O574" i="1"/>
  <c r="O600" i="1" s="1"/>
  <c r="B445" i="1"/>
  <c r="E434" i="1"/>
  <c r="F471" i="1"/>
  <c r="F477" i="1" s="1"/>
  <c r="I445" i="1"/>
  <c r="I471" i="1" s="1"/>
  <c r="O606" i="1" l="1"/>
  <c r="L617" i="1"/>
  <c r="P643" i="1"/>
  <c r="P649" i="1" s="1"/>
  <c r="S617" i="1"/>
  <c r="S643" i="1" s="1"/>
  <c r="F488" i="1"/>
  <c r="I477" i="1"/>
  <c r="B471" i="1"/>
  <c r="B477" i="1" s="1"/>
  <c r="E445" i="1"/>
  <c r="E471" i="1" s="1"/>
  <c r="S649" i="1" l="1"/>
  <c r="P660" i="1"/>
  <c r="O617" i="1"/>
  <c r="O643" i="1" s="1"/>
  <c r="L643" i="1"/>
  <c r="B488" i="1"/>
  <c r="E477" i="1"/>
  <c r="F514" i="1"/>
  <c r="F520" i="1" s="1"/>
  <c r="I488" i="1"/>
  <c r="I514" i="1" s="1"/>
  <c r="L649" i="1" l="1"/>
  <c r="S660" i="1"/>
  <c r="S686" i="1" s="1"/>
  <c r="P686" i="1"/>
  <c r="P692" i="1" s="1"/>
  <c r="F531" i="1"/>
  <c r="I520" i="1"/>
  <c r="B514" i="1"/>
  <c r="B520" i="1" s="1"/>
  <c r="E488" i="1"/>
  <c r="E514" i="1" s="1"/>
  <c r="P703" i="1" l="1"/>
  <c r="S692" i="1"/>
  <c r="O649" i="1"/>
  <c r="L660" i="1"/>
  <c r="E520" i="1"/>
  <c r="B531" i="1"/>
  <c r="F557" i="1"/>
  <c r="F563" i="1" s="1"/>
  <c r="I531" i="1"/>
  <c r="I557" i="1" s="1"/>
  <c r="S703" i="1" l="1"/>
  <c r="S729" i="1" s="1"/>
  <c r="P729" i="1"/>
  <c r="P735" i="1" s="1"/>
  <c r="O660" i="1"/>
  <c r="O686" i="1" s="1"/>
  <c r="L686" i="1"/>
  <c r="L692" i="1" s="1"/>
  <c r="I563" i="1"/>
  <c r="F574" i="1"/>
  <c r="B557" i="1"/>
  <c r="B563" i="1" s="1"/>
  <c r="E531" i="1"/>
  <c r="E557" i="1" s="1"/>
  <c r="S735" i="1" l="1"/>
  <c r="P746" i="1"/>
  <c r="L703" i="1"/>
  <c r="O692" i="1"/>
  <c r="I574" i="1"/>
  <c r="I600" i="1" s="1"/>
  <c r="F600" i="1"/>
  <c r="F606" i="1" s="1"/>
  <c r="E563" i="1"/>
  <c r="B574" i="1"/>
  <c r="S746" i="1" l="1"/>
  <c r="S772" i="1" s="1"/>
  <c r="P772" i="1"/>
  <c r="P778" i="1" s="1"/>
  <c r="O703" i="1"/>
  <c r="O729" i="1" s="1"/>
  <c r="L729" i="1"/>
  <c r="L735" i="1" s="1"/>
  <c r="I606" i="1"/>
  <c r="F617" i="1"/>
  <c r="B600" i="1"/>
  <c r="B606" i="1" s="1"/>
  <c r="E574" i="1"/>
  <c r="E600" i="1" s="1"/>
  <c r="S778" i="1" l="1"/>
  <c r="P789" i="1"/>
  <c r="O735" i="1"/>
  <c r="L746" i="1"/>
  <c r="I617" i="1"/>
  <c r="I643" i="1" s="1"/>
  <c r="F643" i="1"/>
  <c r="F649" i="1" s="1"/>
  <c r="B617" i="1"/>
  <c r="E606" i="1"/>
  <c r="S789" i="1" l="1"/>
  <c r="S815" i="1" s="1"/>
  <c r="P815" i="1"/>
  <c r="P821" i="1" s="1"/>
  <c r="L772" i="1"/>
  <c r="L778" i="1" s="1"/>
  <c r="O746" i="1"/>
  <c r="O772" i="1" s="1"/>
  <c r="F660" i="1"/>
  <c r="I649" i="1"/>
  <c r="B643" i="1"/>
  <c r="B649" i="1" s="1"/>
  <c r="E617" i="1"/>
  <c r="E643" i="1" s="1"/>
  <c r="S821" i="1" l="1"/>
  <c r="P832" i="1"/>
  <c r="O778" i="1"/>
  <c r="L789" i="1"/>
  <c r="B660" i="1"/>
  <c r="E649" i="1"/>
  <c r="F686" i="1"/>
  <c r="F692" i="1" s="1"/>
  <c r="I660" i="1"/>
  <c r="I686" i="1" s="1"/>
  <c r="S832" i="1" l="1"/>
  <c r="S858" i="1" s="1"/>
  <c r="P858" i="1"/>
  <c r="P864" i="1" s="1"/>
  <c r="O789" i="1"/>
  <c r="O815" i="1" s="1"/>
  <c r="L815" i="1"/>
  <c r="L821" i="1" s="1"/>
  <c r="I692" i="1"/>
  <c r="F703" i="1"/>
  <c r="E660" i="1"/>
  <c r="E686" i="1" s="1"/>
  <c r="B686" i="1"/>
  <c r="B692" i="1" s="1"/>
  <c r="S864" i="1" l="1"/>
  <c r="P875" i="1"/>
  <c r="O821" i="1"/>
  <c r="L832" i="1"/>
  <c r="B703" i="1"/>
  <c r="E692" i="1"/>
  <c r="I703" i="1"/>
  <c r="I729" i="1" s="1"/>
  <c r="F729" i="1"/>
  <c r="F735" i="1" s="1"/>
  <c r="S875" i="1" l="1"/>
  <c r="S901" i="1" s="1"/>
  <c r="P901" i="1"/>
  <c r="P907" i="1" s="1"/>
  <c r="L858" i="1"/>
  <c r="L864" i="1" s="1"/>
  <c r="O832" i="1"/>
  <c r="O858" i="1" s="1"/>
  <c r="F746" i="1"/>
  <c r="I735" i="1"/>
  <c r="B729" i="1"/>
  <c r="B735" i="1" s="1"/>
  <c r="E703" i="1"/>
  <c r="E729" i="1" s="1"/>
  <c r="S907" i="1" l="1"/>
  <c r="P918" i="1"/>
  <c r="L875" i="1"/>
  <c r="O864" i="1"/>
  <c r="L859" i="1"/>
  <c r="M859" i="1"/>
  <c r="N859" i="1"/>
  <c r="O859" i="1"/>
  <c r="F772" i="1"/>
  <c r="I746" i="1"/>
  <c r="I772" i="1" s="1"/>
  <c r="B746" i="1"/>
  <c r="E735" i="1"/>
  <c r="P944" i="1" l="1"/>
  <c r="P950" i="1" s="1"/>
  <c r="S918" i="1"/>
  <c r="S944" i="1" s="1"/>
  <c r="O875" i="1"/>
  <c r="O901" i="1" s="1"/>
  <c r="L901" i="1"/>
  <c r="L907" i="1" s="1"/>
  <c r="B772" i="1"/>
  <c r="E746" i="1"/>
  <c r="E772" i="1" s="1"/>
  <c r="L918" i="1" l="1"/>
  <c r="O907" i="1"/>
  <c r="S950" i="1"/>
  <c r="P961" i="1"/>
  <c r="P987" i="1" l="1"/>
  <c r="P993" i="1" s="1"/>
  <c r="S961" i="1"/>
  <c r="S987" i="1" s="1"/>
  <c r="O918" i="1"/>
  <c r="O944" i="1" s="1"/>
  <c r="L944" i="1"/>
  <c r="L950" i="1" s="1"/>
  <c r="S993" i="1" l="1"/>
  <c r="P1004" i="1"/>
  <c r="O950" i="1"/>
  <c r="L961" i="1"/>
  <c r="S1004" i="1" l="1"/>
  <c r="S1030" i="1" s="1"/>
  <c r="P1030" i="1"/>
  <c r="P1036" i="1" s="1"/>
  <c r="O961" i="1"/>
  <c r="O987" i="1" s="1"/>
  <c r="L987" i="1"/>
  <c r="L993" i="1" s="1"/>
  <c r="S1036" i="1" l="1"/>
  <c r="P1047" i="1"/>
  <c r="O993" i="1"/>
  <c r="L1004" i="1"/>
  <c r="S1047" i="1" l="1"/>
  <c r="S1073" i="1" s="1"/>
  <c r="P1073" i="1"/>
  <c r="P1079" i="1" s="1"/>
  <c r="O1004" i="1"/>
  <c r="O1030" i="1" s="1"/>
  <c r="L1030" i="1"/>
  <c r="L1036" i="1" s="1"/>
  <c r="S1079" i="1" l="1"/>
  <c r="P1090" i="1"/>
  <c r="O1036" i="1"/>
  <c r="L1047" i="1"/>
  <c r="S1090" i="1" l="1"/>
  <c r="S1116" i="1" s="1"/>
  <c r="P1116" i="1"/>
  <c r="P1122" i="1" s="1"/>
  <c r="L1073" i="1"/>
  <c r="L1079" i="1" s="1"/>
  <c r="O1047" i="1"/>
  <c r="O1073" i="1" s="1"/>
  <c r="S1122" i="1" l="1"/>
  <c r="P1133" i="1"/>
  <c r="O1079" i="1"/>
  <c r="L1090" i="1"/>
  <c r="S1133" i="1" l="1"/>
  <c r="S1159" i="1" s="1"/>
  <c r="P1159" i="1"/>
  <c r="P1165" i="1" s="1"/>
  <c r="O1090" i="1"/>
  <c r="O1116" i="1" s="1"/>
  <c r="L1116" i="1"/>
  <c r="L1122" i="1" s="1"/>
  <c r="O1122" i="1" l="1"/>
  <c r="L1133" i="1"/>
  <c r="S1165" i="1"/>
  <c r="P1176" i="1"/>
  <c r="M1117" i="1"/>
  <c r="N1117" i="1"/>
  <c r="O1117" i="1"/>
  <c r="L1117" i="1"/>
  <c r="S1176" i="1" l="1"/>
  <c r="S1202" i="1" s="1"/>
  <c r="P1202" i="1"/>
  <c r="P1208" i="1" s="1"/>
  <c r="O1133" i="1"/>
  <c r="O1159" i="1" s="1"/>
  <c r="L1159" i="1"/>
  <c r="L1165" i="1" s="1"/>
  <c r="O1165" i="1" l="1"/>
  <c r="L1176" i="1"/>
  <c r="S1208" i="1"/>
  <c r="P1219" i="1"/>
  <c r="S1219" i="1" l="1"/>
  <c r="S1245" i="1" s="1"/>
  <c r="P1245" i="1"/>
  <c r="O1176" i="1"/>
  <c r="O1202" i="1" s="1"/>
  <c r="L1202" i="1"/>
  <c r="L1208" i="1" s="1"/>
  <c r="O1208" i="1" l="1"/>
  <c r="L1219" i="1"/>
  <c r="O1219" i="1" l="1"/>
  <c r="O1245" i="1" s="1"/>
  <c r="L1245" i="1"/>
</calcChain>
</file>

<file path=xl/sharedStrings.xml><?xml version="1.0" encoding="utf-8"?>
<sst xmlns="http://schemas.openxmlformats.org/spreadsheetml/2006/main" count="2394" uniqueCount="669">
  <si>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</si>
  <si>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</si>
  <si>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</si>
  <si>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</si>
  <si>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</si>
  <si>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</si>
  <si>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</si>
  <si>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7"/>
  </si>
  <si>
    <t>L</t>
    <phoneticPr fontId="7"/>
  </si>
  <si>
    <t>LL</t>
    <phoneticPr fontId="7"/>
  </si>
  <si>
    <t>ピーチ</t>
    <phoneticPr fontId="7"/>
  </si>
  <si>
    <t>初回</t>
    <rPh sb="0" eb="2">
      <t>ショカイ</t>
    </rPh>
    <phoneticPr fontId="3"/>
  </si>
  <si>
    <t>パープル</t>
    <phoneticPr fontId="7"/>
  </si>
  <si>
    <t>在庫</t>
    <rPh sb="0" eb="2">
      <t>ザイコ</t>
    </rPh>
    <phoneticPr fontId="3"/>
  </si>
  <si>
    <t>＜No.1822　綿ジャガード前開きブラ＞夢販在庫</t>
    <rPh sb="9" eb="10">
      <t>メン</t>
    </rPh>
    <rPh sb="15" eb="17">
      <t>マエヒラ</t>
    </rPh>
    <rPh sb="21" eb="22">
      <t>ユメ</t>
    </rPh>
    <rPh sb="22" eb="23">
      <t>ハン</t>
    </rPh>
    <rPh sb="23" eb="25">
      <t>ザイコ</t>
    </rPh>
    <phoneticPr fontId="3"/>
  </si>
  <si>
    <t>＜No.1822　綿ジャガード前開きブラ＞KPORT在庫</t>
    <rPh sb="9" eb="10">
      <t>メン</t>
    </rPh>
    <rPh sb="15" eb="17">
      <t>マエヒラ</t>
    </rPh>
    <rPh sb="26" eb="28">
      <t>ザイコ</t>
    </rPh>
    <phoneticPr fontId="3"/>
  </si>
  <si>
    <t>追加2-1</t>
    <rPh sb="0" eb="2">
      <t>ツイカ</t>
    </rPh>
    <phoneticPr fontId="3"/>
  </si>
  <si>
    <t>追加2-2</t>
    <rPh sb="0" eb="2">
      <t>ツイカ</t>
    </rPh>
    <phoneticPr fontId="3"/>
  </si>
  <si>
    <t>＜No.1822　綿ジャガード前開きブラ＞KPORT在庫 2P\3980</t>
    <rPh sb="9" eb="10">
      <t>メン</t>
    </rPh>
    <rPh sb="15" eb="17">
      <t>マエヒラ</t>
    </rPh>
    <rPh sb="26" eb="28">
      <t>ザイコ</t>
    </rPh>
    <phoneticPr fontId="3"/>
  </si>
  <si>
    <t>＜No.1822　綿ジャガード前開きブラ＞夢販在庫 2P\3980</t>
    <rPh sb="9" eb="10">
      <t>メン</t>
    </rPh>
    <rPh sb="15" eb="17">
      <t>マエヒラ</t>
    </rPh>
    <rPh sb="21" eb="22">
      <t>ユメ</t>
    </rPh>
    <rPh sb="22" eb="23">
      <t>ハン</t>
    </rPh>
    <rPh sb="23" eb="25">
      <t>ザイコ</t>
    </rPh>
    <phoneticPr fontId="3"/>
  </si>
  <si>
    <t>7月</t>
    <rPh sb="1" eb="2">
      <t>ガツ</t>
    </rPh>
    <phoneticPr fontId="7"/>
  </si>
  <si>
    <t>8月</t>
    <rPh sb="1" eb="2">
      <t>ガツ</t>
    </rPh>
    <phoneticPr fontId="7"/>
  </si>
  <si>
    <t>先入れ</t>
    <rPh sb="0" eb="2">
      <t>サキイ</t>
    </rPh>
    <phoneticPr fontId="3"/>
  </si>
  <si>
    <t>グリーンコープ10号</t>
    <rPh sb="9" eb="10">
      <t>ゴウ</t>
    </rPh>
    <phoneticPr fontId="7"/>
  </si>
  <si>
    <t>点5/17、アバウト5/24、本5/26、30</t>
    <rPh sb="0" eb="1">
      <t>テン</t>
    </rPh>
    <rPh sb="15" eb="16">
      <t>ホン</t>
    </rPh>
    <phoneticPr fontId="7"/>
  </si>
  <si>
    <t>全国通販検品用</t>
    <rPh sb="0" eb="4">
      <t>ゼンコクツウハン</t>
    </rPh>
    <rPh sb="4" eb="7">
      <t>ケンピンヨウ</t>
    </rPh>
    <phoneticPr fontId="7"/>
  </si>
  <si>
    <t>千趣会CRAS7月号</t>
    <rPh sb="0" eb="3">
      <t>センシュカイ</t>
    </rPh>
    <rPh sb="8" eb="10">
      <t>ガツゴウ</t>
    </rPh>
    <phoneticPr fontId="7"/>
  </si>
  <si>
    <t>全国通販8月ことせ/テスト版</t>
    <rPh sb="0" eb="4">
      <t>ゼンコクツウハン</t>
    </rPh>
    <rPh sb="5" eb="6">
      <t>ガツ</t>
    </rPh>
    <rPh sb="13" eb="14">
      <t>バン</t>
    </rPh>
    <phoneticPr fontId="7"/>
  </si>
  <si>
    <t>全国通販7月ことせ/テスト版</t>
    <rPh sb="0" eb="4">
      <t>ゼンコクツウハン</t>
    </rPh>
    <rPh sb="5" eb="6">
      <t>ガツ</t>
    </rPh>
    <rPh sb="13" eb="14">
      <t>バン</t>
    </rPh>
    <phoneticPr fontId="7"/>
  </si>
  <si>
    <t>全国通販22年7月ことせ本番</t>
    <rPh sb="0" eb="4">
      <t>ゼンコクツウハン</t>
    </rPh>
    <rPh sb="6" eb="7">
      <t>ネン</t>
    </rPh>
    <rPh sb="8" eb="9">
      <t>ガツ</t>
    </rPh>
    <rPh sb="12" eb="14">
      <t>ホンバン</t>
    </rPh>
    <phoneticPr fontId="7"/>
  </si>
  <si>
    <t>全国通販22年8月ことせ本番</t>
    <rPh sb="0" eb="4">
      <t>ゼンコクツウハン</t>
    </rPh>
    <rPh sb="6" eb="7">
      <t>ネン</t>
    </rPh>
    <rPh sb="8" eb="9">
      <t>ガツ</t>
    </rPh>
    <rPh sb="12" eb="14">
      <t>ホンバン</t>
    </rPh>
    <phoneticPr fontId="7"/>
  </si>
  <si>
    <t>4/1～6/30</t>
    <phoneticPr fontId="7"/>
  </si>
  <si>
    <t>5/7～7/31</t>
    <phoneticPr fontId="7"/>
  </si>
  <si>
    <t>夢販</t>
    <rPh sb="0" eb="2">
      <t>ユメハン</t>
    </rPh>
    <phoneticPr fontId="7"/>
  </si>
  <si>
    <t>夢販</t>
    <rPh sb="0" eb="2">
      <t>ユメハン</t>
    </rPh>
    <phoneticPr fontId="7"/>
  </si>
  <si>
    <t>JODメルシー0506</t>
    <phoneticPr fontId="7"/>
  </si>
  <si>
    <t>5/6～</t>
    <phoneticPr fontId="7"/>
  </si>
  <si>
    <t>IEI撮影用サンプル</t>
    <rPh sb="3" eb="6">
      <t>サツエイヨウ</t>
    </rPh>
    <phoneticPr fontId="7"/>
  </si>
  <si>
    <t>6/20～</t>
    <phoneticPr fontId="7"/>
  </si>
  <si>
    <t>2022/4/2数伝</t>
    <rPh sb="8" eb="9">
      <t>スウ</t>
    </rPh>
    <rPh sb="9" eb="10">
      <t>デン</t>
    </rPh>
    <phoneticPr fontId="7"/>
  </si>
  <si>
    <t>全国通販検品用返却</t>
    <rPh sb="0" eb="4">
      <t>ゼンコクツウハン</t>
    </rPh>
    <rPh sb="4" eb="7">
      <t>ケンピンヨウ</t>
    </rPh>
    <rPh sb="7" eb="9">
      <t>ヘンキャク</t>
    </rPh>
    <phoneticPr fontId="7"/>
  </si>
  <si>
    <t>グリーンコープ10号差分予測</t>
    <rPh sb="9" eb="10">
      <t>ゴウ</t>
    </rPh>
    <rPh sb="10" eb="14">
      <t>サブンヨソク</t>
    </rPh>
    <phoneticPr fontId="7"/>
  </si>
  <si>
    <t>2022/4/20数伝</t>
    <rPh sb="9" eb="10">
      <t>スウ</t>
    </rPh>
    <rPh sb="10" eb="11">
      <t>デン</t>
    </rPh>
    <phoneticPr fontId="7"/>
  </si>
  <si>
    <t>全国通販W057ﾀﾞｲｼﾞｪｽﾄ</t>
    <rPh sb="0" eb="4">
      <t>ゼンコクツウハン</t>
    </rPh>
    <phoneticPr fontId="7"/>
  </si>
  <si>
    <t>5/25～7/31</t>
    <phoneticPr fontId="7"/>
  </si>
  <si>
    <t>JOD特別号9532</t>
    <rPh sb="3" eb="6">
      <t>トクベツゴウ</t>
    </rPh>
    <phoneticPr fontId="7"/>
  </si>
  <si>
    <t>6/10～</t>
    <phoneticPr fontId="7"/>
  </si>
  <si>
    <t>JOD①</t>
    <phoneticPr fontId="7"/>
  </si>
  <si>
    <t>IEI使ヨカ7月号2色４枚組\7960</t>
    <rPh sb="3" eb="4">
      <t>ツカ</t>
    </rPh>
    <rPh sb="7" eb="9">
      <t>ガツゴウ</t>
    </rPh>
    <rPh sb="10" eb="11">
      <t>ショク</t>
    </rPh>
    <rPh sb="12" eb="14">
      <t>マイグミ</t>
    </rPh>
    <phoneticPr fontId="7"/>
  </si>
  <si>
    <t>7/11～</t>
    <phoneticPr fontId="7"/>
  </si>
  <si>
    <t>ジェス撮影用sample</t>
    <rPh sb="3" eb="6">
      <t>サツエイヨウ</t>
    </rPh>
    <phoneticPr fontId="7"/>
  </si>
  <si>
    <t>JOD②</t>
    <phoneticPr fontId="7"/>
  </si>
  <si>
    <t>JOD③</t>
    <phoneticPr fontId="7"/>
  </si>
  <si>
    <t>グリーンコープ10号不透明未開封①</t>
    <rPh sb="9" eb="10">
      <t>ゴウ</t>
    </rPh>
    <rPh sb="10" eb="13">
      <t>フトウメイ</t>
    </rPh>
    <rPh sb="13" eb="16">
      <t>ミカイフウ</t>
    </rPh>
    <phoneticPr fontId="7"/>
  </si>
  <si>
    <t>JOD④</t>
    <phoneticPr fontId="7"/>
  </si>
  <si>
    <t>JOD⑤</t>
    <phoneticPr fontId="7"/>
  </si>
  <si>
    <t>JOD⑥</t>
    <phoneticPr fontId="7"/>
  </si>
  <si>
    <t>JOD⑦</t>
    <phoneticPr fontId="7"/>
  </si>
  <si>
    <t>JOD⑧</t>
    <phoneticPr fontId="7"/>
  </si>
  <si>
    <t>JODメルシー0625</t>
    <phoneticPr fontId="7"/>
  </si>
  <si>
    <t>6/25～</t>
    <phoneticPr fontId="7"/>
  </si>
  <si>
    <t>JOD⑨</t>
    <phoneticPr fontId="7"/>
  </si>
  <si>
    <t>全国通販①</t>
    <rPh sb="0" eb="4">
      <t>ゼンコクツウハン</t>
    </rPh>
    <phoneticPr fontId="7"/>
  </si>
  <si>
    <t>全国通販②</t>
    <rPh sb="0" eb="4">
      <t>ゼンコクツウハン</t>
    </rPh>
    <phoneticPr fontId="7"/>
  </si>
  <si>
    <t>全国通販③</t>
    <rPh sb="0" eb="4">
      <t>ゼンコクツウハン</t>
    </rPh>
    <phoneticPr fontId="7"/>
  </si>
  <si>
    <t>全国通販④</t>
    <rPh sb="0" eb="4">
      <t>ゼンコクツウハン</t>
    </rPh>
    <phoneticPr fontId="7"/>
  </si>
  <si>
    <t>全国通販⑤</t>
    <rPh sb="0" eb="4">
      <t>ゼンコクツウハン</t>
    </rPh>
    <phoneticPr fontId="7"/>
  </si>
  <si>
    <t>全国通販⑥</t>
    <rPh sb="0" eb="4">
      <t>ゼンコクツウハン</t>
    </rPh>
    <phoneticPr fontId="7"/>
  </si>
  <si>
    <t>JOD⑩</t>
    <phoneticPr fontId="7"/>
  </si>
  <si>
    <t>全国通販⑦</t>
    <rPh sb="0" eb="4">
      <t>ゼンコクツウハン</t>
    </rPh>
    <phoneticPr fontId="7"/>
  </si>
  <si>
    <t>IEI撮影用サンプル返却</t>
    <rPh sb="3" eb="6">
      <t>サツエイヨウ</t>
    </rPh>
    <rPh sb="10" eb="12">
      <t>ヘンキャク</t>
    </rPh>
    <phoneticPr fontId="7"/>
  </si>
  <si>
    <t>JOD⑪</t>
    <phoneticPr fontId="7"/>
  </si>
  <si>
    <t>グリーンコープ10号不透明未開封②</t>
    <rPh sb="9" eb="10">
      <t>ゴウ</t>
    </rPh>
    <rPh sb="10" eb="13">
      <t>フトウメイ</t>
    </rPh>
    <rPh sb="13" eb="16">
      <t>ミカイフウ</t>
    </rPh>
    <phoneticPr fontId="7"/>
  </si>
  <si>
    <t>JOD⑫</t>
    <phoneticPr fontId="7"/>
  </si>
  <si>
    <t>JOD⑬</t>
    <phoneticPr fontId="7"/>
  </si>
  <si>
    <t>グリーンコープ10号不透明未開封③</t>
    <rPh sb="9" eb="10">
      <t>ゴウ</t>
    </rPh>
    <rPh sb="10" eb="13">
      <t>フトウメイ</t>
    </rPh>
    <rPh sb="13" eb="16">
      <t>ミカイフウ</t>
    </rPh>
    <phoneticPr fontId="7"/>
  </si>
  <si>
    <t>全国通販⑧</t>
    <rPh sb="0" eb="4">
      <t>ゼンコクツウハン</t>
    </rPh>
    <phoneticPr fontId="7"/>
  </si>
  <si>
    <t>ジェス8月（京都通販本誌・チラシ）</t>
    <rPh sb="4" eb="5">
      <t>ガツ</t>
    </rPh>
    <rPh sb="6" eb="12">
      <t>キョウトツウハンホンシ</t>
    </rPh>
    <phoneticPr fontId="7"/>
  </si>
  <si>
    <t>8/16～</t>
    <phoneticPr fontId="7"/>
  </si>
  <si>
    <t>千趣会CRAS7月号①</t>
    <rPh sb="0" eb="3">
      <t>センシュカイ</t>
    </rPh>
    <rPh sb="8" eb="10">
      <t>ガツゴウ</t>
    </rPh>
    <phoneticPr fontId="7"/>
  </si>
  <si>
    <t>JOD⑭</t>
    <phoneticPr fontId="7"/>
  </si>
  <si>
    <t>JOD特別版0707</t>
    <rPh sb="3" eb="5">
      <t>トクベツ</t>
    </rPh>
    <rPh sb="5" eb="6">
      <t>バン</t>
    </rPh>
    <phoneticPr fontId="7"/>
  </si>
  <si>
    <t>全国通販22年8月ことせ①</t>
    <rPh sb="0" eb="4">
      <t>ゼンコクツウハン</t>
    </rPh>
    <rPh sb="6" eb="7">
      <t>ネン</t>
    </rPh>
    <rPh sb="8" eb="9">
      <t>ガツ</t>
    </rPh>
    <phoneticPr fontId="7"/>
  </si>
  <si>
    <t>JOD⑮</t>
    <phoneticPr fontId="7"/>
  </si>
  <si>
    <t>JOD⑯</t>
    <phoneticPr fontId="7"/>
  </si>
  <si>
    <t>JOD⑰</t>
    <phoneticPr fontId="7"/>
  </si>
  <si>
    <t>JOD⑱</t>
    <phoneticPr fontId="7"/>
  </si>
  <si>
    <t>JOD⑲</t>
    <phoneticPr fontId="7"/>
  </si>
  <si>
    <t>全国通販⑨</t>
    <rPh sb="0" eb="4">
      <t>ゼンコクツウハン</t>
    </rPh>
    <phoneticPr fontId="7"/>
  </si>
  <si>
    <t>全国通販⑩</t>
    <rPh sb="0" eb="4">
      <t>ゼンコクツウハン</t>
    </rPh>
    <phoneticPr fontId="7"/>
  </si>
  <si>
    <t>JOD⑳</t>
    <phoneticPr fontId="7"/>
  </si>
  <si>
    <t>JOD返品</t>
    <rPh sb="3" eb="5">
      <t>ヘンピン</t>
    </rPh>
    <phoneticPr fontId="3"/>
  </si>
  <si>
    <t>2022/6/10伝数</t>
    <rPh sb="9" eb="11">
      <t>デンスウ</t>
    </rPh>
    <phoneticPr fontId="7"/>
  </si>
  <si>
    <t>JOD㉑</t>
    <phoneticPr fontId="7"/>
  </si>
  <si>
    <t>全国通販⑪</t>
    <rPh sb="0" eb="4">
      <t>ゼンコクツウハン</t>
    </rPh>
    <phoneticPr fontId="7"/>
  </si>
  <si>
    <t>全国通販総数差引数</t>
    <rPh sb="0" eb="2">
      <t>ゼンコク</t>
    </rPh>
    <rPh sb="2" eb="4">
      <t>ツウハン</t>
    </rPh>
    <rPh sb="4" eb="6">
      <t>ソウスウ</t>
    </rPh>
    <rPh sb="6" eb="8">
      <t>サシヒキ</t>
    </rPh>
    <rPh sb="8" eb="9">
      <t>スウ</t>
    </rPh>
    <phoneticPr fontId="7"/>
  </si>
  <si>
    <t>KPORT</t>
    <phoneticPr fontId="7"/>
  </si>
  <si>
    <t>夢販</t>
    <rPh sb="0" eb="2">
      <t>ユメハン</t>
    </rPh>
    <phoneticPr fontId="3"/>
  </si>
  <si>
    <t>JOD㉒</t>
    <phoneticPr fontId="7"/>
  </si>
  <si>
    <t>JOD㉓</t>
    <phoneticPr fontId="7"/>
  </si>
  <si>
    <t>JOD㉔</t>
    <phoneticPr fontId="7"/>
  </si>
  <si>
    <t>千趣会CRAS7月号②</t>
    <rPh sb="0" eb="3">
      <t>センシュカイ</t>
    </rPh>
    <rPh sb="8" eb="10">
      <t>ガツゴウ</t>
    </rPh>
    <phoneticPr fontId="7"/>
  </si>
  <si>
    <t>千趣会CRAS7月号③</t>
    <rPh sb="0" eb="3">
      <t>センシュカイ</t>
    </rPh>
    <rPh sb="8" eb="10">
      <t>ガツゴウ</t>
    </rPh>
    <phoneticPr fontId="7"/>
  </si>
  <si>
    <t>JOD㉕</t>
    <phoneticPr fontId="7"/>
  </si>
  <si>
    <t>千趣会CRAS7月号④</t>
    <rPh sb="0" eb="3">
      <t>センシュカイ</t>
    </rPh>
    <rPh sb="8" eb="10">
      <t>ガツゴウ</t>
    </rPh>
    <phoneticPr fontId="7"/>
  </si>
  <si>
    <t>JOD㉖</t>
    <phoneticPr fontId="7"/>
  </si>
  <si>
    <t>JOD㉗</t>
    <phoneticPr fontId="7"/>
  </si>
  <si>
    <t>JOD㉘</t>
    <phoneticPr fontId="7"/>
  </si>
  <si>
    <t>IEI使ヨカ7月号2色４枚組\7960①</t>
    <rPh sb="3" eb="4">
      <t>ツカ</t>
    </rPh>
    <rPh sb="7" eb="9">
      <t>ガツゴウ</t>
    </rPh>
    <rPh sb="10" eb="11">
      <t>ショク</t>
    </rPh>
    <rPh sb="12" eb="14">
      <t>マイグミ</t>
    </rPh>
    <phoneticPr fontId="7"/>
  </si>
  <si>
    <t>JOD㉙</t>
    <phoneticPr fontId="7"/>
  </si>
  <si>
    <t>JOD㉚</t>
    <phoneticPr fontId="7"/>
  </si>
  <si>
    <t>JOD㉛</t>
    <phoneticPr fontId="7"/>
  </si>
  <si>
    <t>JOD㉜</t>
    <phoneticPr fontId="7"/>
  </si>
  <si>
    <t>千趣会返品</t>
    <rPh sb="0" eb="3">
      <t>センシュカイ</t>
    </rPh>
    <rPh sb="3" eb="5">
      <t>ヘンピン</t>
    </rPh>
    <phoneticPr fontId="3"/>
  </si>
  <si>
    <t>JOD㉝（西濃）</t>
    <rPh sb="5" eb="7">
      <t>セイノウ</t>
    </rPh>
    <phoneticPr fontId="7"/>
  </si>
  <si>
    <t>JOD㉝</t>
    <phoneticPr fontId="7"/>
  </si>
  <si>
    <t>JOD㉞</t>
    <phoneticPr fontId="7"/>
  </si>
  <si>
    <t>JOD㉟</t>
    <phoneticPr fontId="7"/>
  </si>
  <si>
    <t>JOD㊱</t>
    <phoneticPr fontId="7"/>
  </si>
  <si>
    <t>JOD㉞（西濃）</t>
    <rPh sb="5" eb="7">
      <t>セイノウ</t>
    </rPh>
    <phoneticPr fontId="7"/>
  </si>
  <si>
    <t>JOD㊲</t>
    <phoneticPr fontId="7"/>
  </si>
  <si>
    <t>サンプル返却</t>
    <rPh sb="4" eb="6">
      <t>ヘンキャク</t>
    </rPh>
    <phoneticPr fontId="3"/>
  </si>
  <si>
    <t>電話注文</t>
    <rPh sb="0" eb="4">
      <t>デンワチュウモン</t>
    </rPh>
    <phoneticPr fontId="7"/>
  </si>
  <si>
    <t>IEI使ヨカ7月号2色４枚組\7960②</t>
    <rPh sb="3" eb="4">
      <t>ツカ</t>
    </rPh>
    <rPh sb="7" eb="9">
      <t>ガツゴウ</t>
    </rPh>
    <rPh sb="10" eb="11">
      <t>ショク</t>
    </rPh>
    <rPh sb="12" eb="14">
      <t>マイグミ</t>
    </rPh>
    <phoneticPr fontId="7"/>
  </si>
  <si>
    <t>JOD㊳</t>
    <phoneticPr fontId="7"/>
  </si>
  <si>
    <t>IEI使ヨカ7月号差分予測</t>
    <rPh sb="3" eb="4">
      <t>ツカ</t>
    </rPh>
    <rPh sb="7" eb="9">
      <t>ガツゴウ</t>
    </rPh>
    <rPh sb="9" eb="11">
      <t>サブン</t>
    </rPh>
    <rPh sb="11" eb="13">
      <t>ヨソク</t>
    </rPh>
    <phoneticPr fontId="7"/>
  </si>
  <si>
    <t>7/6～.</t>
    <phoneticPr fontId="7"/>
  </si>
  <si>
    <t>JOD㊴</t>
    <phoneticPr fontId="7"/>
  </si>
  <si>
    <t>IEI使ヨカ7月号2色４枚組\7960③</t>
    <rPh sb="3" eb="4">
      <t>ツカ</t>
    </rPh>
    <rPh sb="7" eb="9">
      <t>ガツゴウ</t>
    </rPh>
    <rPh sb="10" eb="11">
      <t>ショク</t>
    </rPh>
    <rPh sb="12" eb="14">
      <t>マイグミ</t>
    </rPh>
    <phoneticPr fontId="7"/>
  </si>
  <si>
    <t>全国通販</t>
    <rPh sb="0" eb="4">
      <t>ゼンコクツウハン</t>
    </rPh>
    <phoneticPr fontId="7"/>
  </si>
  <si>
    <t>JOD㊵</t>
    <phoneticPr fontId="7"/>
  </si>
  <si>
    <t>JOD㊶</t>
    <phoneticPr fontId="7"/>
  </si>
  <si>
    <t>JOD</t>
    <phoneticPr fontId="7"/>
  </si>
  <si>
    <t>JOD㊷</t>
    <phoneticPr fontId="7"/>
  </si>
  <si>
    <t>JOD㊸（西濃）</t>
    <rPh sb="5" eb="7">
      <t>セイノウ</t>
    </rPh>
    <phoneticPr fontId="7"/>
  </si>
  <si>
    <t>JOD㊸</t>
    <phoneticPr fontId="7"/>
  </si>
  <si>
    <t>JOD㊹</t>
    <phoneticPr fontId="7"/>
  </si>
  <si>
    <t>JOD㊺</t>
    <phoneticPr fontId="7"/>
  </si>
  <si>
    <t>IEI返品交換</t>
    <rPh sb="3" eb="5">
      <t>ヘンピン</t>
    </rPh>
    <rPh sb="5" eb="7">
      <t>コウカン</t>
    </rPh>
    <phoneticPr fontId="3"/>
  </si>
  <si>
    <t>確保分移動</t>
    <rPh sb="0" eb="2">
      <t>カクホ</t>
    </rPh>
    <rPh sb="2" eb="3">
      <t>ブン</t>
    </rPh>
    <rPh sb="3" eb="5">
      <t>イドウ</t>
    </rPh>
    <phoneticPr fontId="3"/>
  </si>
  <si>
    <t>KPORT</t>
    <phoneticPr fontId="7"/>
  </si>
  <si>
    <t>JOD㊻</t>
    <phoneticPr fontId="7"/>
  </si>
  <si>
    <t>JOD㊼</t>
    <phoneticPr fontId="7"/>
  </si>
  <si>
    <t>JOD㊽</t>
    <phoneticPr fontId="7"/>
  </si>
  <si>
    <t>夢販（IEI交換分）</t>
    <rPh sb="0" eb="2">
      <t>ユメハン</t>
    </rPh>
    <rPh sb="6" eb="9">
      <t>コウカンブン</t>
    </rPh>
    <phoneticPr fontId="7"/>
  </si>
  <si>
    <t>IEI使ヨカ7月号2色４枚組\7960④</t>
    <rPh sb="3" eb="4">
      <t>ツカ</t>
    </rPh>
    <rPh sb="7" eb="9">
      <t>ガツゴウ</t>
    </rPh>
    <rPh sb="10" eb="11">
      <t>ショク</t>
    </rPh>
    <rPh sb="12" eb="14">
      <t>マイグミ</t>
    </rPh>
    <phoneticPr fontId="7"/>
  </si>
  <si>
    <t>JOD㊾</t>
    <phoneticPr fontId="7"/>
  </si>
  <si>
    <t>IEI返品</t>
    <rPh sb="3" eb="5">
      <t>ヘンピン</t>
    </rPh>
    <phoneticPr fontId="3"/>
  </si>
  <si>
    <t>ジェス返品</t>
    <rPh sb="3" eb="5">
      <t>ヘンピン</t>
    </rPh>
    <phoneticPr fontId="3"/>
  </si>
  <si>
    <t>丸藤返品</t>
    <rPh sb="0" eb="4">
      <t>マルフジヘンピン</t>
    </rPh>
    <phoneticPr fontId="3"/>
  </si>
  <si>
    <t>IEI使ヨカ7月号2色４枚組\7960⑤</t>
    <rPh sb="3" eb="4">
      <t>ツカ</t>
    </rPh>
    <rPh sb="7" eb="9">
      <t>ガツゴウ</t>
    </rPh>
    <rPh sb="10" eb="11">
      <t>ショク</t>
    </rPh>
    <rPh sb="12" eb="14">
      <t>マイグミ</t>
    </rPh>
    <phoneticPr fontId="7"/>
  </si>
  <si>
    <t>ジェス①</t>
    <phoneticPr fontId="7"/>
  </si>
  <si>
    <t>在庫確認</t>
    <rPh sb="0" eb="4">
      <t>ザイコカクニン</t>
    </rPh>
    <phoneticPr fontId="3"/>
  </si>
  <si>
    <t>ジェス②</t>
    <phoneticPr fontId="7"/>
  </si>
  <si>
    <t>ジェス③</t>
    <phoneticPr fontId="7"/>
  </si>
  <si>
    <t>夢販</t>
    <rPh sb="0" eb="2">
      <t>ユメハン</t>
    </rPh>
    <phoneticPr fontId="7"/>
  </si>
  <si>
    <t>ジェス④</t>
    <phoneticPr fontId="7"/>
  </si>
  <si>
    <t>ジェス⑤</t>
    <phoneticPr fontId="7"/>
  </si>
  <si>
    <t>全国通販返品</t>
    <rPh sb="0" eb="4">
      <t>ゼンコクツウハン</t>
    </rPh>
    <rPh sb="4" eb="6">
      <t>ヘンピン</t>
    </rPh>
    <phoneticPr fontId="3"/>
  </si>
  <si>
    <t>ジェス⑥</t>
    <phoneticPr fontId="7"/>
  </si>
  <si>
    <t>ジェス⑦</t>
    <phoneticPr fontId="7"/>
  </si>
  <si>
    <t>＜No.1822　綿ジャガード前開きブラ＞KPORT在庫"2p\4300</t>
    <rPh sb="9" eb="10">
      <t>メン</t>
    </rPh>
    <rPh sb="15" eb="17">
      <t>マエヒラ</t>
    </rPh>
    <rPh sb="26" eb="28">
      <t>ザイコ</t>
    </rPh>
    <phoneticPr fontId="3"/>
  </si>
  <si>
    <t>＜No.1822　綿ジャガード前開きブラ＞夢販在庫2p\4300</t>
    <rPh sb="9" eb="10">
      <t>メン</t>
    </rPh>
    <rPh sb="15" eb="17">
      <t>マエヒラ</t>
    </rPh>
    <rPh sb="21" eb="22">
      <t>ユメ</t>
    </rPh>
    <rPh sb="22" eb="23">
      <t>ハン</t>
    </rPh>
    <rPh sb="23" eb="25">
      <t>ザイコ</t>
    </rPh>
    <phoneticPr fontId="3"/>
  </si>
  <si>
    <t>追加4-1</t>
    <rPh sb="0" eb="2">
      <t>ツイカ</t>
    </rPh>
    <phoneticPr fontId="3"/>
  </si>
  <si>
    <t>追加4-2</t>
    <rPh sb="0" eb="2">
      <t>ツイカ</t>
    </rPh>
    <phoneticPr fontId="3"/>
  </si>
  <si>
    <t>追加4-3</t>
    <rPh sb="0" eb="2">
      <t>ツイカ</t>
    </rPh>
    <phoneticPr fontId="3"/>
  </si>
  <si>
    <t>追加4-4</t>
    <rPh sb="0" eb="2">
      <t>ツイカ</t>
    </rPh>
    <phoneticPr fontId="3"/>
  </si>
  <si>
    <t>全国通販撮影用sample</t>
    <rPh sb="0" eb="4">
      <t>ゼンコクツウハン</t>
    </rPh>
    <rPh sb="4" eb="7">
      <t>サツエイヨウ</t>
    </rPh>
    <phoneticPr fontId="7"/>
  </si>
  <si>
    <t>ディノスsample</t>
    <phoneticPr fontId="7"/>
  </si>
  <si>
    <t>ディノス盛夏号</t>
    <rPh sb="4" eb="6">
      <t>セイカ</t>
    </rPh>
    <rPh sb="6" eb="7">
      <t>ゴウ</t>
    </rPh>
    <phoneticPr fontId="7"/>
  </si>
  <si>
    <t>5/30～</t>
    <phoneticPr fontId="7"/>
  </si>
  <si>
    <t>全国通販sample</t>
    <rPh sb="0" eb="4">
      <t>ゼンコクツウハン</t>
    </rPh>
    <phoneticPr fontId="7"/>
  </si>
  <si>
    <t>ディノス製品検査</t>
    <rPh sb="4" eb="8">
      <t>セイヒンケンサ</t>
    </rPh>
    <phoneticPr fontId="7"/>
  </si>
  <si>
    <t>丸藤（九州）sample</t>
    <rPh sb="0" eb="2">
      <t>マルフジ</t>
    </rPh>
    <rPh sb="3" eb="5">
      <t>キュウシュウ</t>
    </rPh>
    <phoneticPr fontId="7"/>
  </si>
  <si>
    <t>全国通販2279テスト4月</t>
    <rPh sb="0" eb="4">
      <t>ゼンコクツウハン</t>
    </rPh>
    <rPh sb="12" eb="13">
      <t>ガツ</t>
    </rPh>
    <phoneticPr fontId="7"/>
  </si>
  <si>
    <t>全国通販2162号健康と暮らし</t>
    <rPh sb="0" eb="4">
      <t>ゼンコクツウハン</t>
    </rPh>
    <rPh sb="8" eb="9">
      <t>ゴウ</t>
    </rPh>
    <rPh sb="9" eb="11">
      <t>ケンコウ</t>
    </rPh>
    <rPh sb="12" eb="13">
      <t>ク</t>
    </rPh>
    <phoneticPr fontId="7"/>
  </si>
  <si>
    <t>6/1～</t>
    <phoneticPr fontId="7"/>
  </si>
  <si>
    <t>毎日が発見サンプル</t>
    <rPh sb="0" eb="2">
      <t>マイニチ</t>
    </rPh>
    <rPh sb="3" eb="5">
      <t>ハッケン</t>
    </rPh>
    <phoneticPr fontId="7"/>
  </si>
  <si>
    <t>JOD特別版0326</t>
    <rPh sb="3" eb="6">
      <t>トクベツバン</t>
    </rPh>
    <phoneticPr fontId="7"/>
  </si>
  <si>
    <t>3/25～</t>
    <phoneticPr fontId="7"/>
  </si>
  <si>
    <t>点5/16、アバウト5/23、本5/25・29</t>
    <rPh sb="0" eb="1">
      <t>テン</t>
    </rPh>
    <rPh sb="15" eb="16">
      <t>ホン</t>
    </rPh>
    <phoneticPr fontId="7"/>
  </si>
  <si>
    <t>グリーンコープ5月10号差分予測</t>
    <rPh sb="8" eb="9">
      <t>ガツ</t>
    </rPh>
    <rPh sb="11" eb="12">
      <t>ゴウ</t>
    </rPh>
    <rPh sb="12" eb="16">
      <t>サブンヨソク</t>
    </rPh>
    <phoneticPr fontId="7"/>
  </si>
  <si>
    <t>全国通販2289テスト5月</t>
    <rPh sb="0" eb="4">
      <t>ゼンコクツウハン</t>
    </rPh>
    <rPh sb="12" eb="13">
      <t>ガツ</t>
    </rPh>
    <phoneticPr fontId="7"/>
  </si>
  <si>
    <t>5/2～7/31</t>
    <phoneticPr fontId="7"/>
  </si>
  <si>
    <t>毎日が発見撮影用sample</t>
    <rPh sb="0" eb="2">
      <t>マイニチ</t>
    </rPh>
    <rPh sb="3" eb="5">
      <t>ハッケン</t>
    </rPh>
    <rPh sb="5" eb="8">
      <t>サツエイヨウ</t>
    </rPh>
    <phoneticPr fontId="7"/>
  </si>
  <si>
    <t>JOD特別号9565</t>
    <rPh sb="3" eb="6">
      <t>トクベツゴウ</t>
    </rPh>
    <phoneticPr fontId="7"/>
  </si>
  <si>
    <t>4/20～</t>
    <phoneticPr fontId="7"/>
  </si>
  <si>
    <t>JOD特別版0416</t>
    <rPh sb="3" eb="6">
      <t>トクベツバン</t>
    </rPh>
    <phoneticPr fontId="7"/>
  </si>
  <si>
    <t>4/15～</t>
    <phoneticPr fontId="7"/>
  </si>
  <si>
    <t>全国通販①</t>
    <rPh sb="0" eb="4">
      <t>ゼンコクツウハン</t>
    </rPh>
    <phoneticPr fontId="7"/>
  </si>
  <si>
    <t>5/15～</t>
    <phoneticPr fontId="7"/>
  </si>
  <si>
    <t>ディノス盛夏号差分予測</t>
    <rPh sb="4" eb="6">
      <t>セイカ</t>
    </rPh>
    <rPh sb="6" eb="7">
      <t>ゴウ</t>
    </rPh>
    <rPh sb="7" eb="11">
      <t>サブンヨソク</t>
    </rPh>
    <phoneticPr fontId="7"/>
  </si>
  <si>
    <t>毎日が発見サンプル返却</t>
    <rPh sb="0" eb="2">
      <t>マイニチ</t>
    </rPh>
    <rPh sb="3" eb="5">
      <t>ハッケン</t>
    </rPh>
    <rPh sb="9" eb="11">
      <t>ヘンキャク</t>
    </rPh>
    <phoneticPr fontId="7"/>
  </si>
  <si>
    <t>2022/3/20数伝</t>
    <rPh sb="9" eb="10">
      <t>スウ</t>
    </rPh>
    <rPh sb="10" eb="11">
      <t>デン</t>
    </rPh>
    <phoneticPr fontId="7"/>
  </si>
  <si>
    <t>JOD①</t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</si>
  <si>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</si>
  <si>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</si>
  <si>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</si>
  <si>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</si>
  <si>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JOD⑥</t>
    <phoneticPr fontId="7"/>
  </si>
  <si>
    <t>JOD⑦</t>
    <phoneticPr fontId="7"/>
  </si>
  <si>
    <t>JODアクセス7093</t>
    <phoneticPr fontId="7"/>
  </si>
  <si>
    <t>6/15～</t>
    <phoneticPr fontId="7"/>
  </si>
  <si>
    <t>JOD⑧</t>
    <phoneticPr fontId="7"/>
  </si>
  <si>
    <t>IEI色合わせ用サンプル</t>
    <rPh sb="3" eb="5">
      <t>イロア</t>
    </rPh>
    <rPh sb="7" eb="8">
      <t>ヨウ</t>
    </rPh>
    <phoneticPr fontId="7"/>
  </si>
  <si>
    <t>JODメルシー0525</t>
    <phoneticPr fontId="7"/>
  </si>
  <si>
    <t>5/25～</t>
    <phoneticPr fontId="7"/>
  </si>
  <si>
    <t>JOD⑨</t>
    <phoneticPr fontId="7"/>
  </si>
  <si>
    <t>JOD⑪</t>
    <phoneticPr fontId="7"/>
  </si>
  <si>
    <t>JOD⑫</t>
    <phoneticPr fontId="7"/>
  </si>
  <si>
    <t>はぴねすくらぶsample</t>
    <phoneticPr fontId="7"/>
  </si>
  <si>
    <t>JODメルシー0406</t>
    <phoneticPr fontId="7"/>
  </si>
  <si>
    <t>4/6～</t>
    <phoneticPr fontId="7"/>
  </si>
  <si>
    <t>JOD⑬</t>
    <phoneticPr fontId="7"/>
  </si>
  <si>
    <t>ディノス盛夏号①-1事前</t>
    <rPh sb="4" eb="6">
      <t>セイカ</t>
    </rPh>
    <rPh sb="6" eb="7">
      <t>ゴウ</t>
    </rPh>
    <rPh sb="10" eb="12">
      <t>ジゼン</t>
    </rPh>
    <phoneticPr fontId="7"/>
  </si>
  <si>
    <t>ディノス盛夏号①-2事前</t>
    <rPh sb="4" eb="6">
      <t>セイカ</t>
    </rPh>
    <rPh sb="6" eb="7">
      <t>ゴウ</t>
    </rPh>
    <rPh sb="10" eb="12">
      <t>ジゼン</t>
    </rPh>
    <phoneticPr fontId="7"/>
  </si>
  <si>
    <t>JOD⑭</t>
    <phoneticPr fontId="7"/>
  </si>
  <si>
    <t>JOD⑮</t>
    <phoneticPr fontId="7"/>
  </si>
  <si>
    <t>JOD⑯</t>
    <phoneticPr fontId="7"/>
  </si>
  <si>
    <t>JOD⑰</t>
    <phoneticPr fontId="7"/>
  </si>
  <si>
    <t>JOD特別号9569</t>
    <rPh sb="3" eb="6">
      <t>トクベツゴウ</t>
    </rPh>
    <phoneticPr fontId="7"/>
  </si>
  <si>
    <t>JOD⑱</t>
    <phoneticPr fontId="7"/>
  </si>
  <si>
    <t>JOD⑲</t>
    <phoneticPr fontId="7"/>
  </si>
  <si>
    <t>JOD⑳</t>
    <phoneticPr fontId="7"/>
  </si>
  <si>
    <t>JOD㉑</t>
    <phoneticPr fontId="7"/>
  </si>
  <si>
    <t>2023/5/1数伝</t>
    <rPh sb="8" eb="9">
      <t>スウ</t>
    </rPh>
    <rPh sb="9" eb="10">
      <t>デン</t>
    </rPh>
    <phoneticPr fontId="7"/>
  </si>
  <si>
    <t>JOD㉒</t>
    <phoneticPr fontId="7"/>
  </si>
  <si>
    <t>JOD特別号R9884</t>
    <rPh sb="3" eb="6">
      <t>トクベツゴウ</t>
    </rPh>
    <phoneticPr fontId="7"/>
  </si>
  <si>
    <t>JOD㉓</t>
    <phoneticPr fontId="7"/>
  </si>
  <si>
    <t>JOD㉔</t>
    <phoneticPr fontId="7"/>
  </si>
  <si>
    <t>JOD㉕</t>
    <phoneticPr fontId="7"/>
  </si>
  <si>
    <t>毎日が発見7月号</t>
    <rPh sb="0" eb="2">
      <t>マイニチ</t>
    </rPh>
    <rPh sb="3" eb="5">
      <t>ハッケン</t>
    </rPh>
    <rPh sb="6" eb="7">
      <t>ゴウ</t>
    </rPh>
    <phoneticPr fontId="7"/>
  </si>
  <si>
    <t>JOD㉖（西濃）</t>
    <rPh sb="5" eb="7">
      <t>セイノウ</t>
    </rPh>
    <phoneticPr fontId="7"/>
  </si>
  <si>
    <t>JOD㉖</t>
    <phoneticPr fontId="7"/>
  </si>
  <si>
    <t>夢販</t>
    <rPh sb="0" eb="2">
      <t>ユメハン</t>
    </rPh>
    <phoneticPr fontId="7"/>
  </si>
  <si>
    <t>電話注文</t>
    <rPh sb="0" eb="4">
      <t>デンワチュウモン</t>
    </rPh>
    <phoneticPr fontId="7"/>
  </si>
  <si>
    <t>JOD㉗</t>
    <phoneticPr fontId="7"/>
  </si>
  <si>
    <r>
      <t>IEI使ってヨカッタ5月号</t>
    </r>
    <r>
      <rPr>
        <b/>
        <sz val="11"/>
        <rFont val="ＭＳ Ｐゴシック"/>
        <family val="3"/>
        <charset val="128"/>
      </rPr>
      <t>2色4枚組①</t>
    </r>
    <rPh sb="3" eb="4">
      <t>ツカ</t>
    </rPh>
    <rPh sb="11" eb="13">
      <t>ガツゴウ</t>
    </rPh>
    <rPh sb="14" eb="15">
      <t>ショク</t>
    </rPh>
    <rPh sb="16" eb="17">
      <t>マイ</t>
    </rPh>
    <rPh sb="17" eb="18">
      <t>クミ</t>
    </rPh>
    <phoneticPr fontId="7"/>
  </si>
  <si>
    <t>JOD㉘</t>
    <phoneticPr fontId="7"/>
  </si>
  <si>
    <r>
      <t>グリーンコープ5月10号</t>
    </r>
    <r>
      <rPr>
        <b/>
        <sz val="11"/>
        <rFont val="ＭＳ Ｐゴシック"/>
        <family val="3"/>
        <charset val="128"/>
      </rPr>
      <t>不透明袋①</t>
    </r>
    <rPh sb="8" eb="9">
      <t>ガツ</t>
    </rPh>
    <rPh sb="11" eb="12">
      <t>ゴウ</t>
    </rPh>
    <rPh sb="12" eb="16">
      <t>フトウメイフクロ</t>
    </rPh>
    <phoneticPr fontId="7"/>
  </si>
  <si>
    <t>JOD㉙</t>
    <phoneticPr fontId="7"/>
  </si>
  <si>
    <t>JOD㉚</t>
    <phoneticPr fontId="7"/>
  </si>
  <si>
    <t>JOD㉛</t>
    <phoneticPr fontId="7"/>
  </si>
  <si>
    <t>グリーンコープ8月22号</t>
    <rPh sb="8" eb="9">
      <t>ガツ</t>
    </rPh>
    <rPh sb="11" eb="12">
      <t>ゴウ</t>
    </rPh>
    <phoneticPr fontId="7"/>
  </si>
  <si>
    <t>点8/8、アバウト8/15、本8/17、21</t>
    <rPh sb="0" eb="1">
      <t>テン</t>
    </rPh>
    <rPh sb="14" eb="15">
      <t>ホン</t>
    </rPh>
    <phoneticPr fontId="7"/>
  </si>
  <si>
    <t>6/22～10/15</t>
    <phoneticPr fontId="7"/>
  </si>
  <si>
    <t>JOD㉜</t>
    <phoneticPr fontId="7"/>
  </si>
  <si>
    <t>JOD㉝</t>
    <phoneticPr fontId="7"/>
  </si>
  <si>
    <t>JOD㉞</t>
    <phoneticPr fontId="7"/>
  </si>
  <si>
    <r>
      <t>グリーンコープ5月10号</t>
    </r>
    <r>
      <rPr>
        <b/>
        <sz val="11"/>
        <rFont val="ＭＳ Ｐゴシック"/>
        <family val="3"/>
        <charset val="128"/>
      </rPr>
      <t>不透明袋②</t>
    </r>
    <rPh sb="8" eb="9">
      <t>ガツ</t>
    </rPh>
    <rPh sb="11" eb="12">
      <t>ゴウ</t>
    </rPh>
    <rPh sb="12" eb="16">
      <t>フトウメイフクロ</t>
    </rPh>
    <phoneticPr fontId="7"/>
  </si>
  <si>
    <t>JOD㉟</t>
    <phoneticPr fontId="7"/>
  </si>
  <si>
    <r>
      <t>グリーンコープ5月10号</t>
    </r>
    <r>
      <rPr>
        <b/>
        <sz val="11"/>
        <rFont val="ＭＳ Ｐゴシック"/>
        <family val="3"/>
        <charset val="128"/>
      </rPr>
      <t>不透明袋</t>
    </r>
    <rPh sb="8" eb="9">
      <t>ガツ</t>
    </rPh>
    <rPh sb="11" eb="12">
      <t>ゴウ</t>
    </rPh>
    <rPh sb="12" eb="16">
      <t>フトウメイフクロ</t>
    </rPh>
    <phoneticPr fontId="7"/>
  </si>
  <si>
    <r>
      <t>グリーンコープ5月10号</t>
    </r>
    <r>
      <rPr>
        <b/>
        <sz val="11"/>
        <rFont val="ＭＳ Ｐゴシック"/>
        <family val="3"/>
        <charset val="128"/>
      </rPr>
      <t>不透明袋③</t>
    </r>
    <rPh sb="8" eb="9">
      <t>ガツ</t>
    </rPh>
    <rPh sb="11" eb="12">
      <t>ゴウ</t>
    </rPh>
    <rPh sb="12" eb="16">
      <t>フトウメイフクロ</t>
    </rPh>
    <phoneticPr fontId="7"/>
  </si>
  <si>
    <t>ディノス盛夏号②</t>
    <rPh sb="4" eb="6">
      <t>セイカ</t>
    </rPh>
    <rPh sb="6" eb="7">
      <t>ゴウ</t>
    </rPh>
    <phoneticPr fontId="7"/>
  </si>
  <si>
    <t>JOD㊲</t>
    <phoneticPr fontId="7"/>
  </si>
  <si>
    <t>JOD㊳</t>
    <phoneticPr fontId="7"/>
  </si>
  <si>
    <t>JOD㊴</t>
    <phoneticPr fontId="7"/>
  </si>
  <si>
    <t>JOD㊵</t>
    <phoneticPr fontId="7"/>
  </si>
  <si>
    <t>IEI色合わせ用サンプル返却</t>
    <rPh sb="3" eb="5">
      <t>イロア</t>
    </rPh>
    <rPh sb="7" eb="8">
      <t>ヨウ</t>
    </rPh>
    <rPh sb="12" eb="14">
      <t>ヘンキャク</t>
    </rPh>
    <phoneticPr fontId="7"/>
  </si>
  <si>
    <t>JOD㊶</t>
    <phoneticPr fontId="7"/>
  </si>
  <si>
    <t>JOD㊷</t>
    <phoneticPr fontId="7"/>
  </si>
  <si>
    <t>全国通販ことせ7月2271</t>
    <rPh sb="0" eb="4">
      <t>ゼンコクツウハン</t>
    </rPh>
    <rPh sb="8" eb="9">
      <t>ガツ</t>
    </rPh>
    <phoneticPr fontId="7"/>
  </si>
  <si>
    <t>6/30～9/30</t>
    <phoneticPr fontId="7"/>
  </si>
  <si>
    <t>7月伝票</t>
    <rPh sb="1" eb="2">
      <t>ガツ</t>
    </rPh>
    <rPh sb="2" eb="4">
      <t>デンピョウ</t>
    </rPh>
    <phoneticPr fontId="7"/>
  </si>
  <si>
    <t>全国通販sample返却</t>
    <rPh sb="0" eb="4">
      <t>ゼンコクツウハン</t>
    </rPh>
    <rPh sb="10" eb="12">
      <t>ヘンキャク</t>
    </rPh>
    <phoneticPr fontId="7"/>
  </si>
  <si>
    <t>JOD㊸</t>
    <phoneticPr fontId="7"/>
  </si>
  <si>
    <t>全国通販2162号健康と暮らし①</t>
    <rPh sb="0" eb="4">
      <t>ゼンコクツウハン</t>
    </rPh>
    <rPh sb="8" eb="9">
      <t>ゴウ</t>
    </rPh>
    <rPh sb="9" eb="11">
      <t>ケンコウ</t>
    </rPh>
    <rPh sb="12" eb="13">
      <t>ク</t>
    </rPh>
    <phoneticPr fontId="7"/>
  </si>
  <si>
    <t>IEI交換</t>
    <rPh sb="3" eb="5">
      <t>コウカン</t>
    </rPh>
    <phoneticPr fontId="3"/>
  </si>
  <si>
    <t>全国通販ことせ7月2271①</t>
    <rPh sb="0" eb="4">
      <t>ゼンコクツウハン</t>
    </rPh>
    <rPh sb="8" eb="9">
      <t>ガツ</t>
    </rPh>
    <phoneticPr fontId="7"/>
  </si>
  <si>
    <t>毎日が発見7月号①</t>
    <rPh sb="0" eb="2">
      <t>マイニチ</t>
    </rPh>
    <rPh sb="3" eb="5">
      <t>ハッケン</t>
    </rPh>
    <rPh sb="6" eb="7">
      <t>ゴウ</t>
    </rPh>
    <phoneticPr fontId="7"/>
  </si>
  <si>
    <t>ディノス返品</t>
    <rPh sb="4" eb="6">
      <t>ヘンピン</t>
    </rPh>
    <phoneticPr fontId="3"/>
  </si>
  <si>
    <t>JODアクセス7094</t>
    <phoneticPr fontId="7"/>
  </si>
  <si>
    <t>7/12～</t>
    <phoneticPr fontId="7"/>
  </si>
  <si>
    <t>JOD㊹</t>
    <phoneticPr fontId="7"/>
  </si>
  <si>
    <t>JOD㊺</t>
    <phoneticPr fontId="7"/>
  </si>
  <si>
    <t>2023/6/10数伝</t>
    <rPh sb="9" eb="11">
      <t>スウデン</t>
    </rPh>
    <phoneticPr fontId="7"/>
  </si>
  <si>
    <t>JOD㊻</t>
    <phoneticPr fontId="7"/>
  </si>
  <si>
    <t>ディノス盛夏号③</t>
    <rPh sb="4" eb="6">
      <t>セイカ</t>
    </rPh>
    <rPh sb="6" eb="7">
      <t>ゴウ</t>
    </rPh>
    <phoneticPr fontId="7"/>
  </si>
  <si>
    <r>
      <t>IEI使ってヨカッタ5月号</t>
    </r>
    <r>
      <rPr>
        <b/>
        <sz val="11"/>
        <rFont val="ＭＳ Ｐゴシック"/>
        <family val="3"/>
        <charset val="128"/>
      </rPr>
      <t>2色4枚組</t>
    </r>
    <rPh sb="3" eb="4">
      <t>ツカ</t>
    </rPh>
    <rPh sb="11" eb="13">
      <t>ガツゴウ</t>
    </rPh>
    <rPh sb="14" eb="15">
      <t>ショク</t>
    </rPh>
    <rPh sb="16" eb="17">
      <t>マイ</t>
    </rPh>
    <rPh sb="17" eb="18">
      <t>クミ</t>
    </rPh>
    <phoneticPr fontId="7"/>
  </si>
  <si>
    <t>2023/6/15数伝</t>
    <rPh sb="9" eb="10">
      <t>スウ</t>
    </rPh>
    <rPh sb="10" eb="11">
      <t>デン</t>
    </rPh>
    <phoneticPr fontId="7"/>
  </si>
  <si>
    <t>全国通販ダイジェストW071（佐橋さん）</t>
    <rPh sb="0" eb="4">
      <t>ゼンコクツウハン</t>
    </rPh>
    <rPh sb="15" eb="17">
      <t>サハシ</t>
    </rPh>
    <phoneticPr fontId="7"/>
  </si>
  <si>
    <t>7/25～9/30</t>
    <phoneticPr fontId="7"/>
  </si>
  <si>
    <t>グリーンコープ8月22号差分予測</t>
    <rPh sb="8" eb="9">
      <t>ガツ</t>
    </rPh>
    <rPh sb="11" eb="12">
      <t>ゴウ</t>
    </rPh>
    <rPh sb="12" eb="16">
      <t>サブンヨソク</t>
    </rPh>
    <phoneticPr fontId="7"/>
  </si>
  <si>
    <t>JOD㊽</t>
    <phoneticPr fontId="7"/>
  </si>
  <si>
    <t>JOD㊾</t>
    <phoneticPr fontId="7"/>
  </si>
  <si>
    <t>JOD㊿</t>
    <phoneticPr fontId="7"/>
  </si>
  <si>
    <t>JOD51</t>
    <phoneticPr fontId="7"/>
  </si>
  <si>
    <t>JOD特別版0719</t>
    <rPh sb="3" eb="6">
      <t>トクベツバン</t>
    </rPh>
    <phoneticPr fontId="7"/>
  </si>
  <si>
    <t>7/18～</t>
    <phoneticPr fontId="7"/>
  </si>
  <si>
    <t>JODメルシー0804</t>
    <phoneticPr fontId="7"/>
  </si>
  <si>
    <t>8/4～</t>
    <phoneticPr fontId="7"/>
  </si>
  <si>
    <t>JOD52</t>
    <phoneticPr fontId="7"/>
  </si>
  <si>
    <t>JOD53</t>
    <phoneticPr fontId="7"/>
  </si>
  <si>
    <t>2022/6/27済伝</t>
    <rPh sb="9" eb="10">
      <t>スミ</t>
    </rPh>
    <rPh sb="10" eb="11">
      <t>デン</t>
    </rPh>
    <phoneticPr fontId="7"/>
  </si>
  <si>
    <t>JOD54</t>
    <phoneticPr fontId="7"/>
  </si>
  <si>
    <t>毎日が発見7月号②</t>
    <rPh sb="0" eb="2">
      <t>マイニチ</t>
    </rPh>
    <rPh sb="3" eb="5">
      <t>ハッケン</t>
    </rPh>
    <rPh sb="6" eb="7">
      <t>ゴウ</t>
    </rPh>
    <phoneticPr fontId="7"/>
  </si>
  <si>
    <t>夢販</t>
    <rPh sb="0" eb="2">
      <t>ユメハン</t>
    </rPh>
    <phoneticPr fontId="7"/>
  </si>
  <si>
    <t>JOD55</t>
    <phoneticPr fontId="7"/>
  </si>
  <si>
    <t>JOD56</t>
  </si>
  <si>
    <t>毎日が発見7月号③</t>
    <rPh sb="0" eb="2">
      <t>マイニチ</t>
    </rPh>
    <rPh sb="3" eb="5">
      <t>ハッケン</t>
    </rPh>
    <rPh sb="6" eb="7">
      <t>ゴウ</t>
    </rPh>
    <phoneticPr fontId="7"/>
  </si>
  <si>
    <t>全国通販ことせ7月2271②</t>
    <rPh sb="0" eb="4">
      <t>ゼンコクツウハン</t>
    </rPh>
    <rPh sb="8" eb="9">
      <t>ガツ</t>
    </rPh>
    <phoneticPr fontId="7"/>
  </si>
  <si>
    <t>JOD57</t>
    <phoneticPr fontId="7"/>
  </si>
  <si>
    <t>はぴねすくらぶsample返却</t>
    <rPh sb="13" eb="15">
      <t>ヘンキャク</t>
    </rPh>
    <phoneticPr fontId="7"/>
  </si>
  <si>
    <t>JOD58</t>
  </si>
  <si>
    <t>全国通販ことせ7月2271③</t>
    <rPh sb="0" eb="4">
      <t>ゼンコクツウハン</t>
    </rPh>
    <rPh sb="8" eb="9">
      <t>ガツ</t>
    </rPh>
    <phoneticPr fontId="7"/>
  </si>
  <si>
    <t>JOD59</t>
    <phoneticPr fontId="7"/>
  </si>
  <si>
    <t>JOD59(西濃）</t>
    <rPh sb="6" eb="8">
      <t>セイノウ</t>
    </rPh>
    <phoneticPr fontId="7"/>
  </si>
  <si>
    <t>全国通販ことせ2281</t>
    <rPh sb="0" eb="4">
      <t>ゼンコクツウハン</t>
    </rPh>
    <phoneticPr fontId="7"/>
  </si>
  <si>
    <t>7/28～10/31</t>
    <phoneticPr fontId="7"/>
  </si>
  <si>
    <t>毎日が発見7月号④</t>
    <rPh sb="0" eb="2">
      <t>マイニチ</t>
    </rPh>
    <rPh sb="3" eb="5">
      <t>ハッケン</t>
    </rPh>
    <rPh sb="6" eb="7">
      <t>ゴウ</t>
    </rPh>
    <phoneticPr fontId="7"/>
  </si>
  <si>
    <t>全国通販ことせ7月2271④</t>
    <rPh sb="0" eb="4">
      <t>ゼンコクツウハン</t>
    </rPh>
    <rPh sb="8" eb="9">
      <t>ガツ</t>
    </rPh>
    <phoneticPr fontId="7"/>
  </si>
  <si>
    <t>JOD60</t>
    <phoneticPr fontId="7"/>
  </si>
  <si>
    <t>JOD61</t>
  </si>
  <si>
    <t>毎日が発見7月号⑤</t>
    <rPh sb="0" eb="2">
      <t>マイニチ</t>
    </rPh>
    <rPh sb="3" eb="5">
      <t>ハッケン</t>
    </rPh>
    <rPh sb="6" eb="7">
      <t>ゴウ</t>
    </rPh>
    <phoneticPr fontId="7"/>
  </si>
  <si>
    <t>JOD62</t>
    <phoneticPr fontId="7"/>
  </si>
  <si>
    <t>全国通販ことせ7月2271⑤</t>
    <rPh sb="0" eb="4">
      <t>ゼンコクツウハン</t>
    </rPh>
    <rPh sb="8" eb="9">
      <t>ガツ</t>
    </rPh>
    <phoneticPr fontId="7"/>
  </si>
  <si>
    <t>JOD61</t>
    <phoneticPr fontId="7"/>
  </si>
  <si>
    <t>毎日が発見7月号⑥</t>
    <rPh sb="0" eb="2">
      <t>マイニチ</t>
    </rPh>
    <rPh sb="3" eb="5">
      <t>ハッケン</t>
    </rPh>
    <rPh sb="6" eb="7">
      <t>ゴウ</t>
    </rPh>
    <phoneticPr fontId="7"/>
  </si>
  <si>
    <t>2023/7/11済伝</t>
    <rPh sb="9" eb="10">
      <t>スミ</t>
    </rPh>
    <rPh sb="10" eb="11">
      <t>デン</t>
    </rPh>
    <phoneticPr fontId="7"/>
  </si>
  <si>
    <t>JOD62</t>
  </si>
  <si>
    <t>JOD63</t>
    <phoneticPr fontId="7"/>
  </si>
  <si>
    <t>JOD64(西濃）</t>
    <rPh sb="6" eb="8">
      <t>セイノウ</t>
    </rPh>
    <phoneticPr fontId="7"/>
  </si>
  <si>
    <t>JOD64</t>
  </si>
  <si>
    <t>JOD65</t>
  </si>
  <si>
    <t>毎日が発見7月号⑦</t>
    <rPh sb="0" eb="2">
      <t>マイニチ</t>
    </rPh>
    <rPh sb="3" eb="5">
      <t>ハッケン</t>
    </rPh>
    <rPh sb="6" eb="7">
      <t>ゴウ</t>
    </rPh>
    <phoneticPr fontId="7"/>
  </si>
  <si>
    <t>ここから2ｐ￥4300</t>
    <phoneticPr fontId="7"/>
  </si>
  <si>
    <t>JOD66</t>
    <phoneticPr fontId="7"/>
  </si>
  <si>
    <t>全国通販ことせ7月2271⑥</t>
    <rPh sb="0" eb="4">
      <t>ゼンコクツウハン</t>
    </rPh>
    <rPh sb="8" eb="9">
      <t>ガツ</t>
    </rPh>
    <phoneticPr fontId="7"/>
  </si>
  <si>
    <t>JOD67(西濃）</t>
    <rPh sb="6" eb="8">
      <t>セイノウ</t>
    </rPh>
    <phoneticPr fontId="7"/>
  </si>
  <si>
    <t>JOD67</t>
    <phoneticPr fontId="7"/>
  </si>
  <si>
    <t>全国通販撮影用sample返却</t>
    <rPh sb="0" eb="4">
      <t>ゼンコクツウハン</t>
    </rPh>
    <rPh sb="4" eb="7">
      <t>サツエイヨウ</t>
    </rPh>
    <rPh sb="13" eb="15">
      <t>ヘンキャク</t>
    </rPh>
    <phoneticPr fontId="7"/>
  </si>
  <si>
    <t>ディノスsample返却</t>
    <rPh sb="10" eb="12">
      <t>ヘンキャク</t>
    </rPh>
    <phoneticPr fontId="7"/>
  </si>
  <si>
    <t>JOD68</t>
  </si>
  <si>
    <t>JOD69</t>
  </si>
  <si>
    <t>全国通販ことせ7月2271⑦</t>
    <rPh sb="0" eb="4">
      <t>ゼンコクツウハン</t>
    </rPh>
    <rPh sb="8" eb="9">
      <t>ガツ</t>
    </rPh>
    <phoneticPr fontId="7"/>
  </si>
  <si>
    <t>JOD70</t>
  </si>
  <si>
    <t>毎日が発見7月号⑧</t>
    <rPh sb="0" eb="2">
      <t>マイニチ</t>
    </rPh>
    <rPh sb="3" eb="5">
      <t>ハッケン</t>
    </rPh>
    <rPh sb="6" eb="7">
      <t>ゴウ</t>
    </rPh>
    <phoneticPr fontId="7"/>
  </si>
  <si>
    <t>全国通販ことせ7月2271⑧</t>
    <rPh sb="0" eb="4">
      <t>ゼンコクツウハン</t>
    </rPh>
    <rPh sb="8" eb="9">
      <t>ガツ</t>
    </rPh>
    <phoneticPr fontId="7"/>
  </si>
  <si>
    <t>JOD71</t>
    <phoneticPr fontId="7"/>
  </si>
  <si>
    <t>JOD72</t>
  </si>
  <si>
    <t>毎日が発見7月号⑨</t>
    <rPh sb="0" eb="2">
      <t>マイニチ</t>
    </rPh>
    <rPh sb="3" eb="5">
      <t>ハッケン</t>
    </rPh>
    <rPh sb="6" eb="7">
      <t>ゴウ</t>
    </rPh>
    <phoneticPr fontId="7"/>
  </si>
  <si>
    <t>JOD73</t>
    <phoneticPr fontId="7"/>
  </si>
  <si>
    <t>JOD74</t>
  </si>
  <si>
    <t>全国通販ことせ2281⑨</t>
    <rPh sb="0" eb="4">
      <t>ゼンコクツウハン</t>
    </rPh>
    <phoneticPr fontId="7"/>
  </si>
  <si>
    <t>JOD75</t>
    <phoneticPr fontId="7"/>
  </si>
  <si>
    <t>JOD76</t>
  </si>
  <si>
    <t>グリーンコープ8月22号①</t>
    <rPh sb="8" eb="9">
      <t>ガツ</t>
    </rPh>
    <rPh sb="11" eb="12">
      <t>ゴウ</t>
    </rPh>
    <phoneticPr fontId="7"/>
  </si>
  <si>
    <t>JOD77</t>
    <phoneticPr fontId="7"/>
  </si>
  <si>
    <t>毎日が発見7月号⑩</t>
    <rPh sb="0" eb="2">
      <t>マイニチ</t>
    </rPh>
    <rPh sb="3" eb="5">
      <t>ハッケン</t>
    </rPh>
    <rPh sb="6" eb="7">
      <t>ゴウ</t>
    </rPh>
    <phoneticPr fontId="7"/>
  </si>
  <si>
    <t>全国通販ことせ2281⑩</t>
    <rPh sb="0" eb="4">
      <t>ゼンコクツウハン</t>
    </rPh>
    <phoneticPr fontId="7"/>
  </si>
  <si>
    <t>JOD78</t>
    <phoneticPr fontId="7"/>
  </si>
  <si>
    <t>JOD79</t>
  </si>
  <si>
    <t>グリーンコープ8月22号②</t>
    <rPh sb="8" eb="9">
      <t>ガツ</t>
    </rPh>
    <rPh sb="11" eb="12">
      <t>ゴウ</t>
    </rPh>
    <phoneticPr fontId="7"/>
  </si>
  <si>
    <t>JOD80</t>
    <phoneticPr fontId="7"/>
  </si>
  <si>
    <t>JOD81</t>
  </si>
  <si>
    <t>ディノス盛夏号④</t>
    <rPh sb="4" eb="6">
      <t>セイカ</t>
    </rPh>
    <rPh sb="6" eb="7">
      <t>ゴウ</t>
    </rPh>
    <phoneticPr fontId="7"/>
  </si>
  <si>
    <t>グリーンコープ8月22号③</t>
    <rPh sb="8" eb="9">
      <t>ガツ</t>
    </rPh>
    <rPh sb="11" eb="12">
      <t>ゴウ</t>
    </rPh>
    <phoneticPr fontId="7"/>
  </si>
  <si>
    <t>全国通販ことせ2281⑪</t>
    <rPh sb="0" eb="4">
      <t>ゼンコクツウハン</t>
    </rPh>
    <phoneticPr fontId="7"/>
  </si>
  <si>
    <t>全国通販ことせ2281⑫</t>
    <rPh sb="0" eb="4">
      <t>ゼンコクツウハン</t>
    </rPh>
    <phoneticPr fontId="7"/>
  </si>
  <si>
    <t>JOD82</t>
    <phoneticPr fontId="7"/>
  </si>
  <si>
    <t>JOD83</t>
    <phoneticPr fontId="7"/>
  </si>
  <si>
    <t>全国通販ことせ2281⑬</t>
    <rPh sb="0" eb="4">
      <t>ゼンコクツウハン</t>
    </rPh>
    <phoneticPr fontId="7"/>
  </si>
  <si>
    <t>JOD84</t>
  </si>
  <si>
    <t>JOD85</t>
    <phoneticPr fontId="7"/>
  </si>
  <si>
    <t>毎日が発見7月号⑪</t>
    <rPh sb="0" eb="2">
      <t>マイニチ</t>
    </rPh>
    <rPh sb="3" eb="5">
      <t>ハッケン</t>
    </rPh>
    <rPh sb="6" eb="7">
      <t>ゴウ</t>
    </rPh>
    <phoneticPr fontId="7"/>
  </si>
  <si>
    <t>JOD86</t>
    <phoneticPr fontId="7"/>
  </si>
  <si>
    <t>全国通販ことせ2281⑭</t>
    <rPh sb="0" eb="4">
      <t>ゼンコクツウハン</t>
    </rPh>
    <phoneticPr fontId="7"/>
  </si>
  <si>
    <t>＜No.1822　綿ジャガード前開きブラ＞KPORT在庫 1P@685  2p\4300</t>
    <rPh sb="9" eb="10">
      <t>メン</t>
    </rPh>
    <rPh sb="15" eb="17">
      <t>マエヒラ</t>
    </rPh>
    <rPh sb="26" eb="28">
      <t>ザイコ</t>
    </rPh>
    <phoneticPr fontId="3"/>
  </si>
  <si>
    <t>＜No.1822　綿ジャガード前開きブラ＞夢販在庫 1P@685  2p\4300</t>
    <rPh sb="9" eb="10">
      <t>メン</t>
    </rPh>
    <rPh sb="15" eb="17">
      <t>マエヒラ</t>
    </rPh>
    <rPh sb="21" eb="22">
      <t>ユメ</t>
    </rPh>
    <rPh sb="22" eb="23">
      <t>ハン</t>
    </rPh>
    <rPh sb="23" eb="25">
      <t>ザイコ</t>
    </rPh>
    <phoneticPr fontId="3"/>
  </si>
  <si>
    <t>全国通販ことせ2281⑮</t>
    <rPh sb="0" eb="4">
      <t>ゼンコクツウハン</t>
    </rPh>
    <phoneticPr fontId="7"/>
  </si>
  <si>
    <t>JOD87</t>
    <phoneticPr fontId="7"/>
  </si>
  <si>
    <t>全国通販ことせ2281⑯</t>
    <rPh sb="0" eb="4">
      <t>ゼンコクツウハン</t>
    </rPh>
    <phoneticPr fontId="7"/>
  </si>
  <si>
    <t>夢販</t>
    <rPh sb="0" eb="2">
      <t>ユメハン</t>
    </rPh>
    <phoneticPr fontId="7"/>
  </si>
  <si>
    <t>JOD88</t>
    <phoneticPr fontId="7"/>
  </si>
  <si>
    <t>毎日が発見撮影用sample返却</t>
    <rPh sb="0" eb="2">
      <t>マイニチ</t>
    </rPh>
    <rPh sb="3" eb="5">
      <t>ハッケン</t>
    </rPh>
    <rPh sb="5" eb="8">
      <t>サツエイヨウ</t>
    </rPh>
    <rPh sb="14" eb="16">
      <t>ヘンキャク</t>
    </rPh>
    <phoneticPr fontId="7"/>
  </si>
  <si>
    <t>JOD89</t>
    <phoneticPr fontId="7"/>
  </si>
  <si>
    <t>全国通販ことせ2281⑰</t>
    <rPh sb="0" eb="4">
      <t>ゼンコクツウハン</t>
    </rPh>
    <phoneticPr fontId="7"/>
  </si>
  <si>
    <t>毎日が発見7月号⑫</t>
    <rPh sb="0" eb="2">
      <t>マイニチ</t>
    </rPh>
    <rPh sb="3" eb="5">
      <t>ハッケン</t>
    </rPh>
    <rPh sb="6" eb="7">
      <t>ゴウ</t>
    </rPh>
    <phoneticPr fontId="7"/>
  </si>
  <si>
    <t>ここから2024年　2ｐ￥4300</t>
    <rPh sb="8" eb="9">
      <t>ネン</t>
    </rPh>
    <phoneticPr fontId="7"/>
  </si>
  <si>
    <t>JOD90</t>
    <phoneticPr fontId="7"/>
  </si>
  <si>
    <t>全国通販ことせ2281⑱</t>
    <rPh sb="0" eb="4">
      <t>ゼンコクツウハン</t>
    </rPh>
    <phoneticPr fontId="7"/>
  </si>
  <si>
    <t>JOD91</t>
    <phoneticPr fontId="7"/>
  </si>
  <si>
    <t>全国通販ことせ2281⑲</t>
    <rPh sb="0" eb="4">
      <t>ゼンコクツウハン</t>
    </rPh>
    <phoneticPr fontId="7"/>
  </si>
  <si>
    <t>JOD92</t>
    <phoneticPr fontId="7"/>
  </si>
  <si>
    <t>JOD93</t>
    <phoneticPr fontId="7"/>
  </si>
  <si>
    <t>JOD94</t>
    <phoneticPr fontId="7"/>
  </si>
  <si>
    <t>毎日が発見7月号⑬</t>
    <rPh sb="0" eb="2">
      <t>マイニチ</t>
    </rPh>
    <rPh sb="3" eb="5">
      <t>ハッケン</t>
    </rPh>
    <rPh sb="6" eb="7">
      <t>ゴウ</t>
    </rPh>
    <phoneticPr fontId="7"/>
  </si>
  <si>
    <t>全国通販ことせ2281⑳</t>
    <rPh sb="0" eb="4">
      <t>ゼンコクツウハン</t>
    </rPh>
    <phoneticPr fontId="7"/>
  </si>
  <si>
    <t>全国通販ことせ2281㉑</t>
    <rPh sb="0" eb="4">
      <t>ゼンコクツウハン</t>
    </rPh>
    <phoneticPr fontId="7"/>
  </si>
  <si>
    <t>夢販</t>
    <rPh sb="0" eb="2">
      <t>ユメハン</t>
    </rPh>
    <phoneticPr fontId="7"/>
  </si>
  <si>
    <t>JOD95</t>
    <phoneticPr fontId="7"/>
  </si>
  <si>
    <t>全国通販ことせ2281㉒</t>
    <rPh sb="0" eb="4">
      <t>ゼンコクツウハン</t>
    </rPh>
    <phoneticPr fontId="7"/>
  </si>
  <si>
    <t>JOD96</t>
    <phoneticPr fontId="7"/>
  </si>
  <si>
    <t>JOD97</t>
  </si>
  <si>
    <t>全国通販ことせ2281㉓</t>
    <rPh sb="0" eb="4">
      <t>ゼンコクツウハン</t>
    </rPh>
    <phoneticPr fontId="7"/>
  </si>
  <si>
    <t>JOD98</t>
  </si>
  <si>
    <t>全国通販ことせ2281㉔</t>
    <rPh sb="0" eb="4">
      <t>ゼンコクツウハン</t>
    </rPh>
    <phoneticPr fontId="7"/>
  </si>
  <si>
    <t>全国通販ことせ2281㉕</t>
    <rPh sb="0" eb="4">
      <t>ゼンコクツウハン</t>
    </rPh>
    <phoneticPr fontId="7"/>
  </si>
  <si>
    <t>全国通販5月撮影用sample</t>
    <rPh sb="0" eb="4">
      <t>ゼンコクツウハン</t>
    </rPh>
    <rPh sb="5" eb="6">
      <t>ガツ</t>
    </rPh>
    <rPh sb="6" eb="9">
      <t>サツエイヨウ</t>
    </rPh>
    <phoneticPr fontId="7"/>
  </si>
  <si>
    <t>全国通販ことせ2281㉖</t>
    <rPh sb="0" eb="4">
      <t>ゼンコクツウハン</t>
    </rPh>
    <phoneticPr fontId="7"/>
  </si>
  <si>
    <t>JOD99</t>
    <phoneticPr fontId="7"/>
  </si>
  <si>
    <t>JOD100</t>
  </si>
  <si>
    <t>JOD101</t>
  </si>
  <si>
    <t>毎日が発見返品</t>
    <rPh sb="0" eb="2">
      <t>マイニチ</t>
    </rPh>
    <rPh sb="3" eb="5">
      <t>ハッケン</t>
    </rPh>
    <rPh sb="5" eb="7">
      <t>ヘンピン</t>
    </rPh>
    <phoneticPr fontId="3"/>
  </si>
  <si>
    <t>千趣会sample(大江さん)</t>
    <rPh sb="0" eb="3">
      <t>センシュカイ</t>
    </rPh>
    <rPh sb="10" eb="12">
      <t>オオエ</t>
    </rPh>
    <phoneticPr fontId="7"/>
  </si>
  <si>
    <t>くらし（西山さん）サンプル</t>
    <rPh sb="4" eb="6">
      <t>ニシヤマ</t>
    </rPh>
    <phoneticPr fontId="7"/>
  </si>
  <si>
    <t>JOD102</t>
    <phoneticPr fontId="7"/>
  </si>
  <si>
    <t>JOD103</t>
    <phoneticPr fontId="7"/>
  </si>
  <si>
    <t>全国通販ことせ2379</t>
    <rPh sb="0" eb="4">
      <t>ゼンコクツウハン</t>
    </rPh>
    <phoneticPr fontId="7"/>
  </si>
  <si>
    <t>2/2～4/30</t>
    <phoneticPr fontId="7"/>
  </si>
  <si>
    <t>JOD104</t>
  </si>
  <si>
    <t>JOD105</t>
  </si>
  <si>
    <t>2023年実績11/13</t>
    <rPh sb="4" eb="5">
      <t>ネン</t>
    </rPh>
    <rPh sb="5" eb="7">
      <t>ジッセキ</t>
    </rPh>
    <phoneticPr fontId="7"/>
  </si>
  <si>
    <t>追加3-1</t>
    <rPh sb="0" eb="2">
      <t>ツイカ</t>
    </rPh>
    <phoneticPr fontId="3"/>
  </si>
  <si>
    <t>追加3-2</t>
    <rPh sb="0" eb="2">
      <t>ツイカ</t>
    </rPh>
    <phoneticPr fontId="3"/>
  </si>
  <si>
    <t>追加3-3</t>
    <rPh sb="0" eb="2">
      <t>ツイカ</t>
    </rPh>
    <phoneticPr fontId="3"/>
  </si>
  <si>
    <t>ロイヤルステージ5月号</t>
    <rPh sb="9" eb="11">
      <t>ガツゴウ</t>
    </rPh>
    <phoneticPr fontId="7"/>
  </si>
  <si>
    <t>JODメルシー0325</t>
    <phoneticPr fontId="7"/>
  </si>
  <si>
    <t>全国通販ことせ2379①</t>
    <rPh sb="0" eb="4">
      <t>ゼンコクツウハン</t>
    </rPh>
    <phoneticPr fontId="7"/>
  </si>
  <si>
    <t>全国通販ことせ2379②</t>
    <rPh sb="0" eb="4">
      <t>ゼンコクツウハン</t>
    </rPh>
    <phoneticPr fontId="7"/>
  </si>
  <si>
    <t>夢販</t>
    <rPh sb="0" eb="2">
      <t>ユメハン</t>
    </rPh>
    <phoneticPr fontId="7"/>
  </si>
  <si>
    <t>毎日が発見8月号</t>
    <rPh sb="6" eb="7">
      <t>ガツ</t>
    </rPh>
    <rPh sb="7" eb="8">
      <t>ゴウ</t>
    </rPh>
    <phoneticPr fontId="7"/>
  </si>
  <si>
    <t>初回6月中旬、7/1～10/15</t>
    <rPh sb="0" eb="2">
      <t>ショカイ</t>
    </rPh>
    <rPh sb="3" eb="4">
      <t>ガツ</t>
    </rPh>
    <rPh sb="4" eb="6">
      <t>チュウジュン</t>
    </rPh>
    <phoneticPr fontId="7"/>
  </si>
  <si>
    <t>JOD特別号9595</t>
    <rPh sb="3" eb="6">
      <t>トクベツゴウ</t>
    </rPh>
    <phoneticPr fontId="7"/>
  </si>
  <si>
    <t>全国通販ことせ2379③</t>
    <rPh sb="0" eb="4">
      <t>ゼンコクツウハン</t>
    </rPh>
    <phoneticPr fontId="7"/>
  </si>
  <si>
    <t>全国通販ことせ2379④</t>
    <rPh sb="0" eb="4">
      <t>ゼンコクツウハン</t>
    </rPh>
    <phoneticPr fontId="7"/>
  </si>
  <si>
    <t>全国通販sample</t>
    <rPh sb="0" eb="4">
      <t>ゼンコクツウハン</t>
    </rPh>
    <phoneticPr fontId="7"/>
  </si>
  <si>
    <t>JODメルシー0507</t>
    <phoneticPr fontId="7"/>
  </si>
  <si>
    <t>5/7～</t>
    <phoneticPr fontId="7"/>
  </si>
  <si>
    <t>毎日が発見sample</t>
    <rPh sb="0" eb="2">
      <t>マイニチ</t>
    </rPh>
    <rPh sb="3" eb="5">
      <t>ハッケン</t>
    </rPh>
    <phoneticPr fontId="7"/>
  </si>
  <si>
    <t>全国通販ダイジェストW080</t>
    <rPh sb="0" eb="4">
      <t>ゼンコクツウハン</t>
    </rPh>
    <phoneticPr fontId="7"/>
  </si>
  <si>
    <t>4/24～7/31</t>
    <phoneticPr fontId="7"/>
  </si>
  <si>
    <t>5/19～</t>
    <phoneticPr fontId="7"/>
  </si>
  <si>
    <t>JOD①</t>
    <phoneticPr fontId="7"/>
  </si>
  <si>
    <t>全国通販ことせ2409/8月号テスト</t>
    <rPh sb="0" eb="4">
      <t>ゼンコクツウハン</t>
    </rPh>
    <rPh sb="13" eb="15">
      <t>ガツゴウ</t>
    </rPh>
    <phoneticPr fontId="7"/>
  </si>
  <si>
    <t>全国通販ことせ2399/7月号テスト</t>
    <rPh sb="0" eb="4">
      <t>ゼンコクツウハン</t>
    </rPh>
    <rPh sb="13" eb="15">
      <t>ガツゴウ</t>
    </rPh>
    <phoneticPr fontId="7"/>
  </si>
  <si>
    <t>全国通販ことせ2371</t>
    <rPh sb="0" eb="4">
      <t>ゼンコクツウハン</t>
    </rPh>
    <phoneticPr fontId="7"/>
  </si>
  <si>
    <t>全国通チラシ2388</t>
    <rPh sb="0" eb="2">
      <t>ゼンコク</t>
    </rPh>
    <rPh sb="2" eb="3">
      <t>ツウ</t>
    </rPh>
    <phoneticPr fontId="7"/>
  </si>
  <si>
    <t>5/31～8/31</t>
    <phoneticPr fontId="7"/>
  </si>
  <si>
    <t>JODララコフレ7274</t>
    <phoneticPr fontId="7"/>
  </si>
  <si>
    <t>5/23～</t>
    <phoneticPr fontId="7"/>
  </si>
  <si>
    <t>JOD特別号9500</t>
    <rPh sb="3" eb="6">
      <t>トクベツゴウ</t>
    </rPh>
    <phoneticPr fontId="7"/>
  </si>
  <si>
    <t>2024/5/1伝数</t>
    <rPh sb="8" eb="9">
      <t>デン</t>
    </rPh>
    <rPh sb="9" eb="10">
      <t>スウ</t>
    </rPh>
    <phoneticPr fontId="7"/>
  </si>
  <si>
    <t>ロイヤルステージ5月号①</t>
    <rPh sb="9" eb="11">
      <t>ガツゴウ</t>
    </rPh>
    <phoneticPr fontId="7"/>
  </si>
  <si>
    <t>JODアクセス7002</t>
    <phoneticPr fontId="7"/>
  </si>
  <si>
    <t>7/10～</t>
    <phoneticPr fontId="7"/>
  </si>
  <si>
    <t>ロイヤルステージ5月号②</t>
    <rPh sb="9" eb="11">
      <t>ガツゴウ</t>
    </rPh>
    <phoneticPr fontId="7"/>
  </si>
  <si>
    <t>2024/6/1数伝</t>
    <rPh sb="8" eb="9">
      <t>スウ</t>
    </rPh>
    <rPh sb="9" eb="10">
      <t>デン</t>
    </rPh>
    <phoneticPr fontId="7"/>
  </si>
  <si>
    <t>JOD特別版0719</t>
    <rPh sb="3" eb="5">
      <t>トクベツ</t>
    </rPh>
    <rPh sb="5" eb="6">
      <t>バン</t>
    </rPh>
    <phoneticPr fontId="7"/>
  </si>
  <si>
    <t>6/28～9/30</t>
    <phoneticPr fontId="7"/>
  </si>
  <si>
    <t>全国通販ことせ2391/7月号</t>
    <rPh sb="0" eb="4">
      <t>ゼンコクツウハン</t>
    </rPh>
    <rPh sb="13" eb="14">
      <t>ガツ</t>
    </rPh>
    <rPh sb="14" eb="15">
      <t>ゴウ</t>
    </rPh>
    <phoneticPr fontId="7"/>
  </si>
  <si>
    <t>JODアクセス7003</t>
    <phoneticPr fontId="7"/>
  </si>
  <si>
    <t>8/17～</t>
    <phoneticPr fontId="7"/>
  </si>
  <si>
    <t>JOD特別版0803</t>
    <rPh sb="3" eb="5">
      <t>トクベツ</t>
    </rPh>
    <rPh sb="5" eb="6">
      <t>バン</t>
    </rPh>
    <phoneticPr fontId="7"/>
  </si>
  <si>
    <t>8/3～</t>
    <phoneticPr fontId="7"/>
  </si>
  <si>
    <t>2024/7/1数伝</t>
    <rPh sb="8" eb="10">
      <t>スウデン</t>
    </rPh>
    <phoneticPr fontId="7"/>
  </si>
  <si>
    <t>毎日が発見8月号①</t>
    <rPh sb="6" eb="7">
      <t>ガツ</t>
    </rPh>
    <rPh sb="7" eb="8">
      <t>ゴウ</t>
    </rPh>
    <phoneticPr fontId="7"/>
  </si>
  <si>
    <t>全国通販2401/8月号</t>
    <rPh sb="0" eb="4">
      <t>ゼンコクツウハン</t>
    </rPh>
    <rPh sb="10" eb="11">
      <t>ガツ</t>
    </rPh>
    <rPh sb="11" eb="12">
      <t>ゴウ</t>
    </rPh>
    <phoneticPr fontId="7"/>
  </si>
  <si>
    <t>7/26～10/31</t>
    <phoneticPr fontId="7"/>
  </si>
  <si>
    <t>全国通販⑫</t>
    <rPh sb="0" eb="4">
      <t>ゼンコクツウハン</t>
    </rPh>
    <phoneticPr fontId="7"/>
  </si>
  <si>
    <t>全国通販⑬</t>
    <rPh sb="0" eb="4">
      <t>ゼンコクツウハン</t>
    </rPh>
    <phoneticPr fontId="7"/>
  </si>
  <si>
    <t>全国通販⑭</t>
    <rPh sb="0" eb="4">
      <t>ゼンコクツウハン</t>
    </rPh>
    <phoneticPr fontId="7"/>
  </si>
  <si>
    <t>JOD58</t>
    <phoneticPr fontId="7"/>
  </si>
  <si>
    <t>全国通販⑮</t>
    <rPh sb="0" eb="4">
      <t>ゼンコクツウハン</t>
    </rPh>
    <phoneticPr fontId="7"/>
  </si>
  <si>
    <t>全国通販⑯</t>
    <rPh sb="0" eb="4">
      <t>ゼンコクツウハン</t>
    </rPh>
    <phoneticPr fontId="7"/>
  </si>
  <si>
    <t>ロイヤル返品</t>
    <rPh sb="4" eb="6">
      <t>ヘンピン</t>
    </rPh>
    <phoneticPr fontId="3"/>
  </si>
  <si>
    <t>JOD61西濃</t>
    <rPh sb="5" eb="7">
      <t>セイノウ</t>
    </rPh>
    <phoneticPr fontId="7"/>
  </si>
  <si>
    <t>全国通販⑰</t>
    <rPh sb="0" eb="4">
      <t>ゼンコクツウハン</t>
    </rPh>
    <phoneticPr fontId="7"/>
  </si>
  <si>
    <t>JOD64</t>
    <phoneticPr fontId="7"/>
  </si>
  <si>
    <t>JOD65</t>
    <phoneticPr fontId="7"/>
  </si>
  <si>
    <t>JOD67</t>
  </si>
  <si>
    <t>JOD68</t>
    <phoneticPr fontId="7"/>
  </si>
  <si>
    <t>全国通販⑱</t>
    <rPh sb="0" eb="4">
      <t>ゼンコクツウハン</t>
    </rPh>
    <phoneticPr fontId="7"/>
  </si>
  <si>
    <t>JOD70</t>
    <phoneticPr fontId="7"/>
  </si>
  <si>
    <t>JOD71</t>
  </si>
  <si>
    <t>JOD73</t>
  </si>
  <si>
    <t>全国通販⑲</t>
    <rPh sb="0" eb="4">
      <t>ゼンコクツウハン</t>
    </rPh>
    <phoneticPr fontId="7"/>
  </si>
  <si>
    <t>JOD77</t>
  </si>
  <si>
    <t>JOD78</t>
  </si>
  <si>
    <t>JOD79</t>
    <phoneticPr fontId="7"/>
  </si>
  <si>
    <t>JOD81</t>
    <phoneticPr fontId="7"/>
  </si>
  <si>
    <t>JOD82</t>
  </si>
  <si>
    <t>JOD83</t>
  </si>
  <si>
    <t>JOD84</t>
    <phoneticPr fontId="7"/>
  </si>
  <si>
    <t>全国通販⑳</t>
    <rPh sb="0" eb="4">
      <t>ゼンコクツウハン</t>
    </rPh>
    <phoneticPr fontId="7"/>
  </si>
  <si>
    <t>毎日が発見8月号②</t>
    <rPh sb="6" eb="7">
      <t>ガツ</t>
    </rPh>
    <rPh sb="7" eb="8">
      <t>ゴウ</t>
    </rPh>
    <phoneticPr fontId="7"/>
  </si>
  <si>
    <t>全国通販㉑</t>
    <rPh sb="0" eb="4">
      <t>ゼンコクツウハン</t>
    </rPh>
    <phoneticPr fontId="7"/>
  </si>
  <si>
    <t>2025年４月～</t>
    <rPh sb="4" eb="5">
      <t>ネン</t>
    </rPh>
    <rPh sb="6" eb="7">
      <t>ガツ</t>
    </rPh>
    <phoneticPr fontId="7"/>
  </si>
  <si>
    <t>全国通販㉒</t>
    <rPh sb="0" eb="4">
      <t>ゼンコクツウハン</t>
    </rPh>
    <phoneticPr fontId="7"/>
  </si>
  <si>
    <t>サクラマチ斎藤様sample</t>
    <rPh sb="5" eb="14">
      <t>サイトウサマサンプル</t>
    </rPh>
    <phoneticPr fontId="7"/>
  </si>
  <si>
    <t>毎日が発見8月号③</t>
    <rPh sb="6" eb="7">
      <t>ガツ</t>
    </rPh>
    <rPh sb="7" eb="8">
      <t>ゴウ</t>
    </rPh>
    <phoneticPr fontId="7"/>
  </si>
  <si>
    <t>全国通販㉓</t>
    <rPh sb="0" eb="4">
      <t>ゼンコクツウハン</t>
    </rPh>
    <phoneticPr fontId="7"/>
  </si>
  <si>
    <t>3/下旬～9/末</t>
    <rPh sb="2" eb="4">
      <t>ゲジュン</t>
    </rPh>
    <rPh sb="7" eb="8">
      <t>マツ</t>
    </rPh>
    <phoneticPr fontId="7"/>
  </si>
  <si>
    <t>ニッセン25初夏号アトランダムAP</t>
    <rPh sb="6" eb="8">
      <t>ショカ</t>
    </rPh>
    <rPh sb="8" eb="9">
      <t>ゴウ</t>
    </rPh>
    <phoneticPr fontId="7"/>
  </si>
  <si>
    <t>JOD90</t>
  </si>
  <si>
    <t>JOD91</t>
    <phoneticPr fontId="7"/>
  </si>
  <si>
    <t>毎日が発見8月号④</t>
    <rPh sb="6" eb="7">
      <t>ガツ</t>
    </rPh>
    <rPh sb="7" eb="8">
      <t>ゴウ</t>
    </rPh>
    <phoneticPr fontId="7"/>
  </si>
  <si>
    <t>毎日が発見8月号⑤</t>
    <rPh sb="6" eb="7">
      <t>ガツ</t>
    </rPh>
    <rPh sb="7" eb="8">
      <t>ゴウ</t>
    </rPh>
    <phoneticPr fontId="7"/>
  </si>
  <si>
    <t>JOD92</t>
    <phoneticPr fontId="7"/>
  </si>
  <si>
    <t>JOD93</t>
    <phoneticPr fontId="7"/>
  </si>
  <si>
    <t>JOD94</t>
  </si>
  <si>
    <t>JOD95</t>
  </si>
  <si>
    <t>ニッセン撮影用sample</t>
    <rPh sb="4" eb="7">
      <t>サツエイヨウ</t>
    </rPh>
    <phoneticPr fontId="7"/>
  </si>
  <si>
    <t>全国通販㉔</t>
    <rPh sb="0" eb="4">
      <t>ゼンコクツウハン</t>
    </rPh>
    <phoneticPr fontId="7"/>
  </si>
  <si>
    <t>JOD96</t>
    <phoneticPr fontId="7"/>
  </si>
  <si>
    <t>＜No.1822　綿ジャガード前開きブラ＞KPORT在庫 1P@710→657  2p\4300</t>
    <rPh sb="9" eb="10">
      <t>メン</t>
    </rPh>
    <rPh sb="15" eb="17">
      <t>マエヒラ</t>
    </rPh>
    <rPh sb="26" eb="28">
      <t>ザイコ</t>
    </rPh>
    <phoneticPr fontId="3"/>
  </si>
  <si>
    <t>追加 3-1</t>
    <rPh sb="0" eb="2">
      <t>ツイカ</t>
    </rPh>
    <phoneticPr fontId="3"/>
  </si>
  <si>
    <t>追加 3-2</t>
    <rPh sb="0" eb="2">
      <t>ツイカ</t>
    </rPh>
    <phoneticPr fontId="3"/>
  </si>
  <si>
    <t>追加 3-3</t>
    <rPh sb="0" eb="2">
      <t>ツイカ</t>
    </rPh>
    <phoneticPr fontId="3"/>
  </si>
  <si>
    <t>＜No.1822　綿ジャガード前開きブラ＞夢販在庫 1P@710→657　2p\4300</t>
    <rPh sb="9" eb="10">
      <t>メン</t>
    </rPh>
    <rPh sb="15" eb="17">
      <t>マエヒラ</t>
    </rPh>
    <rPh sb="21" eb="22">
      <t>ユメ</t>
    </rPh>
    <rPh sb="22" eb="23">
      <t>ハン</t>
    </rPh>
    <rPh sb="23" eb="25">
      <t>ザイコ</t>
    </rPh>
    <phoneticPr fontId="3"/>
  </si>
  <si>
    <t>1/31～4/30</t>
    <phoneticPr fontId="7"/>
  </si>
  <si>
    <t>全国通販sample返却</t>
    <rPh sb="10" eb="12">
      <t>ヘンキャク</t>
    </rPh>
    <phoneticPr fontId="7"/>
  </si>
  <si>
    <t>全国通販㉕</t>
    <rPh sb="0" eb="4">
      <t>ゼンコクツウハン</t>
    </rPh>
    <phoneticPr fontId="7"/>
  </si>
  <si>
    <t>5/1～8/15</t>
    <phoneticPr fontId="7"/>
  </si>
  <si>
    <t>追加 1-1</t>
    <rPh sb="0" eb="2">
      <t>ツイカ</t>
    </rPh>
    <phoneticPr fontId="3"/>
  </si>
  <si>
    <t>丸藤グリーンコープ6号</t>
    <rPh sb="0" eb="2">
      <t>マルフジ</t>
    </rPh>
    <rPh sb="10" eb="11">
      <t>ゴウ</t>
    </rPh>
    <phoneticPr fontId="7"/>
  </si>
  <si>
    <t>アバウト4/22、本4/24、4/28</t>
    <rPh sb="9" eb="10">
      <t>ホン</t>
    </rPh>
    <phoneticPr fontId="7"/>
  </si>
  <si>
    <t>丸藤グリーンコープ6号差分予測</t>
    <rPh sb="0" eb="2">
      <t>マルフジ</t>
    </rPh>
    <rPh sb="10" eb="11">
      <t>ゴウ</t>
    </rPh>
    <rPh sb="11" eb="15">
      <t>サブンヨソク</t>
    </rPh>
    <phoneticPr fontId="7"/>
  </si>
  <si>
    <t>ニッセン25初夏号アトランダム差分予測</t>
    <rPh sb="6" eb="8">
      <t>ショカ</t>
    </rPh>
    <rPh sb="8" eb="9">
      <t>ゴウ</t>
    </rPh>
    <rPh sb="15" eb="19">
      <t>サブンヨソク</t>
    </rPh>
    <phoneticPr fontId="7"/>
  </si>
  <si>
    <t>ハルメク総合差分予測</t>
    <rPh sb="4" eb="6">
      <t>ソウゴウ</t>
    </rPh>
    <rPh sb="6" eb="8">
      <t>サブン</t>
    </rPh>
    <rPh sb="8" eb="10">
      <t>ヨソク</t>
    </rPh>
    <phoneticPr fontId="7"/>
  </si>
  <si>
    <t>ことせ2499（ハルメクアルファ）①</t>
    <phoneticPr fontId="7"/>
  </si>
  <si>
    <t>6/1～9/15</t>
    <phoneticPr fontId="7"/>
  </si>
  <si>
    <t>ことせ2499（ハルメクアルファ）5月のテスト</t>
    <rPh sb="18" eb="19">
      <t>ガツ</t>
    </rPh>
    <phoneticPr fontId="7"/>
  </si>
  <si>
    <t>ことせ2519（ハルメクアルファ）7月のテスト</t>
    <rPh sb="18" eb="19">
      <t>ガツ</t>
    </rPh>
    <phoneticPr fontId="7"/>
  </si>
  <si>
    <t>ことせ2529（ハルメクアルファ）8月のテスト</t>
    <rPh sb="18" eb="19">
      <t>ガツ</t>
    </rPh>
    <phoneticPr fontId="7"/>
  </si>
  <si>
    <t>ニッセン25初夏号アトランダムAP①</t>
    <rPh sb="6" eb="8">
      <t>ショカ</t>
    </rPh>
    <rPh sb="8" eb="9">
      <t>ゴウ</t>
    </rPh>
    <phoneticPr fontId="7"/>
  </si>
  <si>
    <t>7/1～10/15</t>
    <phoneticPr fontId="7"/>
  </si>
  <si>
    <t>毎日が発見2025年8月号差分予測</t>
    <rPh sb="0" eb="2">
      <t>マイニチ</t>
    </rPh>
    <rPh sb="3" eb="5">
      <t>ハッケン</t>
    </rPh>
    <rPh sb="9" eb="10">
      <t>ネン</t>
    </rPh>
    <rPh sb="11" eb="13">
      <t>ガツゴウ</t>
    </rPh>
    <rPh sb="13" eb="17">
      <t>サブンヨソク</t>
    </rPh>
    <phoneticPr fontId="7"/>
  </si>
  <si>
    <t>毎日が発見2025年8月号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</si>
  <si>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毎日が発見2025年7月号差分予測</t>
    <rPh sb="0" eb="2">
      <t>マイニチ</t>
    </rPh>
    <rPh sb="3" eb="5">
      <t>ハッケン</t>
    </rPh>
    <rPh sb="9" eb="10">
      <t>ネン</t>
    </rPh>
    <rPh sb="11" eb="13">
      <t>ガツゴウ</t>
    </rPh>
    <rPh sb="13" eb="17">
      <t>サブンヨソク</t>
    </rPh>
    <phoneticPr fontId="7"/>
  </si>
  <si>
    <t>毎日が発見2025年7月号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</si>
  <si>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パルシステムキナリ7月1回差分予測</t>
    <rPh sb="10" eb="11">
      <t>ガツ</t>
    </rPh>
    <rPh sb="12" eb="13">
      <t>カイ</t>
    </rPh>
    <rPh sb="13" eb="17">
      <t>サブンヨソク</t>
    </rPh>
    <phoneticPr fontId="7"/>
  </si>
  <si>
    <t>パルシステムキナリ7月１回</t>
    <rPh sb="10" eb="11">
      <t>ガツ</t>
    </rPh>
    <rPh sb="12" eb="13">
      <t>カイ</t>
    </rPh>
    <phoneticPr fontId="7"/>
  </si>
  <si>
    <t>点6/12　アバ6/24　6/24～6/30</t>
    <rPh sb="0" eb="1">
      <t>テン</t>
    </rPh>
    <phoneticPr fontId="7"/>
  </si>
  <si>
    <t>毎日が発見2025年6月号差分予測</t>
    <rPh sb="0" eb="2">
      <t>マイニチ</t>
    </rPh>
    <rPh sb="3" eb="5">
      <t>ハッケン</t>
    </rPh>
    <rPh sb="9" eb="10">
      <t>ネン</t>
    </rPh>
    <rPh sb="11" eb="13">
      <t>ガツゴウ</t>
    </rPh>
    <rPh sb="13" eb="17">
      <t>サブンヨソク</t>
    </rPh>
    <phoneticPr fontId="7"/>
  </si>
  <si>
    <t>毎日が発見2025年6月号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</si>
  <si>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在庫</t>
    <rPh sb="0" eb="2">
      <t>ザイコ</t>
    </rPh>
    <phoneticPr fontId="7"/>
  </si>
  <si>
    <t>在庫構成比</t>
    <rPh sb="0" eb="2">
      <t>ザイコ</t>
    </rPh>
    <rPh sb="2" eb="5">
      <t>コウセイヒ</t>
    </rPh>
    <phoneticPr fontId="7"/>
  </si>
  <si>
    <t>くらし（きなり流）sample</t>
    <rPh sb="7" eb="8">
      <t>リュウ</t>
    </rPh>
    <phoneticPr fontId="7"/>
  </si>
  <si>
    <t>チラシ2508（ハルメクアルファ）</t>
    <phoneticPr fontId="7"/>
  </si>
  <si>
    <t>5/30～8/31</t>
    <phoneticPr fontId="7"/>
  </si>
  <si>
    <t>夢販</t>
    <rPh sb="0" eb="2">
      <t>ユメハン</t>
    </rPh>
    <phoneticPr fontId="7"/>
  </si>
  <si>
    <t>ことせ5月号2491（ハルメクアルファ）</t>
    <rPh sb="4" eb="6">
      <t>ガツゴウ</t>
    </rPh>
    <phoneticPr fontId="7"/>
  </si>
  <si>
    <t>JODアクセス7009</t>
    <phoneticPr fontId="7"/>
  </si>
  <si>
    <t>6/16～</t>
    <phoneticPr fontId="7"/>
  </si>
  <si>
    <t>丸藤グリーンコープ6号①</t>
    <rPh sb="0" eb="2">
      <t>マルフジ</t>
    </rPh>
    <rPh sb="10" eb="11">
      <t>ゴウ</t>
    </rPh>
    <phoneticPr fontId="7"/>
  </si>
  <si>
    <t>毎日が発見2025年6月号①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</si>
  <si>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丸藤グリーンコープ6号②</t>
    <rPh sb="0" eb="2">
      <t>マルフジ</t>
    </rPh>
    <rPh sb="10" eb="11">
      <t>ゴウ</t>
    </rPh>
    <phoneticPr fontId="7"/>
  </si>
  <si>
    <t>丸藤グリーンコープ6号③</t>
    <rPh sb="0" eb="2">
      <t>マルフジ</t>
    </rPh>
    <rPh sb="10" eb="11">
      <t>ゴウ</t>
    </rPh>
    <phoneticPr fontId="7"/>
  </si>
  <si>
    <t>2024/5/1数伝</t>
    <rPh sb="8" eb="9">
      <t>スウ</t>
    </rPh>
    <rPh sb="9" eb="10">
      <t>デン</t>
    </rPh>
    <phoneticPr fontId="7"/>
  </si>
  <si>
    <t>ニッセン25初夏号アトランダムAP②</t>
    <rPh sb="6" eb="8">
      <t>ショカ</t>
    </rPh>
    <rPh sb="8" eb="9">
      <t>ゴウ</t>
    </rPh>
    <phoneticPr fontId="7"/>
  </si>
  <si>
    <t>JODアクセス7010</t>
    <phoneticPr fontId="7"/>
  </si>
  <si>
    <t>毎日が発見2025年6月号②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</si>
  <si>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ニッセン25初夏号アトランダムAP③</t>
    <rPh sb="6" eb="8">
      <t>ショカ</t>
    </rPh>
    <rPh sb="8" eb="9">
      <t>ゴウ</t>
    </rPh>
    <phoneticPr fontId="7"/>
  </si>
  <si>
    <t>JOD特別版0705</t>
    <rPh sb="3" eb="6">
      <t>トクベツバン</t>
    </rPh>
    <phoneticPr fontId="7"/>
  </si>
  <si>
    <t>7/4～</t>
    <phoneticPr fontId="7"/>
  </si>
  <si>
    <t>ことせ5月号2491（ハルメクアルファ）差分予測</t>
    <rPh sb="4" eb="6">
      <t>ガツゴウ</t>
    </rPh>
    <rPh sb="20" eb="24">
      <t>サブンヨソク</t>
    </rPh>
    <phoneticPr fontId="7"/>
  </si>
  <si>
    <t>パルシステムキナリ7月１回①</t>
    <rPh sb="10" eb="11">
      <t>ガツ</t>
    </rPh>
    <rPh sb="12" eb="13">
      <t>カイ</t>
    </rPh>
    <phoneticPr fontId="7"/>
  </si>
  <si>
    <t>2025/6/3数伝</t>
    <rPh sb="8" eb="9">
      <t>スウ</t>
    </rPh>
    <rPh sb="9" eb="10">
      <t>デン</t>
    </rPh>
    <phoneticPr fontId="7"/>
  </si>
  <si>
    <t>ことせ7月号2511（ハルメクアルファ）</t>
    <rPh sb="4" eb="6">
      <t>ガツゴウ</t>
    </rPh>
    <phoneticPr fontId="7"/>
  </si>
  <si>
    <t>6/27～9/30</t>
    <phoneticPr fontId="7"/>
  </si>
  <si>
    <t>ことせ7月号2511（ハルメクアルファ）差分予測</t>
    <rPh sb="4" eb="6">
      <t>ガツゴウ</t>
    </rPh>
    <rPh sb="20" eb="24">
      <t>サブンヨソク</t>
    </rPh>
    <phoneticPr fontId="7"/>
  </si>
  <si>
    <t>毎日が発見2025年6月号③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</si>
  <si>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毎日が発見2025年6月号④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</si>
  <si>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JOD</t>
    <phoneticPr fontId="7"/>
  </si>
  <si>
    <t>ニッセン撮影用sample返却</t>
    <rPh sb="4" eb="7">
      <t>サツエイヨウ</t>
    </rPh>
    <rPh sb="13" eb="15">
      <t>ヘンキャク</t>
    </rPh>
    <phoneticPr fontId="7"/>
  </si>
  <si>
    <t>ハルメクアルファ⑧</t>
    <phoneticPr fontId="7"/>
  </si>
  <si>
    <t>ハルメクアルファ⑦</t>
    <phoneticPr fontId="7"/>
  </si>
  <si>
    <t>ハルメクアルファ⑥</t>
    <phoneticPr fontId="7"/>
  </si>
  <si>
    <t>ハルメクアルファ⑤</t>
    <phoneticPr fontId="7"/>
  </si>
  <si>
    <t>ハルメクアルファ④</t>
    <phoneticPr fontId="7"/>
  </si>
  <si>
    <t>ハルメクアルファ③</t>
    <phoneticPr fontId="7"/>
  </si>
  <si>
    <t>ハルメクアルファ②</t>
    <phoneticPr fontId="7"/>
  </si>
  <si>
    <t>ハルメクアルファ①</t>
    <phoneticPr fontId="7"/>
  </si>
  <si>
    <t>ハルメクアルファ⑨</t>
    <phoneticPr fontId="7"/>
  </si>
  <si>
    <t>JOD</t>
  </si>
  <si>
    <t>パルシステムキナリ7月１回②</t>
    <rPh sb="10" eb="11">
      <t>ガツ</t>
    </rPh>
    <rPh sb="12" eb="13">
      <t>カイ</t>
    </rPh>
    <phoneticPr fontId="7"/>
  </si>
  <si>
    <t>2024/7/1→６/２４までに依頼済み数伝</t>
    <rPh sb="16" eb="18">
      <t>イライ</t>
    </rPh>
    <rPh sb="18" eb="19">
      <t>ズ</t>
    </rPh>
    <rPh sb="20" eb="21">
      <t>スウ</t>
    </rPh>
    <rPh sb="21" eb="22">
      <t>デン</t>
    </rPh>
    <phoneticPr fontId="7"/>
  </si>
  <si>
    <t>ハルメクアルファ⑩</t>
    <phoneticPr fontId="7"/>
  </si>
  <si>
    <t>パルシステムキナリ7月１回③</t>
    <rPh sb="10" eb="11">
      <t>ガツ</t>
    </rPh>
    <rPh sb="12" eb="13">
      <t>カイ</t>
    </rPh>
    <phoneticPr fontId="7"/>
  </si>
  <si>
    <t>毎日が発見2025年7月号①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</si>
  <si>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7/25～10/31</t>
    <phoneticPr fontId="7"/>
  </si>
  <si>
    <t>ことせ8月号2521（ハルメクアルファ）</t>
    <rPh sb="4" eb="6">
      <t>ガツゴウ</t>
    </rPh>
    <phoneticPr fontId="7"/>
  </si>
  <si>
    <t>ハルメクアルファ⑪</t>
    <phoneticPr fontId="7"/>
  </si>
  <si>
    <t>ニッセン25初夏号アトランダムAP④</t>
    <rPh sb="6" eb="8">
      <t>ショカ</t>
    </rPh>
    <rPh sb="8" eb="9">
      <t>ゴウ</t>
    </rPh>
    <phoneticPr fontId="7"/>
  </si>
  <si>
    <t>ハルメクアルファ⑫</t>
    <phoneticPr fontId="7"/>
  </si>
  <si>
    <t>毎日が発見2025年7月号②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</si>
  <si>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2025/7/10数伝</t>
    <rPh sb="9" eb="10">
      <t>スウ</t>
    </rPh>
    <rPh sb="10" eb="11">
      <t>デン</t>
    </rPh>
    <phoneticPr fontId="7"/>
  </si>
  <si>
    <t>毎日が発見2025年8月号①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</si>
  <si>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夢販</t>
    <rPh sb="0" eb="2">
      <t>ユメハン</t>
    </rPh>
    <phoneticPr fontId="7"/>
  </si>
  <si>
    <t>2025/7/15数伝</t>
    <rPh sb="9" eb="10">
      <t>スウ</t>
    </rPh>
    <rPh sb="10" eb="11">
      <t>デン</t>
    </rPh>
    <phoneticPr fontId="7"/>
  </si>
  <si>
    <t>毎日が発見2025年7月号③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</si>
  <si>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夢販</t>
    <rPh sb="0" eb="2">
      <t>ユメハン</t>
    </rPh>
    <phoneticPr fontId="7"/>
  </si>
  <si>
    <t>毎日が発見2025年7月号④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</si>
  <si>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ハルメクアルファ⑬</t>
    <phoneticPr fontId="7"/>
  </si>
  <si>
    <t>ハルメクアルファ⑭</t>
    <phoneticPr fontId="7"/>
  </si>
  <si>
    <t>ニッセン25初夏号アトランダムAP⑤</t>
    <rPh sb="6" eb="8">
      <t>ショカ</t>
    </rPh>
    <rPh sb="8" eb="9">
      <t>ゴウ</t>
    </rPh>
    <phoneticPr fontId="7"/>
  </si>
  <si>
    <t>ハルメクアルファ⑮</t>
    <phoneticPr fontId="7"/>
  </si>
  <si>
    <t>ハルメクアルファ⑯</t>
    <phoneticPr fontId="7"/>
  </si>
  <si>
    <t>毎日が発見2025年7月号⑤</t>
    <rPh sb="0" eb="2">
      <t>マイニチ</t>
    </rPh>
    <rPh sb="3" eb="5">
      <t>ハッケン</t>
    </rPh>
    <rPh sb="9" eb="10">
      <t>ネン</t>
    </rPh>
    <rPh sb="11" eb="13">
      <t>ガツゴウ</t>
    </rPh>
    <phoneticPr fontId="7"/>
  </si>
  <si>
    <t>ハルメクアルファ⑰</t>
    <phoneticPr fontId="7"/>
  </si>
  <si>
    <t>ハルメクアルファ⑱</t>
    <phoneticPr fontId="7"/>
  </si>
  <si>
    <t>ハルメクアルファ⑲</t>
    <phoneticPr fontId="7"/>
  </si>
  <si>
    <t>毎日が発見2025年8月号⑥</t>
    <phoneticPr fontId="7"/>
  </si>
  <si>
    <t>ハルメクアルファ⑳</t>
    <phoneticPr fontId="7"/>
  </si>
  <si>
    <t>ハルメクアルファ㉑</t>
    <phoneticPr fontId="7"/>
  </si>
  <si>
    <t>ハルメクアルファ㉒</t>
    <phoneticPr fontId="7"/>
  </si>
  <si>
    <t>JOD返品</t>
    <rPh sb="3" eb="5">
      <t>ヘンピン</t>
    </rPh>
    <phoneticPr fontId="7"/>
  </si>
  <si>
    <t>ハルメクアルファ㉓</t>
    <phoneticPr fontId="7"/>
  </si>
  <si>
    <t>ハルメクアルファ㉔</t>
    <phoneticPr fontId="7"/>
  </si>
  <si>
    <t>ハルメクアルファ㉕</t>
    <phoneticPr fontId="7"/>
  </si>
  <si>
    <t>くらし企画返品</t>
    <rPh sb="3" eb="7">
      <t>キカクヘンピン</t>
    </rPh>
    <phoneticPr fontId="3"/>
  </si>
  <si>
    <t>毎日が発見返品</t>
    <rPh sb="5" eb="7">
      <t>ヘンピン</t>
    </rPh>
    <phoneticPr fontId="7"/>
  </si>
  <si>
    <t>ハルメクアルファ㉖</t>
    <phoneticPr fontId="7"/>
  </si>
  <si>
    <t>毎日が発見2025年8月号⑦</t>
    <phoneticPr fontId="7"/>
  </si>
  <si>
    <t>ハルメクアルファ㉗</t>
    <phoneticPr fontId="7"/>
  </si>
  <si>
    <t>2025年2/10～９/２０実績数</t>
    <rPh sb="4" eb="5">
      <t>ネン</t>
    </rPh>
    <rPh sb="14" eb="16">
      <t>ジッセキ</t>
    </rPh>
    <rPh sb="16" eb="17">
      <t>スウ</t>
    </rPh>
    <phoneticPr fontId="7"/>
  </si>
  <si>
    <t>2025年2/10～９/２１実績数構成比</t>
    <rPh sb="4" eb="5">
      <t>ネン</t>
    </rPh>
    <rPh sb="14" eb="16">
      <t>ジッセキ</t>
    </rPh>
    <rPh sb="16" eb="17">
      <t>スウ</t>
    </rPh>
    <rPh sb="17" eb="20">
      <t>コウセイヒ</t>
    </rPh>
    <phoneticPr fontId="7"/>
  </si>
  <si>
    <t>2025年実績数構成比</t>
    <rPh sb="4" eb="5">
      <t>ネン</t>
    </rPh>
    <rPh sb="5" eb="7">
      <t>ジッセキ</t>
    </rPh>
    <rPh sb="7" eb="8">
      <t>スウ</t>
    </rPh>
    <rPh sb="8" eb="11">
      <t>コウセイヒ</t>
    </rPh>
    <phoneticPr fontId="7"/>
  </si>
  <si>
    <t>ここから　２０２６年度～</t>
    <rPh sb="9" eb="10">
      <t>ネン</t>
    </rPh>
    <rPh sb="10" eb="11">
      <t>ド</t>
    </rPh>
    <phoneticPr fontId="7"/>
  </si>
  <si>
    <t>サクラマチsample</t>
    <phoneticPr fontId="7"/>
  </si>
  <si>
    <t>＜No.1822　綿ジャガード前開きブラ＞KPORT在庫 1P@710→657→729  2p\4300</t>
    <rPh sb="9" eb="10">
      <t>メン</t>
    </rPh>
    <rPh sb="15" eb="17">
      <t>マエヒラ</t>
    </rPh>
    <rPh sb="26" eb="28">
      <t>ザイコ</t>
    </rPh>
    <phoneticPr fontId="3"/>
  </si>
  <si>
    <t>＜No.1822　綿ジャガード前開きブラ＞夢販在庫 1P@710→65７→729　2p\4300</t>
    <rPh sb="9" eb="10">
      <t>メン</t>
    </rPh>
    <rPh sb="15" eb="17">
      <t>マエヒラ</t>
    </rPh>
    <rPh sb="21" eb="22">
      <t>ユメ</t>
    </rPh>
    <rPh sb="22" eb="23">
      <t>ハン</t>
    </rPh>
    <rPh sb="23" eb="25">
      <t>ザイコ</t>
    </rPh>
    <phoneticPr fontId="3"/>
  </si>
  <si>
    <t>ハルメクアルファ返品</t>
    <rPh sb="8" eb="10">
      <t>ヘンピン</t>
    </rPh>
    <phoneticPr fontId="7"/>
  </si>
  <si>
    <t>KPORT</t>
    <phoneticPr fontId="7"/>
  </si>
  <si>
    <t>夢販移動</t>
    <rPh sb="0" eb="4">
      <t>ユメハンイドウ</t>
    </rPh>
    <phoneticPr fontId="3"/>
  </si>
  <si>
    <t>JODアクセス7016</t>
    <phoneticPr fontId="7"/>
  </si>
  <si>
    <t>4/25～</t>
    <phoneticPr fontId="7"/>
  </si>
  <si>
    <t>←ここまで在庫管理済2026/2/25</t>
    <rPh sb="0" eb="10">
      <t>ヤジルシココマデザイコカンリスミ</t>
    </rPh>
    <phoneticPr fontId="7"/>
  </si>
  <si>
    <t>点6/11、初回・アバウト6/23、最終発注日6/29</t>
    <rPh sb="0" eb="1">
      <t>テン</t>
    </rPh>
    <rPh sb="6" eb="8">
      <t>ショカイ</t>
    </rPh>
    <rPh sb="18" eb="20">
      <t>サイシュウ</t>
    </rPh>
    <rPh sb="20" eb="22">
      <t>ハッチュウ</t>
    </rPh>
    <rPh sb="22" eb="23">
      <t>ニチ</t>
    </rPh>
    <phoneticPr fontId="7"/>
  </si>
  <si>
    <t>パルシステムきなり流7月1回　差分予測</t>
    <rPh sb="9" eb="10">
      <t>リュウ</t>
    </rPh>
    <rPh sb="11" eb="12">
      <t>ガツ</t>
    </rPh>
    <rPh sb="13" eb="14">
      <t>カイ</t>
    </rPh>
    <rPh sb="15" eb="17">
      <t>サブン</t>
    </rPh>
    <rPh sb="17" eb="19">
      <t>ヨソク</t>
    </rPh>
    <phoneticPr fontId="7"/>
  </si>
  <si>
    <t>5/8～20</t>
    <phoneticPr fontId="7"/>
  </si>
  <si>
    <t>JOD特別号9561</t>
    <rPh sb="3" eb="6">
      <t>トクベツゴウ</t>
    </rPh>
    <phoneticPr fontId="7"/>
  </si>
  <si>
    <t>4/21～</t>
    <phoneticPr fontId="7"/>
  </si>
  <si>
    <t>くらし（きなり流）sample返却</t>
    <rPh sb="7" eb="8">
      <t>リュウ</t>
    </rPh>
    <rPh sb="15" eb="17">
      <t>ヘンキャク</t>
    </rPh>
    <phoneticPr fontId="7"/>
  </si>
  <si>
    <t>JOD特別号0520</t>
    <rPh sb="3" eb="6">
      <t>トクベツゴウ</t>
    </rPh>
    <phoneticPr fontId="7"/>
  </si>
  <si>
    <t>JODアクセス7017</t>
    <phoneticPr fontId="7"/>
  </si>
  <si>
    <t>ハルメクチラシ2638</t>
    <phoneticPr fontId="7"/>
  </si>
  <si>
    <t>6/26～9/30</t>
    <phoneticPr fontId="7"/>
  </si>
  <si>
    <t>ハルメクアルファ㉘</t>
    <phoneticPr fontId="7"/>
  </si>
  <si>
    <t>ハルメクアルファsample</t>
    <phoneticPr fontId="7"/>
  </si>
  <si>
    <t>夢販</t>
    <rPh sb="0" eb="2">
      <t>y</t>
    </rPh>
    <phoneticPr fontId="7"/>
  </si>
  <si>
    <t>ユーコープ5-3ｗ①</t>
    <phoneticPr fontId="7"/>
  </si>
  <si>
    <t>ハルメクアルファ㉙</t>
    <phoneticPr fontId="7"/>
  </si>
  <si>
    <t>6/3～</t>
    <phoneticPr fontId="7"/>
  </si>
  <si>
    <t>JODエレソア0605</t>
    <phoneticPr fontId="7"/>
  </si>
  <si>
    <t>ユーコープ5-3ｗ②</t>
    <phoneticPr fontId="7"/>
  </si>
  <si>
    <t>ユーコープ5-3ｗ③</t>
    <phoneticPr fontId="7"/>
  </si>
  <si>
    <t>IEI使ってヨカッタ8月号2色4枚組</t>
    <rPh sb="3" eb="4">
      <t>ツカ</t>
    </rPh>
    <rPh sb="11" eb="13">
      <t>ガツゴウ</t>
    </rPh>
    <rPh sb="14" eb="15">
      <t>ショク</t>
    </rPh>
    <rPh sb="16" eb="18">
      <t>マイクミ</t>
    </rPh>
    <phoneticPr fontId="7"/>
  </si>
  <si>
    <t>8/1～9/30</t>
    <phoneticPr fontId="7"/>
  </si>
  <si>
    <t>2025/6/1→5/11数伝</t>
    <rPh sb="13" eb="15">
      <t>スウデン</t>
    </rPh>
    <phoneticPr fontId="7"/>
  </si>
  <si>
    <t>ハルメクチラシ2648</t>
    <phoneticPr fontId="7"/>
  </si>
  <si>
    <t>7/24～10/31</t>
    <phoneticPr fontId="7"/>
  </si>
  <si>
    <t>ユーコープ5月3回差分予測</t>
    <rPh sb="6" eb="7">
      <t>ガツ</t>
    </rPh>
    <rPh sb="8" eb="9">
      <t>カイ</t>
    </rPh>
    <rPh sb="9" eb="11">
      <t>サブン</t>
    </rPh>
    <rPh sb="11" eb="13">
      <t>ヨソク</t>
    </rPh>
    <phoneticPr fontId="7"/>
  </si>
  <si>
    <t>ユーコープ5月3回（不透明袋）</t>
    <rPh sb="6" eb="7">
      <t>ガツ</t>
    </rPh>
    <rPh sb="8" eb="9">
      <t>カイ</t>
    </rPh>
    <rPh sb="10" eb="14">
      <t>フトウメイフクロ</t>
    </rPh>
    <phoneticPr fontId="7"/>
  </si>
  <si>
    <t>パルシステムきなり流7月1回（不透明袋）限定数量</t>
    <rPh sb="9" eb="10">
      <t>リュウ</t>
    </rPh>
    <rPh sb="11" eb="12">
      <t>ガツ</t>
    </rPh>
    <rPh sb="13" eb="14">
      <t>カイ</t>
    </rPh>
    <rPh sb="15" eb="19">
      <t>フトウメイフクロ</t>
    </rPh>
    <rPh sb="20" eb="22">
      <t>ゲンテイ</t>
    </rPh>
    <rPh sb="22" eb="24">
      <t>スウリョウ</t>
    </rPh>
    <phoneticPr fontId="7"/>
  </si>
  <si>
    <t>ユーコープ8月3回差分予測</t>
    <rPh sb="6" eb="7">
      <t>ガツ</t>
    </rPh>
    <rPh sb="8" eb="9">
      <t>カイ</t>
    </rPh>
    <rPh sb="9" eb="13">
      <t>サブンヨソク</t>
    </rPh>
    <phoneticPr fontId="7"/>
  </si>
  <si>
    <t>ユーコープ8月3回（不透明袋）</t>
    <rPh sb="6" eb="7">
      <t>ガツ</t>
    </rPh>
    <rPh sb="8" eb="9">
      <t>カイ</t>
    </rPh>
    <rPh sb="10" eb="14">
      <t>フトウメイフクロ</t>
    </rPh>
    <phoneticPr fontId="7"/>
  </si>
  <si>
    <t>8/5～19</t>
    <phoneticPr fontId="7"/>
  </si>
  <si>
    <t>JOD</t>
    <phoneticPr fontId="7"/>
  </si>
  <si>
    <t>ハルメクチラシ2656</t>
    <phoneticPr fontId="7"/>
  </si>
  <si>
    <t>8/28～11/30</t>
    <phoneticPr fontId="7"/>
  </si>
  <si>
    <t>パルシステムきなり流7月1回（不透明袋）限定数量①</t>
    <rPh sb="9" eb="10">
      <t>リュウ</t>
    </rPh>
    <rPh sb="11" eb="12">
      <t>ガツ</t>
    </rPh>
    <rPh sb="13" eb="14">
      <t>カイ</t>
    </rPh>
    <rPh sb="15" eb="19">
      <t>フトウメイフクロ</t>
    </rPh>
    <rPh sb="20" eb="22">
      <t>ゲンテイ</t>
    </rPh>
    <rPh sb="22" eb="24">
      <t>スウリョウ</t>
    </rPh>
    <phoneticPr fontId="7"/>
  </si>
  <si>
    <t>JOD特別版0724</t>
    <rPh sb="3" eb="6">
      <t>トクベツバン</t>
    </rPh>
    <phoneticPr fontId="7"/>
  </si>
  <si>
    <t>7/23～</t>
    <phoneticPr fontId="7"/>
  </si>
  <si>
    <t>JOD確保</t>
    <rPh sb="3" eb="5">
      <t>カクホ</t>
    </rPh>
    <phoneticPr fontId="7"/>
  </si>
  <si>
    <t>2026/6/12数伝</t>
    <rPh sb="9" eb="10">
      <t>スウ</t>
    </rPh>
    <rPh sb="10" eb="11">
      <t>デン</t>
    </rPh>
    <phoneticPr fontId="7"/>
  </si>
  <si>
    <t>JODアクセス7019</t>
    <phoneticPr fontId="7"/>
  </si>
  <si>
    <t>サクラマチ返品</t>
    <rPh sb="0" eb="7">
      <t>s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</si>
</sst>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2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28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187">
    <xf numFmtId="0" fontId="0" fillId="0" borderId="0" xfId="0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8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2" fillId="2" borderId="11" xfId="2" applyFill="1" applyBorder="1"/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0" fontId="2" fillId="0" borderId="8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9" fillId="3" borderId="0" xfId="2" applyFont="1" applyFill="1"/>
    <xf numFmtId="0" fontId="10" fillId="3" borderId="0" xfId="2" applyFont="1" applyFill="1"/>
    <xf numFmtId="0" fontId="11" fillId="3" borderId="0" xfId="1" applyFont="1" applyFill="1">
      <alignment vertical="center"/>
    </xf>
    <xf numFmtId="0" fontId="2" fillId="0" borderId="9" xfId="2" applyBorder="1" applyAlignment="1">
      <alignment horizontal="center"/>
    </xf>
    <xf numFmtId="0" fontId="2" fillId="0" borderId="7" xfId="2" applyBorder="1" applyAlignment="1">
      <alignment horizontal="center"/>
    </xf>
    <xf numFmtId="56" fontId="8" fillId="0" borderId="0" xfId="1" applyNumberFormat="1" applyFont="1" applyAlignment="1">
      <alignment horizontal="left" vertical="center"/>
    </xf>
    <xf numFmtId="0" fontId="4" fillId="0" borderId="4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10" xfId="2" applyFont="1" applyBorder="1" applyAlignment="1">
      <alignment horizontal="center"/>
    </xf>
    <xf numFmtId="0" fontId="2" fillId="0" borderId="14" xfId="2" applyBorder="1" applyAlignment="1">
      <alignment horizontal="center"/>
    </xf>
    <xf numFmtId="0" fontId="2" fillId="0" borderId="4" xfId="2" applyBorder="1" applyAlignment="1">
      <alignment horizontal="center"/>
    </xf>
    <xf numFmtId="0" fontId="2" fillId="0" borderId="13" xfId="2" applyBorder="1" applyAlignment="1">
      <alignment horizontal="center"/>
    </xf>
    <xf numFmtId="0" fontId="5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/>
    </xf>
    <xf numFmtId="0" fontId="6" fillId="0" borderId="12" xfId="2" applyFont="1" applyBorder="1" applyAlignment="1">
      <alignment horizontal="center"/>
    </xf>
    <xf numFmtId="0" fontId="6" fillId="0" borderId="17" xfId="2" applyFont="1" applyBorder="1" applyAlignment="1">
      <alignment horizontal="center"/>
    </xf>
    <xf numFmtId="0" fontId="6" fillId="2" borderId="15" xfId="2" applyFont="1" applyFill="1" applyBorder="1"/>
    <xf numFmtId="0" fontId="2" fillId="0" borderId="13" xfId="2" applyBorder="1" applyAlignment="1">
      <alignment horizontal="center" vertical="center"/>
    </xf>
    <xf numFmtId="56" fontId="8" fillId="0" borderId="0" xfId="0" applyNumberFormat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11" fillId="0" borderId="0" xfId="1" applyFont="1" applyAlignment="1">
      <alignment horizontal="left" vertical="center"/>
    </xf>
    <xf numFmtId="56" fontId="1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4" xfId="2" applyBorder="1" applyAlignment="1">
      <alignment horizontal="center" vertical="center" shrinkToFit="1"/>
    </xf>
    <xf numFmtId="176" fontId="13" fillId="0" borderId="0" xfId="0" applyNumberFormat="1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4" fillId="0" borderId="4" xfId="2" applyFont="1" applyBorder="1" applyAlignment="1">
      <alignment horizontal="center" vertical="center"/>
    </xf>
    <xf numFmtId="0" fontId="4" fillId="0" borderId="8" xfId="2" applyFont="1" applyBorder="1"/>
    <xf numFmtId="0" fontId="4" fillId="0" borderId="5" xfId="2" applyFont="1" applyBorder="1"/>
    <xf numFmtId="0" fontId="4" fillId="0" borderId="6" xfId="2" applyFont="1" applyBorder="1"/>
    <xf numFmtId="0" fontId="4" fillId="2" borderId="5" xfId="2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4" xfId="2" applyBorder="1" applyAlignment="1">
      <alignment horizontal="center" vertical="center"/>
    </xf>
    <xf numFmtId="0" fontId="6" fillId="0" borderId="18" xfId="2" applyFont="1" applyBorder="1"/>
    <xf numFmtId="0" fontId="2" fillId="2" borderId="19" xfId="2" applyFill="1" applyBorder="1"/>
    <xf numFmtId="0" fontId="2" fillId="2" borderId="13" xfId="2" applyFill="1" applyBorder="1"/>
    <xf numFmtId="0" fontId="2" fillId="2" borderId="6" xfId="2" applyFill="1" applyBorder="1"/>
    <xf numFmtId="0" fontId="2" fillId="0" borderId="20" xfId="2" applyBorder="1"/>
    <xf numFmtId="0" fontId="2" fillId="2" borderId="20" xfId="2" applyFill="1" applyBorder="1"/>
    <xf numFmtId="0" fontId="14" fillId="0" borderId="14" xfId="2" applyFont="1" applyBorder="1" applyAlignment="1">
      <alignment horizontal="center" vertical="center"/>
    </xf>
    <xf numFmtId="176" fontId="17" fillId="0" borderId="0" xfId="0" applyNumberFormat="1" applyFont="1" applyAlignment="1">
      <alignment horizontal="right" vertical="center"/>
    </xf>
    <xf numFmtId="0" fontId="15" fillId="0" borderId="15" xfId="0" applyFont="1" applyBorder="1" applyAlignment="1">
      <alignment horizontal="center" vertical="center"/>
    </xf>
    <xf numFmtId="0" fontId="15" fillId="0" borderId="12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0" fontId="15" fillId="4" borderId="15" xfId="0" applyFont="1" applyFill="1" applyBorder="1" applyAlignment="1">
      <alignment horizontal="right" vertical="center"/>
    </xf>
    <xf numFmtId="0" fontId="2" fillId="5" borderId="8" xfId="2" applyFill="1" applyBorder="1"/>
    <xf numFmtId="0" fontId="8" fillId="0" borderId="20" xfId="0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2" fillId="2" borderId="15" xfId="2" applyFill="1" applyBorder="1"/>
    <xf numFmtId="0" fontId="4" fillId="0" borderId="20" xfId="2" applyFont="1" applyBorder="1" applyAlignment="1">
      <alignment horizontal="center" vertical="center"/>
    </xf>
    <xf numFmtId="0" fontId="2" fillId="0" borderId="4" xfId="2" applyBorder="1"/>
    <xf numFmtId="0" fontId="2" fillId="0" borderId="13" xfId="2" applyBorder="1"/>
    <xf numFmtId="0" fontId="2" fillId="0" borderId="16" xfId="2" applyBorder="1" applyAlignment="1">
      <alignment horizontal="center" vertical="center"/>
    </xf>
    <xf numFmtId="0" fontId="2" fillId="0" borderId="12" xfId="2" applyBorder="1"/>
    <xf numFmtId="0" fontId="2" fillId="0" borderId="17" xfId="2" applyBorder="1"/>
    <xf numFmtId="0" fontId="2" fillId="2" borderId="17" xfId="2" applyFill="1" applyBorder="1"/>
    <xf numFmtId="0" fontId="2" fillId="2" borderId="12" xfId="2" applyFill="1" applyBorder="1"/>
    <xf numFmtId="0" fontId="2" fillId="0" borderId="14" xfId="2" applyBorder="1" applyAlignment="1">
      <alignment horizontal="center" vertical="center" shrinkToFit="1"/>
    </xf>
    <xf numFmtId="0" fontId="2" fillId="0" borderId="8" xfId="2" applyBorder="1" applyAlignment="1">
      <alignment horizontal="center" vertical="center"/>
    </xf>
    <xf numFmtId="0" fontId="4" fillId="2" borderId="6" xfId="2" applyFont="1" applyFill="1" applyBorder="1"/>
    <xf numFmtId="0" fontId="2" fillId="0" borderId="12" xfId="2" applyBorder="1" applyAlignment="1">
      <alignment horizontal="center" vertical="center"/>
    </xf>
    <xf numFmtId="0" fontId="2" fillId="0" borderId="5" xfId="2" applyBorder="1" applyAlignment="1">
      <alignment horizontal="center" vertical="center" shrinkToFit="1"/>
    </xf>
    <xf numFmtId="0" fontId="2" fillId="0" borderId="14" xfId="2" applyBorder="1"/>
    <xf numFmtId="0" fontId="8" fillId="0" borderId="4" xfId="0" applyFont="1" applyBorder="1" applyAlignment="1">
      <alignment horizontal="center" vertical="center"/>
    </xf>
    <xf numFmtId="0" fontId="2" fillId="0" borderId="19" xfId="2" applyBorder="1" applyAlignment="1">
      <alignment horizontal="center" vertical="center"/>
    </xf>
    <xf numFmtId="0" fontId="2" fillId="0" borderId="15" xfId="2" applyBorder="1"/>
    <xf numFmtId="0" fontId="2" fillId="0" borderId="21" xfId="2" applyBorder="1"/>
    <xf numFmtId="0" fontId="2" fillId="2" borderId="21" xfId="2" applyFill="1" applyBorder="1"/>
    <xf numFmtId="0" fontId="13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9" fillId="6" borderId="0" xfId="2" applyFont="1" applyFill="1"/>
    <xf numFmtId="0" fontId="10" fillId="6" borderId="0" xfId="2" applyFont="1" applyFill="1"/>
    <xf numFmtId="0" fontId="11" fillId="6" borderId="0" xfId="1" applyFont="1" applyFill="1">
      <alignment vertical="center"/>
    </xf>
    <xf numFmtId="0" fontId="11" fillId="6" borderId="0" xfId="1" applyFont="1" applyFill="1" applyAlignment="1">
      <alignment horizontal="left" vertical="center"/>
    </xf>
    <xf numFmtId="56" fontId="13" fillId="0" borderId="0" xfId="0" applyNumberFormat="1" applyFont="1" applyAlignment="1">
      <alignment horizontal="right" vertical="center"/>
    </xf>
    <xf numFmtId="0" fontId="8" fillId="0" borderId="5" xfId="0" applyFont="1" applyBorder="1" applyAlignment="1">
      <alignment horizontal="center" vertical="center"/>
    </xf>
    <xf numFmtId="0" fontId="2" fillId="0" borderId="20" xfId="2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right" vertical="center"/>
    </xf>
    <xf numFmtId="0" fontId="8" fillId="0" borderId="17" xfId="0" applyFont="1" applyBorder="1" applyAlignment="1">
      <alignment horizontal="right" vertical="center"/>
    </xf>
    <xf numFmtId="0" fontId="8" fillId="6" borderId="17" xfId="0" applyFont="1" applyFill="1" applyBorder="1" applyAlignment="1">
      <alignment horizontal="right" vertical="center"/>
    </xf>
    <xf numFmtId="0" fontId="8" fillId="6" borderId="12" xfId="0" applyFont="1" applyFill="1" applyBorder="1" applyAlignment="1">
      <alignment horizontal="right" vertical="center"/>
    </xf>
    <xf numFmtId="0" fontId="15" fillId="0" borderId="5" xfId="0" applyFont="1" applyBorder="1" applyAlignment="1">
      <alignment horizontal="right" vertical="center"/>
    </xf>
    <xf numFmtId="0" fontId="15" fillId="0" borderId="6" xfId="0" applyFont="1" applyBorder="1" applyAlignment="1">
      <alignment horizontal="right" vertical="center"/>
    </xf>
    <xf numFmtId="0" fontId="15" fillId="4" borderId="6" xfId="0" applyFont="1" applyFill="1" applyBorder="1" applyAlignment="1">
      <alignment horizontal="right" vertical="center"/>
    </xf>
    <xf numFmtId="0" fontId="15" fillId="4" borderId="5" xfId="0" applyFont="1" applyFill="1" applyBorder="1" applyAlignment="1">
      <alignment horizontal="right" vertical="center"/>
    </xf>
    <xf numFmtId="0" fontId="2" fillId="0" borderId="15" xfId="2" applyBorder="1" applyAlignment="1">
      <alignment horizontal="center" vertical="center"/>
    </xf>
    <xf numFmtId="0" fontId="2" fillId="0" borderId="16" xfId="2" applyBorder="1"/>
    <xf numFmtId="0" fontId="2" fillId="0" borderId="11" xfId="2" applyBorder="1" applyAlignment="1">
      <alignment horizontal="center" vertical="center"/>
    </xf>
    <xf numFmtId="0" fontId="2" fillId="0" borderId="22" xfId="2" applyBorder="1"/>
    <xf numFmtId="0" fontId="2" fillId="0" borderId="7" xfId="2" applyBorder="1"/>
    <xf numFmtId="0" fontId="2" fillId="0" borderId="9" xfId="2" applyBorder="1"/>
    <xf numFmtId="0" fontId="2" fillId="2" borderId="7" xfId="2" applyFill="1" applyBorder="1"/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176" fontId="13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left" vertical="center"/>
    </xf>
    <xf numFmtId="0" fontId="18" fillId="7" borderId="0" xfId="0" applyFont="1" applyFill="1" applyAlignment="1">
      <alignment horizontal="left" vertical="center"/>
    </xf>
    <xf numFmtId="0" fontId="4" fillId="0" borderId="10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56" fontId="8" fillId="0" borderId="0" xfId="0" applyNumberFormat="1" applyFont="1">
      <alignment vertical="center"/>
    </xf>
    <xf numFmtId="0" fontId="12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176" fontId="0" fillId="0" borderId="0" xfId="0" applyNumberFormat="1" applyAlignment="1">
      <alignment horizontal="right" vertical="center"/>
    </xf>
    <xf numFmtId="0" fontId="2" fillId="0" borderId="0" xfId="2" applyAlignment="1">
      <alignment vertical="center"/>
    </xf>
    <xf numFmtId="176" fontId="13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7" fillId="7" borderId="0" xfId="0" applyNumberFormat="1" applyFont="1" applyFill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6" fillId="0" borderId="8" xfId="2" applyFont="1" applyBorder="1"/>
    <xf numFmtId="0" fontId="6" fillId="0" borderId="5" xfId="2" applyFont="1" applyBorder="1"/>
    <xf numFmtId="0" fontId="6" fillId="0" borderId="6" xfId="2" applyFont="1" applyBorder="1"/>
    <xf numFmtId="0" fontId="6" fillId="2" borderId="5" xfId="2" applyFont="1" applyFill="1" applyBorder="1"/>
    <xf numFmtId="0" fontId="6" fillId="0" borderId="4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8" xfId="2" applyFont="1" applyBorder="1"/>
    <xf numFmtId="0" fontId="5" fillId="0" borderId="5" xfId="2" applyFont="1" applyBorder="1"/>
    <xf numFmtId="0" fontId="5" fillId="0" borderId="6" xfId="2" applyFont="1" applyBorder="1"/>
    <xf numFmtId="0" fontId="5" fillId="2" borderId="5" xfId="2" applyFont="1" applyFill="1" applyBorder="1"/>
    <xf numFmtId="0" fontId="22" fillId="0" borderId="7" xfId="2" applyFont="1" applyBorder="1" applyAlignment="1">
      <alignment horizontal="center" vertical="center"/>
    </xf>
    <xf numFmtId="0" fontId="23" fillId="0" borderId="6" xfId="2" applyFont="1" applyBorder="1" applyAlignment="1">
      <alignment horizontal="center" vertical="center"/>
    </xf>
    <xf numFmtId="0" fontId="23" fillId="0" borderId="5" xfId="2" applyFont="1" applyBorder="1" applyAlignment="1">
      <alignment horizontal="center" vertical="center"/>
    </xf>
    <xf numFmtId="0" fontId="23" fillId="2" borderId="4" xfId="2" applyFont="1" applyFill="1" applyBorder="1"/>
    <xf numFmtId="56" fontId="1" fillId="0" borderId="0" xfId="0" applyNumberFormat="1" applyFont="1" applyAlignment="1">
      <alignment horizontal="left" vertical="center"/>
    </xf>
    <xf numFmtId="0" fontId="23" fillId="0" borderId="4" xfId="2" applyFont="1" applyBorder="1" applyAlignment="1">
      <alignment horizontal="center" vertical="center"/>
    </xf>
    <xf numFmtId="0" fontId="23" fillId="0" borderId="8" xfId="2" applyFont="1" applyBorder="1"/>
    <xf numFmtId="0" fontId="23" fillId="0" borderId="5" xfId="2" applyFont="1" applyBorder="1"/>
    <xf numFmtId="0" fontId="23" fillId="0" borderId="6" xfId="2" applyFont="1" applyBorder="1"/>
    <xf numFmtId="0" fontId="23" fillId="2" borderId="5" xfId="2" applyFont="1" applyFill="1" applyBorder="1"/>
    <xf numFmtId="0" fontId="23" fillId="0" borderId="8" xfId="2" applyFont="1" applyBorder="1" applyAlignment="1">
      <alignment horizontal="center"/>
    </xf>
    <xf numFmtId="0" fontId="23" fillId="0" borderId="5" xfId="2" applyFont="1" applyBorder="1" applyAlignment="1">
      <alignment horizontal="center"/>
    </xf>
    <xf numFmtId="0" fontId="23" fillId="0" borderId="6" xfId="2" applyFont="1" applyBorder="1" applyAlignment="1">
      <alignment horizontal="center"/>
    </xf>
    <xf numFmtId="0" fontId="1" fillId="0" borderId="0" xfId="0" applyFont="1">
      <alignment vertical="center"/>
    </xf>
    <xf numFmtId="0" fontId="4" fillId="0" borderId="2" xfId="2" applyFont="1" applyBorder="1" applyAlignment="1">
      <alignment horizontal="center"/>
    </xf>
    <xf numFmtId="0" fontId="4" fillId="0" borderId="10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21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45"/>
  <sheetViews>
    <sheetView tabSelected="1" topLeftCell="A1162" zoomScaleNormal="100" workbookViewId="0">
      <selection activeCell="J1171" sqref="J1171"/>
    </sheetView>
  </sheetViews>
  <sheetFormatPr defaultRowHeight="13.5" x14ac:dyDescent="0.15"/>
  <cols>
    <col min="1" max="1" width="26.875" customWidth="1"/>
    <col min="2" max="9" width="7.75" customWidth="1"/>
    <col min="10" max="10" width="13.625" style="51" customWidth="1"/>
    <col min="11" max="11" width="42.75" style="51" customWidth="1"/>
    <col min="12" max="19" width="8.875" style="51" customWidth="1"/>
    <col min="20" max="20" width="9.25" style="51" bestFit="1" customWidth="1"/>
  </cols>
  <sheetData>
    <row r="1" spans="1:21" ht="21.75" thickBot="1" x14ac:dyDescent="0.25">
      <c r="A1" s="26" t="s">
        <v>19</v>
      </c>
      <c r="B1" s="27"/>
      <c r="C1" s="27"/>
      <c r="D1" s="27"/>
      <c r="E1" s="27"/>
      <c r="F1" s="28"/>
      <c r="G1" s="28"/>
      <c r="H1" s="28"/>
      <c r="I1" s="28"/>
      <c r="J1" s="49"/>
      <c r="K1" s="26" t="s">
        <v>18</v>
      </c>
      <c r="L1" s="27"/>
      <c r="M1" s="27"/>
      <c r="N1" s="27"/>
      <c r="O1" s="27"/>
      <c r="P1" s="28"/>
      <c r="Q1" s="28"/>
      <c r="R1" s="28"/>
      <c r="S1" s="28"/>
    </row>
    <row r="2" spans="1:21" ht="14.25" thickBot="1" x14ac:dyDescent="0.2">
      <c r="A2" s="1" t="s">
        <v>0</v>
      </c>
      <c r="B2" s="183" t="s">
        <v>12</v>
      </c>
      <c r="C2" s="183"/>
      <c r="D2" s="183"/>
      <c r="E2" s="184"/>
      <c r="F2" s="183" t="s">
        <v>10</v>
      </c>
      <c r="G2" s="183"/>
      <c r="H2" s="183"/>
      <c r="I2" s="184"/>
      <c r="J2" s="48"/>
      <c r="K2" s="1" t="s">
        <v>0</v>
      </c>
      <c r="L2" s="183" t="s">
        <v>12</v>
      </c>
      <c r="M2" s="183"/>
      <c r="N2" s="183"/>
      <c r="O2" s="184"/>
      <c r="P2" s="183" t="s">
        <v>10</v>
      </c>
      <c r="Q2" s="183"/>
      <c r="R2" s="183"/>
      <c r="S2" s="184"/>
    </row>
    <row r="3" spans="1:21" ht="14.25" thickBot="1" x14ac:dyDescent="0.2">
      <c r="A3" s="1" t="s">
        <v>1</v>
      </c>
      <c r="B3" s="2" t="s">
        <v>7</v>
      </c>
      <c r="C3" s="1" t="s">
        <v>8</v>
      </c>
      <c r="D3" s="15" t="s">
        <v>9</v>
      </c>
      <c r="E3" s="1" t="s">
        <v>2</v>
      </c>
      <c r="F3" s="2" t="s">
        <v>7</v>
      </c>
      <c r="G3" s="1" t="s">
        <v>8</v>
      </c>
      <c r="H3" s="15" t="s">
        <v>9</v>
      </c>
      <c r="I3" s="1" t="s">
        <v>2</v>
      </c>
      <c r="J3" s="48"/>
      <c r="K3" s="1" t="s">
        <v>1</v>
      </c>
      <c r="L3" s="2" t="s">
        <v>7</v>
      </c>
      <c r="M3" s="1" t="s">
        <v>8</v>
      </c>
      <c r="N3" s="15" t="s">
        <v>9</v>
      </c>
      <c r="O3" s="1" t="s">
        <v>2</v>
      </c>
      <c r="P3" s="2" t="s">
        <v>7</v>
      </c>
      <c r="Q3" s="1" t="s">
        <v>8</v>
      </c>
      <c r="R3" s="15" t="s">
        <v>9</v>
      </c>
      <c r="S3" s="1" t="s">
        <v>2</v>
      </c>
    </row>
    <row r="4" spans="1:21" ht="14.25" thickBot="1" x14ac:dyDescent="0.2">
      <c r="A4" s="41" t="s">
        <v>11</v>
      </c>
      <c r="B4" s="42">
        <v>1</v>
      </c>
      <c r="C4" s="43">
        <v>1</v>
      </c>
      <c r="D4" s="44">
        <v>1</v>
      </c>
      <c r="E4" s="45">
        <f t="shared" ref="E4:E40" si="0">SUM(B4:D4)</f>
        <v>3</v>
      </c>
      <c r="F4" s="42">
        <v>1</v>
      </c>
      <c r="G4" s="43">
        <v>1</v>
      </c>
      <c r="H4" s="44">
        <v>1</v>
      </c>
      <c r="I4" s="45">
        <f t="shared" ref="I4:I40" si="1">SUM(F4:H4)</f>
        <v>3</v>
      </c>
      <c r="J4" s="50">
        <v>44611</v>
      </c>
      <c r="K4" s="34" t="s">
        <v>11</v>
      </c>
      <c r="L4" s="35"/>
      <c r="M4" s="36"/>
      <c r="N4" s="37"/>
      <c r="O4" s="20">
        <f t="shared" ref="O4:O40" si="2">SUM(L4:N4)</f>
        <v>0</v>
      </c>
      <c r="P4" s="35"/>
      <c r="Q4" s="36"/>
      <c r="R4" s="37"/>
      <c r="S4" s="20">
        <f t="shared" ref="S4:S40" si="3">SUM(P4:R4)</f>
        <v>0</v>
      </c>
    </row>
    <row r="5" spans="1:21" x14ac:dyDescent="0.15">
      <c r="A5" s="5" t="s">
        <v>3</v>
      </c>
      <c r="B5" s="38"/>
      <c r="C5" s="39"/>
      <c r="D5" s="40"/>
      <c r="E5" s="4">
        <f t="shared" si="0"/>
        <v>0</v>
      </c>
      <c r="F5" s="38"/>
      <c r="G5" s="39"/>
      <c r="H5" s="40"/>
      <c r="I5" s="4">
        <f t="shared" si="1"/>
        <v>0</v>
      </c>
      <c r="J5" s="47"/>
      <c r="K5" s="5" t="s">
        <v>22</v>
      </c>
      <c r="L5" s="46">
        <v>10</v>
      </c>
      <c r="M5" s="3">
        <v>10</v>
      </c>
      <c r="N5" s="46">
        <v>10</v>
      </c>
      <c r="O5" s="4">
        <f t="shared" si="2"/>
        <v>30</v>
      </c>
      <c r="P5" s="46">
        <v>10</v>
      </c>
      <c r="Q5" s="3">
        <v>10</v>
      </c>
      <c r="R5" s="46">
        <v>10</v>
      </c>
      <c r="S5" s="4">
        <f t="shared" si="3"/>
        <v>30</v>
      </c>
      <c r="T5" s="47">
        <v>44653</v>
      </c>
    </row>
    <row r="6" spans="1:21" x14ac:dyDescent="0.15">
      <c r="A6" s="5" t="s">
        <v>3</v>
      </c>
      <c r="B6" s="14">
        <v>10</v>
      </c>
      <c r="C6" s="11">
        <v>10</v>
      </c>
      <c r="D6" s="14">
        <v>10</v>
      </c>
      <c r="E6" s="4">
        <f t="shared" si="0"/>
        <v>30</v>
      </c>
      <c r="F6" s="14">
        <v>10</v>
      </c>
      <c r="G6" s="11">
        <v>10</v>
      </c>
      <c r="H6" s="14">
        <v>10</v>
      </c>
      <c r="I6" s="4">
        <f t="shared" si="1"/>
        <v>30</v>
      </c>
      <c r="J6" s="31" t="s">
        <v>39</v>
      </c>
      <c r="K6" s="5" t="s">
        <v>16</v>
      </c>
      <c r="L6" s="14">
        <v>149</v>
      </c>
      <c r="M6" s="11">
        <v>199</v>
      </c>
      <c r="N6" s="14">
        <v>119</v>
      </c>
      <c r="O6" s="4">
        <f t="shared" si="2"/>
        <v>467</v>
      </c>
      <c r="P6" s="14">
        <v>149</v>
      </c>
      <c r="Q6" s="11">
        <v>199</v>
      </c>
      <c r="R6" s="14">
        <v>119</v>
      </c>
      <c r="S6" s="4">
        <f t="shared" si="3"/>
        <v>467</v>
      </c>
      <c r="T6" s="47" t="s">
        <v>42</v>
      </c>
    </row>
    <row r="7" spans="1:21" x14ac:dyDescent="0.15">
      <c r="A7" s="3" t="s">
        <v>40</v>
      </c>
      <c r="B7" s="8">
        <v>1</v>
      </c>
      <c r="C7" s="9">
        <v>1</v>
      </c>
      <c r="D7" s="10">
        <v>1</v>
      </c>
      <c r="E7" s="4">
        <f t="shared" ref="E7:E8" si="4">SUM(B7:D7)</f>
        <v>3</v>
      </c>
      <c r="F7" s="8">
        <v>1</v>
      </c>
      <c r="G7" s="9">
        <v>1</v>
      </c>
      <c r="H7" s="10">
        <v>1</v>
      </c>
      <c r="I7" s="4">
        <f t="shared" ref="I7:I8" si="5">SUM(F7:H7)</f>
        <v>3</v>
      </c>
      <c r="J7" s="31">
        <v>44657</v>
      </c>
      <c r="K7" s="5" t="s">
        <v>3</v>
      </c>
      <c r="L7" s="14"/>
      <c r="M7" s="11"/>
      <c r="N7" s="14"/>
      <c r="O7" s="4">
        <f t="shared" si="2"/>
        <v>0</v>
      </c>
      <c r="P7" s="14"/>
      <c r="Q7" s="11"/>
      <c r="R7" s="14"/>
      <c r="S7" s="4">
        <f t="shared" si="3"/>
        <v>0</v>
      </c>
    </row>
    <row r="8" spans="1:21" x14ac:dyDescent="0.15">
      <c r="A8" s="57" t="s">
        <v>70</v>
      </c>
      <c r="B8" s="8"/>
      <c r="C8" s="9">
        <v>1</v>
      </c>
      <c r="D8" s="10"/>
      <c r="E8" s="4">
        <f t="shared" si="4"/>
        <v>1</v>
      </c>
      <c r="F8" s="8"/>
      <c r="G8" s="9">
        <v>1</v>
      </c>
      <c r="H8" s="10"/>
      <c r="I8" s="4">
        <f t="shared" si="5"/>
        <v>1</v>
      </c>
      <c r="J8" s="31">
        <v>44706</v>
      </c>
      <c r="K8" s="5" t="s">
        <v>3</v>
      </c>
      <c r="L8" s="25"/>
      <c r="M8" s="24"/>
      <c r="N8" s="25"/>
      <c r="O8" s="7">
        <f t="shared" ref="O8" si="6">SUM(L8:N8)</f>
        <v>0</v>
      </c>
      <c r="P8" s="25"/>
      <c r="Q8" s="24"/>
      <c r="R8" s="25"/>
      <c r="S8" s="7">
        <f t="shared" ref="S8" si="7">SUM(P8:R8)</f>
        <v>0</v>
      </c>
    </row>
    <row r="9" spans="1:21" x14ac:dyDescent="0.15">
      <c r="A9" s="5" t="s">
        <v>3</v>
      </c>
      <c r="B9" s="14"/>
      <c r="C9" s="11"/>
      <c r="D9" s="14"/>
      <c r="E9" s="4">
        <f t="shared" si="0"/>
        <v>0</v>
      </c>
      <c r="F9" s="14"/>
      <c r="G9" s="11"/>
      <c r="H9" s="14"/>
      <c r="I9" s="4">
        <f t="shared" si="1"/>
        <v>0</v>
      </c>
      <c r="J9" s="31"/>
      <c r="K9" s="5" t="s">
        <v>3</v>
      </c>
      <c r="L9" s="14"/>
      <c r="M9" s="11"/>
      <c r="N9" s="14"/>
      <c r="O9" s="4">
        <f t="shared" si="2"/>
        <v>0</v>
      </c>
      <c r="P9" s="14"/>
      <c r="Q9" s="11"/>
      <c r="R9" s="14"/>
      <c r="S9" s="4">
        <f t="shared" si="3"/>
        <v>0</v>
      </c>
    </row>
    <row r="10" spans="1:21" x14ac:dyDescent="0.15">
      <c r="A10" s="5" t="s">
        <v>3</v>
      </c>
      <c r="B10" s="14"/>
      <c r="C10" s="11"/>
      <c r="D10" s="14"/>
      <c r="E10" s="4">
        <f t="shared" si="0"/>
        <v>0</v>
      </c>
      <c r="F10" s="14"/>
      <c r="G10" s="11"/>
      <c r="H10" s="14"/>
      <c r="I10" s="4">
        <f t="shared" si="1"/>
        <v>0</v>
      </c>
      <c r="J10" s="31"/>
      <c r="K10" s="5" t="s">
        <v>3</v>
      </c>
      <c r="L10" s="14"/>
      <c r="M10" s="11"/>
      <c r="N10" s="14"/>
      <c r="O10" s="4">
        <f t="shared" si="2"/>
        <v>0</v>
      </c>
      <c r="P10" s="14"/>
      <c r="Q10" s="11"/>
      <c r="R10" s="14"/>
      <c r="S10" s="4">
        <f t="shared" si="3"/>
        <v>0</v>
      </c>
    </row>
    <row r="11" spans="1:21" x14ac:dyDescent="0.15">
      <c r="A11" s="5" t="s">
        <v>3</v>
      </c>
      <c r="B11" s="14"/>
      <c r="C11" s="11"/>
      <c r="D11" s="14"/>
      <c r="E11" s="4">
        <f t="shared" si="0"/>
        <v>0</v>
      </c>
      <c r="F11" s="14"/>
      <c r="G11" s="11"/>
      <c r="H11" s="14"/>
      <c r="I11" s="4">
        <f t="shared" si="1"/>
        <v>0</v>
      </c>
      <c r="J11" s="31"/>
      <c r="K11" s="5" t="s">
        <v>3</v>
      </c>
      <c r="L11" s="14"/>
      <c r="M11" s="11"/>
      <c r="N11" s="14"/>
      <c r="O11" s="4">
        <f t="shared" si="2"/>
        <v>0</v>
      </c>
      <c r="P11" s="14"/>
      <c r="Q11" s="11"/>
      <c r="R11" s="14"/>
      <c r="S11" s="4">
        <f t="shared" si="3"/>
        <v>0</v>
      </c>
      <c r="T11" s="55"/>
      <c r="U11" s="54"/>
    </row>
    <row r="12" spans="1:21" x14ac:dyDescent="0.15">
      <c r="A12" s="5" t="s">
        <v>3</v>
      </c>
      <c r="B12" s="23"/>
      <c r="C12" s="24"/>
      <c r="D12" s="25"/>
      <c r="E12" s="7">
        <f t="shared" si="0"/>
        <v>0</v>
      </c>
      <c r="F12" s="23"/>
      <c r="G12" s="24"/>
      <c r="H12" s="25"/>
      <c r="I12" s="7">
        <f t="shared" si="1"/>
        <v>0</v>
      </c>
      <c r="J12" s="47"/>
      <c r="K12" s="5" t="s">
        <v>3</v>
      </c>
      <c r="L12" s="25"/>
      <c r="M12" s="24"/>
      <c r="N12" s="25"/>
      <c r="O12" s="7">
        <f t="shared" si="2"/>
        <v>0</v>
      </c>
      <c r="P12" s="25"/>
      <c r="Q12" s="24"/>
      <c r="R12" s="25"/>
      <c r="S12" s="7">
        <f t="shared" si="3"/>
        <v>0</v>
      </c>
    </row>
    <row r="13" spans="1:21" x14ac:dyDescent="0.15">
      <c r="A13" s="5" t="s">
        <v>3</v>
      </c>
      <c r="B13" s="23"/>
      <c r="C13" s="24"/>
      <c r="D13" s="25"/>
      <c r="E13" s="7">
        <f t="shared" si="0"/>
        <v>0</v>
      </c>
      <c r="F13" s="23"/>
      <c r="G13" s="24"/>
      <c r="H13" s="25"/>
      <c r="I13" s="7">
        <f t="shared" si="1"/>
        <v>0</v>
      </c>
      <c r="J13" s="47"/>
      <c r="K13" s="5" t="s">
        <v>3</v>
      </c>
      <c r="L13" s="25"/>
      <c r="M13" s="24"/>
      <c r="N13" s="25"/>
      <c r="O13" s="7">
        <f t="shared" si="2"/>
        <v>0</v>
      </c>
      <c r="P13" s="25"/>
      <c r="Q13" s="24"/>
      <c r="R13" s="25"/>
      <c r="S13" s="7">
        <f t="shared" si="3"/>
        <v>0</v>
      </c>
    </row>
    <row r="14" spans="1:21" ht="14.25" thickBot="1" x14ac:dyDescent="0.2">
      <c r="A14" s="6" t="s">
        <v>3</v>
      </c>
      <c r="B14" s="29"/>
      <c r="C14" s="30"/>
      <c r="D14" s="29"/>
      <c r="E14" s="16">
        <f t="shared" si="0"/>
        <v>0</v>
      </c>
      <c r="F14" s="29"/>
      <c r="G14" s="30"/>
      <c r="H14" s="29"/>
      <c r="I14" s="16">
        <f t="shared" si="1"/>
        <v>0</v>
      </c>
      <c r="J14" s="31"/>
      <c r="K14" s="33" t="s">
        <v>3</v>
      </c>
      <c r="L14" s="29"/>
      <c r="M14" s="30"/>
      <c r="N14" s="29"/>
      <c r="O14" s="16">
        <f t="shared" si="2"/>
        <v>0</v>
      </c>
      <c r="P14" s="29"/>
      <c r="Q14" s="30"/>
      <c r="R14" s="29"/>
      <c r="S14" s="16">
        <f t="shared" si="3"/>
        <v>0</v>
      </c>
    </row>
    <row r="15" spans="1:21" ht="14.25" thickBot="1" x14ac:dyDescent="0.2">
      <c r="A15" s="17" t="s">
        <v>4</v>
      </c>
      <c r="B15" s="18">
        <f>SUM(B4:B14)</f>
        <v>12</v>
      </c>
      <c r="C15" s="18">
        <f>SUM(C4:C14)</f>
        <v>13</v>
      </c>
      <c r="D15" s="19">
        <f>SUM(D4:D14)</f>
        <v>12</v>
      </c>
      <c r="E15" s="20">
        <f t="shared" si="0"/>
        <v>37</v>
      </c>
      <c r="F15" s="18">
        <f>SUM(F4:F14)</f>
        <v>12</v>
      </c>
      <c r="G15" s="18">
        <f>SUM(G4:G14)</f>
        <v>13</v>
      </c>
      <c r="H15" s="19">
        <f>SUM(H4:H14)</f>
        <v>12</v>
      </c>
      <c r="I15" s="20">
        <f t="shared" si="1"/>
        <v>37</v>
      </c>
      <c r="J15" s="48"/>
      <c r="K15" s="17" t="s">
        <v>4</v>
      </c>
      <c r="L15" s="18">
        <f>SUM(L4:L14)</f>
        <v>159</v>
      </c>
      <c r="M15" s="18">
        <f>SUM(M4:M14)</f>
        <v>209</v>
      </c>
      <c r="N15" s="19">
        <f>SUM(N4:N14)</f>
        <v>129</v>
      </c>
      <c r="O15" s="20">
        <f t="shared" si="2"/>
        <v>497</v>
      </c>
      <c r="P15" s="18">
        <f>SUM(P4:P14)</f>
        <v>159</v>
      </c>
      <c r="Q15" s="18">
        <f>SUM(Q4:Q14)</f>
        <v>209</v>
      </c>
      <c r="R15" s="19">
        <f>SUM(R4:R14)</f>
        <v>129</v>
      </c>
      <c r="S15" s="20">
        <f t="shared" si="3"/>
        <v>497</v>
      </c>
    </row>
    <row r="16" spans="1:21" x14ac:dyDescent="0.15">
      <c r="A16" s="3" t="s">
        <v>25</v>
      </c>
      <c r="B16" s="8">
        <v>1</v>
      </c>
      <c r="C16" s="9">
        <v>1</v>
      </c>
      <c r="D16" s="10">
        <v>1</v>
      </c>
      <c r="E16" s="4">
        <f t="shared" si="0"/>
        <v>3</v>
      </c>
      <c r="F16" s="8">
        <v>1</v>
      </c>
      <c r="G16" s="9">
        <v>1</v>
      </c>
      <c r="H16" s="10">
        <v>1</v>
      </c>
      <c r="I16" s="4">
        <f t="shared" si="1"/>
        <v>3</v>
      </c>
      <c r="J16" s="31">
        <v>44613</v>
      </c>
      <c r="K16" s="3" t="s">
        <v>33</v>
      </c>
      <c r="L16" s="8">
        <v>1</v>
      </c>
      <c r="M16" s="9">
        <v>1</v>
      </c>
      <c r="N16" s="10">
        <v>1</v>
      </c>
      <c r="O16" s="4">
        <f t="shared" si="2"/>
        <v>3</v>
      </c>
      <c r="P16" s="8">
        <v>1</v>
      </c>
      <c r="Q16" s="9">
        <v>1</v>
      </c>
      <c r="R16" s="10">
        <v>1</v>
      </c>
      <c r="S16" s="4">
        <f t="shared" si="3"/>
        <v>3</v>
      </c>
      <c r="T16" s="56">
        <v>44611</v>
      </c>
    </row>
    <row r="17" spans="1:22" x14ac:dyDescent="0.15">
      <c r="A17" s="3" t="s">
        <v>62</v>
      </c>
      <c r="B17" s="8">
        <v>1</v>
      </c>
      <c r="C17" s="9">
        <v>1</v>
      </c>
      <c r="D17" s="10">
        <v>1</v>
      </c>
      <c r="E17" s="4">
        <f t="shared" si="0"/>
        <v>3</v>
      </c>
      <c r="F17" s="8">
        <v>1</v>
      </c>
      <c r="G17" s="9">
        <v>1</v>
      </c>
      <c r="H17" s="10">
        <v>1</v>
      </c>
      <c r="I17" s="4">
        <f t="shared" si="1"/>
        <v>3</v>
      </c>
      <c r="J17" s="31">
        <v>44656</v>
      </c>
      <c r="K17" s="3" t="s">
        <v>34</v>
      </c>
      <c r="L17" s="8">
        <v>10</v>
      </c>
      <c r="M17" s="9">
        <v>10</v>
      </c>
      <c r="N17" s="10">
        <v>10</v>
      </c>
      <c r="O17" s="4">
        <f t="shared" si="2"/>
        <v>30</v>
      </c>
      <c r="P17" s="8">
        <v>10</v>
      </c>
      <c r="Q17" s="9">
        <v>10</v>
      </c>
      <c r="R17" s="10">
        <v>10</v>
      </c>
      <c r="S17" s="4">
        <f t="shared" si="3"/>
        <v>30</v>
      </c>
      <c r="T17" s="47">
        <v>44653</v>
      </c>
    </row>
    <row r="18" spans="1:22" x14ac:dyDescent="0.15">
      <c r="A18" s="3" t="s">
        <v>37</v>
      </c>
      <c r="B18" s="8"/>
      <c r="C18" s="9">
        <v>1</v>
      </c>
      <c r="D18" s="10"/>
      <c r="E18" s="4">
        <f t="shared" si="0"/>
        <v>1</v>
      </c>
      <c r="F18" s="8"/>
      <c r="G18" s="9">
        <v>1</v>
      </c>
      <c r="H18" s="10"/>
      <c r="I18" s="4">
        <f t="shared" si="1"/>
        <v>1</v>
      </c>
      <c r="J18" s="31">
        <v>44655</v>
      </c>
      <c r="K18" s="3" t="s">
        <v>47</v>
      </c>
      <c r="L18" s="8">
        <v>2</v>
      </c>
      <c r="M18" s="9">
        <v>2</v>
      </c>
      <c r="N18" s="10">
        <v>2</v>
      </c>
      <c r="O18" s="4">
        <f t="shared" si="2"/>
        <v>6</v>
      </c>
      <c r="P18" s="8">
        <v>2</v>
      </c>
      <c r="Q18" s="9">
        <v>2</v>
      </c>
      <c r="R18" s="10">
        <v>2</v>
      </c>
      <c r="S18" s="4">
        <f t="shared" si="3"/>
        <v>6</v>
      </c>
      <c r="T18" s="47">
        <v>44690</v>
      </c>
    </row>
    <row r="19" spans="1:22" x14ac:dyDescent="0.15">
      <c r="A19" s="3" t="s">
        <v>63</v>
      </c>
      <c r="B19" s="8"/>
      <c r="C19" s="9"/>
      <c r="D19" s="10">
        <v>1</v>
      </c>
      <c r="E19" s="4">
        <f t="shared" si="0"/>
        <v>1</v>
      </c>
      <c r="F19" s="8"/>
      <c r="G19" s="9"/>
      <c r="H19" s="10">
        <v>1</v>
      </c>
      <c r="I19" s="4">
        <f t="shared" si="1"/>
        <v>1</v>
      </c>
      <c r="J19" s="31">
        <v>44671</v>
      </c>
      <c r="K19" s="3" t="s">
        <v>65</v>
      </c>
      <c r="L19" s="8">
        <v>1</v>
      </c>
      <c r="M19" s="9"/>
      <c r="N19" s="10">
        <v>1</v>
      </c>
      <c r="O19" s="7">
        <f t="shared" si="2"/>
        <v>2</v>
      </c>
      <c r="P19" s="8">
        <v>1</v>
      </c>
      <c r="Q19" s="9"/>
      <c r="R19" s="10">
        <v>1</v>
      </c>
      <c r="S19" s="7">
        <f t="shared" si="3"/>
        <v>2</v>
      </c>
      <c r="T19" s="31">
        <v>44692</v>
      </c>
    </row>
    <row r="20" spans="1:22" x14ac:dyDescent="0.15">
      <c r="A20" s="3" t="s">
        <v>64</v>
      </c>
      <c r="B20" s="8"/>
      <c r="C20" s="9">
        <v>1</v>
      </c>
      <c r="D20" s="10">
        <v>1</v>
      </c>
      <c r="E20" s="4">
        <f t="shared" ref="E20:E21" si="8">SUM(B20:D20)</f>
        <v>2</v>
      </c>
      <c r="F20" s="8"/>
      <c r="G20" s="9">
        <v>1</v>
      </c>
      <c r="H20" s="10">
        <v>1</v>
      </c>
      <c r="I20" s="4">
        <f t="shared" ref="I20:I21" si="9">SUM(F20:H20)</f>
        <v>2</v>
      </c>
      <c r="J20" s="31">
        <v>44679</v>
      </c>
      <c r="K20" s="3" t="s">
        <v>65</v>
      </c>
      <c r="L20" s="8">
        <v>8</v>
      </c>
      <c r="M20" s="9">
        <v>12</v>
      </c>
      <c r="N20" s="10">
        <v>3</v>
      </c>
      <c r="O20" s="7">
        <f t="shared" ref="O20" si="10">SUM(L20:N20)</f>
        <v>23</v>
      </c>
      <c r="P20" s="8">
        <v>8</v>
      </c>
      <c r="Q20" s="9">
        <v>12</v>
      </c>
      <c r="R20" s="10">
        <v>3</v>
      </c>
      <c r="S20" s="7">
        <f t="shared" ref="S20" si="11">SUM(P20:R20)</f>
        <v>23</v>
      </c>
      <c r="T20" s="31">
        <v>44692</v>
      </c>
    </row>
    <row r="21" spans="1:22" x14ac:dyDescent="0.15">
      <c r="A21" s="3" t="s">
        <v>50</v>
      </c>
      <c r="B21" s="8">
        <v>1</v>
      </c>
      <c r="C21" s="9"/>
      <c r="D21" s="10"/>
      <c r="E21" s="7">
        <f t="shared" si="8"/>
        <v>1</v>
      </c>
      <c r="F21" s="8">
        <v>1</v>
      </c>
      <c r="G21" s="9"/>
      <c r="H21" s="10"/>
      <c r="I21" s="7">
        <f t="shared" si="9"/>
        <v>1</v>
      </c>
      <c r="J21" s="31">
        <v>44690</v>
      </c>
      <c r="K21" s="3" t="s">
        <v>51</v>
      </c>
      <c r="L21" s="8"/>
      <c r="M21" s="9"/>
      <c r="N21" s="10">
        <v>6</v>
      </c>
      <c r="O21" s="7">
        <f t="shared" si="2"/>
        <v>6</v>
      </c>
      <c r="P21" s="8"/>
      <c r="Q21" s="9"/>
      <c r="R21" s="10">
        <v>6</v>
      </c>
      <c r="S21" s="7">
        <f t="shared" si="3"/>
        <v>6</v>
      </c>
      <c r="T21" s="47">
        <v>44697</v>
      </c>
    </row>
    <row r="22" spans="1:22" x14ac:dyDescent="0.15">
      <c r="A22" s="3" t="s">
        <v>66</v>
      </c>
      <c r="B22" s="8">
        <v>2</v>
      </c>
      <c r="C22" s="9">
        <v>1</v>
      </c>
      <c r="D22" s="10"/>
      <c r="E22" s="7">
        <f t="shared" si="0"/>
        <v>3</v>
      </c>
      <c r="F22" s="8">
        <v>2</v>
      </c>
      <c r="G22" s="9">
        <v>1</v>
      </c>
      <c r="H22" s="10"/>
      <c r="I22" s="7">
        <f t="shared" si="1"/>
        <v>3</v>
      </c>
      <c r="J22" s="31">
        <v>44699</v>
      </c>
      <c r="K22" s="3" t="s">
        <v>52</v>
      </c>
      <c r="L22" s="8"/>
      <c r="M22" s="9">
        <v>4</v>
      </c>
      <c r="N22" s="10">
        <v>1</v>
      </c>
      <c r="O22" s="7">
        <f t="shared" si="2"/>
        <v>5</v>
      </c>
      <c r="P22" s="8"/>
      <c r="Q22" s="9">
        <v>4</v>
      </c>
      <c r="R22" s="10">
        <v>1</v>
      </c>
      <c r="S22" s="7">
        <f t="shared" si="3"/>
        <v>5</v>
      </c>
      <c r="T22" s="47">
        <v>44698</v>
      </c>
    </row>
    <row r="23" spans="1:22" x14ac:dyDescent="0.15">
      <c r="A23" s="3" t="s">
        <v>67</v>
      </c>
      <c r="B23" s="8">
        <v>1</v>
      </c>
      <c r="C23" s="9">
        <v>1</v>
      </c>
      <c r="D23" s="10">
        <v>2</v>
      </c>
      <c r="E23" s="7">
        <f t="shared" si="0"/>
        <v>4</v>
      </c>
      <c r="F23" s="8">
        <v>1</v>
      </c>
      <c r="G23" s="9">
        <v>1</v>
      </c>
      <c r="H23" s="10">
        <v>2</v>
      </c>
      <c r="I23" s="7">
        <f t="shared" si="1"/>
        <v>4</v>
      </c>
      <c r="J23" s="31">
        <v>44708</v>
      </c>
      <c r="K23" s="52" t="s">
        <v>53</v>
      </c>
      <c r="L23" s="8">
        <v>5</v>
      </c>
      <c r="M23" s="9">
        <v>5</v>
      </c>
      <c r="N23" s="10">
        <v>5</v>
      </c>
      <c r="O23" s="7">
        <f t="shared" si="2"/>
        <v>15</v>
      </c>
      <c r="P23" s="8">
        <v>5</v>
      </c>
      <c r="Q23" s="9">
        <v>5</v>
      </c>
      <c r="R23" s="10">
        <v>5</v>
      </c>
      <c r="S23" s="7">
        <f t="shared" si="3"/>
        <v>15</v>
      </c>
      <c r="T23" s="47">
        <v>44700</v>
      </c>
    </row>
    <row r="24" spans="1:22" x14ac:dyDescent="0.15">
      <c r="A24" s="3" t="s">
        <v>68</v>
      </c>
      <c r="B24" s="8"/>
      <c r="C24" s="9">
        <v>1</v>
      </c>
      <c r="D24" s="10"/>
      <c r="E24" s="7">
        <f t="shared" si="0"/>
        <v>1</v>
      </c>
      <c r="F24" s="8"/>
      <c r="G24" s="9">
        <v>1</v>
      </c>
      <c r="H24" s="10"/>
      <c r="I24" s="7">
        <f t="shared" si="1"/>
        <v>1</v>
      </c>
      <c r="J24" s="31">
        <v>44707</v>
      </c>
      <c r="K24" s="3" t="s">
        <v>54</v>
      </c>
      <c r="L24" s="8">
        <v>5</v>
      </c>
      <c r="M24" s="9"/>
      <c r="N24" s="10"/>
      <c r="O24" s="7">
        <f t="shared" si="2"/>
        <v>5</v>
      </c>
      <c r="P24" s="8">
        <v>5</v>
      </c>
      <c r="Q24" s="9"/>
      <c r="R24" s="10"/>
      <c r="S24" s="7">
        <f t="shared" si="3"/>
        <v>5</v>
      </c>
      <c r="T24" s="47">
        <v>44699</v>
      </c>
    </row>
    <row r="25" spans="1:22" x14ac:dyDescent="0.15">
      <c r="A25" s="3" t="s">
        <v>69</v>
      </c>
      <c r="B25" s="8"/>
      <c r="C25" s="9"/>
      <c r="D25" s="10">
        <v>1</v>
      </c>
      <c r="E25" s="7">
        <f t="shared" si="0"/>
        <v>1</v>
      </c>
      <c r="F25" s="8"/>
      <c r="G25" s="9"/>
      <c r="H25" s="10">
        <v>1</v>
      </c>
      <c r="I25" s="7">
        <f t="shared" si="1"/>
        <v>1</v>
      </c>
      <c r="J25" s="31">
        <v>44708</v>
      </c>
      <c r="K25" s="3" t="s">
        <v>55</v>
      </c>
      <c r="L25" s="8">
        <v>3</v>
      </c>
      <c r="M25" s="9"/>
      <c r="N25" s="10"/>
      <c r="O25" s="7">
        <f t="shared" si="2"/>
        <v>3</v>
      </c>
      <c r="P25" s="8">
        <v>3</v>
      </c>
      <c r="Q25" s="9"/>
      <c r="R25" s="10"/>
      <c r="S25" s="7">
        <f t="shared" si="3"/>
        <v>3</v>
      </c>
      <c r="T25" s="47">
        <v>44700</v>
      </c>
    </row>
    <row r="26" spans="1:22" x14ac:dyDescent="0.15">
      <c r="A26" s="3"/>
      <c r="B26" s="8"/>
      <c r="C26" s="9"/>
      <c r="D26" s="10"/>
      <c r="E26" s="7">
        <f t="shared" si="0"/>
        <v>0</v>
      </c>
      <c r="F26" s="8"/>
      <c r="G26" s="9"/>
      <c r="H26" s="10"/>
      <c r="I26" s="7">
        <f t="shared" si="1"/>
        <v>0</v>
      </c>
      <c r="J26" s="31"/>
      <c r="K26" s="3" t="s">
        <v>56</v>
      </c>
      <c r="L26" s="8">
        <v>2</v>
      </c>
      <c r="M26" s="9">
        <v>2</v>
      </c>
      <c r="N26" s="10"/>
      <c r="O26" s="7">
        <f t="shared" si="2"/>
        <v>4</v>
      </c>
      <c r="P26" s="8">
        <v>2</v>
      </c>
      <c r="Q26" s="9">
        <v>2</v>
      </c>
      <c r="R26" s="10"/>
      <c r="S26" s="7">
        <f t="shared" si="3"/>
        <v>4</v>
      </c>
      <c r="T26" s="47">
        <v>44701</v>
      </c>
    </row>
    <row r="27" spans="1:22" x14ac:dyDescent="0.15">
      <c r="A27" s="3"/>
      <c r="B27" s="8"/>
      <c r="C27" s="9"/>
      <c r="D27" s="10"/>
      <c r="E27" s="7">
        <f t="shared" si="0"/>
        <v>0</v>
      </c>
      <c r="F27" s="8"/>
      <c r="G27" s="9"/>
      <c r="H27" s="10"/>
      <c r="I27" s="7">
        <f t="shared" si="1"/>
        <v>0</v>
      </c>
      <c r="J27" s="31"/>
      <c r="K27" s="3" t="s">
        <v>57</v>
      </c>
      <c r="L27" s="8"/>
      <c r="M27" s="9">
        <v>1</v>
      </c>
      <c r="N27" s="10"/>
      <c r="O27" s="7">
        <f t="shared" si="2"/>
        <v>1</v>
      </c>
      <c r="P27" s="8"/>
      <c r="Q27" s="9">
        <v>1</v>
      </c>
      <c r="R27" s="10"/>
      <c r="S27" s="7">
        <f t="shared" si="3"/>
        <v>1</v>
      </c>
      <c r="T27" s="47">
        <v>44704</v>
      </c>
      <c r="U27" s="54"/>
    </row>
    <row r="28" spans="1:22" x14ac:dyDescent="0.15">
      <c r="A28" s="3"/>
      <c r="B28" s="8"/>
      <c r="C28" s="9"/>
      <c r="D28" s="10"/>
      <c r="E28" s="7">
        <f t="shared" si="0"/>
        <v>0</v>
      </c>
      <c r="F28" s="8"/>
      <c r="G28" s="9"/>
      <c r="H28" s="10"/>
      <c r="I28" s="7">
        <f t="shared" si="1"/>
        <v>0</v>
      </c>
      <c r="J28" s="31"/>
      <c r="K28" s="3" t="s">
        <v>58</v>
      </c>
      <c r="L28" s="8"/>
      <c r="M28" s="9">
        <v>3</v>
      </c>
      <c r="N28" s="10">
        <v>7</v>
      </c>
      <c r="O28" s="7">
        <f t="shared" si="2"/>
        <v>10</v>
      </c>
      <c r="P28" s="8"/>
      <c r="Q28" s="9">
        <v>3</v>
      </c>
      <c r="R28" s="10">
        <v>7</v>
      </c>
      <c r="S28" s="7">
        <f t="shared" si="3"/>
        <v>10</v>
      </c>
      <c r="T28" s="47">
        <v>44705</v>
      </c>
    </row>
    <row r="29" spans="1:22" x14ac:dyDescent="0.15">
      <c r="A29" s="3"/>
      <c r="B29" s="8"/>
      <c r="C29" s="9"/>
      <c r="D29" s="10"/>
      <c r="E29" s="7">
        <f t="shared" si="0"/>
        <v>0</v>
      </c>
      <c r="F29" s="8"/>
      <c r="G29" s="9"/>
      <c r="H29" s="10"/>
      <c r="I29" s="7">
        <f t="shared" si="1"/>
        <v>0</v>
      </c>
      <c r="J29" s="31"/>
      <c r="K29" s="3" t="s">
        <v>61</v>
      </c>
      <c r="L29" s="8"/>
      <c r="M29" s="9">
        <v>3</v>
      </c>
      <c r="N29" s="10"/>
      <c r="O29" s="7">
        <f t="shared" si="2"/>
        <v>3</v>
      </c>
      <c r="P29" s="8"/>
      <c r="Q29" s="9">
        <v>3</v>
      </c>
      <c r="R29" s="10"/>
      <c r="S29" s="7">
        <f t="shared" si="3"/>
        <v>3</v>
      </c>
      <c r="T29" s="47">
        <v>44706</v>
      </c>
      <c r="U29" s="54"/>
    </row>
    <row r="30" spans="1:22" x14ac:dyDescent="0.15">
      <c r="A30" s="3"/>
      <c r="B30" s="8"/>
      <c r="C30" s="9"/>
      <c r="D30" s="10"/>
      <c r="E30" s="7">
        <f t="shared" si="0"/>
        <v>0</v>
      </c>
      <c r="F30" s="8"/>
      <c r="G30" s="9"/>
      <c r="H30" s="10"/>
      <c r="I30" s="7">
        <f t="shared" si="1"/>
        <v>0</v>
      </c>
      <c r="J30" s="31"/>
      <c r="K30" s="3" t="s">
        <v>71</v>
      </c>
      <c r="L30" s="8">
        <v>1</v>
      </c>
      <c r="M30" s="9">
        <v>1</v>
      </c>
      <c r="N30" s="10"/>
      <c r="O30" s="7">
        <f t="shared" si="2"/>
        <v>2</v>
      </c>
      <c r="P30" s="8">
        <v>1</v>
      </c>
      <c r="Q30" s="9">
        <v>1</v>
      </c>
      <c r="R30" s="10"/>
      <c r="S30" s="7">
        <f t="shared" si="3"/>
        <v>2</v>
      </c>
      <c r="T30" s="47">
        <v>44708</v>
      </c>
      <c r="U30" s="54"/>
      <c r="V30" s="54"/>
    </row>
    <row r="31" spans="1:22" x14ac:dyDescent="0.15">
      <c r="A31" s="3"/>
      <c r="B31" s="8"/>
      <c r="C31" s="9"/>
      <c r="D31" s="10"/>
      <c r="E31" s="7">
        <f t="shared" si="0"/>
        <v>0</v>
      </c>
      <c r="F31" s="8"/>
      <c r="G31" s="9"/>
      <c r="H31" s="10"/>
      <c r="I31" s="7">
        <f t="shared" si="1"/>
        <v>0</v>
      </c>
      <c r="J31" s="31"/>
      <c r="K31" s="52" t="s">
        <v>72</v>
      </c>
      <c r="L31" s="8">
        <v>20</v>
      </c>
      <c r="M31" s="9">
        <v>50</v>
      </c>
      <c r="N31" s="10">
        <v>10</v>
      </c>
      <c r="O31" s="7">
        <f t="shared" si="2"/>
        <v>80</v>
      </c>
      <c r="P31" s="8">
        <v>20</v>
      </c>
      <c r="Q31" s="9">
        <v>50</v>
      </c>
      <c r="R31" s="10">
        <v>10</v>
      </c>
      <c r="S31" s="7">
        <f t="shared" si="3"/>
        <v>80</v>
      </c>
      <c r="T31" s="47">
        <v>44711</v>
      </c>
    </row>
    <row r="32" spans="1:22" x14ac:dyDescent="0.15">
      <c r="A32" s="3"/>
      <c r="B32" s="8"/>
      <c r="C32" s="9"/>
      <c r="D32" s="10"/>
      <c r="E32" s="7">
        <f t="shared" si="0"/>
        <v>0</v>
      </c>
      <c r="F32" s="8"/>
      <c r="G32" s="9"/>
      <c r="H32" s="10"/>
      <c r="I32" s="7">
        <f t="shared" si="1"/>
        <v>0</v>
      </c>
      <c r="J32" s="31"/>
      <c r="K32" s="3" t="s">
        <v>73</v>
      </c>
      <c r="L32" s="8"/>
      <c r="M32" s="9">
        <v>2</v>
      </c>
      <c r="N32" s="10"/>
      <c r="O32" s="7">
        <f t="shared" si="2"/>
        <v>2</v>
      </c>
      <c r="P32" s="8"/>
      <c r="Q32" s="9">
        <v>2</v>
      </c>
      <c r="R32" s="10"/>
      <c r="S32" s="7">
        <f t="shared" si="3"/>
        <v>2</v>
      </c>
      <c r="T32" s="47">
        <v>44711</v>
      </c>
    </row>
    <row r="33" spans="1:20" x14ac:dyDescent="0.15">
      <c r="A33" s="3"/>
      <c r="B33" s="8"/>
      <c r="C33" s="9"/>
      <c r="D33" s="10"/>
      <c r="E33" s="7">
        <f t="shared" si="0"/>
        <v>0</v>
      </c>
      <c r="F33" s="8"/>
      <c r="G33" s="9"/>
      <c r="H33" s="10"/>
      <c r="I33" s="7">
        <f t="shared" si="1"/>
        <v>0</v>
      </c>
      <c r="J33" s="31"/>
      <c r="K33" s="3" t="s">
        <v>74</v>
      </c>
      <c r="L33" s="8"/>
      <c r="M33" s="9">
        <v>1</v>
      </c>
      <c r="N33" s="10">
        <v>1</v>
      </c>
      <c r="O33" s="7">
        <f t="shared" si="2"/>
        <v>2</v>
      </c>
      <c r="P33" s="8"/>
      <c r="Q33" s="9">
        <v>1</v>
      </c>
      <c r="R33" s="10">
        <v>1</v>
      </c>
      <c r="S33" s="7">
        <f t="shared" si="3"/>
        <v>2</v>
      </c>
      <c r="T33" s="47">
        <v>44712</v>
      </c>
    </row>
    <row r="34" spans="1:20" x14ac:dyDescent="0.15">
      <c r="A34" s="3"/>
      <c r="B34" s="8"/>
      <c r="C34" s="9"/>
      <c r="D34" s="10"/>
      <c r="E34" s="7">
        <f t="shared" si="0"/>
        <v>0</v>
      </c>
      <c r="F34" s="8"/>
      <c r="G34" s="9"/>
      <c r="H34" s="10"/>
      <c r="I34" s="7">
        <f t="shared" si="1"/>
        <v>0</v>
      </c>
      <c r="J34" s="31"/>
      <c r="K34" s="52" t="s">
        <v>75</v>
      </c>
      <c r="L34" s="8">
        <v>33</v>
      </c>
      <c r="M34" s="9">
        <v>22</v>
      </c>
      <c r="N34" s="10">
        <v>14</v>
      </c>
      <c r="O34" s="7">
        <f t="shared" ref="O34" si="12">SUM(L34:N34)</f>
        <v>69</v>
      </c>
      <c r="P34" s="8">
        <v>33</v>
      </c>
      <c r="Q34" s="9">
        <v>22</v>
      </c>
      <c r="R34" s="10">
        <v>14</v>
      </c>
      <c r="S34" s="7">
        <f t="shared" ref="S34" si="13">SUM(P34:R34)</f>
        <v>69</v>
      </c>
      <c r="T34" s="47">
        <v>44712</v>
      </c>
    </row>
    <row r="35" spans="1:20" x14ac:dyDescent="0.15">
      <c r="A35" s="3"/>
      <c r="B35" s="8"/>
      <c r="C35" s="9"/>
      <c r="D35" s="10"/>
      <c r="E35" s="7">
        <f t="shared" si="0"/>
        <v>0</v>
      </c>
      <c r="F35" s="8"/>
      <c r="G35" s="9"/>
      <c r="H35" s="10"/>
      <c r="I35" s="7">
        <f t="shared" si="1"/>
        <v>0</v>
      </c>
      <c r="J35" s="31"/>
      <c r="K35" s="3"/>
      <c r="L35" s="8"/>
      <c r="M35" s="9"/>
      <c r="N35" s="10"/>
      <c r="O35" s="7">
        <f t="shared" ref="O35:O36" si="14">SUM(L35:N35)</f>
        <v>0</v>
      </c>
      <c r="P35" s="8"/>
      <c r="Q35" s="9"/>
      <c r="R35" s="10"/>
      <c r="S35" s="7">
        <f t="shared" ref="S35:S36" si="15">SUM(P35:R35)</f>
        <v>0</v>
      </c>
      <c r="T35" s="55"/>
    </row>
    <row r="36" spans="1:20" x14ac:dyDescent="0.15">
      <c r="A36" s="3"/>
      <c r="B36" s="8"/>
      <c r="C36" s="9"/>
      <c r="D36" s="10"/>
      <c r="E36" s="7">
        <f t="shared" si="0"/>
        <v>0</v>
      </c>
      <c r="F36" s="8"/>
      <c r="G36" s="9"/>
      <c r="H36" s="10"/>
      <c r="I36" s="7">
        <f t="shared" si="1"/>
        <v>0</v>
      </c>
      <c r="J36" s="31"/>
      <c r="K36" s="3"/>
      <c r="L36" s="8"/>
      <c r="M36" s="9"/>
      <c r="N36" s="10"/>
      <c r="O36" s="7">
        <f t="shared" si="14"/>
        <v>0</v>
      </c>
      <c r="P36" s="8"/>
      <c r="Q36" s="9"/>
      <c r="R36" s="10"/>
      <c r="S36" s="7">
        <f t="shared" si="15"/>
        <v>0</v>
      </c>
      <c r="T36" s="55"/>
    </row>
    <row r="37" spans="1:20" x14ac:dyDescent="0.15">
      <c r="A37" s="3"/>
      <c r="B37" s="8"/>
      <c r="C37" s="9"/>
      <c r="D37" s="10"/>
      <c r="E37" s="7">
        <f t="shared" si="0"/>
        <v>0</v>
      </c>
      <c r="F37" s="8"/>
      <c r="G37" s="9"/>
      <c r="H37" s="10"/>
      <c r="I37" s="7">
        <f t="shared" si="1"/>
        <v>0</v>
      </c>
      <c r="J37" s="31"/>
      <c r="K37" s="3" t="s">
        <v>35</v>
      </c>
      <c r="L37" s="8"/>
      <c r="M37" s="9"/>
      <c r="N37" s="10"/>
      <c r="O37" s="7">
        <f t="shared" ref="O37:O39" si="16">SUM(L37:N37)</f>
        <v>0</v>
      </c>
      <c r="P37" s="8"/>
      <c r="Q37" s="9"/>
      <c r="R37" s="10"/>
      <c r="S37" s="7">
        <f t="shared" ref="S37:S39" si="17">SUM(P37:R37)</f>
        <v>0</v>
      </c>
      <c r="T37" s="55" t="s">
        <v>36</v>
      </c>
    </row>
    <row r="38" spans="1:20" x14ac:dyDescent="0.15">
      <c r="A38" s="3"/>
      <c r="B38" s="8"/>
      <c r="C38" s="9"/>
      <c r="D38" s="10"/>
      <c r="E38" s="7">
        <f t="shared" si="0"/>
        <v>0</v>
      </c>
      <c r="F38" s="8"/>
      <c r="G38" s="9"/>
      <c r="H38" s="10"/>
      <c r="I38" s="7">
        <f t="shared" si="1"/>
        <v>0</v>
      </c>
      <c r="J38" s="31"/>
      <c r="K38" s="32" t="s">
        <v>41</v>
      </c>
      <c r="L38" s="58"/>
      <c r="M38" s="59"/>
      <c r="N38" s="60"/>
      <c r="O38" s="61">
        <f t="shared" si="16"/>
        <v>0</v>
      </c>
      <c r="P38" s="58"/>
      <c r="Q38" s="59"/>
      <c r="R38" s="60"/>
      <c r="S38" s="61">
        <f t="shared" si="17"/>
        <v>0</v>
      </c>
      <c r="T38" s="62"/>
    </row>
    <row r="39" spans="1:20" ht="14.25" thickBot="1" x14ac:dyDescent="0.2">
      <c r="A39" s="3"/>
      <c r="B39" s="8"/>
      <c r="C39" s="9"/>
      <c r="D39" s="10"/>
      <c r="E39" s="7">
        <f t="shared" si="0"/>
        <v>0</v>
      </c>
      <c r="F39" s="8"/>
      <c r="G39" s="9"/>
      <c r="H39" s="10"/>
      <c r="I39" s="7">
        <f t="shared" si="1"/>
        <v>0</v>
      </c>
      <c r="J39" s="31"/>
      <c r="K39" s="3" t="s">
        <v>23</v>
      </c>
      <c r="L39" s="8"/>
      <c r="M39" s="9"/>
      <c r="N39" s="10"/>
      <c r="O39" s="7">
        <f t="shared" si="16"/>
        <v>0</v>
      </c>
      <c r="P39" s="8"/>
      <c r="Q39" s="9"/>
      <c r="R39" s="10"/>
      <c r="S39" s="7">
        <f t="shared" si="17"/>
        <v>0</v>
      </c>
      <c r="T39" s="55" t="s">
        <v>24</v>
      </c>
    </row>
    <row r="40" spans="1:20" ht="14.25" thickBot="1" x14ac:dyDescent="0.2">
      <c r="A40" s="2" t="s">
        <v>5</v>
      </c>
      <c r="B40" s="12">
        <f>SUM(B16:B39)</f>
        <v>6</v>
      </c>
      <c r="C40" s="12">
        <f>SUM(C16:C39)</f>
        <v>7</v>
      </c>
      <c r="D40" s="12">
        <f>SUM(D16:D39)</f>
        <v>7</v>
      </c>
      <c r="E40" s="13">
        <f t="shared" si="0"/>
        <v>20</v>
      </c>
      <c r="F40" s="12">
        <f>SUM(F16:F39)</f>
        <v>6</v>
      </c>
      <c r="G40" s="12">
        <f>SUM(G16:G39)</f>
        <v>7</v>
      </c>
      <c r="H40" s="12">
        <f>SUM(H16:H39)</f>
        <v>7</v>
      </c>
      <c r="I40" s="13">
        <f t="shared" si="1"/>
        <v>20</v>
      </c>
      <c r="J40" s="48"/>
      <c r="K40" s="2" t="s">
        <v>5</v>
      </c>
      <c r="L40" s="12">
        <f>SUM(L16:L39)</f>
        <v>91</v>
      </c>
      <c r="M40" s="12">
        <f>SUM(M16:M39)</f>
        <v>119</v>
      </c>
      <c r="N40" s="12">
        <f>SUM(N16:N39)</f>
        <v>61</v>
      </c>
      <c r="O40" s="13">
        <f t="shared" si="2"/>
        <v>271</v>
      </c>
      <c r="P40" s="12">
        <f>SUM(P16:P39)</f>
        <v>91</v>
      </c>
      <c r="Q40" s="12">
        <f>SUM(Q16:Q39)</f>
        <v>119</v>
      </c>
      <c r="R40" s="12">
        <f>SUM(R16:R39)</f>
        <v>61</v>
      </c>
      <c r="S40" s="13">
        <f t="shared" si="3"/>
        <v>271</v>
      </c>
    </row>
    <row r="41" spans="1:20" ht="14.25" thickBot="1" x14ac:dyDescent="0.2">
      <c r="A41" s="21" t="s">
        <v>6</v>
      </c>
      <c r="B41" s="22">
        <f>B15-B40</f>
        <v>6</v>
      </c>
      <c r="C41" s="22">
        <f t="shared" ref="C41:E41" si="18">C15-C40</f>
        <v>6</v>
      </c>
      <c r="D41" s="22">
        <f t="shared" si="18"/>
        <v>5</v>
      </c>
      <c r="E41" s="22">
        <f t="shared" si="18"/>
        <v>17</v>
      </c>
      <c r="F41" s="22">
        <f>F15-F40</f>
        <v>6</v>
      </c>
      <c r="G41" s="22">
        <f>G15-G40</f>
        <v>6</v>
      </c>
      <c r="H41" s="22">
        <f>H15-H40</f>
        <v>5</v>
      </c>
      <c r="I41" s="20">
        <f t="shared" ref="I41" si="19">I15-I40</f>
        <v>17</v>
      </c>
      <c r="J41" s="48"/>
      <c r="K41" s="21" t="s">
        <v>6</v>
      </c>
      <c r="L41" s="22">
        <f>L15-L40</f>
        <v>68</v>
      </c>
      <c r="M41" s="22">
        <f t="shared" ref="M41:O41" si="20">M15-M40</f>
        <v>90</v>
      </c>
      <c r="N41" s="22">
        <f t="shared" si="20"/>
        <v>68</v>
      </c>
      <c r="O41" s="22">
        <f t="shared" si="20"/>
        <v>226</v>
      </c>
      <c r="P41" s="22">
        <f>P15-P40</f>
        <v>68</v>
      </c>
      <c r="Q41" s="22">
        <f>Q15-Q40</f>
        <v>90</v>
      </c>
      <c r="R41" s="22">
        <f>R15-R40</f>
        <v>68</v>
      </c>
      <c r="S41" s="20">
        <f t="shared" ref="S41" si="21">S15-S40</f>
        <v>226</v>
      </c>
    </row>
    <row r="42" spans="1:20" x14ac:dyDescent="0.15">
      <c r="K42"/>
      <c r="L42" s="53">
        <f>L41/$O$41*100</f>
        <v>30.088495575221241</v>
      </c>
      <c r="M42" s="53">
        <f t="shared" ref="M42:O42" si="22">M41/$O$41*100</f>
        <v>39.823008849557525</v>
      </c>
      <c r="N42" s="53">
        <f t="shared" si="22"/>
        <v>30.088495575221241</v>
      </c>
      <c r="O42" s="53">
        <f t="shared" si="22"/>
        <v>100</v>
      </c>
      <c r="P42"/>
      <c r="Q42"/>
      <c r="R42"/>
      <c r="S42"/>
    </row>
    <row r="43" spans="1:20" x14ac:dyDescent="0.15">
      <c r="K43"/>
      <c r="L43"/>
      <c r="M43"/>
      <c r="N43"/>
      <c r="O43"/>
      <c r="P43"/>
      <c r="Q43"/>
      <c r="R43"/>
      <c r="S43"/>
    </row>
    <row r="44" spans="1:20" ht="21.75" thickBot="1" x14ac:dyDescent="0.25">
      <c r="A44" s="26" t="s">
        <v>14</v>
      </c>
      <c r="B44" s="27"/>
      <c r="C44" s="27"/>
      <c r="D44" s="27"/>
      <c r="E44" s="27"/>
      <c r="F44" s="28"/>
      <c r="G44" s="28"/>
      <c r="H44" s="28"/>
      <c r="I44" s="28"/>
      <c r="J44" s="49"/>
      <c r="K44" s="26" t="s">
        <v>15</v>
      </c>
      <c r="L44" s="27"/>
      <c r="M44" s="27"/>
      <c r="N44" s="27"/>
      <c r="O44" s="27"/>
      <c r="P44" s="28"/>
      <c r="Q44" s="28"/>
      <c r="R44" s="28"/>
      <c r="S44" s="28"/>
    </row>
    <row r="45" spans="1:20" ht="14.25" thickBot="1" x14ac:dyDescent="0.2">
      <c r="A45" s="1" t="s">
        <v>0</v>
      </c>
      <c r="B45" s="183" t="s">
        <v>12</v>
      </c>
      <c r="C45" s="183"/>
      <c r="D45" s="183"/>
      <c r="E45" s="184"/>
      <c r="F45" s="183" t="s">
        <v>10</v>
      </c>
      <c r="G45" s="183"/>
      <c r="H45" s="183"/>
      <c r="I45" s="184"/>
      <c r="J45" s="48"/>
      <c r="K45" s="1" t="s">
        <v>0</v>
      </c>
      <c r="L45" s="183" t="s">
        <v>12</v>
      </c>
      <c r="M45" s="183"/>
      <c r="N45" s="183"/>
      <c r="O45" s="184"/>
      <c r="P45" s="183" t="s">
        <v>10</v>
      </c>
      <c r="Q45" s="183"/>
      <c r="R45" s="183"/>
      <c r="S45" s="184"/>
    </row>
    <row r="46" spans="1:20" ht="14.25" thickBot="1" x14ac:dyDescent="0.2">
      <c r="A46" s="1" t="s">
        <v>1</v>
      </c>
      <c r="B46" s="2" t="s">
        <v>7</v>
      </c>
      <c r="C46" s="1" t="s">
        <v>8</v>
      </c>
      <c r="D46" s="15" t="s">
        <v>9</v>
      </c>
      <c r="E46" s="1" t="s">
        <v>2</v>
      </c>
      <c r="F46" s="2" t="s">
        <v>7</v>
      </c>
      <c r="G46" s="1" t="s">
        <v>8</v>
      </c>
      <c r="H46" s="15" t="s">
        <v>9</v>
      </c>
      <c r="I46" s="1" t="s">
        <v>2</v>
      </c>
      <c r="J46" s="48"/>
      <c r="K46" s="1" t="s">
        <v>1</v>
      </c>
      <c r="L46" s="2" t="s">
        <v>7</v>
      </c>
      <c r="M46" s="1" t="s">
        <v>8</v>
      </c>
      <c r="N46" s="15" t="s">
        <v>9</v>
      </c>
      <c r="O46" s="1" t="s">
        <v>2</v>
      </c>
      <c r="P46" s="2" t="s">
        <v>7</v>
      </c>
      <c r="Q46" s="1" t="s">
        <v>8</v>
      </c>
      <c r="R46" s="15" t="s">
        <v>9</v>
      </c>
      <c r="S46" s="1" t="s">
        <v>2</v>
      </c>
    </row>
    <row r="47" spans="1:20" ht="14.25" thickBot="1" x14ac:dyDescent="0.2">
      <c r="A47" s="41" t="s">
        <v>13</v>
      </c>
      <c r="B47" s="42">
        <f>B41</f>
        <v>6</v>
      </c>
      <c r="C47" s="43">
        <f>C41</f>
        <v>6</v>
      </c>
      <c r="D47" s="44">
        <f>D41</f>
        <v>5</v>
      </c>
      <c r="E47" s="45">
        <f t="shared" ref="E47" si="23">SUM(B47:D47)</f>
        <v>17</v>
      </c>
      <c r="F47" s="42">
        <f>F41</f>
        <v>6</v>
      </c>
      <c r="G47" s="43">
        <f>G41</f>
        <v>6</v>
      </c>
      <c r="H47" s="44">
        <f>H41</f>
        <v>5</v>
      </c>
      <c r="I47" s="45">
        <f t="shared" ref="I47" si="24">SUM(F47:H47)</f>
        <v>17</v>
      </c>
      <c r="J47" s="50"/>
      <c r="K47" s="34" t="s">
        <v>13</v>
      </c>
      <c r="L47" s="35">
        <f>L41</f>
        <v>68</v>
      </c>
      <c r="M47" s="35">
        <f t="shared" ref="M47:N47" si="25">M41</f>
        <v>90</v>
      </c>
      <c r="N47" s="35">
        <f t="shared" si="25"/>
        <v>68</v>
      </c>
      <c r="O47" s="20">
        <f t="shared" ref="O47:O83" si="26">SUM(L47:N47)</f>
        <v>226</v>
      </c>
      <c r="P47" s="35">
        <f>P41</f>
        <v>68</v>
      </c>
      <c r="Q47" s="36">
        <f t="shared" ref="Q47:R47" si="27">Q41</f>
        <v>90</v>
      </c>
      <c r="R47" s="37">
        <f t="shared" si="27"/>
        <v>68</v>
      </c>
      <c r="S47" s="20">
        <f t="shared" ref="S47:S83" si="28">SUM(P47:R47)</f>
        <v>226</v>
      </c>
    </row>
    <row r="48" spans="1:20" x14ac:dyDescent="0.15">
      <c r="A48" s="6" t="s">
        <v>91</v>
      </c>
      <c r="B48" s="38"/>
      <c r="C48" s="39"/>
      <c r="D48" s="40">
        <v>1</v>
      </c>
      <c r="E48" s="4">
        <f t="shared" ref="E48:E83" si="29">SUM(B48:D48)</f>
        <v>1</v>
      </c>
      <c r="F48" s="38"/>
      <c r="G48" s="39"/>
      <c r="H48" s="40">
        <v>1</v>
      </c>
      <c r="I48" s="4">
        <f t="shared" ref="I48:I83" si="30">SUM(F48:H48)</f>
        <v>1</v>
      </c>
      <c r="J48" s="47">
        <v>44722</v>
      </c>
      <c r="K48" s="32" t="s">
        <v>3</v>
      </c>
      <c r="L48" s="46"/>
      <c r="M48" s="3"/>
      <c r="N48" s="46"/>
      <c r="O48" s="4">
        <f t="shared" si="26"/>
        <v>0</v>
      </c>
      <c r="P48" s="46"/>
      <c r="Q48" s="3"/>
      <c r="R48" s="46"/>
      <c r="S48" s="4">
        <f t="shared" si="28"/>
        <v>0</v>
      </c>
    </row>
    <row r="49" spans="1:20" x14ac:dyDescent="0.15">
      <c r="A49" s="6" t="s">
        <v>91</v>
      </c>
      <c r="B49" s="14"/>
      <c r="C49" s="11">
        <v>1</v>
      </c>
      <c r="D49" s="14">
        <v>1</v>
      </c>
      <c r="E49" s="4">
        <f t="shared" si="29"/>
        <v>2</v>
      </c>
      <c r="F49" s="14"/>
      <c r="G49" s="11">
        <v>1</v>
      </c>
      <c r="H49" s="14">
        <v>1</v>
      </c>
      <c r="I49" s="4">
        <f t="shared" si="30"/>
        <v>2</v>
      </c>
      <c r="J49" s="31">
        <v>44736</v>
      </c>
      <c r="K49" s="32" t="s">
        <v>3</v>
      </c>
      <c r="L49" s="14"/>
      <c r="M49" s="11"/>
      <c r="N49" s="14"/>
      <c r="O49" s="4">
        <f t="shared" si="26"/>
        <v>0</v>
      </c>
      <c r="P49" s="14"/>
      <c r="Q49" s="11"/>
      <c r="R49" s="14"/>
      <c r="S49" s="4">
        <f t="shared" si="28"/>
        <v>0</v>
      </c>
    </row>
    <row r="50" spans="1:20" x14ac:dyDescent="0.15">
      <c r="A50" s="6" t="s">
        <v>121</v>
      </c>
      <c r="B50" s="14">
        <v>1</v>
      </c>
      <c r="C50" s="11"/>
      <c r="D50" s="14"/>
      <c r="E50" s="4">
        <f t="shared" si="29"/>
        <v>1</v>
      </c>
      <c r="F50" s="14">
        <v>1</v>
      </c>
      <c r="G50" s="11"/>
      <c r="H50" s="14"/>
      <c r="I50" s="4">
        <f t="shared" si="30"/>
        <v>1</v>
      </c>
      <c r="J50" s="31"/>
      <c r="K50" s="5" t="s">
        <v>17</v>
      </c>
      <c r="L50" s="14">
        <v>157</v>
      </c>
      <c r="M50" s="11">
        <v>210</v>
      </c>
      <c r="N50" s="14">
        <v>130</v>
      </c>
      <c r="O50" s="4">
        <f t="shared" si="26"/>
        <v>497</v>
      </c>
      <c r="P50" s="14">
        <v>157</v>
      </c>
      <c r="Q50" s="11">
        <v>210</v>
      </c>
      <c r="R50" s="14">
        <v>130</v>
      </c>
      <c r="S50" s="4">
        <f t="shared" si="28"/>
        <v>497</v>
      </c>
      <c r="T50" s="47" t="s">
        <v>92</v>
      </c>
    </row>
    <row r="51" spans="1:20" x14ac:dyDescent="0.15">
      <c r="A51" s="6" t="s">
        <v>3</v>
      </c>
      <c r="B51" s="14"/>
      <c r="C51" s="11"/>
      <c r="D51" s="14"/>
      <c r="E51" s="4">
        <f t="shared" si="29"/>
        <v>0</v>
      </c>
      <c r="F51" s="14"/>
      <c r="G51" s="11"/>
      <c r="H51" s="14"/>
      <c r="I51" s="4">
        <f t="shared" si="30"/>
        <v>0</v>
      </c>
      <c r="J51" s="31"/>
      <c r="K51" s="32" t="s">
        <v>3</v>
      </c>
      <c r="L51" s="14"/>
      <c r="M51" s="11"/>
      <c r="N51" s="14"/>
      <c r="O51" s="4">
        <f t="shared" ref="O51" si="31">SUM(L51:N51)</f>
        <v>0</v>
      </c>
      <c r="P51" s="14"/>
      <c r="Q51" s="11"/>
      <c r="R51" s="14"/>
      <c r="S51" s="4">
        <f t="shared" ref="S51" si="32">SUM(P51:R51)</f>
        <v>0</v>
      </c>
      <c r="T51" s="47"/>
    </row>
    <row r="52" spans="1:20" x14ac:dyDescent="0.15">
      <c r="A52" s="6" t="s">
        <v>3</v>
      </c>
      <c r="B52" s="14"/>
      <c r="C52" s="11"/>
      <c r="D52" s="14"/>
      <c r="E52" s="4">
        <f t="shared" si="29"/>
        <v>0</v>
      </c>
      <c r="F52" s="14"/>
      <c r="G52" s="11"/>
      <c r="H52" s="14"/>
      <c r="I52" s="4">
        <f t="shared" si="30"/>
        <v>0</v>
      </c>
      <c r="J52" s="31"/>
      <c r="K52" s="5" t="s">
        <v>97</v>
      </c>
      <c r="L52" s="14">
        <v>6</v>
      </c>
      <c r="M52" s="11">
        <v>6</v>
      </c>
      <c r="N52" s="14">
        <v>6</v>
      </c>
      <c r="O52" s="4">
        <f t="shared" si="26"/>
        <v>18</v>
      </c>
      <c r="P52" s="14">
        <v>6</v>
      </c>
      <c r="Q52" s="11">
        <v>6</v>
      </c>
      <c r="R52" s="14">
        <v>6</v>
      </c>
      <c r="S52" s="4">
        <f t="shared" si="28"/>
        <v>18</v>
      </c>
      <c r="T52" s="56">
        <v>44730</v>
      </c>
    </row>
    <row r="53" spans="1:20" x14ac:dyDescent="0.15">
      <c r="A53" s="6" t="s">
        <v>3</v>
      </c>
      <c r="B53" s="14"/>
      <c r="C53" s="11"/>
      <c r="D53" s="14"/>
      <c r="E53" s="4">
        <f t="shared" si="29"/>
        <v>0</v>
      </c>
      <c r="F53" s="14"/>
      <c r="G53" s="11"/>
      <c r="H53" s="14"/>
      <c r="I53" s="4">
        <f t="shared" si="30"/>
        <v>0</v>
      </c>
      <c r="J53" s="31"/>
      <c r="K53" s="5" t="s">
        <v>3</v>
      </c>
      <c r="L53" s="14"/>
      <c r="M53" s="11"/>
      <c r="N53" s="14"/>
      <c r="O53" s="4">
        <f t="shared" si="26"/>
        <v>0</v>
      </c>
      <c r="P53" s="14"/>
      <c r="Q53" s="11"/>
      <c r="R53" s="14"/>
      <c r="S53" s="4">
        <f t="shared" si="28"/>
        <v>0</v>
      </c>
    </row>
    <row r="54" spans="1:20" x14ac:dyDescent="0.15">
      <c r="A54" s="6" t="s">
        <v>3</v>
      </c>
      <c r="B54" s="14"/>
      <c r="C54" s="11"/>
      <c r="D54" s="14"/>
      <c r="E54" s="4">
        <f t="shared" si="29"/>
        <v>0</v>
      </c>
      <c r="F54" s="14"/>
      <c r="G54" s="11"/>
      <c r="H54" s="14"/>
      <c r="I54" s="4">
        <f t="shared" si="30"/>
        <v>0</v>
      </c>
      <c r="J54" s="31"/>
      <c r="K54" s="5" t="s">
        <v>3</v>
      </c>
      <c r="L54" s="14"/>
      <c r="M54" s="11"/>
      <c r="N54" s="14"/>
      <c r="O54" s="4">
        <f t="shared" si="26"/>
        <v>0</v>
      </c>
      <c r="P54" s="14"/>
      <c r="Q54" s="11"/>
      <c r="R54" s="14"/>
      <c r="S54" s="4">
        <f t="shared" si="28"/>
        <v>0</v>
      </c>
    </row>
    <row r="55" spans="1:20" x14ac:dyDescent="0.15">
      <c r="A55" s="6" t="s">
        <v>3</v>
      </c>
      <c r="B55" s="23"/>
      <c r="C55" s="24"/>
      <c r="D55" s="25"/>
      <c r="E55" s="7">
        <f t="shared" si="29"/>
        <v>0</v>
      </c>
      <c r="F55" s="23"/>
      <c r="G55" s="24"/>
      <c r="H55" s="25"/>
      <c r="I55" s="7">
        <f t="shared" si="30"/>
        <v>0</v>
      </c>
      <c r="J55" s="47"/>
      <c r="K55" s="5" t="s">
        <v>3</v>
      </c>
      <c r="L55" s="25"/>
      <c r="M55" s="24"/>
      <c r="N55" s="25"/>
      <c r="O55" s="7">
        <f t="shared" si="26"/>
        <v>0</v>
      </c>
      <c r="P55" s="23"/>
      <c r="Q55" s="24"/>
      <c r="R55" s="25"/>
      <c r="S55" s="7">
        <f t="shared" si="28"/>
        <v>0</v>
      </c>
    </row>
    <row r="56" spans="1:20" x14ac:dyDescent="0.15">
      <c r="A56" s="6" t="s">
        <v>3</v>
      </c>
      <c r="B56" s="23"/>
      <c r="C56" s="24"/>
      <c r="D56" s="25"/>
      <c r="E56" s="7">
        <f t="shared" si="29"/>
        <v>0</v>
      </c>
      <c r="F56" s="23"/>
      <c r="G56" s="24"/>
      <c r="H56" s="25"/>
      <c r="I56" s="7">
        <f t="shared" si="30"/>
        <v>0</v>
      </c>
      <c r="J56" s="47"/>
      <c r="K56" s="5" t="s">
        <v>3</v>
      </c>
      <c r="L56" s="25"/>
      <c r="M56" s="24"/>
      <c r="N56" s="25"/>
      <c r="O56" s="7">
        <f t="shared" si="26"/>
        <v>0</v>
      </c>
      <c r="P56" s="25"/>
      <c r="Q56" s="24"/>
      <c r="R56" s="25"/>
      <c r="S56" s="7">
        <f t="shared" si="28"/>
        <v>0</v>
      </c>
    </row>
    <row r="57" spans="1:20" ht="14.25" thickBot="1" x14ac:dyDescent="0.2">
      <c r="A57" s="6" t="s">
        <v>3</v>
      </c>
      <c r="B57" s="29"/>
      <c r="C57" s="30"/>
      <c r="D57" s="29"/>
      <c r="E57" s="16">
        <f t="shared" si="29"/>
        <v>0</v>
      </c>
      <c r="F57" s="29"/>
      <c r="G57" s="30"/>
      <c r="H57" s="29"/>
      <c r="I57" s="16">
        <f t="shared" si="30"/>
        <v>0</v>
      </c>
      <c r="J57" s="31"/>
      <c r="K57" s="33" t="s">
        <v>3</v>
      </c>
      <c r="L57" s="29"/>
      <c r="M57" s="30"/>
      <c r="N57" s="29"/>
      <c r="O57" s="16">
        <f t="shared" si="26"/>
        <v>0</v>
      </c>
      <c r="P57" s="29"/>
      <c r="Q57" s="30"/>
      <c r="R57" s="29"/>
      <c r="S57" s="16">
        <f t="shared" si="28"/>
        <v>0</v>
      </c>
    </row>
    <row r="58" spans="1:20" ht="14.25" thickBot="1" x14ac:dyDescent="0.2">
      <c r="A58" s="17" t="s">
        <v>4</v>
      </c>
      <c r="B58" s="18">
        <f>SUM(B47:B57)</f>
        <v>7</v>
      </c>
      <c r="C58" s="18">
        <f>SUM(C47:C57)</f>
        <v>7</v>
      </c>
      <c r="D58" s="19">
        <f>SUM(D47:D57)</f>
        <v>7</v>
      </c>
      <c r="E58" s="20">
        <f t="shared" si="29"/>
        <v>21</v>
      </c>
      <c r="F58" s="18">
        <f>SUM(F47:F57)</f>
        <v>7</v>
      </c>
      <c r="G58" s="18">
        <f>SUM(G47:G57)</f>
        <v>7</v>
      </c>
      <c r="H58" s="19">
        <f>SUM(H47:H57)</f>
        <v>7</v>
      </c>
      <c r="I58" s="20">
        <f t="shared" si="30"/>
        <v>21</v>
      </c>
      <c r="J58" s="48"/>
      <c r="K58" s="17" t="s">
        <v>4</v>
      </c>
      <c r="L58" s="18">
        <f>SUM(L47:L57)</f>
        <v>231</v>
      </c>
      <c r="M58" s="18">
        <f>SUM(M47:M57)</f>
        <v>306</v>
      </c>
      <c r="N58" s="19">
        <f>SUM(N47:N57)</f>
        <v>204</v>
      </c>
      <c r="O58" s="20">
        <f t="shared" si="26"/>
        <v>741</v>
      </c>
      <c r="P58" s="18">
        <f>SUM(P47:P57)</f>
        <v>231</v>
      </c>
      <c r="Q58" s="18">
        <f>SUM(Q47:Q57)</f>
        <v>306</v>
      </c>
      <c r="R58" s="19">
        <f>SUM(R47:R57)</f>
        <v>204</v>
      </c>
      <c r="S58" s="20">
        <f t="shared" si="28"/>
        <v>741</v>
      </c>
    </row>
    <row r="59" spans="1:20" x14ac:dyDescent="0.15">
      <c r="A59" s="3" t="s">
        <v>96</v>
      </c>
      <c r="B59" s="8">
        <v>6</v>
      </c>
      <c r="C59" s="9">
        <v>6</v>
      </c>
      <c r="D59" s="10">
        <v>6</v>
      </c>
      <c r="E59" s="4">
        <f t="shared" si="29"/>
        <v>18</v>
      </c>
      <c r="F59" s="8">
        <v>6</v>
      </c>
      <c r="G59" s="9">
        <v>6</v>
      </c>
      <c r="H59" s="10">
        <v>6</v>
      </c>
      <c r="I59" s="4">
        <f t="shared" si="30"/>
        <v>18</v>
      </c>
      <c r="J59" s="31">
        <v>44730</v>
      </c>
      <c r="K59" s="3" t="s">
        <v>80</v>
      </c>
      <c r="L59" s="8"/>
      <c r="M59" s="9">
        <v>1</v>
      </c>
      <c r="N59" s="10"/>
      <c r="O59" s="7">
        <f t="shared" ref="O59:O60" si="33">SUM(L59:N59)</f>
        <v>1</v>
      </c>
      <c r="P59" s="8"/>
      <c r="Q59" s="9">
        <v>1</v>
      </c>
      <c r="R59" s="10"/>
      <c r="S59" s="7">
        <f t="shared" ref="S59:S60" si="34">SUM(P59:R59)</f>
        <v>1</v>
      </c>
      <c r="T59" s="47">
        <v>44715</v>
      </c>
    </row>
    <row r="60" spans="1:20" x14ac:dyDescent="0.15">
      <c r="A60" s="3"/>
      <c r="B60" s="8"/>
      <c r="C60" s="9"/>
      <c r="D60" s="10"/>
      <c r="E60" s="4">
        <f t="shared" si="29"/>
        <v>0</v>
      </c>
      <c r="F60" s="8"/>
      <c r="G60" s="9"/>
      <c r="H60" s="10"/>
      <c r="I60" s="4">
        <f t="shared" si="30"/>
        <v>0</v>
      </c>
      <c r="J60" s="31"/>
      <c r="K60" s="3" t="s">
        <v>76</v>
      </c>
      <c r="L60" s="8">
        <v>4</v>
      </c>
      <c r="M60" s="9">
        <f>2+7</f>
        <v>9</v>
      </c>
      <c r="N60" s="10">
        <v>2</v>
      </c>
      <c r="O60" s="7">
        <f t="shared" si="33"/>
        <v>15</v>
      </c>
      <c r="P60" s="8">
        <v>4</v>
      </c>
      <c r="Q60" s="9">
        <f>2+7</f>
        <v>9</v>
      </c>
      <c r="R60" s="10">
        <v>2</v>
      </c>
      <c r="S60" s="7">
        <f t="shared" si="34"/>
        <v>15</v>
      </c>
      <c r="T60" s="31">
        <v>44715</v>
      </c>
    </row>
    <row r="61" spans="1:20" x14ac:dyDescent="0.15">
      <c r="A61" s="3"/>
      <c r="B61" s="8"/>
      <c r="C61" s="9"/>
      <c r="D61" s="10"/>
      <c r="E61" s="4">
        <f t="shared" si="29"/>
        <v>0</v>
      </c>
      <c r="F61" s="8"/>
      <c r="G61" s="9"/>
      <c r="H61" s="10"/>
      <c r="I61" s="4">
        <f t="shared" si="30"/>
        <v>0</v>
      </c>
      <c r="J61" s="31"/>
      <c r="K61" s="3" t="s">
        <v>79</v>
      </c>
      <c r="L61" s="8">
        <v>12</v>
      </c>
      <c r="M61" s="9">
        <v>12</v>
      </c>
      <c r="N61" s="10">
        <v>12</v>
      </c>
      <c r="O61" s="4">
        <f t="shared" ref="O61" si="35">SUM(L61:N61)</f>
        <v>36</v>
      </c>
      <c r="P61" s="8">
        <v>12</v>
      </c>
      <c r="Q61" s="9">
        <v>12</v>
      </c>
      <c r="R61" s="10">
        <v>12</v>
      </c>
      <c r="S61" s="4">
        <f t="shared" ref="S61" si="36">SUM(P61:R61)</f>
        <v>36</v>
      </c>
      <c r="T61" s="47">
        <v>44725</v>
      </c>
    </row>
    <row r="62" spans="1:20" x14ac:dyDescent="0.15">
      <c r="A62" s="3"/>
      <c r="B62" s="8"/>
      <c r="C62" s="9"/>
      <c r="D62" s="10"/>
      <c r="E62" s="4">
        <f t="shared" si="29"/>
        <v>0</v>
      </c>
      <c r="F62" s="8"/>
      <c r="G62" s="9"/>
      <c r="H62" s="10"/>
      <c r="I62" s="4">
        <f t="shared" si="30"/>
        <v>0</v>
      </c>
      <c r="J62" s="31"/>
      <c r="K62" s="3" t="s">
        <v>83</v>
      </c>
      <c r="L62" s="8">
        <v>1</v>
      </c>
      <c r="M62" s="9">
        <v>1</v>
      </c>
      <c r="N62" s="10"/>
      <c r="O62" s="4">
        <f t="shared" si="26"/>
        <v>2</v>
      </c>
      <c r="P62" s="8">
        <v>1</v>
      </c>
      <c r="Q62" s="9">
        <v>1</v>
      </c>
      <c r="R62" s="10"/>
      <c r="S62" s="4">
        <f t="shared" si="28"/>
        <v>2</v>
      </c>
      <c r="T62" s="47">
        <v>44718</v>
      </c>
    </row>
    <row r="63" spans="1:20" x14ac:dyDescent="0.15">
      <c r="A63" s="3"/>
      <c r="B63" s="8"/>
      <c r="C63" s="9"/>
      <c r="D63" s="10"/>
      <c r="E63" s="4">
        <f t="shared" si="29"/>
        <v>0</v>
      </c>
      <c r="F63" s="8"/>
      <c r="G63" s="9"/>
      <c r="H63" s="10"/>
      <c r="I63" s="4">
        <f t="shared" si="30"/>
        <v>0</v>
      </c>
      <c r="J63" s="31"/>
      <c r="K63" s="3" t="s">
        <v>84</v>
      </c>
      <c r="L63" s="8">
        <v>2</v>
      </c>
      <c r="M63" s="9"/>
      <c r="N63" s="10"/>
      <c r="O63" s="4">
        <f t="shared" si="26"/>
        <v>2</v>
      </c>
      <c r="P63" s="8">
        <v>2</v>
      </c>
      <c r="Q63" s="9"/>
      <c r="R63" s="10"/>
      <c r="S63" s="4">
        <f t="shared" si="28"/>
        <v>2</v>
      </c>
      <c r="T63" s="47">
        <v>44719</v>
      </c>
    </row>
    <row r="64" spans="1:20" x14ac:dyDescent="0.15">
      <c r="A64" s="3"/>
      <c r="B64" s="8"/>
      <c r="C64" s="9"/>
      <c r="D64" s="10"/>
      <c r="E64" s="7">
        <f t="shared" si="29"/>
        <v>0</v>
      </c>
      <c r="F64" s="8"/>
      <c r="G64" s="9"/>
      <c r="H64" s="10"/>
      <c r="I64" s="7">
        <f t="shared" si="30"/>
        <v>0</v>
      </c>
      <c r="J64" s="31"/>
      <c r="K64" s="3" t="s">
        <v>85</v>
      </c>
      <c r="L64" s="8">
        <v>1</v>
      </c>
      <c r="M64" s="9">
        <v>2</v>
      </c>
      <c r="N64" s="10"/>
      <c r="O64" s="7">
        <f t="shared" si="26"/>
        <v>3</v>
      </c>
      <c r="P64" s="8">
        <v>1</v>
      </c>
      <c r="Q64" s="9">
        <v>2</v>
      </c>
      <c r="R64" s="10"/>
      <c r="S64" s="7">
        <f t="shared" si="28"/>
        <v>3</v>
      </c>
      <c r="T64" s="47">
        <v>44720</v>
      </c>
    </row>
    <row r="65" spans="1:21" x14ac:dyDescent="0.15">
      <c r="A65" s="3"/>
      <c r="B65" s="8"/>
      <c r="C65" s="9"/>
      <c r="D65" s="10"/>
      <c r="E65" s="7">
        <f t="shared" si="29"/>
        <v>0</v>
      </c>
      <c r="F65" s="8"/>
      <c r="G65" s="9"/>
      <c r="H65" s="10"/>
      <c r="I65" s="7">
        <f t="shared" si="30"/>
        <v>0</v>
      </c>
      <c r="J65" s="31"/>
      <c r="K65" s="3" t="s">
        <v>86</v>
      </c>
      <c r="L65" s="8">
        <v>1</v>
      </c>
      <c r="M65" s="9"/>
      <c r="N65" s="10"/>
      <c r="O65" s="7">
        <f t="shared" si="26"/>
        <v>1</v>
      </c>
      <c r="P65" s="8">
        <v>1</v>
      </c>
      <c r="Q65" s="9"/>
      <c r="R65" s="10"/>
      <c r="S65" s="7">
        <f t="shared" si="28"/>
        <v>1</v>
      </c>
      <c r="T65" s="47">
        <v>44721</v>
      </c>
    </row>
    <row r="66" spans="1:21" x14ac:dyDescent="0.15">
      <c r="A66" s="3"/>
      <c r="B66" s="8"/>
      <c r="C66" s="9"/>
      <c r="D66" s="10"/>
      <c r="E66" s="7">
        <f t="shared" si="29"/>
        <v>0</v>
      </c>
      <c r="F66" s="8"/>
      <c r="G66" s="9"/>
      <c r="H66" s="10"/>
      <c r="I66" s="7">
        <f t="shared" si="30"/>
        <v>0</v>
      </c>
      <c r="J66" s="31"/>
      <c r="K66" s="3" t="s">
        <v>87</v>
      </c>
      <c r="L66" s="8">
        <v>1</v>
      </c>
      <c r="M66" s="9">
        <v>2</v>
      </c>
      <c r="N66" s="10"/>
      <c r="O66" s="7">
        <f t="shared" si="26"/>
        <v>3</v>
      </c>
      <c r="P66" s="8">
        <v>1</v>
      </c>
      <c r="Q66" s="9">
        <v>2</v>
      </c>
      <c r="R66" s="10"/>
      <c r="S66" s="7">
        <f t="shared" si="28"/>
        <v>3</v>
      </c>
      <c r="T66" s="47">
        <v>44722</v>
      </c>
      <c r="U66" s="54"/>
    </row>
    <row r="67" spans="1:21" x14ac:dyDescent="0.15">
      <c r="A67" s="3"/>
      <c r="B67" s="8"/>
      <c r="C67" s="9"/>
      <c r="D67" s="10"/>
      <c r="E67" s="7">
        <f t="shared" si="29"/>
        <v>0</v>
      </c>
      <c r="F67" s="8"/>
      <c r="G67" s="9"/>
      <c r="H67" s="10"/>
      <c r="I67" s="7">
        <f t="shared" si="30"/>
        <v>0</v>
      </c>
      <c r="J67" s="31"/>
      <c r="K67" s="3" t="s">
        <v>88</v>
      </c>
      <c r="L67" s="8">
        <v>8</v>
      </c>
      <c r="M67" s="9">
        <v>3</v>
      </c>
      <c r="N67" s="10">
        <v>2</v>
      </c>
      <c r="O67" s="7">
        <f t="shared" si="26"/>
        <v>13</v>
      </c>
      <c r="P67" s="8">
        <v>8</v>
      </c>
      <c r="Q67" s="9">
        <v>3</v>
      </c>
      <c r="R67" s="10">
        <v>2</v>
      </c>
      <c r="S67" s="7">
        <f t="shared" si="28"/>
        <v>13</v>
      </c>
      <c r="T67" s="47">
        <v>44725</v>
      </c>
    </row>
    <row r="68" spans="1:21" x14ac:dyDescent="0.15">
      <c r="A68" s="3"/>
      <c r="B68" s="8"/>
      <c r="C68" s="9"/>
      <c r="D68" s="10"/>
      <c r="E68" s="7">
        <f t="shared" si="29"/>
        <v>0</v>
      </c>
      <c r="F68" s="8"/>
      <c r="G68" s="9"/>
      <c r="H68" s="10"/>
      <c r="I68" s="7">
        <f t="shared" si="30"/>
        <v>0</v>
      </c>
      <c r="J68" s="31"/>
      <c r="K68" s="3" t="s">
        <v>89</v>
      </c>
      <c r="L68" s="8"/>
      <c r="M68" s="9"/>
      <c r="N68" s="10">
        <v>1</v>
      </c>
      <c r="O68" s="7">
        <f t="shared" si="26"/>
        <v>1</v>
      </c>
      <c r="P68" s="8"/>
      <c r="Q68" s="9"/>
      <c r="R68" s="10">
        <v>1</v>
      </c>
      <c r="S68" s="7">
        <f t="shared" si="28"/>
        <v>1</v>
      </c>
      <c r="T68" s="47">
        <v>44725</v>
      </c>
    </row>
    <row r="69" spans="1:21" x14ac:dyDescent="0.15">
      <c r="A69" s="3"/>
      <c r="B69" s="8"/>
      <c r="C69" s="9"/>
      <c r="D69" s="10"/>
      <c r="E69" s="7">
        <f t="shared" si="29"/>
        <v>0</v>
      </c>
      <c r="F69" s="8"/>
      <c r="G69" s="9"/>
      <c r="H69" s="10"/>
      <c r="I69" s="7">
        <f t="shared" si="30"/>
        <v>0</v>
      </c>
      <c r="J69" s="31"/>
      <c r="K69" s="3" t="s">
        <v>90</v>
      </c>
      <c r="L69" s="8">
        <v>6</v>
      </c>
      <c r="M69" s="9">
        <v>8</v>
      </c>
      <c r="N69" s="10">
        <v>4</v>
      </c>
      <c r="O69" s="7">
        <f t="shared" si="26"/>
        <v>18</v>
      </c>
      <c r="P69" s="8">
        <v>6</v>
      </c>
      <c r="Q69" s="9">
        <v>8</v>
      </c>
      <c r="R69" s="10">
        <v>4</v>
      </c>
      <c r="S69" s="7">
        <f t="shared" si="28"/>
        <v>18</v>
      </c>
      <c r="T69" s="47">
        <v>44725</v>
      </c>
    </row>
    <row r="70" spans="1:21" x14ac:dyDescent="0.15">
      <c r="A70" s="3"/>
      <c r="B70" s="8"/>
      <c r="C70" s="9"/>
      <c r="D70" s="10"/>
      <c r="E70" s="7">
        <f t="shared" si="29"/>
        <v>0</v>
      </c>
      <c r="F70" s="8"/>
      <c r="G70" s="9"/>
      <c r="H70" s="10"/>
      <c r="I70" s="7">
        <f t="shared" si="30"/>
        <v>0</v>
      </c>
      <c r="J70" s="31"/>
      <c r="K70" s="3" t="s">
        <v>93</v>
      </c>
      <c r="L70" s="8"/>
      <c r="M70" s="9"/>
      <c r="N70" s="10">
        <v>1</v>
      </c>
      <c r="O70" s="7">
        <f t="shared" si="26"/>
        <v>1</v>
      </c>
      <c r="P70" s="8"/>
      <c r="Q70" s="9"/>
      <c r="R70" s="10">
        <v>1</v>
      </c>
      <c r="S70" s="7">
        <f t="shared" si="28"/>
        <v>1</v>
      </c>
      <c r="T70" s="47">
        <v>44732</v>
      </c>
    </row>
    <row r="71" spans="1:21" x14ac:dyDescent="0.15">
      <c r="A71" s="3"/>
      <c r="B71" s="8"/>
      <c r="C71" s="9"/>
      <c r="D71" s="10"/>
      <c r="E71" s="7">
        <f t="shared" si="29"/>
        <v>0</v>
      </c>
      <c r="F71" s="8"/>
      <c r="G71" s="9"/>
      <c r="H71" s="10"/>
      <c r="I71" s="7">
        <f t="shared" si="30"/>
        <v>0</v>
      </c>
      <c r="J71" s="31"/>
      <c r="K71" s="3" t="s">
        <v>98</v>
      </c>
      <c r="L71" s="8"/>
      <c r="M71" s="9"/>
      <c r="N71" s="10">
        <v>2</v>
      </c>
      <c r="O71" s="7">
        <f t="shared" si="26"/>
        <v>2</v>
      </c>
      <c r="P71" s="8"/>
      <c r="Q71" s="9"/>
      <c r="R71" s="10">
        <v>2</v>
      </c>
      <c r="S71" s="7">
        <f t="shared" si="28"/>
        <v>2</v>
      </c>
      <c r="T71" s="47">
        <v>44734</v>
      </c>
    </row>
    <row r="72" spans="1:21" x14ac:dyDescent="0.15">
      <c r="A72" s="3"/>
      <c r="B72" s="8"/>
      <c r="C72" s="9"/>
      <c r="D72" s="10"/>
      <c r="E72" s="7">
        <f t="shared" si="29"/>
        <v>0</v>
      </c>
      <c r="F72" s="8"/>
      <c r="G72" s="9"/>
      <c r="H72" s="10"/>
      <c r="I72" s="7">
        <f t="shared" si="30"/>
        <v>0</v>
      </c>
      <c r="J72" s="31"/>
      <c r="K72" s="3" t="s">
        <v>99</v>
      </c>
      <c r="L72" s="8"/>
      <c r="M72" s="9">
        <v>3</v>
      </c>
      <c r="N72" s="10"/>
      <c r="O72" s="7">
        <f t="shared" si="26"/>
        <v>3</v>
      </c>
      <c r="P72" s="8"/>
      <c r="Q72" s="9">
        <v>3</v>
      </c>
      <c r="R72" s="10"/>
      <c r="S72" s="7">
        <f t="shared" si="28"/>
        <v>3</v>
      </c>
      <c r="T72" s="47">
        <v>44735</v>
      </c>
    </row>
    <row r="73" spans="1:21" x14ac:dyDescent="0.15">
      <c r="A73" s="3"/>
      <c r="B73" s="8"/>
      <c r="C73" s="9"/>
      <c r="D73" s="10"/>
      <c r="E73" s="7">
        <f t="shared" si="29"/>
        <v>0</v>
      </c>
      <c r="F73" s="8"/>
      <c r="G73" s="9"/>
      <c r="H73" s="10"/>
      <c r="I73" s="7">
        <f t="shared" si="30"/>
        <v>0</v>
      </c>
      <c r="J73" s="31"/>
      <c r="K73" s="3" t="s">
        <v>100</v>
      </c>
      <c r="L73" s="8">
        <v>2</v>
      </c>
      <c r="M73" s="9">
        <v>3</v>
      </c>
      <c r="N73" s="10">
        <v>1</v>
      </c>
      <c r="O73" s="7">
        <f t="shared" si="26"/>
        <v>6</v>
      </c>
      <c r="P73" s="8">
        <v>2</v>
      </c>
      <c r="Q73" s="9">
        <v>3</v>
      </c>
      <c r="R73" s="10">
        <v>1</v>
      </c>
      <c r="S73" s="7">
        <f t="shared" si="28"/>
        <v>6</v>
      </c>
      <c r="T73" s="47">
        <v>44740</v>
      </c>
    </row>
    <row r="74" spans="1:21" x14ac:dyDescent="0.15">
      <c r="A74" s="3"/>
      <c r="B74" s="8"/>
      <c r="C74" s="9"/>
      <c r="D74" s="10"/>
      <c r="E74" s="7">
        <f t="shared" si="29"/>
        <v>0</v>
      </c>
      <c r="F74" s="8"/>
      <c r="G74" s="9"/>
      <c r="H74" s="10"/>
      <c r="I74" s="7">
        <f t="shared" si="30"/>
        <v>0</v>
      </c>
      <c r="J74" s="31"/>
      <c r="K74" s="3" t="s">
        <v>101</v>
      </c>
      <c r="L74" s="8"/>
      <c r="M74" s="9">
        <v>5</v>
      </c>
      <c r="N74" s="10"/>
      <c r="O74" s="7">
        <f t="shared" si="26"/>
        <v>5</v>
      </c>
      <c r="P74" s="8"/>
      <c r="Q74" s="9">
        <v>5</v>
      </c>
      <c r="R74" s="10"/>
      <c r="S74" s="7">
        <f t="shared" si="28"/>
        <v>5</v>
      </c>
      <c r="T74" s="47">
        <v>44743</v>
      </c>
      <c r="U74" s="54"/>
    </row>
    <row r="75" spans="1:21" x14ac:dyDescent="0.15">
      <c r="A75" s="3"/>
      <c r="B75" s="8"/>
      <c r="C75" s="9"/>
      <c r="D75" s="10"/>
      <c r="E75" s="7">
        <f t="shared" si="29"/>
        <v>0</v>
      </c>
      <c r="F75" s="8"/>
      <c r="G75" s="9"/>
      <c r="H75" s="10"/>
      <c r="I75" s="7">
        <f t="shared" si="30"/>
        <v>0</v>
      </c>
      <c r="J75" s="31"/>
      <c r="K75" s="3" t="s">
        <v>103</v>
      </c>
      <c r="L75" s="8"/>
      <c r="M75" s="9">
        <v>2</v>
      </c>
      <c r="N75" s="10">
        <v>2</v>
      </c>
      <c r="O75" s="7">
        <f t="shared" ref="O75:O82" si="37">SUM(L75:N75)</f>
        <v>4</v>
      </c>
      <c r="P75" s="8"/>
      <c r="Q75" s="9">
        <v>2</v>
      </c>
      <c r="R75" s="10">
        <v>2</v>
      </c>
      <c r="S75" s="7">
        <f t="shared" ref="S75:S82" si="38">SUM(P75:R75)</f>
        <v>4</v>
      </c>
      <c r="T75" s="47">
        <v>44742</v>
      </c>
    </row>
    <row r="76" spans="1:21" x14ac:dyDescent="0.15">
      <c r="A76" s="3"/>
      <c r="B76" s="8"/>
      <c r="C76" s="9"/>
      <c r="D76" s="10"/>
      <c r="E76" s="7">
        <f t="shared" si="29"/>
        <v>0</v>
      </c>
      <c r="F76" s="8"/>
      <c r="G76" s="9"/>
      <c r="H76" s="10"/>
      <c r="I76" s="7">
        <f t="shared" si="30"/>
        <v>0</v>
      </c>
      <c r="J76" s="31"/>
      <c r="K76" s="3"/>
      <c r="L76" s="8"/>
      <c r="M76" s="9"/>
      <c r="N76" s="10"/>
      <c r="O76" s="7">
        <f t="shared" si="37"/>
        <v>0</v>
      </c>
      <c r="P76" s="8"/>
      <c r="Q76" s="9"/>
      <c r="R76" s="10"/>
      <c r="S76" s="7">
        <f t="shared" si="38"/>
        <v>0</v>
      </c>
      <c r="T76" s="55"/>
    </row>
    <row r="77" spans="1:21" x14ac:dyDescent="0.15">
      <c r="A77" s="3"/>
      <c r="B77" s="8"/>
      <c r="C77" s="9"/>
      <c r="D77" s="10"/>
      <c r="E77" s="7">
        <f t="shared" si="29"/>
        <v>0</v>
      </c>
      <c r="F77" s="8"/>
      <c r="G77" s="9"/>
      <c r="H77" s="10"/>
      <c r="I77" s="7">
        <f t="shared" si="30"/>
        <v>0</v>
      </c>
      <c r="J77" s="31"/>
      <c r="K77" s="3"/>
      <c r="L77" s="8"/>
      <c r="M77" s="9"/>
      <c r="N77" s="10"/>
      <c r="O77" s="7">
        <f t="shared" ref="O77" si="39">SUM(L77:N77)</f>
        <v>0</v>
      </c>
      <c r="P77" s="8"/>
      <c r="Q77" s="9"/>
      <c r="R77" s="10"/>
      <c r="S77" s="7">
        <f t="shared" ref="S77" si="40">SUM(P77:R77)</f>
        <v>0</v>
      </c>
      <c r="T77" s="55"/>
    </row>
    <row r="78" spans="1:21" x14ac:dyDescent="0.15">
      <c r="A78" s="3"/>
      <c r="B78" s="8"/>
      <c r="C78" s="9"/>
      <c r="D78" s="10"/>
      <c r="E78" s="7">
        <f t="shared" si="29"/>
        <v>0</v>
      </c>
      <c r="F78" s="8"/>
      <c r="G78" s="9"/>
      <c r="H78" s="10"/>
      <c r="I78" s="7">
        <f t="shared" si="30"/>
        <v>0</v>
      </c>
      <c r="J78" s="31"/>
      <c r="K78" s="3" t="s">
        <v>28</v>
      </c>
      <c r="L78" s="8"/>
      <c r="M78" s="9"/>
      <c r="N78" s="10"/>
      <c r="O78" s="7">
        <f t="shared" si="37"/>
        <v>0</v>
      </c>
      <c r="P78" s="8"/>
      <c r="Q78" s="9"/>
      <c r="R78" s="10"/>
      <c r="S78" s="7">
        <f t="shared" si="38"/>
        <v>0</v>
      </c>
      <c r="T78" s="55" t="s">
        <v>31</v>
      </c>
    </row>
    <row r="79" spans="1:21" x14ac:dyDescent="0.15">
      <c r="A79" s="3"/>
      <c r="B79" s="8"/>
      <c r="C79" s="9"/>
      <c r="D79" s="10"/>
      <c r="E79" s="7">
        <f t="shared" si="29"/>
        <v>0</v>
      </c>
      <c r="F79" s="8"/>
      <c r="G79" s="9"/>
      <c r="H79" s="10"/>
      <c r="I79" s="7">
        <f t="shared" si="30"/>
        <v>0</v>
      </c>
      <c r="J79" s="31"/>
      <c r="K79" s="3" t="s">
        <v>27</v>
      </c>
      <c r="L79" s="8"/>
      <c r="M79" s="9"/>
      <c r="N79" s="10"/>
      <c r="O79" s="7">
        <f t="shared" si="37"/>
        <v>0</v>
      </c>
      <c r="P79" s="8"/>
      <c r="Q79" s="9"/>
      <c r="R79" s="10"/>
      <c r="S79" s="7">
        <f t="shared" si="38"/>
        <v>0</v>
      </c>
      <c r="T79" s="55" t="s">
        <v>32</v>
      </c>
      <c r="U79" s="54"/>
    </row>
    <row r="80" spans="1:21" x14ac:dyDescent="0.15">
      <c r="A80" s="3"/>
      <c r="B80" s="8"/>
      <c r="C80" s="9"/>
      <c r="D80" s="10"/>
      <c r="E80" s="7">
        <f t="shared" si="29"/>
        <v>0</v>
      </c>
      <c r="F80" s="8"/>
      <c r="G80" s="9"/>
      <c r="H80" s="10"/>
      <c r="I80" s="7">
        <f t="shared" si="30"/>
        <v>0</v>
      </c>
      <c r="J80" s="31"/>
      <c r="K80" s="3" t="s">
        <v>59</v>
      </c>
      <c r="L80" s="8"/>
      <c r="M80" s="9"/>
      <c r="N80" s="10"/>
      <c r="O80" s="7">
        <f t="shared" si="37"/>
        <v>0</v>
      </c>
      <c r="P80" s="8"/>
      <c r="Q80" s="9"/>
      <c r="R80" s="10"/>
      <c r="S80" s="7">
        <f t="shared" si="38"/>
        <v>0</v>
      </c>
      <c r="T80" s="55" t="s">
        <v>60</v>
      </c>
    </row>
    <row r="81" spans="1:20" x14ac:dyDescent="0.15">
      <c r="A81" s="3"/>
      <c r="B81" s="8"/>
      <c r="C81" s="9"/>
      <c r="D81" s="10"/>
      <c r="E81" s="7">
        <f t="shared" si="29"/>
        <v>0</v>
      </c>
      <c r="F81" s="8"/>
      <c r="G81" s="9"/>
      <c r="H81" s="10"/>
      <c r="I81" s="7">
        <f t="shared" si="30"/>
        <v>0</v>
      </c>
      <c r="J81" s="31"/>
      <c r="K81" s="3" t="s">
        <v>45</v>
      </c>
      <c r="L81" s="8"/>
      <c r="M81" s="9"/>
      <c r="N81" s="10"/>
      <c r="O81" s="7">
        <f t="shared" si="37"/>
        <v>0</v>
      </c>
      <c r="P81" s="8"/>
      <c r="Q81" s="9"/>
      <c r="R81" s="10"/>
      <c r="S81" s="7">
        <f t="shared" si="38"/>
        <v>0</v>
      </c>
      <c r="T81" s="55" t="s">
        <v>46</v>
      </c>
    </row>
    <row r="82" spans="1:20" ht="14.25" thickBot="1" x14ac:dyDescent="0.2">
      <c r="A82" s="3"/>
      <c r="B82" s="8"/>
      <c r="C82" s="9"/>
      <c r="D82" s="10"/>
      <c r="E82" s="7">
        <f t="shared" si="29"/>
        <v>0</v>
      </c>
      <c r="F82" s="8"/>
      <c r="G82" s="9"/>
      <c r="H82" s="10"/>
      <c r="I82" s="7">
        <f t="shared" si="30"/>
        <v>0</v>
      </c>
      <c r="J82" s="31"/>
      <c r="K82" s="3" t="s">
        <v>26</v>
      </c>
      <c r="L82" s="8"/>
      <c r="M82" s="9"/>
      <c r="N82" s="10"/>
      <c r="O82" s="7">
        <f t="shared" si="37"/>
        <v>0</v>
      </c>
      <c r="P82" s="8"/>
      <c r="Q82" s="9"/>
      <c r="R82" s="10"/>
      <c r="S82" s="7">
        <f t="shared" si="38"/>
        <v>0</v>
      </c>
      <c r="T82" s="55" t="s">
        <v>38</v>
      </c>
    </row>
    <row r="83" spans="1:20" ht="14.25" thickBot="1" x14ac:dyDescent="0.2">
      <c r="A83" s="2" t="s">
        <v>5</v>
      </c>
      <c r="B83" s="12">
        <f>SUM(B59:B82)</f>
        <v>6</v>
      </c>
      <c r="C83" s="12">
        <f>SUM(C59:C82)</f>
        <v>6</v>
      </c>
      <c r="D83" s="12">
        <f>SUM(D59:D82)</f>
        <v>6</v>
      </c>
      <c r="E83" s="13">
        <f t="shared" si="29"/>
        <v>18</v>
      </c>
      <c r="F83" s="12">
        <f>SUM(F59:F82)</f>
        <v>6</v>
      </c>
      <c r="G83" s="12">
        <f>SUM(G59:G82)</f>
        <v>6</v>
      </c>
      <c r="H83" s="12">
        <f>SUM(H59:H82)</f>
        <v>6</v>
      </c>
      <c r="I83" s="13">
        <f t="shared" si="30"/>
        <v>18</v>
      </c>
      <c r="J83" s="48"/>
      <c r="K83" s="2" t="s">
        <v>5</v>
      </c>
      <c r="L83" s="12">
        <f>SUM(L59:L82)</f>
        <v>38</v>
      </c>
      <c r="M83" s="12">
        <f>SUM(M59:M82)</f>
        <v>51</v>
      </c>
      <c r="N83" s="12">
        <f>SUM(N59:N82)</f>
        <v>27</v>
      </c>
      <c r="O83" s="13">
        <f t="shared" si="26"/>
        <v>116</v>
      </c>
      <c r="P83" s="12">
        <f>SUM(P59:P82)</f>
        <v>38</v>
      </c>
      <c r="Q83" s="12">
        <f>SUM(Q59:Q82)</f>
        <v>51</v>
      </c>
      <c r="R83" s="12">
        <f>SUM(R59:R82)</f>
        <v>27</v>
      </c>
      <c r="S83" s="13">
        <f t="shared" si="28"/>
        <v>116</v>
      </c>
    </row>
    <row r="84" spans="1:20" ht="14.25" thickBot="1" x14ac:dyDescent="0.2">
      <c r="A84" s="21" t="s">
        <v>6</v>
      </c>
      <c r="B84" s="22">
        <f>B58-B83</f>
        <v>1</v>
      </c>
      <c r="C84" s="22">
        <f t="shared" ref="C84:E84" si="41">C58-C83</f>
        <v>1</v>
      </c>
      <c r="D84" s="22">
        <f t="shared" si="41"/>
        <v>1</v>
      </c>
      <c r="E84" s="22">
        <f t="shared" si="41"/>
        <v>3</v>
      </c>
      <c r="F84" s="22">
        <f>F58-F83</f>
        <v>1</v>
      </c>
      <c r="G84" s="22">
        <f>G58-G83</f>
        <v>1</v>
      </c>
      <c r="H84" s="22">
        <f>H58-H83</f>
        <v>1</v>
      </c>
      <c r="I84" s="20">
        <f t="shared" ref="I84" si="42">I58-I83</f>
        <v>3</v>
      </c>
      <c r="J84" s="48"/>
      <c r="K84" s="21" t="s">
        <v>6</v>
      </c>
      <c r="L84" s="22">
        <f>L58-L83</f>
        <v>193</v>
      </c>
      <c r="M84" s="22">
        <f t="shared" ref="M84:O84" si="43">M58-M83</f>
        <v>255</v>
      </c>
      <c r="N84" s="22">
        <f t="shared" si="43"/>
        <v>177</v>
      </c>
      <c r="O84" s="22">
        <f t="shared" si="43"/>
        <v>625</v>
      </c>
      <c r="P84" s="22">
        <f>P58-P83</f>
        <v>193</v>
      </c>
      <c r="Q84" s="22">
        <f>Q58-Q83</f>
        <v>255</v>
      </c>
      <c r="R84" s="22">
        <f>R58-R83</f>
        <v>177</v>
      </c>
      <c r="S84" s="20">
        <f t="shared" ref="S84" si="44">S58-S83</f>
        <v>625</v>
      </c>
    </row>
    <row r="87" spans="1:20" ht="21.75" thickBot="1" x14ac:dyDescent="0.25">
      <c r="A87" s="26" t="s">
        <v>14</v>
      </c>
      <c r="B87" s="27"/>
      <c r="C87" s="27"/>
      <c r="D87" s="27"/>
      <c r="E87" s="27"/>
      <c r="F87" s="28"/>
      <c r="G87" s="28"/>
      <c r="H87" s="28"/>
      <c r="I87" s="28"/>
      <c r="J87" s="49"/>
      <c r="K87" s="26" t="s">
        <v>15</v>
      </c>
      <c r="L87" s="27"/>
      <c r="M87" s="27"/>
      <c r="N87" s="27"/>
      <c r="O87" s="27"/>
      <c r="P87" s="28"/>
      <c r="Q87" s="28"/>
      <c r="R87" s="28"/>
      <c r="S87" s="28"/>
    </row>
    <row r="88" spans="1:20" ht="14.25" thickBot="1" x14ac:dyDescent="0.2">
      <c r="A88" s="1" t="s">
        <v>0</v>
      </c>
      <c r="B88" s="183" t="s">
        <v>12</v>
      </c>
      <c r="C88" s="183"/>
      <c r="D88" s="183"/>
      <c r="E88" s="184"/>
      <c r="F88" s="183" t="s">
        <v>10</v>
      </c>
      <c r="G88" s="183"/>
      <c r="H88" s="183"/>
      <c r="I88" s="184"/>
      <c r="J88" s="48"/>
      <c r="K88" s="1" t="s">
        <v>0</v>
      </c>
      <c r="L88" s="183" t="s">
        <v>12</v>
      </c>
      <c r="M88" s="183"/>
      <c r="N88" s="183"/>
      <c r="O88" s="184"/>
      <c r="P88" s="183" t="s">
        <v>10</v>
      </c>
      <c r="Q88" s="183"/>
      <c r="R88" s="183"/>
      <c r="S88" s="184"/>
    </row>
    <row r="89" spans="1:20" ht="14.25" thickBot="1" x14ac:dyDescent="0.2">
      <c r="A89" s="1" t="s">
        <v>1</v>
      </c>
      <c r="B89" s="2" t="s">
        <v>7</v>
      </c>
      <c r="C89" s="1" t="s">
        <v>8</v>
      </c>
      <c r="D89" s="15" t="s">
        <v>9</v>
      </c>
      <c r="E89" s="1" t="s">
        <v>2</v>
      </c>
      <c r="F89" s="2" t="s">
        <v>7</v>
      </c>
      <c r="G89" s="1" t="s">
        <v>8</v>
      </c>
      <c r="H89" s="15" t="s">
        <v>9</v>
      </c>
      <c r="I89" s="1" t="s">
        <v>2</v>
      </c>
      <c r="J89" s="48"/>
      <c r="K89" s="1" t="s">
        <v>1</v>
      </c>
      <c r="L89" s="2" t="s">
        <v>7</v>
      </c>
      <c r="M89" s="1" t="s">
        <v>8</v>
      </c>
      <c r="N89" s="15" t="s">
        <v>9</v>
      </c>
      <c r="O89" s="1" t="s">
        <v>2</v>
      </c>
      <c r="P89" s="2" t="s">
        <v>7</v>
      </c>
      <c r="Q89" s="1" t="s">
        <v>8</v>
      </c>
      <c r="R89" s="15" t="s">
        <v>9</v>
      </c>
      <c r="S89" s="1" t="s">
        <v>2</v>
      </c>
    </row>
    <row r="90" spans="1:20" ht="14.25" thickBot="1" x14ac:dyDescent="0.2">
      <c r="A90" s="41" t="s">
        <v>13</v>
      </c>
      <c r="B90" s="42">
        <f>B84</f>
        <v>1</v>
      </c>
      <c r="C90" s="43">
        <f>C84</f>
        <v>1</v>
      </c>
      <c r="D90" s="44">
        <f>D84</f>
        <v>1</v>
      </c>
      <c r="E90" s="45">
        <f t="shared" ref="E90" si="45">SUM(B90:D90)</f>
        <v>3</v>
      </c>
      <c r="F90" s="42">
        <f>F84</f>
        <v>1</v>
      </c>
      <c r="G90" s="43">
        <f>G84</f>
        <v>1</v>
      </c>
      <c r="H90" s="44">
        <f>H84</f>
        <v>1</v>
      </c>
      <c r="I90" s="45">
        <f t="shared" ref="I90:I126" si="46">SUM(F90:H90)</f>
        <v>3</v>
      </c>
      <c r="J90" s="50"/>
      <c r="K90" s="34" t="s">
        <v>13</v>
      </c>
      <c r="L90" s="35">
        <f>L84</f>
        <v>193</v>
      </c>
      <c r="M90" s="35">
        <f t="shared" ref="M90:N90" si="47">M84</f>
        <v>255</v>
      </c>
      <c r="N90" s="35">
        <f t="shared" si="47"/>
        <v>177</v>
      </c>
      <c r="O90" s="20">
        <f t="shared" ref="O90:O126" si="48">SUM(L90:N90)</f>
        <v>625</v>
      </c>
      <c r="P90" s="35">
        <f>P84</f>
        <v>193</v>
      </c>
      <c r="Q90" s="36">
        <f t="shared" ref="Q90:R90" si="49">Q84</f>
        <v>255</v>
      </c>
      <c r="R90" s="37">
        <f t="shared" si="49"/>
        <v>177</v>
      </c>
      <c r="S90" s="20">
        <f t="shared" ref="S90:S126" si="50">SUM(P90:R90)</f>
        <v>625</v>
      </c>
    </row>
    <row r="91" spans="1:20" x14ac:dyDescent="0.15">
      <c r="A91" s="6" t="s">
        <v>113</v>
      </c>
      <c r="B91" s="38"/>
      <c r="C91" s="39"/>
      <c r="D91" s="40">
        <v>1</v>
      </c>
      <c r="E91" s="4">
        <f t="shared" ref="E91:E126" si="51">SUM(B91:D91)</f>
        <v>1</v>
      </c>
      <c r="F91" s="38"/>
      <c r="G91" s="39"/>
      <c r="H91" s="40">
        <v>1</v>
      </c>
      <c r="I91" s="4">
        <f t="shared" si="46"/>
        <v>1</v>
      </c>
      <c r="J91" s="47">
        <v>44750</v>
      </c>
      <c r="K91" s="5" t="s">
        <v>3</v>
      </c>
      <c r="L91" s="46"/>
      <c r="M91" s="3"/>
      <c r="N91" s="46"/>
      <c r="O91" s="4">
        <f t="shared" si="48"/>
        <v>0</v>
      </c>
      <c r="P91" s="46"/>
      <c r="Q91" s="3"/>
      <c r="R91" s="46"/>
      <c r="S91" s="4">
        <f t="shared" si="50"/>
        <v>0</v>
      </c>
    </row>
    <row r="92" spans="1:20" x14ac:dyDescent="0.15">
      <c r="A92" s="6" t="s">
        <v>3</v>
      </c>
      <c r="B92" s="14">
        <v>2</v>
      </c>
      <c r="C92" s="11"/>
      <c r="D92" s="14"/>
      <c r="E92" s="4">
        <f t="shared" si="51"/>
        <v>2</v>
      </c>
      <c r="F92" s="14">
        <v>2</v>
      </c>
      <c r="G92" s="11"/>
      <c r="H92" s="14"/>
      <c r="I92" s="4">
        <f t="shared" si="46"/>
        <v>2</v>
      </c>
      <c r="J92" s="31">
        <v>44754</v>
      </c>
      <c r="K92" s="5" t="s">
        <v>3</v>
      </c>
      <c r="L92" s="14"/>
      <c r="M92" s="11"/>
      <c r="N92" s="14"/>
      <c r="O92" s="4">
        <f t="shared" si="48"/>
        <v>0</v>
      </c>
      <c r="P92" s="14"/>
      <c r="Q92" s="11"/>
      <c r="R92" s="14"/>
      <c r="S92" s="4">
        <f t="shared" si="50"/>
        <v>0</v>
      </c>
    </row>
    <row r="93" spans="1:20" x14ac:dyDescent="0.15">
      <c r="A93" s="6" t="s">
        <v>113</v>
      </c>
      <c r="B93" s="14"/>
      <c r="C93" s="11"/>
      <c r="D93" s="14">
        <v>1</v>
      </c>
      <c r="E93" s="4">
        <f t="shared" si="51"/>
        <v>1</v>
      </c>
      <c r="F93" s="14"/>
      <c r="G93" s="11"/>
      <c r="H93" s="14">
        <v>1</v>
      </c>
      <c r="I93" s="4">
        <f t="shared" si="46"/>
        <v>1</v>
      </c>
      <c r="J93" s="31">
        <v>44757</v>
      </c>
      <c r="K93" s="5" t="s">
        <v>3</v>
      </c>
      <c r="L93" s="14"/>
      <c r="M93" s="11"/>
      <c r="N93" s="14"/>
      <c r="O93" s="4">
        <f t="shared" si="48"/>
        <v>0</v>
      </c>
      <c r="P93" s="14"/>
      <c r="Q93" s="11"/>
      <c r="R93" s="14"/>
      <c r="S93" s="4">
        <f t="shared" si="50"/>
        <v>0</v>
      </c>
      <c r="T93" s="47"/>
    </row>
    <row r="94" spans="1:20" x14ac:dyDescent="0.15">
      <c r="A94" s="6" t="s">
        <v>113</v>
      </c>
      <c r="B94" s="14">
        <v>1</v>
      </c>
      <c r="C94" s="11"/>
      <c r="D94" s="14"/>
      <c r="E94" s="4">
        <f t="shared" si="51"/>
        <v>1</v>
      </c>
      <c r="F94" s="14">
        <v>1</v>
      </c>
      <c r="G94" s="11"/>
      <c r="H94" s="14"/>
      <c r="I94" s="4">
        <f t="shared" si="46"/>
        <v>1</v>
      </c>
      <c r="J94" s="31">
        <v>44763</v>
      </c>
      <c r="K94" s="5" t="s">
        <v>3</v>
      </c>
      <c r="L94" s="25"/>
      <c r="M94" s="24"/>
      <c r="N94" s="25"/>
      <c r="O94" s="7">
        <f t="shared" si="48"/>
        <v>0</v>
      </c>
      <c r="P94" s="25"/>
      <c r="Q94" s="24"/>
      <c r="R94" s="25"/>
      <c r="S94" s="7">
        <f t="shared" si="50"/>
        <v>0</v>
      </c>
    </row>
    <row r="95" spans="1:20" x14ac:dyDescent="0.15">
      <c r="A95" s="6" t="s">
        <v>3</v>
      </c>
      <c r="B95" s="14"/>
      <c r="C95" s="11"/>
      <c r="D95" s="14"/>
      <c r="E95" s="4">
        <f t="shared" si="51"/>
        <v>0</v>
      </c>
      <c r="F95" s="14"/>
      <c r="G95" s="11"/>
      <c r="H95" s="14"/>
      <c r="I95" s="4">
        <f t="shared" si="46"/>
        <v>0</v>
      </c>
      <c r="J95" s="31"/>
      <c r="K95" s="5" t="s">
        <v>3</v>
      </c>
      <c r="L95" s="14"/>
      <c r="M95" s="11"/>
      <c r="N95" s="14"/>
      <c r="O95" s="4">
        <f t="shared" si="48"/>
        <v>0</v>
      </c>
      <c r="P95" s="14"/>
      <c r="Q95" s="11"/>
      <c r="R95" s="14"/>
      <c r="S95" s="4">
        <f t="shared" si="50"/>
        <v>0</v>
      </c>
    </row>
    <row r="96" spans="1:20" x14ac:dyDescent="0.15">
      <c r="A96" s="6" t="s">
        <v>3</v>
      </c>
      <c r="B96" s="14"/>
      <c r="C96" s="11"/>
      <c r="D96" s="14"/>
      <c r="E96" s="4">
        <f t="shared" si="51"/>
        <v>0</v>
      </c>
      <c r="F96" s="14"/>
      <c r="G96" s="11"/>
      <c r="H96" s="14"/>
      <c r="I96" s="4">
        <f t="shared" si="46"/>
        <v>0</v>
      </c>
      <c r="J96" s="31"/>
      <c r="K96" s="5" t="s">
        <v>3</v>
      </c>
      <c r="L96" s="14"/>
      <c r="M96" s="11"/>
      <c r="N96" s="14"/>
      <c r="O96" s="4">
        <f t="shared" si="48"/>
        <v>0</v>
      </c>
      <c r="P96" s="14"/>
      <c r="Q96" s="11"/>
      <c r="R96" s="14"/>
      <c r="S96" s="4">
        <f t="shared" si="50"/>
        <v>0</v>
      </c>
    </row>
    <row r="97" spans="1:21" x14ac:dyDescent="0.15">
      <c r="A97" s="6" t="s">
        <v>3</v>
      </c>
      <c r="B97" s="14"/>
      <c r="C97" s="11"/>
      <c r="D97" s="14"/>
      <c r="E97" s="4">
        <f t="shared" si="51"/>
        <v>0</v>
      </c>
      <c r="F97" s="14"/>
      <c r="G97" s="11"/>
      <c r="H97" s="14"/>
      <c r="I97" s="4">
        <f t="shared" si="46"/>
        <v>0</v>
      </c>
      <c r="J97" s="31"/>
      <c r="K97" s="5" t="s">
        <v>3</v>
      </c>
      <c r="L97" s="14"/>
      <c r="M97" s="11"/>
      <c r="N97" s="14"/>
      <c r="O97" s="4">
        <f t="shared" si="48"/>
        <v>0</v>
      </c>
      <c r="P97" s="14"/>
      <c r="Q97" s="11"/>
      <c r="R97" s="14"/>
      <c r="S97" s="4">
        <f t="shared" si="50"/>
        <v>0</v>
      </c>
    </row>
    <row r="98" spans="1:21" x14ac:dyDescent="0.15">
      <c r="A98" s="6" t="s">
        <v>3</v>
      </c>
      <c r="B98" s="23"/>
      <c r="C98" s="24"/>
      <c r="D98" s="25"/>
      <c r="E98" s="7">
        <f t="shared" si="51"/>
        <v>0</v>
      </c>
      <c r="F98" s="23"/>
      <c r="G98" s="24"/>
      <c r="H98" s="25"/>
      <c r="I98" s="7">
        <f t="shared" si="46"/>
        <v>0</v>
      </c>
      <c r="J98" s="47"/>
      <c r="K98" s="5" t="s">
        <v>3</v>
      </c>
      <c r="L98" s="25"/>
      <c r="M98" s="24"/>
      <c r="N98" s="25"/>
      <c r="O98" s="7">
        <f t="shared" si="48"/>
        <v>0</v>
      </c>
      <c r="P98" s="23"/>
      <c r="Q98" s="24"/>
      <c r="R98" s="25"/>
      <c r="S98" s="7">
        <f t="shared" si="50"/>
        <v>0</v>
      </c>
    </row>
    <row r="99" spans="1:21" x14ac:dyDescent="0.15">
      <c r="A99" s="6" t="s">
        <v>3</v>
      </c>
      <c r="B99" s="23"/>
      <c r="C99" s="24"/>
      <c r="D99" s="25"/>
      <c r="E99" s="7">
        <f t="shared" si="51"/>
        <v>0</v>
      </c>
      <c r="F99" s="23"/>
      <c r="G99" s="24"/>
      <c r="H99" s="25"/>
      <c r="I99" s="7">
        <f t="shared" si="46"/>
        <v>0</v>
      </c>
      <c r="J99" s="47"/>
      <c r="K99" s="5" t="s">
        <v>3</v>
      </c>
      <c r="L99" s="25"/>
      <c r="M99" s="24"/>
      <c r="N99" s="25"/>
      <c r="O99" s="7">
        <f t="shared" si="48"/>
        <v>0</v>
      </c>
      <c r="P99" s="25"/>
      <c r="Q99" s="24"/>
      <c r="R99" s="25"/>
      <c r="S99" s="7">
        <f t="shared" si="50"/>
        <v>0</v>
      </c>
    </row>
    <row r="100" spans="1:21" ht="14.25" thickBot="1" x14ac:dyDescent="0.2">
      <c r="A100" s="6" t="s">
        <v>3</v>
      </c>
      <c r="B100" s="29"/>
      <c r="C100" s="30"/>
      <c r="D100" s="29"/>
      <c r="E100" s="16">
        <f t="shared" si="51"/>
        <v>0</v>
      </c>
      <c r="F100" s="29"/>
      <c r="G100" s="30"/>
      <c r="H100" s="29"/>
      <c r="I100" s="16">
        <f t="shared" si="46"/>
        <v>0</v>
      </c>
      <c r="J100" s="31"/>
      <c r="K100" s="33" t="s">
        <v>3</v>
      </c>
      <c r="L100" s="29"/>
      <c r="M100" s="30"/>
      <c r="N100" s="29"/>
      <c r="O100" s="16">
        <f t="shared" si="48"/>
        <v>0</v>
      </c>
      <c r="P100" s="29"/>
      <c r="Q100" s="30"/>
      <c r="R100" s="29"/>
      <c r="S100" s="16">
        <f t="shared" si="50"/>
        <v>0</v>
      </c>
    </row>
    <row r="101" spans="1:21" ht="14.25" thickBot="1" x14ac:dyDescent="0.2">
      <c r="A101" s="17" t="s">
        <v>4</v>
      </c>
      <c r="B101" s="18">
        <f>SUM(B90:B100)</f>
        <v>4</v>
      </c>
      <c r="C101" s="18">
        <f>SUM(C90:C100)</f>
        <v>1</v>
      </c>
      <c r="D101" s="19">
        <f>SUM(D90:D100)</f>
        <v>3</v>
      </c>
      <c r="E101" s="20">
        <f t="shared" si="51"/>
        <v>8</v>
      </c>
      <c r="F101" s="18">
        <f>SUM(F90:F100)</f>
        <v>4</v>
      </c>
      <c r="G101" s="18">
        <f>SUM(G90:G100)</f>
        <v>1</v>
      </c>
      <c r="H101" s="19">
        <f>SUM(H90:H100)</f>
        <v>3</v>
      </c>
      <c r="I101" s="20">
        <f t="shared" si="46"/>
        <v>8</v>
      </c>
      <c r="J101" s="48"/>
      <c r="K101" s="17" t="s">
        <v>4</v>
      </c>
      <c r="L101" s="18">
        <f>SUM(L90:L100)</f>
        <v>193</v>
      </c>
      <c r="M101" s="18">
        <f>SUM(M90:M100)</f>
        <v>255</v>
      </c>
      <c r="N101" s="19">
        <f>SUM(N90:N100)</f>
        <v>177</v>
      </c>
      <c r="O101" s="20">
        <f t="shared" si="48"/>
        <v>625</v>
      </c>
      <c r="P101" s="18">
        <f>SUM(P90:P100)</f>
        <v>193</v>
      </c>
      <c r="Q101" s="18">
        <f>SUM(Q90:Q100)</f>
        <v>255</v>
      </c>
      <c r="R101" s="19">
        <f>SUM(R90:R100)</f>
        <v>177</v>
      </c>
      <c r="S101" s="20">
        <f t="shared" si="50"/>
        <v>625</v>
      </c>
    </row>
    <row r="102" spans="1:21" x14ac:dyDescent="0.15">
      <c r="A102" s="3" t="s">
        <v>114</v>
      </c>
      <c r="B102" s="8">
        <v>1</v>
      </c>
      <c r="C102" s="9"/>
      <c r="D102" s="10"/>
      <c r="E102" s="4">
        <f t="shared" si="51"/>
        <v>1</v>
      </c>
      <c r="F102" s="8">
        <v>1</v>
      </c>
      <c r="G102" s="9"/>
      <c r="H102" s="10"/>
      <c r="I102" s="4">
        <f t="shared" si="46"/>
        <v>1</v>
      </c>
      <c r="J102" s="31">
        <v>44755</v>
      </c>
      <c r="K102" s="3" t="s">
        <v>94</v>
      </c>
      <c r="L102" s="8">
        <v>40</v>
      </c>
      <c r="M102" s="9">
        <v>40</v>
      </c>
      <c r="N102" s="10">
        <v>40</v>
      </c>
      <c r="O102" s="4">
        <f t="shared" si="48"/>
        <v>120</v>
      </c>
      <c r="P102" s="8">
        <v>40</v>
      </c>
      <c r="Q102" s="9">
        <v>40</v>
      </c>
      <c r="R102" s="10">
        <v>40</v>
      </c>
      <c r="S102" s="4">
        <f t="shared" si="50"/>
        <v>120</v>
      </c>
      <c r="T102" s="47">
        <v>44743</v>
      </c>
    </row>
    <row r="103" spans="1:21" x14ac:dyDescent="0.15">
      <c r="A103" s="3" t="s">
        <v>119</v>
      </c>
      <c r="B103" s="8">
        <v>1</v>
      </c>
      <c r="C103" s="9"/>
      <c r="D103" s="10"/>
      <c r="E103" s="4">
        <f t="shared" si="51"/>
        <v>1</v>
      </c>
      <c r="F103" s="8">
        <v>1</v>
      </c>
      <c r="G103" s="9"/>
      <c r="H103" s="10"/>
      <c r="I103" s="4">
        <f t="shared" si="46"/>
        <v>1</v>
      </c>
      <c r="J103" s="31">
        <v>44757</v>
      </c>
      <c r="K103" s="3" t="s">
        <v>102</v>
      </c>
      <c r="L103" s="8"/>
      <c r="M103" s="9"/>
      <c r="N103" s="10">
        <v>10</v>
      </c>
      <c r="O103" s="4">
        <f t="shared" si="48"/>
        <v>10</v>
      </c>
      <c r="P103" s="8"/>
      <c r="Q103" s="9"/>
      <c r="R103" s="10">
        <v>10</v>
      </c>
      <c r="S103" s="4">
        <f t="shared" si="50"/>
        <v>10</v>
      </c>
      <c r="T103" s="47">
        <v>44746</v>
      </c>
    </row>
    <row r="104" spans="1:21" x14ac:dyDescent="0.15">
      <c r="A104" s="3" t="s">
        <v>122</v>
      </c>
      <c r="B104" s="8">
        <v>1</v>
      </c>
      <c r="C104" s="9"/>
      <c r="D104" s="10"/>
      <c r="E104" s="4">
        <f t="shared" si="51"/>
        <v>1</v>
      </c>
      <c r="F104" s="8">
        <v>1</v>
      </c>
      <c r="G104" s="9"/>
      <c r="H104" s="10"/>
      <c r="I104" s="4">
        <f t="shared" si="46"/>
        <v>1</v>
      </c>
      <c r="J104" s="31">
        <v>44757</v>
      </c>
      <c r="K104" s="3" t="s">
        <v>104</v>
      </c>
      <c r="L104" s="8">
        <v>10</v>
      </c>
      <c r="M104" s="9">
        <v>10</v>
      </c>
      <c r="N104" s="10"/>
      <c r="O104" s="4">
        <f t="shared" si="48"/>
        <v>20</v>
      </c>
      <c r="P104" s="8">
        <v>10</v>
      </c>
      <c r="Q104" s="9">
        <v>10</v>
      </c>
      <c r="R104" s="10"/>
      <c r="S104" s="4">
        <f t="shared" si="50"/>
        <v>20</v>
      </c>
      <c r="T104" s="47">
        <v>44747</v>
      </c>
    </row>
    <row r="105" spans="1:21" x14ac:dyDescent="0.15">
      <c r="A105" s="3"/>
      <c r="B105" s="8"/>
      <c r="C105" s="9"/>
      <c r="D105" s="10"/>
      <c r="E105" s="4">
        <f t="shared" si="51"/>
        <v>0</v>
      </c>
      <c r="F105" s="8"/>
      <c r="G105" s="9"/>
      <c r="H105" s="10"/>
      <c r="I105" s="4">
        <f t="shared" si="46"/>
        <v>0</v>
      </c>
      <c r="J105" s="31"/>
      <c r="K105" s="3" t="s">
        <v>105</v>
      </c>
      <c r="L105" s="8"/>
      <c r="M105" s="9">
        <v>4</v>
      </c>
      <c r="N105" s="10">
        <v>1</v>
      </c>
      <c r="O105" s="4">
        <f t="shared" si="48"/>
        <v>5</v>
      </c>
      <c r="P105" s="8"/>
      <c r="Q105" s="9">
        <v>4</v>
      </c>
      <c r="R105" s="10">
        <v>1</v>
      </c>
      <c r="S105" s="4">
        <f t="shared" si="50"/>
        <v>5</v>
      </c>
      <c r="T105" s="47">
        <v>44743</v>
      </c>
    </row>
    <row r="106" spans="1:21" x14ac:dyDescent="0.15">
      <c r="A106" s="3"/>
      <c r="B106" s="8"/>
      <c r="C106" s="9"/>
      <c r="D106" s="10"/>
      <c r="E106" s="4">
        <f t="shared" si="51"/>
        <v>0</v>
      </c>
      <c r="F106" s="8"/>
      <c r="G106" s="9"/>
      <c r="H106" s="10"/>
      <c r="I106" s="4">
        <f t="shared" si="46"/>
        <v>0</v>
      </c>
      <c r="J106" s="31"/>
      <c r="K106" s="3" t="s">
        <v>106</v>
      </c>
      <c r="L106" s="8"/>
      <c r="M106" s="9">
        <v>9</v>
      </c>
      <c r="N106" s="10">
        <v>2</v>
      </c>
      <c r="O106" s="4">
        <f t="shared" si="48"/>
        <v>11</v>
      </c>
      <c r="P106" s="8"/>
      <c r="Q106" s="9">
        <v>9</v>
      </c>
      <c r="R106" s="10">
        <v>2</v>
      </c>
      <c r="S106" s="4">
        <f t="shared" si="50"/>
        <v>11</v>
      </c>
      <c r="T106" s="47">
        <v>44746</v>
      </c>
    </row>
    <row r="107" spans="1:21" x14ac:dyDescent="0.15">
      <c r="A107" s="3"/>
      <c r="B107" s="8"/>
      <c r="C107" s="9"/>
      <c r="D107" s="10"/>
      <c r="E107" s="7">
        <f t="shared" si="51"/>
        <v>0</v>
      </c>
      <c r="F107" s="8"/>
      <c r="G107" s="9"/>
      <c r="H107" s="10"/>
      <c r="I107" s="7">
        <f t="shared" si="46"/>
        <v>0</v>
      </c>
      <c r="J107" s="31"/>
      <c r="K107" s="3" t="s">
        <v>107</v>
      </c>
      <c r="L107" s="8"/>
      <c r="M107" s="9">
        <v>3</v>
      </c>
      <c r="N107" s="10">
        <v>1</v>
      </c>
      <c r="O107" s="7">
        <f t="shared" si="48"/>
        <v>4</v>
      </c>
      <c r="P107" s="8"/>
      <c r="Q107" s="9">
        <v>3</v>
      </c>
      <c r="R107" s="10">
        <v>1</v>
      </c>
      <c r="S107" s="7">
        <f t="shared" si="50"/>
        <v>4</v>
      </c>
      <c r="T107" s="47">
        <v>44747</v>
      </c>
      <c r="U107" s="54"/>
    </row>
    <row r="108" spans="1:21" x14ac:dyDescent="0.15">
      <c r="A108" s="3"/>
      <c r="B108" s="8"/>
      <c r="C108" s="9"/>
      <c r="D108" s="10"/>
      <c r="E108" s="7">
        <f t="shared" si="51"/>
        <v>0</v>
      </c>
      <c r="F108" s="8"/>
      <c r="G108" s="9"/>
      <c r="H108" s="10"/>
      <c r="I108" s="7">
        <f t="shared" si="46"/>
        <v>0</v>
      </c>
      <c r="J108" s="31"/>
      <c r="K108" s="52" t="s">
        <v>108</v>
      </c>
      <c r="L108" s="8">
        <v>6</v>
      </c>
      <c r="M108" s="9">
        <v>8</v>
      </c>
      <c r="N108" s="10">
        <v>8</v>
      </c>
      <c r="O108" s="7">
        <f t="shared" si="48"/>
        <v>22</v>
      </c>
      <c r="P108" s="8">
        <v>6</v>
      </c>
      <c r="Q108" s="9">
        <v>8</v>
      </c>
      <c r="R108" s="10">
        <v>8</v>
      </c>
      <c r="S108" s="7">
        <f t="shared" si="50"/>
        <v>22</v>
      </c>
      <c r="T108" s="47">
        <v>44747</v>
      </c>
      <c r="U108" s="54"/>
    </row>
    <row r="109" spans="1:21" x14ac:dyDescent="0.15">
      <c r="A109" s="3"/>
      <c r="B109" s="8"/>
      <c r="C109" s="9"/>
      <c r="D109" s="10"/>
      <c r="E109" s="7">
        <f t="shared" si="51"/>
        <v>0</v>
      </c>
      <c r="F109" s="8"/>
      <c r="G109" s="9"/>
      <c r="H109" s="10"/>
      <c r="I109" s="7">
        <f t="shared" si="46"/>
        <v>0</v>
      </c>
      <c r="J109" s="31"/>
      <c r="K109" s="3" t="s">
        <v>109</v>
      </c>
      <c r="L109" s="8">
        <v>2</v>
      </c>
      <c r="M109" s="9">
        <v>6</v>
      </c>
      <c r="N109" s="10">
        <v>7</v>
      </c>
      <c r="O109" s="7">
        <f t="shared" si="48"/>
        <v>15</v>
      </c>
      <c r="P109" s="8">
        <v>2</v>
      </c>
      <c r="Q109" s="9">
        <v>6</v>
      </c>
      <c r="R109" s="10">
        <v>7</v>
      </c>
      <c r="S109" s="7">
        <f t="shared" si="50"/>
        <v>15</v>
      </c>
      <c r="T109" s="47">
        <v>44748</v>
      </c>
    </row>
    <row r="110" spans="1:21" x14ac:dyDescent="0.15">
      <c r="A110" s="3"/>
      <c r="B110" s="8"/>
      <c r="C110" s="9"/>
      <c r="D110" s="10"/>
      <c r="E110" s="7">
        <f t="shared" si="51"/>
        <v>0</v>
      </c>
      <c r="F110" s="8"/>
      <c r="G110" s="9"/>
      <c r="H110" s="10"/>
      <c r="I110" s="7">
        <f t="shared" si="46"/>
        <v>0</v>
      </c>
      <c r="J110" s="31"/>
      <c r="K110" s="3" t="s">
        <v>110</v>
      </c>
      <c r="L110" s="8">
        <v>2</v>
      </c>
      <c r="M110" s="9"/>
      <c r="N110" s="10"/>
      <c r="O110" s="7">
        <f t="shared" si="48"/>
        <v>2</v>
      </c>
      <c r="P110" s="8">
        <v>2</v>
      </c>
      <c r="Q110" s="9"/>
      <c r="R110" s="10"/>
      <c r="S110" s="7">
        <f t="shared" si="50"/>
        <v>2</v>
      </c>
      <c r="T110" s="47">
        <v>44749</v>
      </c>
    </row>
    <row r="111" spans="1:21" x14ac:dyDescent="0.15">
      <c r="A111" s="3"/>
      <c r="B111" s="8"/>
      <c r="C111" s="9"/>
      <c r="D111" s="10"/>
      <c r="E111" s="7">
        <f t="shared" si="51"/>
        <v>0</v>
      </c>
      <c r="F111" s="8"/>
      <c r="G111" s="9"/>
      <c r="H111" s="10"/>
      <c r="I111" s="7">
        <f t="shared" si="46"/>
        <v>0</v>
      </c>
      <c r="J111" s="31"/>
      <c r="K111" s="3" t="s">
        <v>111</v>
      </c>
      <c r="L111" s="8">
        <v>4</v>
      </c>
      <c r="M111" s="9">
        <v>1</v>
      </c>
      <c r="N111" s="10"/>
      <c r="O111" s="7">
        <f t="shared" si="48"/>
        <v>5</v>
      </c>
      <c r="P111" s="8">
        <v>4</v>
      </c>
      <c r="Q111" s="9">
        <v>1</v>
      </c>
      <c r="R111" s="10"/>
      <c r="S111" s="7">
        <f t="shared" si="50"/>
        <v>5</v>
      </c>
      <c r="T111" s="47">
        <v>44750</v>
      </c>
    </row>
    <row r="112" spans="1:21" x14ac:dyDescent="0.15">
      <c r="A112" s="3"/>
      <c r="B112" s="8"/>
      <c r="C112" s="9"/>
      <c r="D112" s="10"/>
      <c r="E112" s="7">
        <f t="shared" si="51"/>
        <v>0</v>
      </c>
      <c r="F112" s="8"/>
      <c r="G112" s="9"/>
      <c r="H112" s="10"/>
      <c r="I112" s="7">
        <f t="shared" si="46"/>
        <v>0</v>
      </c>
      <c r="J112" s="31"/>
      <c r="K112" s="3" t="s">
        <v>112</v>
      </c>
      <c r="L112" s="8">
        <v>2</v>
      </c>
      <c r="M112" s="9"/>
      <c r="N112" s="10">
        <v>2</v>
      </c>
      <c r="O112" s="7">
        <f t="shared" si="48"/>
        <v>4</v>
      </c>
      <c r="P112" s="8">
        <v>2</v>
      </c>
      <c r="Q112" s="9"/>
      <c r="R112" s="10">
        <v>2</v>
      </c>
      <c r="S112" s="7">
        <f t="shared" si="50"/>
        <v>4</v>
      </c>
      <c r="T112" s="47">
        <v>44753</v>
      </c>
    </row>
    <row r="113" spans="1:22" x14ac:dyDescent="0.15">
      <c r="A113" s="3"/>
      <c r="B113" s="8"/>
      <c r="C113" s="9"/>
      <c r="D113" s="10"/>
      <c r="E113" s="7">
        <f t="shared" si="51"/>
        <v>0</v>
      </c>
      <c r="F113" s="8"/>
      <c r="G113" s="9"/>
      <c r="H113" s="10"/>
      <c r="I113" s="7">
        <f t="shared" si="46"/>
        <v>0</v>
      </c>
      <c r="J113" s="31"/>
      <c r="K113" s="3" t="s">
        <v>115</v>
      </c>
      <c r="L113" s="8">
        <v>3</v>
      </c>
      <c r="M113" s="9">
        <v>19</v>
      </c>
      <c r="N113" s="10">
        <v>2</v>
      </c>
      <c r="O113" s="7">
        <f t="shared" ref="O113:O115" si="52">SUM(L113:N113)</f>
        <v>24</v>
      </c>
      <c r="P113" s="8">
        <v>3</v>
      </c>
      <c r="Q113" s="9">
        <v>19</v>
      </c>
      <c r="R113" s="10">
        <v>2</v>
      </c>
      <c r="S113" s="7">
        <f t="shared" ref="S113:S115" si="53">SUM(P113:R113)</f>
        <v>24</v>
      </c>
      <c r="T113" s="47">
        <v>44754</v>
      </c>
    </row>
    <row r="114" spans="1:22" x14ac:dyDescent="0.15">
      <c r="A114" s="3"/>
      <c r="B114" s="8"/>
      <c r="C114" s="9"/>
      <c r="D114" s="10"/>
      <c r="E114" s="7">
        <f t="shared" si="51"/>
        <v>0</v>
      </c>
      <c r="F114" s="8"/>
      <c r="G114" s="9"/>
      <c r="H114" s="10"/>
      <c r="I114" s="7">
        <f t="shared" si="46"/>
        <v>0</v>
      </c>
      <c r="J114" s="31"/>
      <c r="K114" s="3" t="s">
        <v>116</v>
      </c>
      <c r="L114" s="8">
        <v>16</v>
      </c>
      <c r="M114" s="9"/>
      <c r="N114" s="10">
        <v>2</v>
      </c>
      <c r="O114" s="7">
        <f t="shared" si="52"/>
        <v>18</v>
      </c>
      <c r="P114" s="8">
        <v>16</v>
      </c>
      <c r="Q114" s="9"/>
      <c r="R114" s="10">
        <v>2</v>
      </c>
      <c r="S114" s="7">
        <f t="shared" si="53"/>
        <v>18</v>
      </c>
      <c r="T114" s="47">
        <v>44755</v>
      </c>
    </row>
    <row r="115" spans="1:22" x14ac:dyDescent="0.15">
      <c r="A115" s="3"/>
      <c r="B115" s="8"/>
      <c r="C115" s="9"/>
      <c r="D115" s="10"/>
      <c r="E115" s="7">
        <f t="shared" si="51"/>
        <v>0</v>
      </c>
      <c r="F115" s="8"/>
      <c r="G115" s="9"/>
      <c r="H115" s="10"/>
      <c r="I115" s="7">
        <f t="shared" si="46"/>
        <v>0</v>
      </c>
      <c r="J115" s="31"/>
      <c r="K115" s="3" t="s">
        <v>33</v>
      </c>
      <c r="L115" s="8">
        <v>2</v>
      </c>
      <c r="M115" s="9"/>
      <c r="N115" s="10"/>
      <c r="O115" s="7">
        <f t="shared" si="52"/>
        <v>2</v>
      </c>
      <c r="P115" s="8">
        <v>2</v>
      </c>
      <c r="Q115" s="9"/>
      <c r="R115" s="10"/>
      <c r="S115" s="7">
        <f t="shared" si="53"/>
        <v>2</v>
      </c>
      <c r="T115" s="47">
        <v>44754</v>
      </c>
    </row>
    <row r="116" spans="1:22" x14ac:dyDescent="0.15">
      <c r="A116" s="3"/>
      <c r="B116" s="8"/>
      <c r="C116" s="9"/>
      <c r="D116" s="10"/>
      <c r="E116" s="7">
        <f t="shared" si="51"/>
        <v>0</v>
      </c>
      <c r="F116" s="8"/>
      <c r="G116" s="9"/>
      <c r="H116" s="10"/>
      <c r="I116" s="7">
        <f t="shared" si="46"/>
        <v>0</v>
      </c>
      <c r="J116" s="31"/>
      <c r="K116" s="3" t="s">
        <v>117</v>
      </c>
      <c r="L116" s="8">
        <v>5</v>
      </c>
      <c r="M116" s="9">
        <v>1</v>
      </c>
      <c r="N116" s="10">
        <v>9</v>
      </c>
      <c r="O116" s="7">
        <f t="shared" ref="O116" si="54">SUM(L116:N116)</f>
        <v>15</v>
      </c>
      <c r="P116" s="8">
        <v>5</v>
      </c>
      <c r="Q116" s="9">
        <v>1</v>
      </c>
      <c r="R116" s="10">
        <v>9</v>
      </c>
      <c r="S116" s="7">
        <f t="shared" ref="S116" si="55">SUM(P116:R116)</f>
        <v>15</v>
      </c>
      <c r="T116" s="47">
        <v>44756</v>
      </c>
    </row>
    <row r="117" spans="1:22" x14ac:dyDescent="0.15">
      <c r="A117" s="3"/>
      <c r="B117" s="8"/>
      <c r="C117" s="9"/>
      <c r="D117" s="10"/>
      <c r="E117" s="7">
        <f t="shared" si="51"/>
        <v>0</v>
      </c>
      <c r="F117" s="8"/>
      <c r="G117" s="9"/>
      <c r="H117" s="10"/>
      <c r="I117" s="7">
        <f t="shared" si="46"/>
        <v>0</v>
      </c>
      <c r="J117" s="31"/>
      <c r="K117" s="3" t="s">
        <v>118</v>
      </c>
      <c r="L117" s="8">
        <v>6</v>
      </c>
      <c r="M117" s="9">
        <v>13</v>
      </c>
      <c r="N117" s="10">
        <v>12</v>
      </c>
      <c r="O117" s="7">
        <f t="shared" si="48"/>
        <v>31</v>
      </c>
      <c r="P117" s="8">
        <v>6</v>
      </c>
      <c r="Q117" s="9">
        <v>13</v>
      </c>
      <c r="R117" s="10">
        <v>12</v>
      </c>
      <c r="S117" s="7">
        <f t="shared" si="50"/>
        <v>31</v>
      </c>
      <c r="T117" s="47">
        <v>44757</v>
      </c>
      <c r="U117" s="54"/>
      <c r="V117" s="54"/>
    </row>
    <row r="118" spans="1:22" x14ac:dyDescent="0.15">
      <c r="A118" s="3"/>
      <c r="B118" s="8"/>
      <c r="C118" s="9"/>
      <c r="D118" s="10"/>
      <c r="E118" s="7">
        <f t="shared" si="51"/>
        <v>0</v>
      </c>
      <c r="F118" s="8"/>
      <c r="G118" s="9"/>
      <c r="H118" s="10"/>
      <c r="I118" s="7">
        <f t="shared" si="46"/>
        <v>0</v>
      </c>
      <c r="J118" s="31"/>
      <c r="K118" s="3" t="s">
        <v>120</v>
      </c>
      <c r="L118" s="8">
        <v>10</v>
      </c>
      <c r="M118" s="9"/>
      <c r="N118" s="10">
        <v>6</v>
      </c>
      <c r="O118" s="7">
        <f t="shared" si="48"/>
        <v>16</v>
      </c>
      <c r="P118" s="8">
        <v>10</v>
      </c>
      <c r="Q118" s="9"/>
      <c r="R118" s="10">
        <v>6</v>
      </c>
      <c r="S118" s="7">
        <f t="shared" si="50"/>
        <v>16</v>
      </c>
      <c r="T118" s="47">
        <v>44758</v>
      </c>
      <c r="U118" s="54"/>
      <c r="V118" s="54"/>
    </row>
    <row r="119" spans="1:22" x14ac:dyDescent="0.15">
      <c r="A119" s="3"/>
      <c r="B119" s="8"/>
      <c r="C119" s="9"/>
      <c r="D119" s="10"/>
      <c r="E119" s="7">
        <f t="shared" si="51"/>
        <v>0</v>
      </c>
      <c r="F119" s="8"/>
      <c r="G119" s="9"/>
      <c r="H119" s="10"/>
      <c r="I119" s="7">
        <f t="shared" si="46"/>
        <v>0</v>
      </c>
      <c r="J119" s="31"/>
      <c r="K119" s="52" t="s">
        <v>123</v>
      </c>
      <c r="L119" s="8">
        <v>12</v>
      </c>
      <c r="M119" s="9">
        <v>10</v>
      </c>
      <c r="N119" s="10"/>
      <c r="O119" s="7">
        <f t="shared" si="48"/>
        <v>22</v>
      </c>
      <c r="P119" s="8">
        <v>12</v>
      </c>
      <c r="Q119" s="9">
        <v>10</v>
      </c>
      <c r="R119" s="10"/>
      <c r="S119" s="7">
        <f t="shared" si="50"/>
        <v>22</v>
      </c>
      <c r="T119" s="47">
        <v>44762</v>
      </c>
    </row>
    <row r="120" spans="1:22" x14ac:dyDescent="0.15">
      <c r="A120" s="3"/>
      <c r="B120" s="8"/>
      <c r="C120" s="9"/>
      <c r="D120" s="10"/>
      <c r="E120" s="7">
        <f t="shared" si="51"/>
        <v>0</v>
      </c>
      <c r="F120" s="8"/>
      <c r="G120" s="9"/>
      <c r="H120" s="10"/>
      <c r="I120" s="7">
        <f t="shared" si="46"/>
        <v>0</v>
      </c>
      <c r="J120" s="31"/>
      <c r="K120" s="3" t="s">
        <v>124</v>
      </c>
      <c r="L120" s="8">
        <v>2</v>
      </c>
      <c r="M120" s="9">
        <v>20</v>
      </c>
      <c r="N120" s="10">
        <v>5</v>
      </c>
      <c r="O120" s="7">
        <f t="shared" si="48"/>
        <v>27</v>
      </c>
      <c r="P120" s="8">
        <v>2</v>
      </c>
      <c r="Q120" s="9">
        <v>20</v>
      </c>
      <c r="R120" s="10">
        <v>5</v>
      </c>
      <c r="S120" s="7">
        <f t="shared" si="50"/>
        <v>27</v>
      </c>
      <c r="T120" s="47">
        <v>44762</v>
      </c>
    </row>
    <row r="121" spans="1:22" x14ac:dyDescent="0.15">
      <c r="A121" s="3"/>
      <c r="B121" s="8"/>
      <c r="C121" s="9"/>
      <c r="D121" s="10"/>
      <c r="E121" s="7">
        <f t="shared" si="51"/>
        <v>0</v>
      </c>
      <c r="F121" s="8"/>
      <c r="G121" s="9"/>
      <c r="H121" s="10"/>
      <c r="I121" s="7">
        <f t="shared" si="46"/>
        <v>0</v>
      </c>
      <c r="J121" s="31"/>
      <c r="K121" s="3" t="s">
        <v>127</v>
      </c>
      <c r="L121" s="8">
        <v>4</v>
      </c>
      <c r="M121" s="9"/>
      <c r="N121" s="10">
        <v>6</v>
      </c>
      <c r="O121" s="7">
        <f t="shared" si="48"/>
        <v>10</v>
      </c>
      <c r="P121" s="8">
        <v>4</v>
      </c>
      <c r="Q121" s="9"/>
      <c r="R121" s="10">
        <v>6</v>
      </c>
      <c r="S121" s="7">
        <f t="shared" si="50"/>
        <v>10</v>
      </c>
      <c r="T121" s="47">
        <v>44763</v>
      </c>
    </row>
    <row r="122" spans="1:22" x14ac:dyDescent="0.15">
      <c r="A122" s="3"/>
      <c r="B122" s="8"/>
      <c r="C122" s="9"/>
      <c r="D122" s="10"/>
      <c r="E122" s="7">
        <f t="shared" si="51"/>
        <v>0</v>
      </c>
      <c r="F122" s="8"/>
      <c r="G122" s="9"/>
      <c r="H122" s="10"/>
      <c r="I122" s="7">
        <f t="shared" si="46"/>
        <v>0</v>
      </c>
      <c r="J122" s="31"/>
      <c r="K122" s="3"/>
      <c r="L122" s="8"/>
      <c r="M122" s="9"/>
      <c r="N122" s="10"/>
      <c r="O122" s="7">
        <f t="shared" si="48"/>
        <v>0</v>
      </c>
      <c r="P122" s="8"/>
      <c r="Q122" s="9"/>
      <c r="R122" s="10"/>
      <c r="S122" s="7">
        <f t="shared" si="50"/>
        <v>0</v>
      </c>
      <c r="T122" s="55"/>
    </row>
    <row r="123" spans="1:22" x14ac:dyDescent="0.15">
      <c r="A123" s="3"/>
      <c r="B123" s="8"/>
      <c r="C123" s="9"/>
      <c r="D123" s="10"/>
      <c r="E123" s="7">
        <f t="shared" si="51"/>
        <v>0</v>
      </c>
      <c r="F123" s="8"/>
      <c r="G123" s="9"/>
      <c r="H123" s="10"/>
      <c r="I123" s="7">
        <f t="shared" si="46"/>
        <v>0</v>
      </c>
      <c r="J123" s="31"/>
      <c r="K123" s="3"/>
      <c r="L123" s="8"/>
      <c r="M123" s="9"/>
      <c r="N123" s="10"/>
      <c r="O123" s="7">
        <f t="shared" si="48"/>
        <v>0</v>
      </c>
      <c r="P123" s="8"/>
      <c r="Q123" s="9"/>
      <c r="R123" s="10"/>
      <c r="S123" s="7">
        <f t="shared" si="50"/>
        <v>0</v>
      </c>
      <c r="T123" s="55"/>
    </row>
    <row r="124" spans="1:22" x14ac:dyDescent="0.15">
      <c r="A124" s="3"/>
      <c r="B124" s="8"/>
      <c r="C124" s="9"/>
      <c r="D124" s="10"/>
      <c r="E124" s="7">
        <f t="shared" si="51"/>
        <v>0</v>
      </c>
      <c r="F124" s="8"/>
      <c r="G124" s="9"/>
      <c r="H124" s="10"/>
      <c r="I124" s="7">
        <f t="shared" si="46"/>
        <v>0</v>
      </c>
      <c r="J124" s="31"/>
      <c r="K124" s="3"/>
      <c r="L124" s="8"/>
      <c r="M124" s="9"/>
      <c r="N124" s="10"/>
      <c r="O124" s="7">
        <f t="shared" si="48"/>
        <v>0</v>
      </c>
      <c r="P124" s="8"/>
      <c r="Q124" s="9"/>
      <c r="R124" s="10"/>
      <c r="S124" s="7">
        <f t="shared" si="50"/>
        <v>0</v>
      </c>
      <c r="T124" s="55"/>
    </row>
    <row r="125" spans="1:22" ht="14.25" thickBot="1" x14ac:dyDescent="0.2">
      <c r="A125" s="3"/>
      <c r="B125" s="8"/>
      <c r="C125" s="9"/>
      <c r="D125" s="10"/>
      <c r="E125" s="7">
        <f t="shared" si="51"/>
        <v>0</v>
      </c>
      <c r="F125" s="8"/>
      <c r="G125" s="9"/>
      <c r="H125" s="10"/>
      <c r="I125" s="7">
        <f t="shared" si="46"/>
        <v>0</v>
      </c>
      <c r="J125" s="31"/>
      <c r="K125" s="3" t="s">
        <v>81</v>
      </c>
      <c r="L125" s="8"/>
      <c r="M125" s="9"/>
      <c r="N125" s="10"/>
      <c r="O125" s="7">
        <f t="shared" ref="O125" si="56">SUM(L125:N125)</f>
        <v>0</v>
      </c>
      <c r="P125" s="8"/>
      <c r="Q125" s="9"/>
      <c r="R125" s="10"/>
      <c r="S125" s="7">
        <f t="shared" ref="S125" si="57">SUM(P125:R125)</f>
        <v>0</v>
      </c>
      <c r="T125" s="55" t="s">
        <v>126</v>
      </c>
    </row>
    <row r="126" spans="1:22" ht="14.25" thickBot="1" x14ac:dyDescent="0.2">
      <c r="A126" s="2" t="s">
        <v>5</v>
      </c>
      <c r="B126" s="12">
        <f>SUM(B102:B125)</f>
        <v>3</v>
      </c>
      <c r="C126" s="12">
        <f>SUM(C102:C125)</f>
        <v>0</v>
      </c>
      <c r="D126" s="12">
        <f>SUM(D102:D125)</f>
        <v>0</v>
      </c>
      <c r="E126" s="13">
        <f t="shared" si="51"/>
        <v>3</v>
      </c>
      <c r="F126" s="12">
        <f>SUM(F102:F125)</f>
        <v>3</v>
      </c>
      <c r="G126" s="12">
        <f>SUM(G102:G125)</f>
        <v>0</v>
      </c>
      <c r="H126" s="12">
        <f>SUM(H102:H125)</f>
        <v>0</v>
      </c>
      <c r="I126" s="13">
        <f t="shared" si="46"/>
        <v>3</v>
      </c>
      <c r="J126" s="48"/>
      <c r="K126" s="2" t="s">
        <v>5</v>
      </c>
      <c r="L126" s="12">
        <f>SUM(L102:L125)</f>
        <v>126</v>
      </c>
      <c r="M126" s="12">
        <f>SUM(M102:M125)</f>
        <v>144</v>
      </c>
      <c r="N126" s="12">
        <f>SUM(N102:N125)</f>
        <v>113</v>
      </c>
      <c r="O126" s="13">
        <f t="shared" si="48"/>
        <v>383</v>
      </c>
      <c r="P126" s="12">
        <f>SUM(P102:P125)</f>
        <v>126</v>
      </c>
      <c r="Q126" s="12">
        <f>SUM(Q102:Q125)</f>
        <v>144</v>
      </c>
      <c r="R126" s="12">
        <f>SUM(R102:R125)</f>
        <v>113</v>
      </c>
      <c r="S126" s="13">
        <f t="shared" si="50"/>
        <v>383</v>
      </c>
    </row>
    <row r="127" spans="1:22" ht="14.25" thickBot="1" x14ac:dyDescent="0.2">
      <c r="A127" s="21" t="s">
        <v>6</v>
      </c>
      <c r="B127" s="22">
        <f>B101-B126</f>
        <v>1</v>
      </c>
      <c r="C127" s="22">
        <f t="shared" ref="C127:E127" si="58">C101-C126</f>
        <v>1</v>
      </c>
      <c r="D127" s="22">
        <f t="shared" si="58"/>
        <v>3</v>
      </c>
      <c r="E127" s="22">
        <f t="shared" si="58"/>
        <v>5</v>
      </c>
      <c r="F127" s="22">
        <f>F101-F126</f>
        <v>1</v>
      </c>
      <c r="G127" s="22">
        <f>G101-G126</f>
        <v>1</v>
      </c>
      <c r="H127" s="22">
        <f>H101-H126</f>
        <v>3</v>
      </c>
      <c r="I127" s="20">
        <f t="shared" ref="I127" si="59">I101-I126</f>
        <v>5</v>
      </c>
      <c r="J127" s="48"/>
      <c r="K127" s="21" t="s">
        <v>6</v>
      </c>
      <c r="L127" s="22">
        <f>L101-L126</f>
        <v>67</v>
      </c>
      <c r="M127" s="22">
        <f t="shared" ref="M127:O127" si="60">M101-M126</f>
        <v>111</v>
      </c>
      <c r="N127" s="22">
        <f t="shared" si="60"/>
        <v>64</v>
      </c>
      <c r="O127" s="22">
        <f t="shared" si="60"/>
        <v>242</v>
      </c>
      <c r="P127" s="22">
        <f>P101-P126</f>
        <v>67</v>
      </c>
      <c r="Q127" s="22">
        <f>Q101-Q126</f>
        <v>111</v>
      </c>
      <c r="R127" s="22">
        <f>R101-R126</f>
        <v>64</v>
      </c>
      <c r="S127" s="20">
        <f t="shared" ref="S127" si="61">S101-S126</f>
        <v>242</v>
      </c>
    </row>
    <row r="128" spans="1:22" x14ac:dyDescent="0.15">
      <c r="K128" s="63"/>
      <c r="L128" s="64"/>
      <c r="M128" s="64"/>
      <c r="N128" s="64"/>
      <c r="O128" s="64"/>
      <c r="P128" s="64"/>
      <c r="Q128" s="64"/>
      <c r="R128" s="64"/>
      <c r="S128" s="64"/>
    </row>
    <row r="130" spans="1:20" ht="21.75" thickBot="1" x14ac:dyDescent="0.25">
      <c r="A130" s="26" t="s">
        <v>14</v>
      </c>
      <c r="B130" s="27"/>
      <c r="C130" s="27"/>
      <c r="D130" s="27"/>
      <c r="E130" s="27"/>
      <c r="F130" s="28"/>
      <c r="G130" s="28"/>
      <c r="H130" s="28"/>
      <c r="I130" s="28"/>
      <c r="J130" s="49"/>
      <c r="K130" s="26" t="s">
        <v>15</v>
      </c>
      <c r="L130" s="27"/>
      <c r="M130" s="27"/>
      <c r="N130" s="27"/>
      <c r="O130" s="27"/>
      <c r="P130" s="28"/>
      <c r="Q130" s="28"/>
      <c r="R130" s="28"/>
      <c r="S130" s="28"/>
    </row>
    <row r="131" spans="1:20" ht="14.25" thickBot="1" x14ac:dyDescent="0.2">
      <c r="A131" s="1" t="s">
        <v>0</v>
      </c>
      <c r="B131" s="183" t="s">
        <v>12</v>
      </c>
      <c r="C131" s="183"/>
      <c r="D131" s="183"/>
      <c r="E131" s="184"/>
      <c r="F131" s="183" t="s">
        <v>10</v>
      </c>
      <c r="G131" s="183"/>
      <c r="H131" s="183"/>
      <c r="I131" s="184"/>
      <c r="J131" s="48"/>
      <c r="K131" s="1" t="s">
        <v>0</v>
      </c>
      <c r="L131" s="183" t="s">
        <v>12</v>
      </c>
      <c r="M131" s="183"/>
      <c r="N131" s="183"/>
      <c r="O131" s="184"/>
      <c r="P131" s="183" t="s">
        <v>10</v>
      </c>
      <c r="Q131" s="183"/>
      <c r="R131" s="183"/>
      <c r="S131" s="184"/>
    </row>
    <row r="132" spans="1:20" ht="14.25" thickBot="1" x14ac:dyDescent="0.2">
      <c r="A132" s="1" t="s">
        <v>1</v>
      </c>
      <c r="B132" s="2" t="s">
        <v>7</v>
      </c>
      <c r="C132" s="1" t="s">
        <v>8</v>
      </c>
      <c r="D132" s="15" t="s">
        <v>9</v>
      </c>
      <c r="E132" s="1" t="s">
        <v>2</v>
      </c>
      <c r="F132" s="2" t="s">
        <v>7</v>
      </c>
      <c r="G132" s="1" t="s">
        <v>8</v>
      </c>
      <c r="H132" s="15" t="s">
        <v>9</v>
      </c>
      <c r="I132" s="1" t="s">
        <v>2</v>
      </c>
      <c r="J132" s="48"/>
      <c r="K132" s="1" t="s">
        <v>1</v>
      </c>
      <c r="L132" s="2" t="s">
        <v>7</v>
      </c>
      <c r="M132" s="1" t="s">
        <v>8</v>
      </c>
      <c r="N132" s="15" t="s">
        <v>9</v>
      </c>
      <c r="O132" s="1" t="s">
        <v>2</v>
      </c>
      <c r="P132" s="2" t="s">
        <v>7</v>
      </c>
      <c r="Q132" s="1" t="s">
        <v>8</v>
      </c>
      <c r="R132" s="15" t="s">
        <v>9</v>
      </c>
      <c r="S132" s="1" t="s">
        <v>2</v>
      </c>
    </row>
    <row r="133" spans="1:20" ht="14.25" thickBot="1" x14ac:dyDescent="0.2">
      <c r="A133" s="41" t="s">
        <v>13</v>
      </c>
      <c r="B133" s="42">
        <f>B127</f>
        <v>1</v>
      </c>
      <c r="C133" s="43">
        <f>C127</f>
        <v>1</v>
      </c>
      <c r="D133" s="44">
        <f>D127</f>
        <v>3</v>
      </c>
      <c r="E133" s="45">
        <f t="shared" ref="E133:E169" si="62">SUM(B133:D133)</f>
        <v>5</v>
      </c>
      <c r="F133" s="42">
        <f>F127</f>
        <v>1</v>
      </c>
      <c r="G133" s="43">
        <f>G127</f>
        <v>1</v>
      </c>
      <c r="H133" s="44">
        <f>H127</f>
        <v>3</v>
      </c>
      <c r="I133" s="45">
        <f t="shared" ref="I133:I169" si="63">SUM(F133:H133)</f>
        <v>5</v>
      </c>
      <c r="J133" s="50"/>
      <c r="K133" s="34" t="s">
        <v>13</v>
      </c>
      <c r="L133" s="35">
        <f>L127</f>
        <v>67</v>
      </c>
      <c r="M133" s="35">
        <f t="shared" ref="M133:N133" si="64">M127</f>
        <v>111</v>
      </c>
      <c r="N133" s="35">
        <f t="shared" si="64"/>
        <v>64</v>
      </c>
      <c r="O133" s="20">
        <f t="shared" ref="O133:O169" si="65">SUM(L133:N133)</f>
        <v>242</v>
      </c>
      <c r="P133" s="35">
        <f>P127</f>
        <v>67</v>
      </c>
      <c r="Q133" s="36">
        <f t="shared" ref="Q133:R133" si="66">Q127</f>
        <v>111</v>
      </c>
      <c r="R133" s="37">
        <f t="shared" si="66"/>
        <v>64</v>
      </c>
      <c r="S133" s="20">
        <f t="shared" ref="S133:S169" si="67">SUM(P133:R133)</f>
        <v>242</v>
      </c>
    </row>
    <row r="134" spans="1:20" x14ac:dyDescent="0.15">
      <c r="A134" s="6" t="s">
        <v>113</v>
      </c>
      <c r="B134" s="38"/>
      <c r="C134" s="39"/>
      <c r="D134" s="40">
        <v>1</v>
      </c>
      <c r="E134" s="4">
        <f t="shared" si="62"/>
        <v>1</v>
      </c>
      <c r="F134" s="38"/>
      <c r="G134" s="39"/>
      <c r="H134" s="40">
        <v>1</v>
      </c>
      <c r="I134" s="4">
        <f t="shared" si="63"/>
        <v>1</v>
      </c>
      <c r="J134" s="47">
        <v>44771</v>
      </c>
      <c r="K134" s="5" t="s">
        <v>3</v>
      </c>
      <c r="L134" s="46"/>
      <c r="M134" s="3"/>
      <c r="N134" s="46"/>
      <c r="O134" s="4">
        <f t="shared" si="65"/>
        <v>0</v>
      </c>
      <c r="P134" s="46"/>
      <c r="Q134" s="3"/>
      <c r="R134" s="46"/>
      <c r="S134" s="4">
        <f t="shared" si="67"/>
        <v>0</v>
      </c>
    </row>
    <row r="135" spans="1:20" x14ac:dyDescent="0.15">
      <c r="A135" s="6" t="s">
        <v>91</v>
      </c>
      <c r="B135" s="14">
        <v>1</v>
      </c>
      <c r="C135" s="11">
        <v>1</v>
      </c>
      <c r="D135" s="14"/>
      <c r="E135" s="4">
        <f t="shared" si="62"/>
        <v>2</v>
      </c>
      <c r="F135" s="14">
        <v>1</v>
      </c>
      <c r="G135" s="11">
        <v>1</v>
      </c>
      <c r="H135" s="14"/>
      <c r="I135" s="4">
        <f t="shared" si="63"/>
        <v>2</v>
      </c>
      <c r="J135" s="31">
        <v>44771</v>
      </c>
      <c r="K135" s="5" t="s">
        <v>139</v>
      </c>
      <c r="L135" s="14">
        <v>1</v>
      </c>
      <c r="M135" s="11">
        <v>1</v>
      </c>
      <c r="N135" s="14">
        <v>2</v>
      </c>
      <c r="O135" s="4">
        <f t="shared" si="65"/>
        <v>4</v>
      </c>
      <c r="P135" s="14">
        <v>1</v>
      </c>
      <c r="Q135" s="11">
        <v>1</v>
      </c>
      <c r="R135" s="14">
        <v>2</v>
      </c>
      <c r="S135" s="4">
        <f t="shared" si="67"/>
        <v>4</v>
      </c>
      <c r="T135" s="47">
        <v>44770</v>
      </c>
    </row>
    <row r="136" spans="1:20" x14ac:dyDescent="0.15">
      <c r="A136" s="6" t="s">
        <v>3</v>
      </c>
      <c r="B136" s="14"/>
      <c r="C136" s="11"/>
      <c r="D136" s="14">
        <v>6</v>
      </c>
      <c r="E136" s="4">
        <f t="shared" si="62"/>
        <v>6</v>
      </c>
      <c r="F136" s="14"/>
      <c r="G136" s="11"/>
      <c r="H136" s="14">
        <v>6</v>
      </c>
      <c r="I136" s="4">
        <f t="shared" si="63"/>
        <v>6</v>
      </c>
      <c r="J136" s="31">
        <v>44777</v>
      </c>
      <c r="K136" s="5" t="s">
        <v>138</v>
      </c>
      <c r="L136" s="14">
        <v>4</v>
      </c>
      <c r="M136" s="11"/>
      <c r="N136" s="14"/>
      <c r="O136" s="4">
        <f t="shared" si="65"/>
        <v>4</v>
      </c>
      <c r="P136" s="14">
        <v>4</v>
      </c>
      <c r="Q136" s="11"/>
      <c r="R136" s="14"/>
      <c r="S136" s="4">
        <f t="shared" si="67"/>
        <v>4</v>
      </c>
      <c r="T136" s="47">
        <v>44770</v>
      </c>
    </row>
    <row r="137" spans="1:20" x14ac:dyDescent="0.15">
      <c r="A137" s="6" t="s">
        <v>147</v>
      </c>
      <c r="B137" s="14"/>
      <c r="C137" s="11"/>
      <c r="D137" s="14">
        <v>2</v>
      </c>
      <c r="E137" s="4">
        <f t="shared" si="62"/>
        <v>2</v>
      </c>
      <c r="F137" s="14"/>
      <c r="G137" s="11"/>
      <c r="H137" s="14">
        <v>2</v>
      </c>
      <c r="I137" s="4">
        <f t="shared" si="63"/>
        <v>2</v>
      </c>
      <c r="J137" s="31">
        <v>44777</v>
      </c>
      <c r="K137" s="5" t="s">
        <v>97</v>
      </c>
      <c r="L137" s="25">
        <v>1</v>
      </c>
      <c r="M137" s="24">
        <v>1</v>
      </c>
      <c r="N137" s="25">
        <v>1</v>
      </c>
      <c r="O137" s="7">
        <f t="shared" si="65"/>
        <v>3</v>
      </c>
      <c r="P137" s="25">
        <v>1</v>
      </c>
      <c r="Q137" s="24">
        <v>1</v>
      </c>
      <c r="R137" s="25">
        <v>1</v>
      </c>
      <c r="S137" s="7">
        <f t="shared" si="67"/>
        <v>3</v>
      </c>
      <c r="T137" s="56">
        <v>44772</v>
      </c>
    </row>
    <row r="138" spans="1:20" x14ac:dyDescent="0.15">
      <c r="A138" s="6" t="s">
        <v>148</v>
      </c>
      <c r="B138" s="14">
        <v>1</v>
      </c>
      <c r="C138" s="11"/>
      <c r="D138" s="14"/>
      <c r="E138" s="4">
        <f t="shared" si="62"/>
        <v>1</v>
      </c>
      <c r="F138" s="14">
        <v>1</v>
      </c>
      <c r="G138" s="11"/>
      <c r="H138" s="14"/>
      <c r="I138" s="4">
        <f t="shared" si="63"/>
        <v>1</v>
      </c>
      <c r="J138" s="31">
        <v>44778</v>
      </c>
      <c r="K138" s="5" t="s">
        <v>97</v>
      </c>
      <c r="L138" s="25">
        <v>3</v>
      </c>
      <c r="M138" s="24"/>
      <c r="N138" s="25">
        <v>2</v>
      </c>
      <c r="O138" s="7">
        <f t="shared" si="65"/>
        <v>5</v>
      </c>
      <c r="P138" s="25">
        <v>3</v>
      </c>
      <c r="Q138" s="24"/>
      <c r="R138" s="25">
        <v>2</v>
      </c>
      <c r="S138" s="7">
        <f t="shared" si="67"/>
        <v>5</v>
      </c>
      <c r="T138" s="56">
        <v>44779</v>
      </c>
    </row>
    <row r="139" spans="1:20" x14ac:dyDescent="0.15">
      <c r="A139" s="6" t="s">
        <v>149</v>
      </c>
      <c r="B139" s="14"/>
      <c r="C139" s="11">
        <v>2</v>
      </c>
      <c r="D139" s="14"/>
      <c r="E139" s="4">
        <f t="shared" si="62"/>
        <v>2</v>
      </c>
      <c r="F139" s="14"/>
      <c r="G139" s="11">
        <v>2</v>
      </c>
      <c r="H139" s="14"/>
      <c r="I139" s="4">
        <f t="shared" si="63"/>
        <v>2</v>
      </c>
      <c r="J139" s="31">
        <v>44781</v>
      </c>
      <c r="K139" s="5" t="s">
        <v>3</v>
      </c>
      <c r="L139" s="14"/>
      <c r="M139" s="11"/>
      <c r="N139" s="14"/>
      <c r="O139" s="4">
        <f t="shared" si="65"/>
        <v>0</v>
      </c>
      <c r="P139" s="14"/>
      <c r="Q139" s="11"/>
      <c r="R139" s="14"/>
      <c r="S139" s="4">
        <f t="shared" si="67"/>
        <v>0</v>
      </c>
    </row>
    <row r="140" spans="1:20" x14ac:dyDescent="0.15">
      <c r="A140" s="6" t="s">
        <v>91</v>
      </c>
      <c r="B140" s="14"/>
      <c r="C140" s="11">
        <v>1</v>
      </c>
      <c r="D140" s="14">
        <v>3</v>
      </c>
      <c r="E140" s="4">
        <f t="shared" si="62"/>
        <v>4</v>
      </c>
      <c r="F140" s="14"/>
      <c r="G140" s="11">
        <v>1</v>
      </c>
      <c r="H140" s="14">
        <v>3</v>
      </c>
      <c r="I140" s="4">
        <f t="shared" si="63"/>
        <v>4</v>
      </c>
      <c r="J140" s="31">
        <v>44783</v>
      </c>
      <c r="K140" s="5" t="s">
        <v>3</v>
      </c>
      <c r="L140" s="14"/>
      <c r="M140" s="11"/>
      <c r="N140" s="14"/>
      <c r="O140" s="4">
        <f t="shared" si="65"/>
        <v>0</v>
      </c>
      <c r="P140" s="14"/>
      <c r="Q140" s="11"/>
      <c r="R140" s="14"/>
      <c r="S140" s="4">
        <f t="shared" si="67"/>
        <v>0</v>
      </c>
    </row>
    <row r="141" spans="1:20" x14ac:dyDescent="0.15">
      <c r="A141" s="6" t="s">
        <v>3</v>
      </c>
      <c r="B141" s="23"/>
      <c r="C141" s="24"/>
      <c r="D141" s="25"/>
      <c r="E141" s="7">
        <f t="shared" si="62"/>
        <v>0</v>
      </c>
      <c r="F141" s="23"/>
      <c r="G141" s="24"/>
      <c r="H141" s="25"/>
      <c r="I141" s="7">
        <f t="shared" si="63"/>
        <v>0</v>
      </c>
      <c r="J141" s="47"/>
      <c r="K141" s="5" t="s">
        <v>3</v>
      </c>
      <c r="L141" s="25"/>
      <c r="M141" s="24"/>
      <c r="N141" s="25"/>
      <c r="O141" s="7">
        <f t="shared" si="65"/>
        <v>0</v>
      </c>
      <c r="P141" s="23"/>
      <c r="Q141" s="24"/>
      <c r="R141" s="25"/>
      <c r="S141" s="7">
        <f t="shared" si="67"/>
        <v>0</v>
      </c>
      <c r="T141" s="55"/>
    </row>
    <row r="142" spans="1:20" x14ac:dyDescent="0.15">
      <c r="A142" s="6" t="s">
        <v>3</v>
      </c>
      <c r="B142" s="23"/>
      <c r="C142" s="24"/>
      <c r="D142" s="25"/>
      <c r="E142" s="7">
        <f t="shared" si="62"/>
        <v>0</v>
      </c>
      <c r="F142" s="23"/>
      <c r="G142" s="24"/>
      <c r="H142" s="25"/>
      <c r="I142" s="7">
        <f t="shared" si="63"/>
        <v>0</v>
      </c>
      <c r="J142" s="47"/>
      <c r="K142" s="5" t="s">
        <v>3</v>
      </c>
      <c r="L142" s="25"/>
      <c r="M142" s="24"/>
      <c r="N142" s="25"/>
      <c r="O142" s="7">
        <f t="shared" si="65"/>
        <v>0</v>
      </c>
      <c r="P142" s="25"/>
      <c r="Q142" s="24"/>
      <c r="R142" s="25"/>
      <c r="S142" s="7">
        <f t="shared" si="67"/>
        <v>0</v>
      </c>
      <c r="T142" s="55"/>
    </row>
    <row r="143" spans="1:20" ht="14.25" thickBot="1" x14ac:dyDescent="0.2">
      <c r="A143" s="6" t="s">
        <v>3</v>
      </c>
      <c r="B143" s="29"/>
      <c r="C143" s="30"/>
      <c r="D143" s="29"/>
      <c r="E143" s="16">
        <f t="shared" si="62"/>
        <v>0</v>
      </c>
      <c r="F143" s="29"/>
      <c r="G143" s="30"/>
      <c r="H143" s="29"/>
      <c r="I143" s="16">
        <f t="shared" si="63"/>
        <v>0</v>
      </c>
      <c r="J143" s="31"/>
      <c r="K143" s="33" t="s">
        <v>3</v>
      </c>
      <c r="L143" s="29"/>
      <c r="M143" s="30"/>
      <c r="N143" s="29"/>
      <c r="O143" s="16">
        <f t="shared" si="65"/>
        <v>0</v>
      </c>
      <c r="P143" s="29"/>
      <c r="Q143" s="30"/>
      <c r="R143" s="29"/>
      <c r="S143" s="16">
        <f t="shared" si="67"/>
        <v>0</v>
      </c>
      <c r="T143" s="47"/>
    </row>
    <row r="144" spans="1:20" ht="14.25" thickBot="1" x14ac:dyDescent="0.2">
      <c r="A144" s="17" t="s">
        <v>4</v>
      </c>
      <c r="B144" s="18">
        <f>SUM(B133:B143)</f>
        <v>3</v>
      </c>
      <c r="C144" s="18">
        <f>SUM(C133:C143)</f>
        <v>5</v>
      </c>
      <c r="D144" s="19">
        <f>SUM(D133:D143)</f>
        <v>15</v>
      </c>
      <c r="E144" s="20">
        <f t="shared" si="62"/>
        <v>23</v>
      </c>
      <c r="F144" s="18">
        <f>SUM(F133:F143)</f>
        <v>3</v>
      </c>
      <c r="G144" s="18">
        <f>SUM(G133:G143)</f>
        <v>5</v>
      </c>
      <c r="H144" s="19">
        <f>SUM(H133:H143)</f>
        <v>15</v>
      </c>
      <c r="I144" s="20">
        <f t="shared" si="63"/>
        <v>23</v>
      </c>
      <c r="J144" s="48"/>
      <c r="K144" s="17" t="s">
        <v>4</v>
      </c>
      <c r="L144" s="67">
        <f>SUM(L133:L143)</f>
        <v>76</v>
      </c>
      <c r="M144" s="18">
        <f>SUM(M133:M143)</f>
        <v>113</v>
      </c>
      <c r="N144" s="19">
        <f>SUM(N133:N143)</f>
        <v>69</v>
      </c>
      <c r="O144" s="20">
        <f t="shared" si="65"/>
        <v>258</v>
      </c>
      <c r="P144" s="18">
        <f>SUM(P133:P143)</f>
        <v>76</v>
      </c>
      <c r="Q144" s="18">
        <f>SUM(Q133:Q143)</f>
        <v>113</v>
      </c>
      <c r="R144" s="19">
        <f>SUM(R133:R143)</f>
        <v>69</v>
      </c>
      <c r="S144" s="20">
        <f t="shared" si="67"/>
        <v>258</v>
      </c>
    </row>
    <row r="145" spans="1:21" x14ac:dyDescent="0.15">
      <c r="A145" s="3" t="s">
        <v>134</v>
      </c>
      <c r="B145" s="8"/>
      <c r="C145" s="9"/>
      <c r="D145" s="10">
        <v>1</v>
      </c>
      <c r="E145" s="4">
        <f t="shared" si="62"/>
        <v>1</v>
      </c>
      <c r="F145" s="8"/>
      <c r="G145" s="9"/>
      <c r="H145" s="10">
        <v>1</v>
      </c>
      <c r="I145" s="4">
        <f t="shared" si="63"/>
        <v>1</v>
      </c>
      <c r="J145" s="31">
        <v>44769</v>
      </c>
      <c r="K145" s="52" t="s">
        <v>128</v>
      </c>
      <c r="L145" s="71">
        <v>10</v>
      </c>
      <c r="M145" s="10">
        <v>20</v>
      </c>
      <c r="N145" s="71"/>
      <c r="O145" s="69">
        <f t="shared" si="65"/>
        <v>30</v>
      </c>
      <c r="P145" s="71">
        <v>10</v>
      </c>
      <c r="Q145" s="71">
        <v>20</v>
      </c>
      <c r="R145" s="71"/>
      <c r="S145" s="72">
        <f t="shared" si="67"/>
        <v>30</v>
      </c>
      <c r="T145" s="47">
        <v>44767</v>
      </c>
    </row>
    <row r="146" spans="1:21" x14ac:dyDescent="0.15">
      <c r="A146" s="3" t="s">
        <v>140</v>
      </c>
      <c r="B146" s="8">
        <v>1</v>
      </c>
      <c r="C146" s="9">
        <v>1</v>
      </c>
      <c r="D146" s="10">
        <v>2</v>
      </c>
      <c r="E146" s="4">
        <f t="shared" si="62"/>
        <v>4</v>
      </c>
      <c r="F146" s="8">
        <v>1</v>
      </c>
      <c r="G146" s="9">
        <v>1</v>
      </c>
      <c r="H146" s="10">
        <v>2</v>
      </c>
      <c r="I146" s="4">
        <f t="shared" si="63"/>
        <v>4</v>
      </c>
      <c r="J146" s="31">
        <v>44770</v>
      </c>
      <c r="K146" s="66" t="s">
        <v>129</v>
      </c>
      <c r="L146" s="9">
        <v>4</v>
      </c>
      <c r="M146" s="10">
        <v>13</v>
      </c>
      <c r="N146" s="9">
        <v>3</v>
      </c>
      <c r="O146" s="69">
        <f t="shared" si="65"/>
        <v>20</v>
      </c>
      <c r="P146" s="9">
        <v>4</v>
      </c>
      <c r="Q146" s="9">
        <v>13</v>
      </c>
      <c r="R146" s="9">
        <v>3</v>
      </c>
      <c r="S146" s="4">
        <f t="shared" si="67"/>
        <v>20</v>
      </c>
      <c r="T146" s="47">
        <v>44770</v>
      </c>
    </row>
    <row r="147" spans="1:21" x14ac:dyDescent="0.15">
      <c r="A147" s="3" t="s">
        <v>96</v>
      </c>
      <c r="B147" s="8">
        <v>1</v>
      </c>
      <c r="C147" s="9">
        <v>1</v>
      </c>
      <c r="D147" s="10">
        <v>1</v>
      </c>
      <c r="E147" s="4">
        <f t="shared" si="62"/>
        <v>3</v>
      </c>
      <c r="F147" s="8">
        <v>1</v>
      </c>
      <c r="G147" s="9">
        <v>1</v>
      </c>
      <c r="H147" s="10">
        <v>1</v>
      </c>
      <c r="I147" s="4">
        <f t="shared" si="63"/>
        <v>3</v>
      </c>
      <c r="J147" s="31">
        <v>44772</v>
      </c>
      <c r="K147" s="3" t="s">
        <v>130</v>
      </c>
      <c r="L147" s="9">
        <v>3</v>
      </c>
      <c r="M147" s="10"/>
      <c r="N147" s="9">
        <v>8</v>
      </c>
      <c r="O147" s="69">
        <f t="shared" si="65"/>
        <v>11</v>
      </c>
      <c r="P147" s="9">
        <v>3</v>
      </c>
      <c r="Q147" s="9"/>
      <c r="R147" s="9">
        <v>8</v>
      </c>
      <c r="S147" s="4">
        <f t="shared" si="67"/>
        <v>11</v>
      </c>
      <c r="T147" s="47">
        <v>44764</v>
      </c>
    </row>
    <row r="148" spans="1:21" x14ac:dyDescent="0.15">
      <c r="A148" s="5" t="s">
        <v>138</v>
      </c>
      <c r="B148" s="8">
        <v>-6</v>
      </c>
      <c r="C148" s="9"/>
      <c r="D148" s="10">
        <v>6</v>
      </c>
      <c r="E148" s="4">
        <f t="shared" si="62"/>
        <v>0</v>
      </c>
      <c r="F148" s="8">
        <v>-6</v>
      </c>
      <c r="G148" s="9"/>
      <c r="H148" s="10">
        <v>6</v>
      </c>
      <c r="I148" s="4">
        <f t="shared" si="63"/>
        <v>0</v>
      </c>
      <c r="J148" s="31">
        <v>44778</v>
      </c>
      <c r="K148" s="3" t="s">
        <v>131</v>
      </c>
      <c r="L148" s="9">
        <v>1</v>
      </c>
      <c r="M148" s="10">
        <v>5</v>
      </c>
      <c r="N148" s="9">
        <v>5</v>
      </c>
      <c r="O148" s="69">
        <f t="shared" si="65"/>
        <v>11</v>
      </c>
      <c r="P148" s="9">
        <v>1</v>
      </c>
      <c r="Q148" s="9">
        <v>5</v>
      </c>
      <c r="R148" s="9">
        <v>5</v>
      </c>
      <c r="S148" s="4">
        <f t="shared" si="67"/>
        <v>11</v>
      </c>
      <c r="T148" s="47">
        <v>44767</v>
      </c>
    </row>
    <row r="149" spans="1:21" x14ac:dyDescent="0.15">
      <c r="A149" s="3" t="s">
        <v>146</v>
      </c>
      <c r="B149" s="8">
        <v>3</v>
      </c>
      <c r="C149" s="9"/>
      <c r="D149" s="10"/>
      <c r="E149" s="4">
        <f t="shared" si="62"/>
        <v>3</v>
      </c>
      <c r="F149" s="8">
        <v>3</v>
      </c>
      <c r="G149" s="9"/>
      <c r="H149" s="10"/>
      <c r="I149" s="4">
        <f t="shared" si="63"/>
        <v>3</v>
      </c>
      <c r="J149" s="31">
        <v>44778</v>
      </c>
      <c r="K149" s="66" t="s">
        <v>129</v>
      </c>
      <c r="L149" s="9"/>
      <c r="M149" s="10">
        <v>2</v>
      </c>
      <c r="N149" s="9">
        <v>7</v>
      </c>
      <c r="O149" s="69">
        <f t="shared" si="65"/>
        <v>9</v>
      </c>
      <c r="P149" s="9"/>
      <c r="Q149" s="9">
        <v>2</v>
      </c>
      <c r="R149" s="9">
        <v>7</v>
      </c>
      <c r="S149" s="4">
        <f t="shared" si="67"/>
        <v>9</v>
      </c>
      <c r="T149" s="47">
        <v>44769</v>
      </c>
    </row>
    <row r="150" spans="1:21" x14ac:dyDescent="0.15">
      <c r="A150" s="3" t="s">
        <v>96</v>
      </c>
      <c r="B150" s="8">
        <v>3</v>
      </c>
      <c r="C150" s="9"/>
      <c r="D150" s="10">
        <v>2</v>
      </c>
      <c r="E150" s="7">
        <f t="shared" si="62"/>
        <v>5</v>
      </c>
      <c r="F150" s="8">
        <v>3</v>
      </c>
      <c r="G150" s="9"/>
      <c r="H150" s="10">
        <v>2</v>
      </c>
      <c r="I150" s="7">
        <f t="shared" si="63"/>
        <v>5</v>
      </c>
      <c r="J150" s="31">
        <v>44779</v>
      </c>
      <c r="K150" s="66" t="s">
        <v>129</v>
      </c>
      <c r="L150" s="9"/>
      <c r="M150" s="10">
        <v>20</v>
      </c>
      <c r="N150" s="9">
        <v>9</v>
      </c>
      <c r="O150" s="70">
        <f t="shared" si="65"/>
        <v>29</v>
      </c>
      <c r="P150" s="9"/>
      <c r="Q150" s="9">
        <v>20</v>
      </c>
      <c r="R150" s="9">
        <v>9</v>
      </c>
      <c r="S150" s="7">
        <f t="shared" si="67"/>
        <v>29</v>
      </c>
      <c r="T150" s="47">
        <v>44769</v>
      </c>
    </row>
    <row r="151" spans="1:21" x14ac:dyDescent="0.15">
      <c r="A151" s="3" t="s">
        <v>146</v>
      </c>
      <c r="B151" s="8">
        <v>1</v>
      </c>
      <c r="C151" s="9">
        <v>3</v>
      </c>
      <c r="D151" s="10">
        <v>3</v>
      </c>
      <c r="E151" s="7">
        <f t="shared" si="62"/>
        <v>7</v>
      </c>
      <c r="F151" s="8">
        <v>1</v>
      </c>
      <c r="G151" s="9">
        <v>3</v>
      </c>
      <c r="H151" s="10">
        <v>3</v>
      </c>
      <c r="I151" s="7">
        <f t="shared" si="63"/>
        <v>7</v>
      </c>
      <c r="J151" s="31">
        <v>44792</v>
      </c>
      <c r="K151" s="3" t="s">
        <v>133</v>
      </c>
      <c r="L151" s="9"/>
      <c r="M151" s="10">
        <v>1</v>
      </c>
      <c r="N151" s="9">
        <v>1</v>
      </c>
      <c r="O151" s="70">
        <f t="shared" si="65"/>
        <v>2</v>
      </c>
      <c r="P151" s="9"/>
      <c r="Q151" s="9">
        <v>1</v>
      </c>
      <c r="R151" s="9">
        <v>1</v>
      </c>
      <c r="S151" s="7">
        <f t="shared" si="67"/>
        <v>2</v>
      </c>
      <c r="T151" s="47">
        <v>44768</v>
      </c>
    </row>
    <row r="152" spans="1:21" x14ac:dyDescent="0.15">
      <c r="A152" s="3"/>
      <c r="B152" s="8"/>
      <c r="C152" s="9"/>
      <c r="D152" s="10"/>
      <c r="E152" s="7">
        <f t="shared" si="62"/>
        <v>0</v>
      </c>
      <c r="F152" s="8"/>
      <c r="G152" s="9"/>
      <c r="H152" s="10"/>
      <c r="I152" s="7">
        <f t="shared" si="63"/>
        <v>0</v>
      </c>
      <c r="J152" s="31"/>
      <c r="K152" s="3" t="s">
        <v>135</v>
      </c>
      <c r="L152" s="9"/>
      <c r="M152" s="10">
        <v>3</v>
      </c>
      <c r="N152" s="9">
        <v>7</v>
      </c>
      <c r="O152" s="70">
        <f t="shared" si="65"/>
        <v>10</v>
      </c>
      <c r="P152" s="9"/>
      <c r="Q152" s="9">
        <v>3</v>
      </c>
      <c r="R152" s="9">
        <v>7</v>
      </c>
      <c r="S152" s="7">
        <f t="shared" si="67"/>
        <v>10</v>
      </c>
      <c r="T152" s="47">
        <v>44769</v>
      </c>
      <c r="U152" s="54"/>
    </row>
    <row r="153" spans="1:21" x14ac:dyDescent="0.15">
      <c r="A153" s="3"/>
      <c r="B153" s="8"/>
      <c r="C153" s="9"/>
      <c r="D153" s="10"/>
      <c r="E153" s="7">
        <f t="shared" si="62"/>
        <v>0</v>
      </c>
      <c r="F153" s="8"/>
      <c r="G153" s="9"/>
      <c r="H153" s="10"/>
      <c r="I153" s="7">
        <f t="shared" si="63"/>
        <v>0</v>
      </c>
      <c r="J153" s="31"/>
      <c r="K153" s="3" t="s">
        <v>136</v>
      </c>
      <c r="L153" s="9">
        <v>2</v>
      </c>
      <c r="M153" s="10"/>
      <c r="N153" s="9">
        <v>1</v>
      </c>
      <c r="O153" s="70">
        <f t="shared" si="65"/>
        <v>3</v>
      </c>
      <c r="P153" s="9">
        <v>2</v>
      </c>
      <c r="Q153" s="9"/>
      <c r="R153" s="9">
        <v>1</v>
      </c>
      <c r="S153" s="7">
        <f t="shared" si="67"/>
        <v>3</v>
      </c>
      <c r="T153" s="47">
        <v>44770</v>
      </c>
      <c r="U153" s="54"/>
    </row>
    <row r="154" spans="1:21" x14ac:dyDescent="0.15">
      <c r="A154" s="3"/>
      <c r="B154" s="8"/>
      <c r="C154" s="9"/>
      <c r="D154" s="10"/>
      <c r="E154" s="7">
        <f t="shared" si="62"/>
        <v>0</v>
      </c>
      <c r="F154" s="8"/>
      <c r="G154" s="9"/>
      <c r="H154" s="10"/>
      <c r="I154" s="7">
        <f t="shared" si="63"/>
        <v>0</v>
      </c>
      <c r="J154" s="31"/>
      <c r="K154" s="3" t="s">
        <v>137</v>
      </c>
      <c r="L154" s="9"/>
      <c r="M154" s="10"/>
      <c r="N154" s="9">
        <v>3</v>
      </c>
      <c r="O154" s="70">
        <f t="shared" si="65"/>
        <v>3</v>
      </c>
      <c r="P154" s="9"/>
      <c r="Q154" s="9"/>
      <c r="R154" s="9">
        <v>3</v>
      </c>
      <c r="S154" s="7">
        <f t="shared" si="67"/>
        <v>3</v>
      </c>
      <c r="T154" s="47">
        <v>44771</v>
      </c>
      <c r="U154" s="54"/>
    </row>
    <row r="155" spans="1:21" x14ac:dyDescent="0.15">
      <c r="A155" s="3"/>
      <c r="B155" s="8"/>
      <c r="C155" s="9"/>
      <c r="D155" s="10"/>
      <c r="E155" s="7">
        <f t="shared" si="62"/>
        <v>0</v>
      </c>
      <c r="F155" s="8"/>
      <c r="G155" s="9"/>
      <c r="H155" s="10"/>
      <c r="I155" s="7">
        <f t="shared" si="63"/>
        <v>0</v>
      </c>
      <c r="J155" s="31"/>
      <c r="K155" s="66" t="s">
        <v>129</v>
      </c>
      <c r="L155" s="9">
        <v>30</v>
      </c>
      <c r="M155" s="10">
        <v>20</v>
      </c>
      <c r="N155" s="9">
        <v>0</v>
      </c>
      <c r="O155" s="70">
        <f t="shared" si="65"/>
        <v>50</v>
      </c>
      <c r="P155" s="9">
        <v>30</v>
      </c>
      <c r="Q155" s="9">
        <v>20</v>
      </c>
      <c r="R155" s="9">
        <v>0</v>
      </c>
      <c r="S155" s="7">
        <f t="shared" si="67"/>
        <v>50</v>
      </c>
      <c r="T155" s="47">
        <v>44774</v>
      </c>
    </row>
    <row r="156" spans="1:21" x14ac:dyDescent="0.15">
      <c r="A156" s="3"/>
      <c r="B156" s="8"/>
      <c r="C156" s="9"/>
      <c r="D156" s="10"/>
      <c r="E156" s="7">
        <f t="shared" si="62"/>
        <v>0</v>
      </c>
      <c r="F156" s="8"/>
      <c r="G156" s="9"/>
      <c r="H156" s="10"/>
      <c r="I156" s="7">
        <f t="shared" si="63"/>
        <v>0</v>
      </c>
      <c r="J156" s="31"/>
      <c r="K156" s="5" t="s">
        <v>138</v>
      </c>
      <c r="L156" s="9"/>
      <c r="M156" s="10"/>
      <c r="N156" s="9">
        <v>4</v>
      </c>
      <c r="O156" s="70">
        <f t="shared" si="65"/>
        <v>4</v>
      </c>
      <c r="P156" s="9"/>
      <c r="Q156" s="9"/>
      <c r="R156" s="9">
        <v>4</v>
      </c>
      <c r="S156" s="7">
        <f t="shared" si="67"/>
        <v>4</v>
      </c>
      <c r="T156" s="47">
        <v>44774</v>
      </c>
    </row>
    <row r="157" spans="1:21" x14ac:dyDescent="0.15">
      <c r="A157" s="3"/>
      <c r="B157" s="8"/>
      <c r="C157" s="9"/>
      <c r="D157" s="10"/>
      <c r="E157" s="7">
        <f t="shared" si="62"/>
        <v>0</v>
      </c>
      <c r="F157" s="8"/>
      <c r="G157" s="9"/>
      <c r="H157" s="10"/>
      <c r="I157" s="7">
        <f t="shared" si="63"/>
        <v>0</v>
      </c>
      <c r="J157" s="31"/>
      <c r="K157" s="3" t="s">
        <v>141</v>
      </c>
      <c r="L157" s="9">
        <v>1</v>
      </c>
      <c r="M157" s="10"/>
      <c r="N157" s="9">
        <v>2</v>
      </c>
      <c r="O157" s="70">
        <f t="shared" si="65"/>
        <v>3</v>
      </c>
      <c r="P157" s="9">
        <v>1</v>
      </c>
      <c r="Q157" s="9"/>
      <c r="R157" s="9">
        <v>2</v>
      </c>
      <c r="S157" s="7">
        <f t="shared" si="67"/>
        <v>3</v>
      </c>
      <c r="T157" s="47">
        <v>44775</v>
      </c>
    </row>
    <row r="158" spans="1:21" x14ac:dyDescent="0.15">
      <c r="A158" s="3"/>
      <c r="B158" s="8"/>
      <c r="C158" s="9"/>
      <c r="D158" s="10"/>
      <c r="E158" s="7">
        <f t="shared" si="62"/>
        <v>0</v>
      </c>
      <c r="F158" s="8"/>
      <c r="G158" s="9"/>
      <c r="H158" s="10"/>
      <c r="I158" s="7">
        <f t="shared" si="63"/>
        <v>0</v>
      </c>
      <c r="J158" s="31"/>
      <c r="K158" s="3" t="s">
        <v>142</v>
      </c>
      <c r="L158" s="9"/>
      <c r="M158" s="10">
        <v>1</v>
      </c>
      <c r="N158" s="9">
        <v>2</v>
      </c>
      <c r="O158" s="70">
        <f t="shared" si="65"/>
        <v>3</v>
      </c>
      <c r="P158" s="9"/>
      <c r="Q158" s="9">
        <v>1</v>
      </c>
      <c r="R158" s="9">
        <v>2</v>
      </c>
      <c r="S158" s="7">
        <f t="shared" si="67"/>
        <v>3</v>
      </c>
      <c r="T158" s="47">
        <v>44776</v>
      </c>
    </row>
    <row r="159" spans="1:21" x14ac:dyDescent="0.15">
      <c r="A159" s="3"/>
      <c r="B159" s="8"/>
      <c r="C159" s="9"/>
      <c r="D159" s="10"/>
      <c r="E159" s="7">
        <f t="shared" si="62"/>
        <v>0</v>
      </c>
      <c r="F159" s="8"/>
      <c r="G159" s="9"/>
      <c r="H159" s="10"/>
      <c r="I159" s="7">
        <f t="shared" si="63"/>
        <v>0</v>
      </c>
      <c r="J159" s="31"/>
      <c r="K159" s="3" t="s">
        <v>143</v>
      </c>
      <c r="L159" s="9"/>
      <c r="M159" s="10">
        <v>6</v>
      </c>
      <c r="N159" s="9"/>
      <c r="O159" s="70">
        <f t="shared" si="65"/>
        <v>6</v>
      </c>
      <c r="P159" s="9"/>
      <c r="Q159" s="9">
        <v>6</v>
      </c>
      <c r="R159" s="9"/>
      <c r="S159" s="7">
        <f t="shared" si="67"/>
        <v>6</v>
      </c>
      <c r="T159" s="47">
        <v>44777</v>
      </c>
      <c r="U159" s="54"/>
    </row>
    <row r="160" spans="1:21" x14ac:dyDescent="0.15">
      <c r="A160" s="3"/>
      <c r="B160" s="8"/>
      <c r="C160" s="9"/>
      <c r="D160" s="10"/>
      <c r="E160" s="7">
        <f t="shared" si="62"/>
        <v>0</v>
      </c>
      <c r="F160" s="8"/>
      <c r="G160" s="9"/>
      <c r="H160" s="10"/>
      <c r="I160" s="7">
        <f t="shared" si="63"/>
        <v>0</v>
      </c>
      <c r="J160" s="31"/>
      <c r="K160" s="66" t="s">
        <v>144</v>
      </c>
      <c r="L160" s="9"/>
      <c r="M160" s="10"/>
      <c r="N160" s="9">
        <v>6</v>
      </c>
      <c r="O160" s="70">
        <f t="shared" si="65"/>
        <v>6</v>
      </c>
      <c r="P160" s="9"/>
      <c r="Q160" s="9"/>
      <c r="R160" s="9">
        <v>6</v>
      </c>
      <c r="S160" s="7">
        <f t="shared" si="67"/>
        <v>6</v>
      </c>
      <c r="T160" s="47">
        <v>44777</v>
      </c>
    </row>
    <row r="161" spans="1:21" x14ac:dyDescent="0.15">
      <c r="A161" s="3"/>
      <c r="B161" s="8"/>
      <c r="C161" s="9"/>
      <c r="D161" s="10"/>
      <c r="E161" s="7">
        <f t="shared" si="62"/>
        <v>0</v>
      </c>
      <c r="F161" s="8"/>
      <c r="G161" s="9"/>
      <c r="H161" s="10"/>
      <c r="I161" s="7">
        <f t="shared" si="63"/>
        <v>0</v>
      </c>
      <c r="J161" s="31"/>
      <c r="K161" s="52" t="s">
        <v>145</v>
      </c>
      <c r="L161" s="8"/>
      <c r="M161" s="9">
        <v>2</v>
      </c>
      <c r="N161" s="10"/>
      <c r="O161" s="7">
        <f t="shared" si="65"/>
        <v>2</v>
      </c>
      <c r="P161" s="8"/>
      <c r="Q161" s="9">
        <v>2</v>
      </c>
      <c r="R161" s="10"/>
      <c r="S161" s="7">
        <f t="shared" si="67"/>
        <v>2</v>
      </c>
      <c r="T161" s="47">
        <v>44781</v>
      </c>
      <c r="U161" s="54"/>
    </row>
    <row r="162" spans="1:21" x14ac:dyDescent="0.15">
      <c r="A162" s="3"/>
      <c r="B162" s="8"/>
      <c r="C162" s="9"/>
      <c r="D162" s="10"/>
      <c r="E162" s="7">
        <f t="shared" si="62"/>
        <v>0</v>
      </c>
      <c r="F162" s="8"/>
      <c r="G162" s="9"/>
      <c r="H162" s="10"/>
      <c r="I162" s="7">
        <f t="shared" si="63"/>
        <v>0</v>
      </c>
      <c r="J162" s="31"/>
      <c r="K162" s="66" t="s">
        <v>129</v>
      </c>
      <c r="L162" s="8">
        <v>3</v>
      </c>
      <c r="M162" s="9"/>
      <c r="N162" s="10"/>
      <c r="O162" s="7">
        <f t="shared" si="65"/>
        <v>3</v>
      </c>
      <c r="P162" s="8">
        <v>3</v>
      </c>
      <c r="Q162" s="9"/>
      <c r="R162" s="10"/>
      <c r="S162" s="7">
        <f t="shared" si="67"/>
        <v>3</v>
      </c>
      <c r="T162" s="47">
        <v>44782</v>
      </c>
      <c r="U162" s="54"/>
    </row>
    <row r="163" spans="1:21" x14ac:dyDescent="0.15">
      <c r="A163" s="3"/>
      <c r="B163" s="8"/>
      <c r="C163" s="9"/>
      <c r="D163" s="10"/>
      <c r="E163" s="7">
        <f t="shared" si="62"/>
        <v>0</v>
      </c>
      <c r="F163" s="8"/>
      <c r="G163" s="9"/>
      <c r="H163" s="10"/>
      <c r="I163" s="7">
        <f t="shared" si="63"/>
        <v>0</v>
      </c>
      <c r="J163" s="31"/>
      <c r="K163" s="52" t="s">
        <v>150</v>
      </c>
      <c r="L163" s="9">
        <v>4</v>
      </c>
      <c r="M163" s="10">
        <v>6</v>
      </c>
      <c r="N163" s="9">
        <v>4</v>
      </c>
      <c r="O163" s="70">
        <f t="shared" si="65"/>
        <v>14</v>
      </c>
      <c r="P163" s="9">
        <v>4</v>
      </c>
      <c r="Q163" s="9">
        <v>6</v>
      </c>
      <c r="R163" s="9">
        <v>4</v>
      </c>
      <c r="S163" s="7">
        <f t="shared" si="67"/>
        <v>14</v>
      </c>
      <c r="T163" s="47">
        <v>44785</v>
      </c>
    </row>
    <row r="164" spans="1:21" x14ac:dyDescent="0.15">
      <c r="A164" s="3"/>
      <c r="B164" s="8"/>
      <c r="C164" s="9"/>
      <c r="D164" s="10"/>
      <c r="E164" s="7">
        <f t="shared" si="62"/>
        <v>0</v>
      </c>
      <c r="F164" s="8"/>
      <c r="G164" s="9"/>
      <c r="H164" s="10"/>
      <c r="I164" s="7">
        <f t="shared" si="63"/>
        <v>0</v>
      </c>
      <c r="J164" s="31"/>
      <c r="K164" s="66" t="s">
        <v>129</v>
      </c>
      <c r="L164" s="9">
        <v>10</v>
      </c>
      <c r="M164" s="10"/>
      <c r="N164" s="9"/>
      <c r="O164" s="70">
        <f t="shared" si="65"/>
        <v>10</v>
      </c>
      <c r="P164" s="9">
        <v>10</v>
      </c>
      <c r="Q164" s="9"/>
      <c r="R164" s="9"/>
      <c r="S164" s="7">
        <f t="shared" si="67"/>
        <v>10</v>
      </c>
      <c r="T164" s="47">
        <v>44783</v>
      </c>
    </row>
    <row r="165" spans="1:21" x14ac:dyDescent="0.15">
      <c r="A165" s="3"/>
      <c r="B165" s="8"/>
      <c r="C165" s="9"/>
      <c r="D165" s="10"/>
      <c r="E165" s="7">
        <f t="shared" si="62"/>
        <v>0</v>
      </c>
      <c r="F165" s="8"/>
      <c r="G165" s="9"/>
      <c r="H165" s="10"/>
      <c r="I165" s="7">
        <f t="shared" si="63"/>
        <v>0</v>
      </c>
      <c r="J165" s="31"/>
      <c r="K165" s="66"/>
      <c r="L165" s="9"/>
      <c r="M165" s="10"/>
      <c r="N165" s="9"/>
      <c r="O165" s="70">
        <f t="shared" ref="O165" si="68">SUM(L165:N165)</f>
        <v>0</v>
      </c>
      <c r="P165" s="9"/>
      <c r="Q165" s="9"/>
      <c r="R165" s="9"/>
      <c r="S165" s="7">
        <f t="shared" ref="S165" si="69">SUM(P165:R165)</f>
        <v>0</v>
      </c>
      <c r="T165" s="55"/>
    </row>
    <row r="166" spans="1:21" x14ac:dyDescent="0.15">
      <c r="A166" s="3"/>
      <c r="B166" s="8"/>
      <c r="C166" s="9"/>
      <c r="D166" s="10"/>
      <c r="E166" s="7">
        <f t="shared" si="62"/>
        <v>0</v>
      </c>
      <c r="F166" s="8"/>
      <c r="G166" s="9"/>
      <c r="H166" s="10"/>
      <c r="I166" s="7">
        <f t="shared" si="63"/>
        <v>0</v>
      </c>
      <c r="J166" s="31"/>
      <c r="K166" s="66" t="s">
        <v>43</v>
      </c>
      <c r="L166" s="9"/>
      <c r="M166" s="10"/>
      <c r="N166" s="9"/>
      <c r="O166" s="70">
        <f t="shared" ref="O166" si="70">SUM(L166:N166)</f>
        <v>0</v>
      </c>
      <c r="P166" s="9"/>
      <c r="Q166" s="9"/>
      <c r="R166" s="9"/>
      <c r="S166" s="7">
        <f t="shared" ref="S166" si="71">SUM(P166:R166)</f>
        <v>0</v>
      </c>
      <c r="T166" s="55" t="s">
        <v>44</v>
      </c>
    </row>
    <row r="167" spans="1:21" x14ac:dyDescent="0.15">
      <c r="A167" s="3"/>
      <c r="B167" s="8"/>
      <c r="C167" s="9"/>
      <c r="D167" s="10"/>
      <c r="E167" s="7">
        <f t="shared" si="62"/>
        <v>0</v>
      </c>
      <c r="F167" s="8"/>
      <c r="G167" s="9"/>
      <c r="H167" s="10"/>
      <c r="I167" s="7">
        <f t="shared" si="63"/>
        <v>0</v>
      </c>
      <c r="J167" s="31"/>
      <c r="K167" s="66" t="s">
        <v>29</v>
      </c>
      <c r="L167" s="9"/>
      <c r="M167" s="10"/>
      <c r="N167" s="9"/>
      <c r="O167" s="70">
        <f t="shared" si="65"/>
        <v>0</v>
      </c>
      <c r="P167" s="9"/>
      <c r="Q167" s="9"/>
      <c r="R167" s="9"/>
      <c r="S167" s="7">
        <f t="shared" si="67"/>
        <v>0</v>
      </c>
      <c r="T167" s="55" t="s">
        <v>20</v>
      </c>
    </row>
    <row r="168" spans="1:21" ht="14.25" thickBot="1" x14ac:dyDescent="0.2">
      <c r="A168" s="3"/>
      <c r="B168" s="8"/>
      <c r="C168" s="9"/>
      <c r="D168" s="10"/>
      <c r="E168" s="7">
        <f t="shared" ref="E168" si="72">SUM(B168:D168)</f>
        <v>0</v>
      </c>
      <c r="F168" s="8"/>
      <c r="G168" s="9"/>
      <c r="H168" s="10"/>
      <c r="I168" s="7">
        <f t="shared" ref="I168" si="73">SUM(F168:H168)</f>
        <v>0</v>
      </c>
      <c r="J168" s="31"/>
      <c r="K168" s="66" t="s">
        <v>82</v>
      </c>
      <c r="L168" s="9"/>
      <c r="M168" s="10"/>
      <c r="N168" s="9"/>
      <c r="O168" s="70">
        <f t="shared" si="65"/>
        <v>0</v>
      </c>
      <c r="P168" s="9"/>
      <c r="Q168" s="9"/>
      <c r="R168" s="9"/>
      <c r="S168" s="7">
        <f t="shared" si="67"/>
        <v>0</v>
      </c>
      <c r="T168" s="47">
        <v>44767</v>
      </c>
    </row>
    <row r="169" spans="1:21" ht="14.25" thickBot="1" x14ac:dyDescent="0.2">
      <c r="A169" s="2" t="s">
        <v>5</v>
      </c>
      <c r="B169" s="12">
        <f>SUM(B145:B168)</f>
        <v>3</v>
      </c>
      <c r="C169" s="12">
        <f>SUM(C145:C168)</f>
        <v>5</v>
      </c>
      <c r="D169" s="12">
        <f>SUM(D145:D168)</f>
        <v>15</v>
      </c>
      <c r="E169" s="13">
        <f t="shared" si="62"/>
        <v>23</v>
      </c>
      <c r="F169" s="12">
        <f>SUM(F145:F168)</f>
        <v>3</v>
      </c>
      <c r="G169" s="12">
        <f>SUM(G145:G168)</f>
        <v>5</v>
      </c>
      <c r="H169" s="12">
        <f>SUM(H145:H168)</f>
        <v>15</v>
      </c>
      <c r="I169" s="13">
        <f t="shared" si="63"/>
        <v>23</v>
      </c>
      <c r="J169" s="48"/>
      <c r="K169" s="2" t="s">
        <v>5</v>
      </c>
      <c r="L169" s="68">
        <f>SUM(L145:L168)</f>
        <v>68</v>
      </c>
      <c r="M169" s="12">
        <f>SUM(M145:M168)</f>
        <v>99</v>
      </c>
      <c r="N169" s="12">
        <f>SUM(N145:N168)</f>
        <v>62</v>
      </c>
      <c r="O169" s="13">
        <f t="shared" si="65"/>
        <v>229</v>
      </c>
      <c r="P169" s="12">
        <f>SUM(P145:P168)</f>
        <v>68</v>
      </c>
      <c r="Q169" s="12">
        <f>SUM(Q145:Q168)</f>
        <v>99</v>
      </c>
      <c r="R169" s="12">
        <f>SUM(R145:R168)</f>
        <v>62</v>
      </c>
      <c r="S169" s="13">
        <f t="shared" si="67"/>
        <v>229</v>
      </c>
    </row>
    <row r="170" spans="1:21" ht="14.25" thickBot="1" x14ac:dyDescent="0.2">
      <c r="A170" s="21" t="s">
        <v>6</v>
      </c>
      <c r="B170" s="22">
        <f>B144-B169</f>
        <v>0</v>
      </c>
      <c r="C170" s="22">
        <f t="shared" ref="C170:E170" si="74">C144-C169</f>
        <v>0</v>
      </c>
      <c r="D170" s="22">
        <f t="shared" si="74"/>
        <v>0</v>
      </c>
      <c r="E170" s="22">
        <f t="shared" si="74"/>
        <v>0</v>
      </c>
      <c r="F170" s="22">
        <f>F144-F169</f>
        <v>0</v>
      </c>
      <c r="G170" s="22">
        <f>G144-G169</f>
        <v>0</v>
      </c>
      <c r="H170" s="22">
        <f>H144-H169</f>
        <v>0</v>
      </c>
      <c r="I170" s="20">
        <f t="shared" ref="I170" si="75">I144-I169</f>
        <v>0</v>
      </c>
      <c r="J170" s="48"/>
      <c r="K170" s="21" t="s">
        <v>6</v>
      </c>
      <c r="L170" s="22">
        <f>L144-L169</f>
        <v>8</v>
      </c>
      <c r="M170" s="22">
        <f t="shared" ref="M170:O170" si="76">M144-M169</f>
        <v>14</v>
      </c>
      <c r="N170" s="22">
        <f t="shared" si="76"/>
        <v>7</v>
      </c>
      <c r="O170" s="22">
        <f t="shared" si="76"/>
        <v>29</v>
      </c>
      <c r="P170" s="22">
        <f>P144-P169</f>
        <v>8</v>
      </c>
      <c r="Q170" s="22">
        <f>Q144-Q169</f>
        <v>14</v>
      </c>
      <c r="R170" s="22">
        <f>R144-R169</f>
        <v>7</v>
      </c>
      <c r="S170" s="20">
        <f t="shared" ref="S170" si="77">S144-S169</f>
        <v>29</v>
      </c>
    </row>
    <row r="171" spans="1:21" x14ac:dyDescent="0.15">
      <c r="K171" s="55"/>
      <c r="L171" s="65">
        <f>L169+L126+L83+L40</f>
        <v>323</v>
      </c>
      <c r="M171" s="65">
        <f t="shared" ref="M171:S171" si="78">M169+M126+M83+M40</f>
        <v>413</v>
      </c>
      <c r="N171" s="65">
        <f t="shared" si="78"/>
        <v>263</v>
      </c>
      <c r="O171" s="65">
        <f t="shared" si="78"/>
        <v>999</v>
      </c>
      <c r="P171" s="65">
        <f t="shared" si="78"/>
        <v>323</v>
      </c>
      <c r="Q171" s="65">
        <f t="shared" si="78"/>
        <v>413</v>
      </c>
      <c r="R171" s="65">
        <f t="shared" si="78"/>
        <v>263</v>
      </c>
      <c r="S171" s="65">
        <f t="shared" si="78"/>
        <v>999</v>
      </c>
      <c r="T171" s="55"/>
    </row>
    <row r="172" spans="1:21" x14ac:dyDescent="0.15">
      <c r="K172" s="55"/>
      <c r="L172" s="74">
        <f>L171/$O$171*100</f>
        <v>32.332332332332328</v>
      </c>
      <c r="M172" s="74">
        <f t="shared" ref="M172:O172" si="79">M171/$O$171*100</f>
        <v>41.341341341341341</v>
      </c>
      <c r="N172" s="74">
        <f t="shared" si="79"/>
        <v>26.326326326326328</v>
      </c>
      <c r="O172" s="74">
        <f t="shared" si="79"/>
        <v>100</v>
      </c>
      <c r="P172" s="55"/>
      <c r="Q172" s="55"/>
      <c r="R172" s="55"/>
      <c r="S172" s="55"/>
      <c r="T172" s="55"/>
    </row>
    <row r="173" spans="1:21" ht="21.75" thickBot="1" x14ac:dyDescent="0.25">
      <c r="A173" s="26" t="s">
        <v>14</v>
      </c>
      <c r="B173" s="27"/>
      <c r="C173" s="27"/>
      <c r="D173" s="27"/>
      <c r="E173" s="27"/>
      <c r="F173" s="28"/>
      <c r="G173" s="28"/>
      <c r="H173" s="28"/>
      <c r="I173" s="28"/>
      <c r="J173" s="49"/>
      <c r="K173" s="26" t="s">
        <v>15</v>
      </c>
      <c r="L173" s="27"/>
      <c r="M173" s="27"/>
      <c r="N173" s="27"/>
      <c r="O173" s="27"/>
      <c r="P173" s="28"/>
      <c r="Q173" s="28"/>
      <c r="R173" s="28"/>
      <c r="S173" s="28"/>
    </row>
    <row r="174" spans="1:21" ht="14.25" thickBot="1" x14ac:dyDescent="0.2">
      <c r="A174" s="1" t="s">
        <v>0</v>
      </c>
      <c r="B174" s="183" t="s">
        <v>12</v>
      </c>
      <c r="C174" s="183"/>
      <c r="D174" s="183"/>
      <c r="E174" s="184"/>
      <c r="F174" s="183" t="s">
        <v>10</v>
      </c>
      <c r="G174" s="183"/>
      <c r="H174" s="183"/>
      <c r="I174" s="184"/>
      <c r="J174" s="48"/>
      <c r="K174" s="1" t="s">
        <v>0</v>
      </c>
      <c r="L174" s="183" t="s">
        <v>12</v>
      </c>
      <c r="M174" s="183"/>
      <c r="N174" s="183"/>
      <c r="O174" s="184"/>
      <c r="P174" s="183" t="s">
        <v>10</v>
      </c>
      <c r="Q174" s="183"/>
      <c r="R174" s="183"/>
      <c r="S174" s="184"/>
    </row>
    <row r="175" spans="1:21" ht="14.25" thickBot="1" x14ac:dyDescent="0.2">
      <c r="A175" s="1" t="s">
        <v>1</v>
      </c>
      <c r="B175" s="2" t="s">
        <v>7</v>
      </c>
      <c r="C175" s="1" t="s">
        <v>8</v>
      </c>
      <c r="D175" s="15" t="s">
        <v>9</v>
      </c>
      <c r="E175" s="1" t="s">
        <v>2</v>
      </c>
      <c r="F175" s="2" t="s">
        <v>7</v>
      </c>
      <c r="G175" s="1" t="s">
        <v>8</v>
      </c>
      <c r="H175" s="15" t="s">
        <v>9</v>
      </c>
      <c r="I175" s="1" t="s">
        <v>2</v>
      </c>
      <c r="J175" s="48"/>
      <c r="K175" s="1" t="s">
        <v>1</v>
      </c>
      <c r="L175" s="2" t="s">
        <v>7</v>
      </c>
      <c r="M175" s="1" t="s">
        <v>8</v>
      </c>
      <c r="N175" s="15" t="s">
        <v>9</v>
      </c>
      <c r="O175" s="1" t="s">
        <v>2</v>
      </c>
      <c r="P175" s="2" t="s">
        <v>7</v>
      </c>
      <c r="Q175" s="1" t="s">
        <v>8</v>
      </c>
      <c r="R175" s="15" t="s">
        <v>9</v>
      </c>
      <c r="S175" s="1" t="s">
        <v>2</v>
      </c>
    </row>
    <row r="176" spans="1:21" ht="14.25" thickBot="1" x14ac:dyDescent="0.2">
      <c r="A176" s="41" t="s">
        <v>13</v>
      </c>
      <c r="B176" s="42">
        <f>B170</f>
        <v>0</v>
      </c>
      <c r="C176" s="43">
        <f>C170</f>
        <v>0</v>
      </c>
      <c r="D176" s="44">
        <f>D170</f>
        <v>0</v>
      </c>
      <c r="E176" s="45">
        <f t="shared" ref="E176:E212" si="80">SUM(B176:D176)</f>
        <v>0</v>
      </c>
      <c r="F176" s="42">
        <f>F170</f>
        <v>0</v>
      </c>
      <c r="G176" s="43">
        <f>G170</f>
        <v>0</v>
      </c>
      <c r="H176" s="44">
        <f>H170</f>
        <v>0</v>
      </c>
      <c r="I176" s="45">
        <f t="shared" ref="I176:I212" si="81">SUM(F176:H176)</f>
        <v>0</v>
      </c>
      <c r="J176" s="50"/>
      <c r="K176" s="34" t="s">
        <v>13</v>
      </c>
      <c r="L176" s="35">
        <f>L170</f>
        <v>8</v>
      </c>
      <c r="M176" s="35">
        <f t="shared" ref="M176:N176" si="82">M170</f>
        <v>14</v>
      </c>
      <c r="N176" s="35">
        <f t="shared" si="82"/>
        <v>7</v>
      </c>
      <c r="O176" s="20">
        <f t="shared" ref="O176:O210" si="83">SUM(L176:N176)</f>
        <v>29</v>
      </c>
      <c r="P176" s="35">
        <f>P170</f>
        <v>8</v>
      </c>
      <c r="Q176" s="36">
        <f t="shared" ref="Q176:R176" si="84">Q170</f>
        <v>14</v>
      </c>
      <c r="R176" s="37">
        <f t="shared" si="84"/>
        <v>7</v>
      </c>
      <c r="S176" s="20">
        <f t="shared" ref="S176:S210" si="85">SUM(P176:R176)</f>
        <v>29</v>
      </c>
    </row>
    <row r="177" spans="1:21" x14ac:dyDescent="0.15">
      <c r="A177" s="6" t="s">
        <v>91</v>
      </c>
      <c r="B177" s="38">
        <v>1</v>
      </c>
      <c r="C177" s="39">
        <v>1</v>
      </c>
      <c r="D177" s="40">
        <v>1</v>
      </c>
      <c r="E177" s="4">
        <f t="shared" si="80"/>
        <v>3</v>
      </c>
      <c r="F177" s="38">
        <v>1</v>
      </c>
      <c r="G177" s="39">
        <v>1</v>
      </c>
      <c r="H177" s="40">
        <v>1</v>
      </c>
      <c r="I177" s="4">
        <f t="shared" si="81"/>
        <v>3</v>
      </c>
      <c r="J177" s="47">
        <v>44799</v>
      </c>
      <c r="K177" s="5" t="s">
        <v>152</v>
      </c>
      <c r="L177" s="46">
        <v>2</v>
      </c>
      <c r="M177" s="3">
        <v>2</v>
      </c>
      <c r="N177" s="46">
        <v>1</v>
      </c>
      <c r="O177" s="4">
        <f t="shared" si="83"/>
        <v>5</v>
      </c>
      <c r="P177" s="46">
        <v>2</v>
      </c>
      <c r="Q177" s="3">
        <v>2</v>
      </c>
      <c r="R177" s="46">
        <v>1</v>
      </c>
      <c r="S177" s="4">
        <f t="shared" si="85"/>
        <v>5</v>
      </c>
      <c r="T177" s="56">
        <v>44796</v>
      </c>
    </row>
    <row r="178" spans="1:21" x14ac:dyDescent="0.15">
      <c r="A178" s="6" t="s">
        <v>3</v>
      </c>
      <c r="B178" s="14">
        <v>3</v>
      </c>
      <c r="C178" s="11"/>
      <c r="D178" s="14">
        <v>2</v>
      </c>
      <c r="E178" s="4">
        <f t="shared" si="80"/>
        <v>5</v>
      </c>
      <c r="F178" s="14">
        <v>3</v>
      </c>
      <c r="G178" s="11"/>
      <c r="H178" s="14">
        <v>2</v>
      </c>
      <c r="I178" s="4">
        <f t="shared" si="81"/>
        <v>5</v>
      </c>
      <c r="J178" s="31">
        <v>44803</v>
      </c>
      <c r="K178" s="5" t="s">
        <v>3</v>
      </c>
      <c r="L178" s="14"/>
      <c r="M178" s="11"/>
      <c r="N178" s="14"/>
      <c r="O178" s="4">
        <f t="shared" si="83"/>
        <v>0</v>
      </c>
      <c r="P178" s="14"/>
      <c r="Q178" s="11"/>
      <c r="R178" s="14"/>
      <c r="S178" s="4">
        <f t="shared" si="85"/>
        <v>0</v>
      </c>
      <c r="T178" s="47"/>
    </row>
    <row r="179" spans="1:21" x14ac:dyDescent="0.15">
      <c r="A179" s="6" t="s">
        <v>158</v>
      </c>
      <c r="B179" s="14">
        <v>2</v>
      </c>
      <c r="C179" s="11"/>
      <c r="D179" s="14"/>
      <c r="E179" s="4">
        <f t="shared" si="80"/>
        <v>2</v>
      </c>
      <c r="F179" s="14">
        <v>2</v>
      </c>
      <c r="G179" s="11"/>
      <c r="H179" s="14"/>
      <c r="I179" s="4">
        <f t="shared" si="81"/>
        <v>2</v>
      </c>
      <c r="J179" s="31">
        <v>44809</v>
      </c>
      <c r="K179" s="5" t="s">
        <v>3</v>
      </c>
      <c r="L179" s="14"/>
      <c r="M179" s="11"/>
      <c r="N179" s="14"/>
      <c r="O179" s="4">
        <f t="shared" si="83"/>
        <v>0</v>
      </c>
      <c r="P179" s="14"/>
      <c r="Q179" s="11"/>
      <c r="R179" s="14"/>
      <c r="S179" s="4">
        <f t="shared" si="85"/>
        <v>0</v>
      </c>
      <c r="T179" s="47"/>
    </row>
    <row r="180" spans="1:21" x14ac:dyDescent="0.15">
      <c r="A180" s="6" t="s">
        <v>148</v>
      </c>
      <c r="B180" s="14"/>
      <c r="C180" s="11">
        <v>1</v>
      </c>
      <c r="D180" s="14"/>
      <c r="E180" s="4">
        <f t="shared" si="80"/>
        <v>1</v>
      </c>
      <c r="F180" s="14"/>
      <c r="G180" s="11">
        <v>1</v>
      </c>
      <c r="H180" s="14"/>
      <c r="I180" s="4">
        <f t="shared" si="81"/>
        <v>1</v>
      </c>
      <c r="J180" s="31">
        <v>44855</v>
      </c>
      <c r="K180" s="5" t="s">
        <v>3</v>
      </c>
      <c r="L180" s="25"/>
      <c r="M180" s="24"/>
      <c r="N180" s="25"/>
      <c r="O180" s="7">
        <f t="shared" si="83"/>
        <v>0</v>
      </c>
      <c r="P180" s="25"/>
      <c r="Q180" s="24"/>
      <c r="R180" s="25"/>
      <c r="S180" s="7">
        <f t="shared" si="85"/>
        <v>0</v>
      </c>
      <c r="T180" s="56"/>
    </row>
    <row r="181" spans="1:21" x14ac:dyDescent="0.15">
      <c r="A181" s="6" t="s">
        <v>3</v>
      </c>
      <c r="B181" s="14"/>
      <c r="C181" s="11"/>
      <c r="D181" s="14"/>
      <c r="E181" s="4">
        <f t="shared" si="80"/>
        <v>0</v>
      </c>
      <c r="F181" s="14"/>
      <c r="G181" s="11"/>
      <c r="H181" s="14"/>
      <c r="I181" s="4">
        <f t="shared" si="81"/>
        <v>0</v>
      </c>
      <c r="J181" s="31"/>
      <c r="K181" s="5" t="s">
        <v>3</v>
      </c>
      <c r="L181" s="14"/>
      <c r="M181" s="11"/>
      <c r="N181" s="14"/>
      <c r="O181" s="4">
        <f t="shared" si="83"/>
        <v>0</v>
      </c>
      <c r="P181" s="14"/>
      <c r="Q181" s="11"/>
      <c r="R181" s="14"/>
      <c r="S181" s="4">
        <f t="shared" si="85"/>
        <v>0</v>
      </c>
    </row>
    <row r="182" spans="1:21" x14ac:dyDescent="0.15">
      <c r="A182" s="6" t="s">
        <v>3</v>
      </c>
      <c r="B182" s="14"/>
      <c r="C182" s="11"/>
      <c r="D182" s="14"/>
      <c r="E182" s="4">
        <f t="shared" si="80"/>
        <v>0</v>
      </c>
      <c r="F182" s="14"/>
      <c r="G182" s="11"/>
      <c r="H182" s="14"/>
      <c r="I182" s="4">
        <f t="shared" si="81"/>
        <v>0</v>
      </c>
      <c r="J182" s="31"/>
      <c r="K182" s="5" t="s">
        <v>3</v>
      </c>
      <c r="L182" s="14"/>
      <c r="M182" s="11"/>
      <c r="N182" s="14"/>
      <c r="O182" s="4">
        <f t="shared" si="83"/>
        <v>0</v>
      </c>
      <c r="P182" s="14"/>
      <c r="Q182" s="11"/>
      <c r="R182" s="14"/>
      <c r="S182" s="4">
        <f t="shared" si="85"/>
        <v>0</v>
      </c>
    </row>
    <row r="183" spans="1:21" x14ac:dyDescent="0.15">
      <c r="A183" s="6" t="s">
        <v>3</v>
      </c>
      <c r="B183" s="14"/>
      <c r="C183" s="11"/>
      <c r="D183" s="14"/>
      <c r="E183" s="4">
        <f t="shared" si="80"/>
        <v>0</v>
      </c>
      <c r="F183" s="14"/>
      <c r="G183" s="11"/>
      <c r="H183" s="14"/>
      <c r="I183" s="4">
        <f t="shared" si="81"/>
        <v>0</v>
      </c>
      <c r="J183" s="31"/>
      <c r="K183" s="5" t="s">
        <v>3</v>
      </c>
      <c r="L183" s="14"/>
      <c r="M183" s="11"/>
      <c r="N183" s="14"/>
      <c r="O183" s="4">
        <f t="shared" si="83"/>
        <v>0</v>
      </c>
      <c r="P183" s="14"/>
      <c r="Q183" s="11"/>
      <c r="R183" s="14"/>
      <c r="S183" s="4">
        <f t="shared" si="85"/>
        <v>0</v>
      </c>
    </row>
    <row r="184" spans="1:21" x14ac:dyDescent="0.15">
      <c r="A184" s="6" t="s">
        <v>3</v>
      </c>
      <c r="B184" s="23"/>
      <c r="C184" s="24"/>
      <c r="D184" s="25"/>
      <c r="E184" s="7">
        <f t="shared" si="80"/>
        <v>0</v>
      </c>
      <c r="F184" s="23"/>
      <c r="G184" s="24"/>
      <c r="H184" s="25"/>
      <c r="I184" s="7">
        <f t="shared" si="81"/>
        <v>0</v>
      </c>
      <c r="J184" s="47"/>
      <c r="K184" s="5" t="s">
        <v>3</v>
      </c>
      <c r="L184" s="25"/>
      <c r="M184" s="24"/>
      <c r="N184" s="25"/>
      <c r="O184" s="7">
        <f t="shared" si="83"/>
        <v>0</v>
      </c>
      <c r="P184" s="23"/>
      <c r="Q184" s="24"/>
      <c r="R184" s="25"/>
      <c r="S184" s="7">
        <f t="shared" si="85"/>
        <v>0</v>
      </c>
      <c r="T184" s="55"/>
    </row>
    <row r="185" spans="1:21" x14ac:dyDescent="0.15">
      <c r="A185" s="6" t="s">
        <v>3</v>
      </c>
      <c r="B185" s="23"/>
      <c r="C185" s="24"/>
      <c r="D185" s="25"/>
      <c r="E185" s="7">
        <f t="shared" si="80"/>
        <v>0</v>
      </c>
      <c r="F185" s="23"/>
      <c r="G185" s="24"/>
      <c r="H185" s="25"/>
      <c r="I185" s="7">
        <f t="shared" si="81"/>
        <v>0</v>
      </c>
      <c r="J185" s="47"/>
      <c r="K185" s="5" t="s">
        <v>3</v>
      </c>
      <c r="L185" s="25"/>
      <c r="M185" s="24"/>
      <c r="N185" s="25"/>
      <c r="O185" s="7">
        <f t="shared" si="83"/>
        <v>0</v>
      </c>
      <c r="P185" s="25"/>
      <c r="Q185" s="24"/>
      <c r="R185" s="25"/>
      <c r="S185" s="7">
        <f t="shared" si="85"/>
        <v>0</v>
      </c>
      <c r="T185" s="55"/>
    </row>
    <row r="186" spans="1:21" ht="14.25" thickBot="1" x14ac:dyDescent="0.2">
      <c r="A186" s="6" t="s">
        <v>3</v>
      </c>
      <c r="B186" s="29"/>
      <c r="C186" s="30"/>
      <c r="D186" s="29"/>
      <c r="E186" s="16">
        <f t="shared" si="80"/>
        <v>0</v>
      </c>
      <c r="F186" s="29"/>
      <c r="G186" s="30"/>
      <c r="H186" s="29"/>
      <c r="I186" s="16">
        <f t="shared" si="81"/>
        <v>0</v>
      </c>
      <c r="J186" s="31"/>
      <c r="K186" s="33" t="s">
        <v>3</v>
      </c>
      <c r="L186" s="29"/>
      <c r="M186" s="30"/>
      <c r="N186" s="29"/>
      <c r="O186" s="16">
        <f t="shared" si="83"/>
        <v>0</v>
      </c>
      <c r="P186" s="29"/>
      <c r="Q186" s="30"/>
      <c r="R186" s="29"/>
      <c r="S186" s="16">
        <f t="shared" si="85"/>
        <v>0</v>
      </c>
      <c r="T186" s="47"/>
    </row>
    <row r="187" spans="1:21" ht="14.25" thickBot="1" x14ac:dyDescent="0.2">
      <c r="A187" s="17" t="s">
        <v>4</v>
      </c>
      <c r="B187" s="18">
        <f>SUM(B176:B186)</f>
        <v>6</v>
      </c>
      <c r="C187" s="18">
        <f>SUM(C176:C186)</f>
        <v>2</v>
      </c>
      <c r="D187" s="19">
        <f>SUM(D176:D186)</f>
        <v>3</v>
      </c>
      <c r="E187" s="20">
        <f t="shared" si="80"/>
        <v>11</v>
      </c>
      <c r="F187" s="18">
        <f>SUM(F176:F186)</f>
        <v>6</v>
      </c>
      <c r="G187" s="18">
        <f>SUM(G176:G186)</f>
        <v>2</v>
      </c>
      <c r="H187" s="19">
        <f>SUM(H176:H186)</f>
        <v>3</v>
      </c>
      <c r="I187" s="20">
        <f t="shared" si="81"/>
        <v>11</v>
      </c>
      <c r="J187" s="48"/>
      <c r="K187" s="17" t="s">
        <v>4</v>
      </c>
      <c r="L187" s="67">
        <f>SUM(L176:L186)</f>
        <v>10</v>
      </c>
      <c r="M187" s="18">
        <f>SUM(M176:M186)</f>
        <v>16</v>
      </c>
      <c r="N187" s="19">
        <f>SUM(N176:N186)</f>
        <v>8</v>
      </c>
      <c r="O187" s="20">
        <f t="shared" si="83"/>
        <v>34</v>
      </c>
      <c r="P187" s="18">
        <f>SUM(P176:P186)</f>
        <v>10</v>
      </c>
      <c r="Q187" s="18">
        <f>SUM(Q176:Q186)</f>
        <v>16</v>
      </c>
      <c r="R187" s="19">
        <f>SUM(R176:R186)</f>
        <v>8</v>
      </c>
      <c r="S187" s="20">
        <f t="shared" si="85"/>
        <v>34</v>
      </c>
    </row>
    <row r="188" spans="1:21" x14ac:dyDescent="0.15">
      <c r="A188" s="5" t="s">
        <v>138</v>
      </c>
      <c r="B188" s="8">
        <v>-1</v>
      </c>
      <c r="C188" s="9"/>
      <c r="D188" s="10">
        <v>1</v>
      </c>
      <c r="E188" s="4">
        <f t="shared" si="80"/>
        <v>0</v>
      </c>
      <c r="F188" s="8">
        <v>-1</v>
      </c>
      <c r="G188" s="9"/>
      <c r="H188" s="10">
        <v>1</v>
      </c>
      <c r="I188" s="4">
        <f t="shared" si="81"/>
        <v>0</v>
      </c>
      <c r="J188" s="31">
        <v>44803</v>
      </c>
      <c r="K188" s="66" t="s">
        <v>129</v>
      </c>
      <c r="L188" s="71"/>
      <c r="M188" s="10">
        <v>7</v>
      </c>
      <c r="N188" s="71"/>
      <c r="O188" s="69">
        <f t="shared" si="83"/>
        <v>7</v>
      </c>
      <c r="P188" s="71"/>
      <c r="Q188" s="71">
        <v>7</v>
      </c>
      <c r="R188" s="71"/>
      <c r="S188" s="72">
        <f t="shared" si="85"/>
        <v>7</v>
      </c>
      <c r="T188" s="47">
        <v>44795</v>
      </c>
      <c r="U188" s="54"/>
    </row>
    <row r="189" spans="1:21" x14ac:dyDescent="0.15">
      <c r="A189" s="66" t="s">
        <v>156</v>
      </c>
      <c r="B189" s="8">
        <v>1</v>
      </c>
      <c r="C189" s="9"/>
      <c r="D189" s="10"/>
      <c r="E189" s="4">
        <f t="shared" si="80"/>
        <v>1</v>
      </c>
      <c r="F189" s="8">
        <v>1</v>
      </c>
      <c r="G189" s="9"/>
      <c r="H189" s="10"/>
      <c r="I189" s="4">
        <f t="shared" si="81"/>
        <v>1</v>
      </c>
      <c r="J189" s="31">
        <v>44805</v>
      </c>
      <c r="K189" s="66" t="s">
        <v>151</v>
      </c>
      <c r="L189" s="9">
        <v>2</v>
      </c>
      <c r="M189" s="10">
        <v>9</v>
      </c>
      <c r="N189" s="9">
        <v>2</v>
      </c>
      <c r="O189" s="69">
        <f t="shared" si="83"/>
        <v>13</v>
      </c>
      <c r="P189" s="9">
        <v>2</v>
      </c>
      <c r="Q189" s="9">
        <v>9</v>
      </c>
      <c r="R189" s="9">
        <v>2</v>
      </c>
      <c r="S189" s="4">
        <f t="shared" si="85"/>
        <v>13</v>
      </c>
      <c r="T189" s="47">
        <v>44797</v>
      </c>
    </row>
    <row r="190" spans="1:21" x14ac:dyDescent="0.15">
      <c r="A190" s="66" t="s">
        <v>157</v>
      </c>
      <c r="B190" s="8"/>
      <c r="C190" s="9"/>
      <c r="D190" s="10">
        <v>2</v>
      </c>
      <c r="E190" s="4">
        <f t="shared" si="80"/>
        <v>2</v>
      </c>
      <c r="F190" s="8"/>
      <c r="G190" s="9"/>
      <c r="H190" s="10">
        <v>2</v>
      </c>
      <c r="I190" s="4">
        <f t="shared" si="81"/>
        <v>2</v>
      </c>
      <c r="J190" s="31">
        <v>44805</v>
      </c>
      <c r="K190" s="66" t="s">
        <v>153</v>
      </c>
      <c r="L190" s="9">
        <v>3</v>
      </c>
      <c r="M190" s="10"/>
      <c r="N190" s="9">
        <v>4</v>
      </c>
      <c r="O190" s="69">
        <f t="shared" ref="O190" si="86">SUM(L190:N190)</f>
        <v>7</v>
      </c>
      <c r="P190" s="9">
        <v>3</v>
      </c>
      <c r="Q190" s="9"/>
      <c r="R190" s="9">
        <v>4</v>
      </c>
      <c r="S190" s="4">
        <f t="shared" ref="S190" si="87">SUM(P190:R190)</f>
        <v>7</v>
      </c>
      <c r="T190" s="47">
        <v>44798</v>
      </c>
    </row>
    <row r="191" spans="1:21" x14ac:dyDescent="0.15">
      <c r="A191" s="66" t="s">
        <v>159</v>
      </c>
      <c r="B191" s="8">
        <v>1</v>
      </c>
      <c r="C191" s="9"/>
      <c r="D191" s="10"/>
      <c r="E191" s="4">
        <f t="shared" si="80"/>
        <v>1</v>
      </c>
      <c r="F191" s="8">
        <v>1</v>
      </c>
      <c r="G191" s="9"/>
      <c r="H191" s="10"/>
      <c r="I191" s="4">
        <f t="shared" si="81"/>
        <v>1</v>
      </c>
      <c r="J191" s="31">
        <v>44810</v>
      </c>
      <c r="K191" s="66" t="s">
        <v>154</v>
      </c>
      <c r="L191" s="9">
        <v>2</v>
      </c>
      <c r="M191" s="10"/>
      <c r="N191" s="9"/>
      <c r="O191" s="69">
        <f t="shared" si="83"/>
        <v>2</v>
      </c>
      <c r="P191" s="9">
        <v>2</v>
      </c>
      <c r="Q191" s="9"/>
      <c r="R191" s="9"/>
      <c r="S191" s="4">
        <f t="shared" si="85"/>
        <v>2</v>
      </c>
      <c r="T191" s="47">
        <v>44799</v>
      </c>
    </row>
    <row r="192" spans="1:21" x14ac:dyDescent="0.15">
      <c r="A192" s="66" t="s">
        <v>160</v>
      </c>
      <c r="B192" s="8">
        <v>1</v>
      </c>
      <c r="C192" s="9"/>
      <c r="D192" s="10"/>
      <c r="E192" s="4">
        <f t="shared" si="80"/>
        <v>1</v>
      </c>
      <c r="F192" s="8">
        <v>1</v>
      </c>
      <c r="G192" s="9"/>
      <c r="H192" s="10"/>
      <c r="I192" s="4">
        <f t="shared" si="81"/>
        <v>1</v>
      </c>
      <c r="J192" s="31">
        <v>44820</v>
      </c>
      <c r="K192" s="66" t="s">
        <v>155</v>
      </c>
      <c r="L192" s="9">
        <v>3</v>
      </c>
      <c r="M192" s="10"/>
      <c r="N192" s="9">
        <v>2</v>
      </c>
      <c r="O192" s="69">
        <f t="shared" ref="O192" si="88">SUM(L192:N192)</f>
        <v>5</v>
      </c>
      <c r="P192" s="9">
        <v>3</v>
      </c>
      <c r="Q192" s="9"/>
      <c r="R192" s="9">
        <v>2</v>
      </c>
      <c r="S192" s="4">
        <f t="shared" si="85"/>
        <v>5</v>
      </c>
      <c r="T192" s="47">
        <v>44803</v>
      </c>
    </row>
    <row r="193" spans="1:20" x14ac:dyDescent="0.15">
      <c r="A193" s="3" t="s">
        <v>167</v>
      </c>
      <c r="B193" s="8">
        <v>1</v>
      </c>
      <c r="C193" s="9"/>
      <c r="D193" s="10"/>
      <c r="E193" s="7">
        <f t="shared" si="80"/>
        <v>1</v>
      </c>
      <c r="F193" s="8">
        <v>1</v>
      </c>
      <c r="G193" s="9"/>
      <c r="H193" s="10"/>
      <c r="I193" s="7">
        <f t="shared" si="81"/>
        <v>1</v>
      </c>
      <c r="J193" s="31">
        <v>44837</v>
      </c>
      <c r="K193" s="66"/>
      <c r="L193" s="9"/>
      <c r="M193" s="10"/>
      <c r="N193" s="9"/>
      <c r="O193" s="70">
        <f t="shared" si="83"/>
        <v>0</v>
      </c>
      <c r="P193" s="9"/>
      <c r="Q193" s="9"/>
      <c r="R193" s="9"/>
      <c r="S193" s="7">
        <f t="shared" si="85"/>
        <v>0</v>
      </c>
      <c r="T193" s="47"/>
    </row>
    <row r="194" spans="1:20" x14ac:dyDescent="0.15">
      <c r="A194" s="3" t="s">
        <v>168</v>
      </c>
      <c r="B194" s="8">
        <v>1</v>
      </c>
      <c r="C194" s="9"/>
      <c r="D194" s="10"/>
      <c r="E194" s="7">
        <f t="shared" si="80"/>
        <v>1</v>
      </c>
      <c r="F194" s="8">
        <v>1</v>
      </c>
      <c r="G194" s="9"/>
      <c r="H194" s="10"/>
      <c r="I194" s="7">
        <f t="shared" si="81"/>
        <v>1</v>
      </c>
      <c r="J194" s="31">
        <v>44862</v>
      </c>
      <c r="K194" s="3"/>
      <c r="L194" s="9"/>
      <c r="M194" s="10"/>
      <c r="N194" s="9"/>
      <c r="O194" s="70">
        <f t="shared" si="83"/>
        <v>0</v>
      </c>
      <c r="P194" s="9"/>
      <c r="Q194" s="9"/>
      <c r="R194" s="9"/>
      <c r="S194" s="7">
        <f t="shared" si="85"/>
        <v>0</v>
      </c>
      <c r="T194" s="47"/>
    </row>
    <row r="195" spans="1:20" x14ac:dyDescent="0.15">
      <c r="A195" s="3" t="s">
        <v>172</v>
      </c>
      <c r="B195" s="8">
        <v>1</v>
      </c>
      <c r="C195" s="9"/>
      <c r="D195" s="10"/>
      <c r="E195" s="7">
        <f t="shared" si="80"/>
        <v>1</v>
      </c>
      <c r="F195" s="81">
        <v>1</v>
      </c>
      <c r="G195" s="9"/>
      <c r="H195" s="10"/>
      <c r="I195" s="7">
        <f t="shared" si="81"/>
        <v>1</v>
      </c>
      <c r="J195" s="31">
        <v>44949</v>
      </c>
      <c r="K195" s="3"/>
      <c r="L195" s="9"/>
      <c r="M195" s="10"/>
      <c r="N195" s="9"/>
      <c r="O195" s="70">
        <f t="shared" si="83"/>
        <v>0</v>
      </c>
      <c r="P195" s="9"/>
      <c r="Q195" s="9"/>
      <c r="R195" s="9"/>
      <c r="S195" s="7">
        <f t="shared" si="85"/>
        <v>0</v>
      </c>
      <c r="T195" s="47"/>
    </row>
    <row r="196" spans="1:20" x14ac:dyDescent="0.15">
      <c r="A196" s="3" t="s">
        <v>173</v>
      </c>
      <c r="B196" s="8"/>
      <c r="C196" s="9">
        <v>1</v>
      </c>
      <c r="D196" s="10"/>
      <c r="E196" s="7">
        <f t="shared" si="80"/>
        <v>1</v>
      </c>
      <c r="F196" s="8"/>
      <c r="G196" s="9">
        <v>1</v>
      </c>
      <c r="H196" s="10"/>
      <c r="I196" s="7">
        <f t="shared" si="81"/>
        <v>1</v>
      </c>
      <c r="J196" s="31">
        <v>44951</v>
      </c>
      <c r="K196" s="3"/>
      <c r="L196" s="9"/>
      <c r="M196" s="10"/>
      <c r="N196" s="9"/>
      <c r="O196" s="70">
        <f t="shared" si="83"/>
        <v>0</v>
      </c>
      <c r="P196" s="9"/>
      <c r="Q196" s="9"/>
      <c r="R196" s="9"/>
      <c r="S196" s="7">
        <f t="shared" si="85"/>
        <v>0</v>
      </c>
      <c r="T196" s="47"/>
    </row>
    <row r="197" spans="1:20" x14ac:dyDescent="0.15">
      <c r="A197" s="3" t="s">
        <v>171</v>
      </c>
      <c r="B197" s="8">
        <v>1</v>
      </c>
      <c r="C197" s="9"/>
      <c r="D197" s="10"/>
      <c r="E197" s="4">
        <f t="shared" ref="E197" si="89">SUM(B197:D197)</f>
        <v>1</v>
      </c>
      <c r="F197" s="8">
        <v>1</v>
      </c>
      <c r="G197" s="9"/>
      <c r="H197" s="10"/>
      <c r="I197" s="4">
        <f t="shared" si="81"/>
        <v>1</v>
      </c>
      <c r="J197" s="31">
        <v>44944</v>
      </c>
      <c r="K197" s="3"/>
      <c r="L197" s="9"/>
      <c r="M197" s="10"/>
      <c r="N197" s="9"/>
      <c r="O197" s="70">
        <f t="shared" si="83"/>
        <v>0</v>
      </c>
      <c r="P197" s="9"/>
      <c r="Q197" s="9"/>
      <c r="R197" s="9"/>
      <c r="S197" s="7">
        <f t="shared" si="85"/>
        <v>0</v>
      </c>
      <c r="T197" s="47"/>
    </row>
    <row r="198" spans="1:20" x14ac:dyDescent="0.15">
      <c r="A198" s="3" t="s">
        <v>177</v>
      </c>
      <c r="B198" s="8"/>
      <c r="C198" s="9">
        <v>1</v>
      </c>
      <c r="D198" s="10"/>
      <c r="E198" s="7">
        <f t="shared" si="80"/>
        <v>1</v>
      </c>
      <c r="F198" s="8"/>
      <c r="G198" s="9">
        <v>1</v>
      </c>
      <c r="H198" s="10"/>
      <c r="I198" s="7">
        <f t="shared" si="81"/>
        <v>1</v>
      </c>
      <c r="J198" s="31">
        <v>44971</v>
      </c>
      <c r="K198" s="66"/>
      <c r="L198" s="9"/>
      <c r="M198" s="10"/>
      <c r="N198" s="9"/>
      <c r="O198" s="70">
        <f t="shared" si="83"/>
        <v>0</v>
      </c>
      <c r="P198" s="9"/>
      <c r="Q198" s="9"/>
      <c r="R198" s="9"/>
      <c r="S198" s="7">
        <f t="shared" si="85"/>
        <v>0</v>
      </c>
      <c r="T198" s="47"/>
    </row>
    <row r="199" spans="1:20" x14ac:dyDescent="0.15">
      <c r="A199" s="3"/>
      <c r="B199" s="8"/>
      <c r="C199" s="9"/>
      <c r="D199" s="10"/>
      <c r="E199" s="7">
        <f t="shared" si="80"/>
        <v>0</v>
      </c>
      <c r="F199" s="8"/>
      <c r="G199" s="9"/>
      <c r="H199" s="10"/>
      <c r="I199" s="7">
        <f t="shared" si="81"/>
        <v>0</v>
      </c>
      <c r="J199" s="31"/>
      <c r="K199" s="5"/>
      <c r="L199" s="9"/>
      <c r="M199" s="10"/>
      <c r="N199" s="9"/>
      <c r="O199" s="70">
        <f t="shared" si="83"/>
        <v>0</v>
      </c>
      <c r="P199" s="9"/>
      <c r="Q199" s="9"/>
      <c r="R199" s="9"/>
      <c r="S199" s="7">
        <f t="shared" si="85"/>
        <v>0</v>
      </c>
      <c r="T199" s="47"/>
    </row>
    <row r="200" spans="1:20" x14ac:dyDescent="0.15">
      <c r="A200" s="3"/>
      <c r="B200" s="8"/>
      <c r="C200" s="9"/>
      <c r="D200" s="10"/>
      <c r="E200" s="7">
        <f t="shared" si="80"/>
        <v>0</v>
      </c>
      <c r="F200" s="8"/>
      <c r="G200" s="9"/>
      <c r="H200" s="10"/>
      <c r="I200" s="7">
        <f t="shared" si="81"/>
        <v>0</v>
      </c>
      <c r="J200" s="31"/>
      <c r="K200" s="3"/>
      <c r="L200" s="9"/>
      <c r="M200" s="10"/>
      <c r="N200" s="9"/>
      <c r="O200" s="70">
        <f t="shared" si="83"/>
        <v>0</v>
      </c>
      <c r="P200" s="9"/>
      <c r="Q200" s="9"/>
      <c r="R200" s="9"/>
      <c r="S200" s="7">
        <f t="shared" si="85"/>
        <v>0</v>
      </c>
      <c r="T200" s="47"/>
    </row>
    <row r="201" spans="1:20" x14ac:dyDescent="0.15">
      <c r="A201" s="3"/>
      <c r="B201" s="8"/>
      <c r="C201" s="9"/>
      <c r="D201" s="10"/>
      <c r="E201" s="7">
        <f t="shared" si="80"/>
        <v>0</v>
      </c>
      <c r="F201" s="8"/>
      <c r="G201" s="9"/>
      <c r="H201" s="10"/>
      <c r="I201" s="7">
        <f t="shared" si="81"/>
        <v>0</v>
      </c>
      <c r="J201" s="31"/>
      <c r="K201" s="66"/>
      <c r="L201" s="9"/>
      <c r="M201" s="10"/>
      <c r="N201" s="9"/>
      <c r="O201" s="70">
        <f t="shared" si="83"/>
        <v>0</v>
      </c>
      <c r="P201" s="9"/>
      <c r="Q201" s="9"/>
      <c r="R201" s="9"/>
      <c r="S201" s="7">
        <f t="shared" si="85"/>
        <v>0</v>
      </c>
      <c r="T201" s="55"/>
    </row>
    <row r="202" spans="1:20" x14ac:dyDescent="0.15">
      <c r="A202" s="3"/>
      <c r="B202" s="8"/>
      <c r="C202" s="9"/>
      <c r="D202" s="10"/>
      <c r="E202" s="7">
        <f t="shared" si="80"/>
        <v>0</v>
      </c>
      <c r="F202" s="8"/>
      <c r="G202" s="9"/>
      <c r="H202" s="10"/>
      <c r="I202" s="7">
        <f t="shared" si="81"/>
        <v>0</v>
      </c>
      <c r="J202" s="31"/>
      <c r="K202" s="66"/>
      <c r="L202" s="9"/>
      <c r="M202" s="10"/>
      <c r="N202" s="9"/>
      <c r="O202" s="70">
        <f t="shared" si="83"/>
        <v>0</v>
      </c>
      <c r="P202" s="9"/>
      <c r="Q202" s="9"/>
      <c r="R202" s="9"/>
      <c r="S202" s="7">
        <f t="shared" si="85"/>
        <v>0</v>
      </c>
      <c r="T202" s="55"/>
    </row>
    <row r="203" spans="1:20" x14ac:dyDescent="0.15">
      <c r="A203" s="3"/>
      <c r="B203" s="8"/>
      <c r="C203" s="9"/>
      <c r="D203" s="10"/>
      <c r="E203" s="7">
        <f t="shared" si="80"/>
        <v>0</v>
      </c>
      <c r="F203" s="8"/>
      <c r="G203" s="9"/>
      <c r="H203" s="10"/>
      <c r="I203" s="7">
        <f t="shared" si="81"/>
        <v>0</v>
      </c>
      <c r="J203" s="31"/>
      <c r="K203" s="66"/>
      <c r="L203" s="9"/>
      <c r="M203" s="10"/>
      <c r="N203" s="9"/>
      <c r="O203" s="70">
        <f t="shared" si="83"/>
        <v>0</v>
      </c>
      <c r="P203" s="9"/>
      <c r="Q203" s="9"/>
      <c r="R203" s="9"/>
      <c r="S203" s="7">
        <f t="shared" si="85"/>
        <v>0</v>
      </c>
      <c r="T203" s="55"/>
    </row>
    <row r="204" spans="1:20" x14ac:dyDescent="0.15">
      <c r="A204" s="3"/>
      <c r="B204" s="8"/>
      <c r="C204" s="9"/>
      <c r="D204" s="10"/>
      <c r="E204" s="7">
        <f t="shared" si="80"/>
        <v>0</v>
      </c>
      <c r="F204" s="8"/>
      <c r="G204" s="9"/>
      <c r="H204" s="10"/>
      <c r="I204" s="7">
        <f t="shared" si="81"/>
        <v>0</v>
      </c>
      <c r="J204" s="31"/>
      <c r="K204" s="3"/>
      <c r="L204" s="8"/>
      <c r="M204" s="9"/>
      <c r="N204" s="10"/>
      <c r="O204" s="7">
        <f t="shared" si="83"/>
        <v>0</v>
      </c>
      <c r="P204" s="8"/>
      <c r="Q204" s="9"/>
      <c r="R204" s="10"/>
      <c r="S204" s="7">
        <f t="shared" si="85"/>
        <v>0</v>
      </c>
      <c r="T204" s="55"/>
    </row>
    <row r="205" spans="1:20" x14ac:dyDescent="0.15">
      <c r="A205" s="3"/>
      <c r="B205" s="8"/>
      <c r="C205" s="9"/>
      <c r="D205" s="10"/>
      <c r="E205" s="7">
        <f t="shared" si="80"/>
        <v>0</v>
      </c>
      <c r="F205" s="8"/>
      <c r="G205" s="9"/>
      <c r="H205" s="10"/>
      <c r="I205" s="7">
        <f t="shared" si="81"/>
        <v>0</v>
      </c>
      <c r="J205" s="31"/>
      <c r="K205" s="3"/>
      <c r="L205" s="8"/>
      <c r="M205" s="9"/>
      <c r="N205" s="10"/>
      <c r="O205" s="7">
        <f t="shared" si="83"/>
        <v>0</v>
      </c>
      <c r="P205" s="8"/>
      <c r="Q205" s="9"/>
      <c r="R205" s="10"/>
      <c r="S205" s="7">
        <f t="shared" si="85"/>
        <v>0</v>
      </c>
      <c r="T205" s="55"/>
    </row>
    <row r="206" spans="1:20" x14ac:dyDescent="0.15">
      <c r="A206" s="3"/>
      <c r="B206" s="8"/>
      <c r="C206" s="9"/>
      <c r="D206" s="10"/>
      <c r="E206" s="7">
        <f t="shared" si="80"/>
        <v>0</v>
      </c>
      <c r="F206" s="8"/>
      <c r="G206" s="9"/>
      <c r="H206" s="10"/>
      <c r="I206" s="7">
        <f t="shared" si="81"/>
        <v>0</v>
      </c>
      <c r="J206" s="31"/>
      <c r="K206" s="3"/>
      <c r="L206" s="8"/>
      <c r="M206" s="9"/>
      <c r="N206" s="10"/>
      <c r="O206" s="7">
        <f t="shared" ref="O206:O209" si="90">SUM(L206:N206)</f>
        <v>0</v>
      </c>
      <c r="P206" s="8"/>
      <c r="Q206" s="9"/>
      <c r="R206" s="10"/>
      <c r="S206" s="7">
        <f t="shared" ref="S206:S209" si="91">SUM(P206:R206)</f>
        <v>0</v>
      </c>
      <c r="T206" s="55"/>
    </row>
    <row r="207" spans="1:20" x14ac:dyDescent="0.15">
      <c r="A207" s="3"/>
      <c r="B207" s="8"/>
      <c r="C207" s="9"/>
      <c r="D207" s="10"/>
      <c r="E207" s="7">
        <f t="shared" si="80"/>
        <v>0</v>
      </c>
      <c r="F207" s="8"/>
      <c r="G207" s="9"/>
      <c r="H207" s="10"/>
      <c r="I207" s="7">
        <f t="shared" si="81"/>
        <v>0</v>
      </c>
      <c r="J207" s="31"/>
      <c r="K207" s="32" t="s">
        <v>125</v>
      </c>
      <c r="L207" s="58"/>
      <c r="M207" s="59"/>
      <c r="N207" s="60"/>
      <c r="O207" s="61">
        <f t="shared" si="90"/>
        <v>0</v>
      </c>
      <c r="P207" s="58"/>
      <c r="Q207" s="59"/>
      <c r="R207" s="60"/>
      <c r="S207" s="61">
        <f t="shared" si="91"/>
        <v>0</v>
      </c>
      <c r="T207" s="62"/>
    </row>
    <row r="208" spans="1:20" x14ac:dyDescent="0.15">
      <c r="A208" s="3"/>
      <c r="B208" s="8"/>
      <c r="C208" s="9"/>
      <c r="D208" s="10"/>
      <c r="E208" s="7">
        <f t="shared" si="80"/>
        <v>0</v>
      </c>
      <c r="F208" s="8"/>
      <c r="G208" s="9"/>
      <c r="H208" s="10"/>
      <c r="I208" s="7">
        <f t="shared" si="81"/>
        <v>0</v>
      </c>
      <c r="J208" s="31"/>
      <c r="K208" s="3" t="s">
        <v>48</v>
      </c>
      <c r="L208" s="8">
        <f>4-4</f>
        <v>0</v>
      </c>
      <c r="M208" s="9">
        <f>8-6-2</f>
        <v>0</v>
      </c>
      <c r="N208" s="10">
        <f>4-4</f>
        <v>0</v>
      </c>
      <c r="O208" s="7">
        <f t="shared" si="90"/>
        <v>0</v>
      </c>
      <c r="P208" s="8">
        <f>4-4</f>
        <v>0</v>
      </c>
      <c r="Q208" s="9">
        <f>8-6-2</f>
        <v>0</v>
      </c>
      <c r="R208" s="10">
        <f>4-4</f>
        <v>0</v>
      </c>
      <c r="S208" s="7">
        <f t="shared" si="91"/>
        <v>0</v>
      </c>
      <c r="T208" s="55" t="s">
        <v>49</v>
      </c>
    </row>
    <row r="209" spans="1:21" x14ac:dyDescent="0.15">
      <c r="A209" s="3"/>
      <c r="B209" s="8"/>
      <c r="C209" s="9"/>
      <c r="D209" s="10"/>
      <c r="E209" s="7">
        <f t="shared" si="80"/>
        <v>0</v>
      </c>
      <c r="F209" s="8"/>
      <c r="G209" s="9"/>
      <c r="H209" s="10"/>
      <c r="I209" s="7">
        <f t="shared" si="81"/>
        <v>0</v>
      </c>
      <c r="J209" s="31"/>
      <c r="K209" s="66" t="s">
        <v>132</v>
      </c>
      <c r="L209" s="9">
        <v>0</v>
      </c>
      <c r="M209" s="10">
        <f>7-1-6</f>
        <v>0</v>
      </c>
      <c r="N209" s="9">
        <f>4-2-2</f>
        <v>0</v>
      </c>
      <c r="O209" s="70">
        <f t="shared" si="90"/>
        <v>0</v>
      </c>
      <c r="P209" s="9">
        <v>0</v>
      </c>
      <c r="Q209" s="9">
        <f>7-1-6</f>
        <v>0</v>
      </c>
      <c r="R209" s="9">
        <f>4-2-2</f>
        <v>0</v>
      </c>
      <c r="S209" s="7">
        <f t="shared" si="91"/>
        <v>0</v>
      </c>
      <c r="T209" s="55"/>
    </row>
    <row r="210" spans="1:21" x14ac:dyDescent="0.15">
      <c r="A210" s="3"/>
      <c r="B210" s="8"/>
      <c r="C210" s="9"/>
      <c r="D210" s="10"/>
      <c r="E210" s="7">
        <f t="shared" si="80"/>
        <v>0</v>
      </c>
      <c r="F210" s="8"/>
      <c r="G210" s="9"/>
      <c r="H210" s="10"/>
      <c r="I210" s="7">
        <f t="shared" si="81"/>
        <v>0</v>
      </c>
      <c r="J210" s="31"/>
      <c r="K210" s="11" t="s">
        <v>30</v>
      </c>
      <c r="L210" s="9"/>
      <c r="M210" s="10"/>
      <c r="N210" s="9"/>
      <c r="O210" s="70">
        <f t="shared" si="83"/>
        <v>0</v>
      </c>
      <c r="P210" s="9"/>
      <c r="Q210" s="9"/>
      <c r="R210" s="9"/>
      <c r="S210" s="7">
        <f t="shared" si="85"/>
        <v>0</v>
      </c>
      <c r="T210" s="55" t="s">
        <v>21</v>
      </c>
    </row>
    <row r="211" spans="1:21" ht="14.25" thickBot="1" x14ac:dyDescent="0.2">
      <c r="A211" s="73" t="s">
        <v>77</v>
      </c>
      <c r="B211" s="9">
        <f>8-3-2-1-1-1</f>
        <v>0</v>
      </c>
      <c r="C211" s="10">
        <f>5-5</f>
        <v>0</v>
      </c>
      <c r="D211" s="9">
        <f>6-4-2</f>
        <v>0</v>
      </c>
      <c r="E211" s="70">
        <f t="shared" ref="E211" si="92">SUM(B211:D211)</f>
        <v>0</v>
      </c>
      <c r="F211" s="9">
        <f>8-3-2-1-1-1</f>
        <v>0</v>
      </c>
      <c r="G211" s="10">
        <f>5-5</f>
        <v>0</v>
      </c>
      <c r="H211" s="9">
        <f>6-4-2</f>
        <v>0</v>
      </c>
      <c r="I211" s="7">
        <f t="shared" si="81"/>
        <v>0</v>
      </c>
      <c r="J211" s="55" t="s">
        <v>78</v>
      </c>
      <c r="K211" s="75" t="s">
        <v>95</v>
      </c>
      <c r="L211" s="76"/>
      <c r="M211" s="77"/>
      <c r="N211" s="78"/>
      <c r="O211" s="79">
        <f>SUM(L211:N211)</f>
        <v>0</v>
      </c>
      <c r="P211" s="78"/>
      <c r="Q211" s="78"/>
      <c r="R211" s="78"/>
      <c r="S211" s="80">
        <f>SUM(P211:R211)</f>
        <v>0</v>
      </c>
      <c r="T211" s="55" t="s">
        <v>21</v>
      </c>
    </row>
    <row r="212" spans="1:21" ht="14.25" thickBot="1" x14ac:dyDescent="0.2">
      <c r="A212" s="2" t="s">
        <v>5</v>
      </c>
      <c r="B212" s="12">
        <f>SUM(B188:B211)</f>
        <v>6</v>
      </c>
      <c r="C212" s="12">
        <f>SUM(C188:C211)</f>
        <v>2</v>
      </c>
      <c r="D212" s="12">
        <f>SUM(D188:D211)</f>
        <v>3</v>
      </c>
      <c r="E212" s="13">
        <f t="shared" si="80"/>
        <v>11</v>
      </c>
      <c r="F212" s="12">
        <f>SUM(F188:F211)</f>
        <v>6</v>
      </c>
      <c r="G212" s="12">
        <f>SUM(G188:G211)</f>
        <v>2</v>
      </c>
      <c r="H212" s="12">
        <f>SUM(H188:H211)</f>
        <v>3</v>
      </c>
      <c r="I212" s="13">
        <f t="shared" si="81"/>
        <v>11</v>
      </c>
      <c r="J212" s="48"/>
      <c r="K212" s="2" t="s">
        <v>5</v>
      </c>
      <c r="L212" s="68">
        <f>SUM(L188:L211)</f>
        <v>10</v>
      </c>
      <c r="M212" s="12">
        <f>SUM(M188:M211)</f>
        <v>16</v>
      </c>
      <c r="N212" s="12">
        <f>SUM(N188:N211)</f>
        <v>8</v>
      </c>
      <c r="O212" s="13">
        <f t="shared" ref="O212" si="93">SUM(L212:N212)</f>
        <v>34</v>
      </c>
      <c r="P212" s="12">
        <f>SUM(P188:P211)</f>
        <v>10</v>
      </c>
      <c r="Q212" s="12">
        <f>SUM(Q188:Q211)</f>
        <v>16</v>
      </c>
      <c r="R212" s="12">
        <f>SUM(R188:R211)</f>
        <v>8</v>
      </c>
      <c r="S212" s="13">
        <f t="shared" ref="S212" si="94">SUM(P212:R212)</f>
        <v>34</v>
      </c>
    </row>
    <row r="213" spans="1:21" ht="14.25" thickBot="1" x14ac:dyDescent="0.2">
      <c r="A213" s="21" t="s">
        <v>6</v>
      </c>
      <c r="B213" s="22">
        <f>B187-B212</f>
        <v>0</v>
      </c>
      <c r="C213" s="22">
        <f t="shared" ref="C213:E213" si="95">C187-C212</f>
        <v>0</v>
      </c>
      <c r="D213" s="22">
        <f t="shared" si="95"/>
        <v>0</v>
      </c>
      <c r="E213" s="22">
        <f t="shared" si="95"/>
        <v>0</v>
      </c>
      <c r="F213" s="22">
        <f>F187-F212</f>
        <v>0</v>
      </c>
      <c r="G213" s="22">
        <f>G187-G212</f>
        <v>0</v>
      </c>
      <c r="H213" s="22">
        <f>H187-H212</f>
        <v>0</v>
      </c>
      <c r="I213" s="20">
        <f t="shared" ref="I213" si="96">I187-I212</f>
        <v>0</v>
      </c>
      <c r="J213" s="48"/>
      <c r="K213" s="21" t="s">
        <v>6</v>
      </c>
      <c r="L213" s="22">
        <f>L187-L212</f>
        <v>0</v>
      </c>
      <c r="M213" s="22">
        <f t="shared" ref="M213:O213" si="97">M187-M212</f>
        <v>0</v>
      </c>
      <c r="N213" s="22">
        <f t="shared" si="97"/>
        <v>0</v>
      </c>
      <c r="O213" s="22">
        <f t="shared" si="97"/>
        <v>0</v>
      </c>
      <c r="P213" s="22">
        <f>P187-P212</f>
        <v>0</v>
      </c>
      <c r="Q213" s="22">
        <f>Q187-Q212</f>
        <v>0</v>
      </c>
      <c r="R213" s="22">
        <f>R187-R212</f>
        <v>0</v>
      </c>
      <c r="S213" s="20">
        <f t="shared" ref="S213" si="98">S187-S212</f>
        <v>0</v>
      </c>
    </row>
    <row r="215" spans="1:21" ht="32.25" x14ac:dyDescent="0.15">
      <c r="K215" s="105" t="s">
        <v>325</v>
      </c>
    </row>
    <row r="216" spans="1:21" ht="21.75" thickBot="1" x14ac:dyDescent="0.25">
      <c r="A216" s="106" t="s">
        <v>162</v>
      </c>
      <c r="B216" s="107"/>
      <c r="C216" s="107"/>
      <c r="D216" s="107"/>
      <c r="E216" s="107"/>
      <c r="F216" s="108"/>
      <c r="G216" s="108"/>
      <c r="H216" s="108"/>
      <c r="I216" s="108"/>
      <c r="J216" s="109"/>
      <c r="K216" s="106" t="s">
        <v>161</v>
      </c>
      <c r="L216" s="107"/>
      <c r="M216" s="107"/>
      <c r="N216" s="107"/>
      <c r="O216" s="107"/>
      <c r="P216" s="108"/>
      <c r="Q216" s="108"/>
      <c r="R216" s="108"/>
      <c r="S216" s="108"/>
    </row>
    <row r="217" spans="1:21" ht="14.25" thickBot="1" x14ac:dyDescent="0.2">
      <c r="A217" s="1" t="s">
        <v>0</v>
      </c>
      <c r="B217" s="183" t="s">
        <v>12</v>
      </c>
      <c r="C217" s="183"/>
      <c r="D217" s="183"/>
      <c r="E217" s="184"/>
      <c r="F217" s="183" t="s">
        <v>10</v>
      </c>
      <c r="G217" s="183"/>
      <c r="H217" s="183"/>
      <c r="I217" s="184"/>
      <c r="J217" s="48"/>
      <c r="K217" s="1" t="s">
        <v>0</v>
      </c>
      <c r="L217" s="183" t="s">
        <v>12</v>
      </c>
      <c r="M217" s="183"/>
      <c r="N217" s="183"/>
      <c r="O217" s="184"/>
      <c r="P217" s="183" t="s">
        <v>10</v>
      </c>
      <c r="Q217" s="183"/>
      <c r="R217" s="183"/>
      <c r="S217" s="184"/>
    </row>
    <row r="218" spans="1:21" ht="14.25" thickBot="1" x14ac:dyDescent="0.2">
      <c r="A218" s="1" t="s">
        <v>1</v>
      </c>
      <c r="B218" s="2" t="s">
        <v>7</v>
      </c>
      <c r="C218" s="1" t="s">
        <v>8</v>
      </c>
      <c r="D218" s="15" t="s">
        <v>9</v>
      </c>
      <c r="E218" s="1" t="s">
        <v>2</v>
      </c>
      <c r="F218" s="2" t="s">
        <v>7</v>
      </c>
      <c r="G218" s="1" t="s">
        <v>8</v>
      </c>
      <c r="H218" s="15" t="s">
        <v>9</v>
      </c>
      <c r="I218" s="1" t="s">
        <v>2</v>
      </c>
      <c r="J218" s="48"/>
      <c r="K218" s="1" t="s">
        <v>1</v>
      </c>
      <c r="L218" s="2" t="s">
        <v>7</v>
      </c>
      <c r="M218" s="1" t="s">
        <v>8</v>
      </c>
      <c r="N218" s="15" t="s">
        <v>9</v>
      </c>
      <c r="O218" s="1" t="s">
        <v>2</v>
      </c>
      <c r="P218" s="2" t="s">
        <v>7</v>
      </c>
      <c r="Q218" s="1" t="s">
        <v>8</v>
      </c>
      <c r="R218" s="15" t="s">
        <v>9</v>
      </c>
      <c r="S218" s="1" t="s">
        <v>2</v>
      </c>
    </row>
    <row r="219" spans="1:21" ht="14.25" thickBot="1" x14ac:dyDescent="0.2">
      <c r="A219" s="41" t="s">
        <v>13</v>
      </c>
      <c r="B219" s="42">
        <f>B213</f>
        <v>0</v>
      </c>
      <c r="C219" s="43">
        <f>C213</f>
        <v>0</v>
      </c>
      <c r="D219" s="44">
        <f>D213</f>
        <v>0</v>
      </c>
      <c r="E219" s="45">
        <f t="shared" ref="E219:E255" si="99">SUM(B219:D219)</f>
        <v>0</v>
      </c>
      <c r="F219" s="42">
        <f>F213</f>
        <v>0</v>
      </c>
      <c r="G219" s="43">
        <f>G213</f>
        <v>0</v>
      </c>
      <c r="H219" s="44">
        <f>H213</f>
        <v>0</v>
      </c>
      <c r="I219" s="45">
        <f t="shared" ref="I219:I255" si="100">SUM(F219:H219)</f>
        <v>0</v>
      </c>
      <c r="J219" s="50"/>
      <c r="K219" s="34" t="s">
        <v>13</v>
      </c>
      <c r="L219" s="35">
        <f>L213</f>
        <v>0</v>
      </c>
      <c r="M219" s="35">
        <f t="shared" ref="M219:N219" si="101">M213</f>
        <v>0</v>
      </c>
      <c r="N219" s="35">
        <f t="shared" si="101"/>
        <v>0</v>
      </c>
      <c r="O219" s="20">
        <f t="shared" ref="O219:O254" si="102">SUM(L219:N219)</f>
        <v>0</v>
      </c>
      <c r="P219" s="35">
        <f>P213</f>
        <v>0</v>
      </c>
      <c r="Q219" s="36">
        <f t="shared" ref="Q219:R219" si="103">Q213</f>
        <v>0</v>
      </c>
      <c r="R219" s="37">
        <f t="shared" si="103"/>
        <v>0</v>
      </c>
      <c r="S219" s="20">
        <f t="shared" ref="S219:S254" si="104">SUM(P219:R219)</f>
        <v>0</v>
      </c>
    </row>
    <row r="220" spans="1:21" x14ac:dyDescent="0.15">
      <c r="A220" s="85" t="s">
        <v>3</v>
      </c>
      <c r="B220" s="38">
        <v>10</v>
      </c>
      <c r="C220" s="39">
        <v>10</v>
      </c>
      <c r="D220" s="40">
        <v>10</v>
      </c>
      <c r="E220" s="4">
        <f t="shared" si="99"/>
        <v>30</v>
      </c>
      <c r="F220" s="38">
        <v>10</v>
      </c>
      <c r="G220" s="39">
        <v>10</v>
      </c>
      <c r="H220" s="40">
        <v>10</v>
      </c>
      <c r="I220" s="4">
        <f t="shared" si="100"/>
        <v>30</v>
      </c>
      <c r="J220" s="47">
        <v>44993</v>
      </c>
      <c r="K220" s="5" t="s">
        <v>3</v>
      </c>
      <c r="L220" s="46"/>
      <c r="M220" s="3"/>
      <c r="N220" s="46"/>
      <c r="O220" s="4">
        <f t="shared" si="102"/>
        <v>0</v>
      </c>
      <c r="P220" s="46"/>
      <c r="Q220" s="3"/>
      <c r="R220" s="46"/>
      <c r="S220" s="4">
        <f t="shared" si="104"/>
        <v>0</v>
      </c>
    </row>
    <row r="221" spans="1:21" x14ac:dyDescent="0.15">
      <c r="A221" s="3" t="s">
        <v>192</v>
      </c>
      <c r="B221" s="8"/>
      <c r="C221" s="9">
        <v>1</v>
      </c>
      <c r="D221" s="10"/>
      <c r="E221" s="7">
        <f t="shared" ref="E221" si="105">SUM(B221:D221)</f>
        <v>1</v>
      </c>
      <c r="F221" s="8"/>
      <c r="G221" s="9">
        <v>1</v>
      </c>
      <c r="H221" s="10"/>
      <c r="I221" s="7">
        <f t="shared" si="100"/>
        <v>1</v>
      </c>
      <c r="J221" s="31">
        <v>45003</v>
      </c>
      <c r="K221" s="5" t="s">
        <v>163</v>
      </c>
      <c r="L221" s="14">
        <v>50</v>
      </c>
      <c r="M221" s="11">
        <v>50</v>
      </c>
      <c r="N221" s="14">
        <v>50</v>
      </c>
      <c r="O221" s="4">
        <f t="shared" si="102"/>
        <v>150</v>
      </c>
      <c r="P221" s="14">
        <v>50</v>
      </c>
      <c r="Q221" s="11">
        <v>50</v>
      </c>
      <c r="R221" s="14">
        <v>50</v>
      </c>
      <c r="S221" s="4">
        <f t="shared" si="104"/>
        <v>150</v>
      </c>
      <c r="T221" s="47" t="s">
        <v>193</v>
      </c>
      <c r="U221" s="54"/>
    </row>
    <row r="222" spans="1:21" x14ac:dyDescent="0.15">
      <c r="A222" s="6" t="s">
        <v>91</v>
      </c>
      <c r="B222" s="14">
        <v>1</v>
      </c>
      <c r="C222" s="11"/>
      <c r="D222" s="14"/>
      <c r="E222" s="4">
        <f t="shared" si="99"/>
        <v>1</v>
      </c>
      <c r="F222" s="14">
        <v>1</v>
      </c>
      <c r="G222" s="11"/>
      <c r="H222" s="14"/>
      <c r="I222" s="4">
        <f t="shared" si="100"/>
        <v>1</v>
      </c>
      <c r="J222" s="31">
        <v>45030</v>
      </c>
      <c r="K222" s="5" t="s">
        <v>3</v>
      </c>
      <c r="L222" s="14"/>
      <c r="M222" s="11"/>
      <c r="N222" s="14"/>
      <c r="O222" s="4">
        <f t="shared" ref="O222:O225" si="106">SUM(L222:N222)</f>
        <v>0</v>
      </c>
      <c r="P222" s="14"/>
      <c r="Q222" s="11"/>
      <c r="R222" s="14"/>
      <c r="S222" s="4">
        <f t="shared" ref="S222:S225" si="107">SUM(P222:R222)</f>
        <v>0</v>
      </c>
    </row>
    <row r="223" spans="1:21" x14ac:dyDescent="0.15">
      <c r="A223" s="6" t="s">
        <v>3</v>
      </c>
      <c r="B223" s="14"/>
      <c r="C223" s="11"/>
      <c r="D223" s="14"/>
      <c r="E223" s="4">
        <f t="shared" si="99"/>
        <v>0</v>
      </c>
      <c r="F223" s="14"/>
      <c r="G223" s="11"/>
      <c r="H223" s="14"/>
      <c r="I223" s="4">
        <f t="shared" si="100"/>
        <v>0</v>
      </c>
      <c r="J223" s="31"/>
      <c r="K223" s="5" t="s">
        <v>3</v>
      </c>
      <c r="L223" s="14"/>
      <c r="M223" s="11"/>
      <c r="N223" s="14"/>
      <c r="O223" s="4">
        <f t="shared" si="106"/>
        <v>0</v>
      </c>
      <c r="P223" s="14"/>
      <c r="Q223" s="11"/>
      <c r="R223" s="14"/>
      <c r="S223" s="4">
        <f t="shared" si="107"/>
        <v>0</v>
      </c>
    </row>
    <row r="224" spans="1:21" x14ac:dyDescent="0.15">
      <c r="A224" s="6" t="s">
        <v>3</v>
      </c>
      <c r="B224" s="14"/>
      <c r="C224" s="11"/>
      <c r="D224" s="14"/>
      <c r="E224" s="4">
        <f t="shared" si="99"/>
        <v>0</v>
      </c>
      <c r="F224" s="14"/>
      <c r="G224" s="11"/>
      <c r="H224" s="14"/>
      <c r="I224" s="4">
        <f t="shared" si="100"/>
        <v>0</v>
      </c>
      <c r="J224" s="31"/>
      <c r="K224" s="5" t="s">
        <v>3</v>
      </c>
      <c r="L224" s="14"/>
      <c r="M224" s="11"/>
      <c r="N224" s="14"/>
      <c r="O224" s="4">
        <f t="shared" si="106"/>
        <v>0</v>
      </c>
      <c r="P224" s="14"/>
      <c r="Q224" s="11"/>
      <c r="R224" s="14"/>
      <c r="S224" s="4">
        <f t="shared" si="107"/>
        <v>0</v>
      </c>
    </row>
    <row r="225" spans="1:21" x14ac:dyDescent="0.15">
      <c r="A225" s="6" t="s">
        <v>3</v>
      </c>
      <c r="B225" s="14"/>
      <c r="C225" s="11"/>
      <c r="D225" s="14"/>
      <c r="E225" s="4">
        <f t="shared" si="99"/>
        <v>0</v>
      </c>
      <c r="F225" s="14"/>
      <c r="G225" s="11"/>
      <c r="H225" s="14"/>
      <c r="I225" s="4">
        <f t="shared" si="100"/>
        <v>0</v>
      </c>
      <c r="J225" s="31"/>
      <c r="K225" s="5" t="s">
        <v>3</v>
      </c>
      <c r="L225" s="14"/>
      <c r="M225" s="11"/>
      <c r="N225" s="14"/>
      <c r="O225" s="4">
        <f t="shared" si="106"/>
        <v>0</v>
      </c>
      <c r="P225" s="14"/>
      <c r="Q225" s="11"/>
      <c r="R225" s="14"/>
      <c r="S225" s="4">
        <f t="shared" si="107"/>
        <v>0</v>
      </c>
    </row>
    <row r="226" spans="1:21" x14ac:dyDescent="0.15">
      <c r="A226" s="6" t="s">
        <v>3</v>
      </c>
      <c r="B226" s="14"/>
      <c r="C226" s="11"/>
      <c r="D226" s="14"/>
      <c r="E226" s="4">
        <f t="shared" si="99"/>
        <v>0</v>
      </c>
      <c r="F226" s="14"/>
      <c r="G226" s="11"/>
      <c r="H226" s="14"/>
      <c r="I226" s="4">
        <f t="shared" si="100"/>
        <v>0</v>
      </c>
      <c r="J226" s="31"/>
      <c r="K226" s="5" t="s">
        <v>3</v>
      </c>
      <c r="L226" s="14"/>
      <c r="M226" s="11"/>
      <c r="N226" s="14"/>
      <c r="O226" s="4">
        <f t="shared" si="102"/>
        <v>0</v>
      </c>
      <c r="P226" s="14"/>
      <c r="Q226" s="11"/>
      <c r="R226" s="14"/>
      <c r="S226" s="4">
        <f t="shared" si="104"/>
        <v>0</v>
      </c>
    </row>
    <row r="227" spans="1:21" x14ac:dyDescent="0.15">
      <c r="A227" s="6" t="s">
        <v>3</v>
      </c>
      <c r="B227" s="23"/>
      <c r="C227" s="24"/>
      <c r="D227" s="25"/>
      <c r="E227" s="7">
        <f t="shared" si="99"/>
        <v>0</v>
      </c>
      <c r="F227" s="23"/>
      <c r="G227" s="24"/>
      <c r="H227" s="25"/>
      <c r="I227" s="7">
        <f t="shared" si="100"/>
        <v>0</v>
      </c>
      <c r="J227" s="47"/>
      <c r="K227" s="5" t="s">
        <v>3</v>
      </c>
      <c r="L227" s="25"/>
      <c r="M227" s="24"/>
      <c r="N227" s="25"/>
      <c r="O227" s="7">
        <f t="shared" si="102"/>
        <v>0</v>
      </c>
      <c r="P227" s="23"/>
      <c r="Q227" s="24"/>
      <c r="R227" s="25"/>
      <c r="S227" s="7">
        <f t="shared" si="104"/>
        <v>0</v>
      </c>
      <c r="T227" s="55"/>
    </row>
    <row r="228" spans="1:21" x14ac:dyDescent="0.15">
      <c r="A228" s="6" t="s">
        <v>3</v>
      </c>
      <c r="B228" s="23"/>
      <c r="C228" s="24"/>
      <c r="D228" s="25"/>
      <c r="E228" s="7">
        <f t="shared" si="99"/>
        <v>0</v>
      </c>
      <c r="F228" s="23"/>
      <c r="G228" s="24"/>
      <c r="H228" s="25"/>
      <c r="I228" s="7">
        <f t="shared" si="100"/>
        <v>0</v>
      </c>
      <c r="J228" s="47"/>
      <c r="K228" s="5" t="s">
        <v>3</v>
      </c>
      <c r="L228" s="25"/>
      <c r="M228" s="24"/>
      <c r="N228" s="25"/>
      <c r="O228" s="7">
        <f t="shared" si="102"/>
        <v>0</v>
      </c>
      <c r="P228" s="25"/>
      <c r="Q228" s="24"/>
      <c r="R228" s="25"/>
      <c r="S228" s="7">
        <f t="shared" si="104"/>
        <v>0</v>
      </c>
      <c r="T228" s="55"/>
    </row>
    <row r="229" spans="1:21" ht="14.25" thickBot="1" x14ac:dyDescent="0.2">
      <c r="A229" s="6" t="s">
        <v>3</v>
      </c>
      <c r="B229" s="29"/>
      <c r="C229" s="30"/>
      <c r="D229" s="29"/>
      <c r="E229" s="16">
        <f t="shared" si="99"/>
        <v>0</v>
      </c>
      <c r="F229" s="29"/>
      <c r="G229" s="30"/>
      <c r="H229" s="29"/>
      <c r="I229" s="16">
        <f t="shared" si="100"/>
        <v>0</v>
      </c>
      <c r="J229" s="31"/>
      <c r="K229" s="33" t="s">
        <v>3</v>
      </c>
      <c r="L229" s="29"/>
      <c r="M229" s="30"/>
      <c r="N229" s="29"/>
      <c r="O229" s="16">
        <f t="shared" si="102"/>
        <v>0</v>
      </c>
      <c r="P229" s="29"/>
      <c r="Q229" s="30"/>
      <c r="R229" s="29"/>
      <c r="S229" s="16">
        <f t="shared" si="104"/>
        <v>0</v>
      </c>
      <c r="T229" s="47"/>
    </row>
    <row r="230" spans="1:21" ht="14.25" thickBot="1" x14ac:dyDescent="0.2">
      <c r="A230" s="17" t="s">
        <v>4</v>
      </c>
      <c r="B230" s="18">
        <f>SUM(B219:B229)</f>
        <v>11</v>
      </c>
      <c r="C230" s="18">
        <f>SUM(C219:C229)</f>
        <v>11</v>
      </c>
      <c r="D230" s="19">
        <f>SUM(D219:D229)</f>
        <v>10</v>
      </c>
      <c r="E230" s="20">
        <f t="shared" si="99"/>
        <v>32</v>
      </c>
      <c r="F230" s="18">
        <f>SUM(F219:F229)</f>
        <v>11</v>
      </c>
      <c r="G230" s="18">
        <f>SUM(G219:G229)</f>
        <v>11</v>
      </c>
      <c r="H230" s="19">
        <f>SUM(H219:H229)</f>
        <v>10</v>
      </c>
      <c r="I230" s="20">
        <f t="shared" si="100"/>
        <v>32</v>
      </c>
      <c r="J230" s="48"/>
      <c r="K230" s="17" t="s">
        <v>4</v>
      </c>
      <c r="L230" s="18">
        <f>SUM(L219:L229)</f>
        <v>50</v>
      </c>
      <c r="M230" s="18">
        <f>SUM(M219:M229)</f>
        <v>50</v>
      </c>
      <c r="N230" s="19">
        <f>SUM(N219:N229)</f>
        <v>50</v>
      </c>
      <c r="O230" s="20">
        <f t="shared" si="102"/>
        <v>150</v>
      </c>
      <c r="P230" s="18">
        <f>SUM(P219:P229)</f>
        <v>50</v>
      </c>
      <c r="Q230" s="18">
        <f>SUM(Q219:Q229)</f>
        <v>50</v>
      </c>
      <c r="R230" s="19">
        <f>SUM(R219:R229)</f>
        <v>50</v>
      </c>
      <c r="S230" s="20">
        <f t="shared" si="104"/>
        <v>150</v>
      </c>
    </row>
    <row r="231" spans="1:21" x14ac:dyDescent="0.15">
      <c r="A231" s="3" t="s">
        <v>184</v>
      </c>
      <c r="B231" s="8">
        <v>1</v>
      </c>
      <c r="C231" s="9"/>
      <c r="D231" s="10"/>
      <c r="E231" s="4">
        <f t="shared" si="99"/>
        <v>1</v>
      </c>
      <c r="F231" s="8">
        <v>1</v>
      </c>
      <c r="G231" s="9"/>
      <c r="H231" s="10"/>
      <c r="I231" s="4">
        <f t="shared" si="100"/>
        <v>1</v>
      </c>
      <c r="J231" s="31">
        <v>45000</v>
      </c>
      <c r="K231" s="3" t="s">
        <v>196</v>
      </c>
      <c r="L231" s="86"/>
      <c r="M231" s="87">
        <v>1</v>
      </c>
      <c r="N231" s="86">
        <v>3</v>
      </c>
      <c r="O231" s="69">
        <f t="shared" ref="O231:O232" si="108">SUM(L231:N231)</f>
        <v>4</v>
      </c>
      <c r="P231" s="86"/>
      <c r="Q231" s="86">
        <v>1</v>
      </c>
      <c r="R231" s="86">
        <v>3</v>
      </c>
      <c r="S231" s="4">
        <f t="shared" ref="S231:S232" si="109">SUM(P231:R231)</f>
        <v>4</v>
      </c>
      <c r="T231" s="47">
        <v>45019</v>
      </c>
    </row>
    <row r="232" spans="1:21" x14ac:dyDescent="0.15">
      <c r="A232" s="3" t="s">
        <v>189</v>
      </c>
      <c r="B232" s="8">
        <v>1</v>
      </c>
      <c r="C232" s="9">
        <v>1</v>
      </c>
      <c r="D232" s="10">
        <v>1</v>
      </c>
      <c r="E232" s="4">
        <f t="shared" si="99"/>
        <v>3</v>
      </c>
      <c r="F232" s="8">
        <v>1</v>
      </c>
      <c r="G232" s="9">
        <v>1</v>
      </c>
      <c r="H232" s="10">
        <v>1</v>
      </c>
      <c r="I232" s="4">
        <f t="shared" si="100"/>
        <v>3</v>
      </c>
      <c r="J232" s="31">
        <v>45012</v>
      </c>
      <c r="K232" s="3" t="s">
        <v>197</v>
      </c>
      <c r="L232" s="9">
        <v>3</v>
      </c>
      <c r="M232" s="10">
        <v>6</v>
      </c>
      <c r="N232" s="9"/>
      <c r="O232" s="69">
        <f t="shared" si="108"/>
        <v>9</v>
      </c>
      <c r="P232" s="9">
        <v>3</v>
      </c>
      <c r="Q232" s="9">
        <v>6</v>
      </c>
      <c r="R232" s="9"/>
      <c r="S232" s="4">
        <f t="shared" si="109"/>
        <v>9</v>
      </c>
      <c r="T232" s="47">
        <v>45020</v>
      </c>
      <c r="U232" s="54"/>
    </row>
    <row r="233" spans="1:21" x14ac:dyDescent="0.15">
      <c r="A233" s="3" t="s">
        <v>194</v>
      </c>
      <c r="B233" s="8">
        <v>1</v>
      </c>
      <c r="C233" s="9"/>
      <c r="D233" s="10">
        <v>1</v>
      </c>
      <c r="E233" s="4">
        <f t="shared" si="99"/>
        <v>2</v>
      </c>
      <c r="F233" s="8">
        <v>1</v>
      </c>
      <c r="G233" s="9"/>
      <c r="H233" s="10">
        <v>1</v>
      </c>
      <c r="I233" s="4">
        <f t="shared" si="100"/>
        <v>2</v>
      </c>
      <c r="J233" s="31">
        <v>45015</v>
      </c>
      <c r="K233" s="3" t="s">
        <v>198</v>
      </c>
      <c r="L233" s="9">
        <v>2</v>
      </c>
      <c r="M233" s="10">
        <v>3</v>
      </c>
      <c r="N233" s="9"/>
      <c r="O233" s="69">
        <f t="shared" si="102"/>
        <v>5</v>
      </c>
      <c r="P233" s="9">
        <v>2</v>
      </c>
      <c r="Q233" s="9">
        <v>3</v>
      </c>
      <c r="R233" s="9"/>
      <c r="S233" s="4">
        <f t="shared" si="104"/>
        <v>5</v>
      </c>
      <c r="T233" s="47">
        <v>45021</v>
      </c>
    </row>
    <row r="234" spans="1:21" x14ac:dyDescent="0.15">
      <c r="A234" s="3" t="s">
        <v>195</v>
      </c>
      <c r="B234" s="8">
        <v>1</v>
      </c>
      <c r="C234" s="9"/>
      <c r="D234" s="10">
        <v>4</v>
      </c>
      <c r="E234" s="4">
        <f t="shared" si="99"/>
        <v>5</v>
      </c>
      <c r="F234" s="8">
        <v>1</v>
      </c>
      <c r="G234" s="9"/>
      <c r="H234" s="10">
        <v>4</v>
      </c>
      <c r="I234" s="4">
        <f t="shared" si="100"/>
        <v>5</v>
      </c>
      <c r="J234" s="31">
        <v>45016</v>
      </c>
      <c r="K234" s="3" t="s">
        <v>199</v>
      </c>
      <c r="L234" s="9"/>
      <c r="M234" s="10">
        <v>5</v>
      </c>
      <c r="N234" s="9">
        <v>1</v>
      </c>
      <c r="O234" s="69">
        <f t="shared" si="102"/>
        <v>6</v>
      </c>
      <c r="P234" s="9"/>
      <c r="Q234" s="9">
        <v>5</v>
      </c>
      <c r="R234" s="9">
        <v>1</v>
      </c>
      <c r="S234" s="4">
        <f t="shared" si="104"/>
        <v>6</v>
      </c>
      <c r="T234" s="47">
        <v>45022</v>
      </c>
    </row>
    <row r="235" spans="1:21" x14ac:dyDescent="0.15">
      <c r="A235" s="3" t="s">
        <v>203</v>
      </c>
      <c r="B235" s="8"/>
      <c r="C235" s="9"/>
      <c r="D235" s="10">
        <v>1</v>
      </c>
      <c r="E235" s="4">
        <f t="shared" si="99"/>
        <v>1</v>
      </c>
      <c r="F235" s="8"/>
      <c r="G235" s="9"/>
      <c r="H235" s="10">
        <v>1</v>
      </c>
      <c r="I235" s="4">
        <f t="shared" si="100"/>
        <v>1</v>
      </c>
      <c r="J235" s="31">
        <v>45027</v>
      </c>
      <c r="K235" s="3" t="s">
        <v>200</v>
      </c>
      <c r="L235" s="9">
        <v>6</v>
      </c>
      <c r="M235" s="10">
        <v>12</v>
      </c>
      <c r="N235" s="9">
        <v>7</v>
      </c>
      <c r="O235" s="69">
        <f t="shared" si="102"/>
        <v>25</v>
      </c>
      <c r="P235" s="9">
        <v>6</v>
      </c>
      <c r="Q235" s="9">
        <v>12</v>
      </c>
      <c r="R235" s="9">
        <v>7</v>
      </c>
      <c r="S235" s="4">
        <f t="shared" si="104"/>
        <v>25</v>
      </c>
      <c r="T235" s="47">
        <v>45023</v>
      </c>
    </row>
    <row r="236" spans="1:21" x14ac:dyDescent="0.15">
      <c r="A236" s="3" t="s">
        <v>204</v>
      </c>
      <c r="B236" s="8">
        <v>1</v>
      </c>
      <c r="C236" s="9"/>
      <c r="D236" s="10"/>
      <c r="E236" s="7">
        <f t="shared" si="99"/>
        <v>1</v>
      </c>
      <c r="F236" s="8">
        <v>1</v>
      </c>
      <c r="G236" s="9"/>
      <c r="H236" s="10"/>
      <c r="I236" s="7">
        <f t="shared" si="100"/>
        <v>1</v>
      </c>
      <c r="J236" s="31">
        <v>45027</v>
      </c>
      <c r="K236" s="3" t="s">
        <v>63</v>
      </c>
      <c r="L236" s="9">
        <v>2</v>
      </c>
      <c r="M236" s="10">
        <v>2</v>
      </c>
      <c r="N236" s="9">
        <v>2</v>
      </c>
      <c r="O236" s="70">
        <f t="shared" si="102"/>
        <v>6</v>
      </c>
      <c r="P236" s="9">
        <v>2</v>
      </c>
      <c r="Q236" s="9">
        <v>2</v>
      </c>
      <c r="R236" s="9">
        <v>2</v>
      </c>
      <c r="S236" s="7">
        <f t="shared" si="104"/>
        <v>6</v>
      </c>
      <c r="T236" s="47">
        <v>45034</v>
      </c>
      <c r="U236" s="54"/>
    </row>
    <row r="237" spans="1:21" x14ac:dyDescent="0.15">
      <c r="A237" s="3" t="s">
        <v>207</v>
      </c>
      <c r="B237" s="8">
        <v>1</v>
      </c>
      <c r="C237" s="9"/>
      <c r="D237" s="10"/>
      <c r="E237" s="7">
        <f t="shared" si="99"/>
        <v>1</v>
      </c>
      <c r="F237" s="8">
        <v>1</v>
      </c>
      <c r="G237" s="9"/>
      <c r="H237" s="10"/>
      <c r="I237" s="7">
        <f t="shared" si="100"/>
        <v>1</v>
      </c>
      <c r="J237" s="31">
        <v>45028</v>
      </c>
      <c r="K237" s="3" t="s">
        <v>68</v>
      </c>
      <c r="L237" s="9"/>
      <c r="M237" s="10"/>
      <c r="N237" s="9">
        <v>5</v>
      </c>
      <c r="O237" s="70">
        <f t="shared" si="102"/>
        <v>5</v>
      </c>
      <c r="P237" s="9"/>
      <c r="Q237" s="9"/>
      <c r="R237" s="9">
        <v>5</v>
      </c>
      <c r="S237" s="7">
        <f t="shared" si="104"/>
        <v>5</v>
      </c>
      <c r="T237" s="47">
        <v>45029</v>
      </c>
      <c r="U237" s="54"/>
    </row>
    <row r="238" spans="1:21" x14ac:dyDescent="0.15">
      <c r="A238" s="3" t="s">
        <v>210</v>
      </c>
      <c r="B238" s="8"/>
      <c r="C238" s="9">
        <v>1</v>
      </c>
      <c r="D238" s="10"/>
      <c r="E238" s="7">
        <f t="shared" si="99"/>
        <v>1</v>
      </c>
      <c r="F238" s="8"/>
      <c r="G238" s="9">
        <v>1</v>
      </c>
      <c r="H238" s="10"/>
      <c r="I238" s="7">
        <f t="shared" si="100"/>
        <v>1</v>
      </c>
      <c r="J238" s="31">
        <v>45029</v>
      </c>
      <c r="K238" s="3" t="s">
        <v>208</v>
      </c>
      <c r="L238" s="9"/>
      <c r="M238" s="10"/>
      <c r="N238" s="9">
        <v>3</v>
      </c>
      <c r="O238" s="70">
        <f t="shared" si="102"/>
        <v>3</v>
      </c>
      <c r="P238" s="9"/>
      <c r="Q238" s="9"/>
      <c r="R238" s="9">
        <v>3</v>
      </c>
      <c r="S238" s="7">
        <f t="shared" si="104"/>
        <v>3</v>
      </c>
      <c r="T238" s="47">
        <v>45030</v>
      </c>
      <c r="U238" s="54"/>
    </row>
    <row r="239" spans="1:21" x14ac:dyDescent="0.15">
      <c r="A239" s="3" t="s">
        <v>213</v>
      </c>
      <c r="B239" s="8">
        <v>1</v>
      </c>
      <c r="C239" s="9">
        <v>1</v>
      </c>
      <c r="D239" s="10"/>
      <c r="E239" s="7">
        <f t="shared" si="99"/>
        <v>2</v>
      </c>
      <c r="F239" s="8">
        <v>1</v>
      </c>
      <c r="G239" s="9">
        <v>1</v>
      </c>
      <c r="H239" s="10"/>
      <c r="I239" s="7">
        <f t="shared" si="100"/>
        <v>2</v>
      </c>
      <c r="J239" s="31">
        <v>45034</v>
      </c>
      <c r="K239" s="3" t="s">
        <v>209</v>
      </c>
      <c r="L239" s="9"/>
      <c r="M239" s="10">
        <v>1</v>
      </c>
      <c r="N239" s="9">
        <v>9</v>
      </c>
      <c r="O239" s="70">
        <f t="shared" si="102"/>
        <v>10</v>
      </c>
      <c r="P239" s="9"/>
      <c r="Q239" s="9">
        <v>1</v>
      </c>
      <c r="R239" s="9">
        <v>9</v>
      </c>
      <c r="S239" s="7">
        <f t="shared" si="104"/>
        <v>10</v>
      </c>
      <c r="T239" s="47">
        <v>45033</v>
      </c>
    </row>
    <row r="240" spans="1:21" x14ac:dyDescent="0.15">
      <c r="A240" s="3" t="s">
        <v>218</v>
      </c>
      <c r="B240" s="8"/>
      <c r="C240" s="9">
        <v>1</v>
      </c>
      <c r="D240" s="10"/>
      <c r="E240" s="7">
        <f t="shared" si="99"/>
        <v>1</v>
      </c>
      <c r="F240" s="8"/>
      <c r="G240" s="9">
        <v>1</v>
      </c>
      <c r="H240" s="10"/>
      <c r="I240" s="7">
        <f t="shared" si="100"/>
        <v>1</v>
      </c>
      <c r="J240" s="31">
        <v>45037</v>
      </c>
      <c r="K240" s="3" t="s">
        <v>216</v>
      </c>
      <c r="L240" s="9">
        <v>6</v>
      </c>
      <c r="M240" s="10">
        <v>2</v>
      </c>
      <c r="N240" s="9"/>
      <c r="O240" s="70">
        <f t="shared" si="102"/>
        <v>8</v>
      </c>
      <c r="P240" s="9">
        <v>6</v>
      </c>
      <c r="Q240" s="9">
        <v>2</v>
      </c>
      <c r="R240" s="9"/>
      <c r="S240" s="7">
        <f t="shared" si="104"/>
        <v>8</v>
      </c>
      <c r="T240" s="47">
        <v>45035</v>
      </c>
    </row>
    <row r="241" spans="1:20" x14ac:dyDescent="0.15">
      <c r="A241" s="3"/>
      <c r="B241" s="8"/>
      <c r="C241" s="9"/>
      <c r="D241" s="10"/>
      <c r="E241" s="7">
        <f t="shared" si="99"/>
        <v>0</v>
      </c>
      <c r="F241" s="8"/>
      <c r="G241" s="9"/>
      <c r="H241" s="10"/>
      <c r="I241" s="7">
        <f t="shared" si="100"/>
        <v>0</v>
      </c>
      <c r="J241" s="31"/>
      <c r="K241" s="3" t="s">
        <v>217</v>
      </c>
      <c r="L241" s="9">
        <v>3</v>
      </c>
      <c r="M241" s="10">
        <v>3</v>
      </c>
      <c r="N241" s="9"/>
      <c r="O241" s="70">
        <f t="shared" si="102"/>
        <v>6</v>
      </c>
      <c r="P241" s="9">
        <v>3</v>
      </c>
      <c r="Q241" s="9">
        <v>3</v>
      </c>
      <c r="R241" s="9"/>
      <c r="S241" s="7">
        <f t="shared" si="104"/>
        <v>6</v>
      </c>
      <c r="T241" s="47">
        <v>45036</v>
      </c>
    </row>
    <row r="242" spans="1:20" x14ac:dyDescent="0.15">
      <c r="A242" s="3"/>
      <c r="B242" s="8"/>
      <c r="C242" s="9"/>
      <c r="D242" s="10"/>
      <c r="E242" s="7">
        <f t="shared" si="99"/>
        <v>0</v>
      </c>
      <c r="F242" s="8"/>
      <c r="G242" s="9"/>
      <c r="H242" s="10"/>
      <c r="I242" s="7">
        <f t="shared" si="100"/>
        <v>0</v>
      </c>
      <c r="J242" s="31"/>
      <c r="K242" s="3" t="s">
        <v>219</v>
      </c>
      <c r="L242" s="9"/>
      <c r="M242" s="10">
        <v>7</v>
      </c>
      <c r="N242" s="9"/>
      <c r="O242" s="70">
        <f t="shared" si="102"/>
        <v>7</v>
      </c>
      <c r="P242" s="9"/>
      <c r="Q242" s="9">
        <v>7</v>
      </c>
      <c r="R242" s="9"/>
      <c r="S242" s="7">
        <f t="shared" si="104"/>
        <v>7</v>
      </c>
      <c r="T242" s="47">
        <v>45040</v>
      </c>
    </row>
    <row r="243" spans="1:20" x14ac:dyDescent="0.15">
      <c r="A243" s="3"/>
      <c r="B243" s="8"/>
      <c r="C243" s="9"/>
      <c r="D243" s="10"/>
      <c r="E243" s="7">
        <f t="shared" si="99"/>
        <v>0</v>
      </c>
      <c r="F243" s="8"/>
      <c r="G243" s="9"/>
      <c r="H243" s="10"/>
      <c r="I243" s="7">
        <f t="shared" si="100"/>
        <v>0</v>
      </c>
      <c r="J243" s="31"/>
      <c r="K243" s="3"/>
      <c r="L243" s="9"/>
      <c r="M243" s="10"/>
      <c r="N243" s="9"/>
      <c r="O243" s="70">
        <f t="shared" si="102"/>
        <v>0</v>
      </c>
      <c r="P243" s="9"/>
      <c r="Q243" s="9"/>
      <c r="R243" s="9"/>
      <c r="S243" s="7">
        <f t="shared" si="104"/>
        <v>0</v>
      </c>
      <c r="T243" s="47"/>
    </row>
    <row r="244" spans="1:20" x14ac:dyDescent="0.15">
      <c r="A244" s="3"/>
      <c r="B244" s="8"/>
      <c r="C244" s="9"/>
      <c r="D244" s="10"/>
      <c r="E244" s="7">
        <f t="shared" si="99"/>
        <v>0</v>
      </c>
      <c r="F244" s="8"/>
      <c r="G244" s="9"/>
      <c r="H244" s="10"/>
      <c r="I244" s="7">
        <f t="shared" si="100"/>
        <v>0</v>
      </c>
      <c r="J244" s="31"/>
      <c r="K244" s="66"/>
      <c r="L244" s="9"/>
      <c r="M244" s="10"/>
      <c r="N244" s="9"/>
      <c r="O244" s="70">
        <f t="shared" si="102"/>
        <v>0</v>
      </c>
      <c r="P244" s="9"/>
      <c r="Q244" s="9"/>
      <c r="R244" s="9"/>
      <c r="S244" s="7">
        <f t="shared" si="104"/>
        <v>0</v>
      </c>
      <c r="T244" s="55"/>
    </row>
    <row r="245" spans="1:20" x14ac:dyDescent="0.15">
      <c r="A245" s="3"/>
      <c r="B245" s="8"/>
      <c r="C245" s="9"/>
      <c r="D245" s="10"/>
      <c r="E245" s="7">
        <f t="shared" si="99"/>
        <v>0</v>
      </c>
      <c r="F245" s="8"/>
      <c r="G245" s="9"/>
      <c r="H245" s="10"/>
      <c r="I245" s="7">
        <f t="shared" si="100"/>
        <v>0</v>
      </c>
      <c r="J245" s="31"/>
      <c r="K245" s="66"/>
      <c r="L245" s="9"/>
      <c r="M245" s="10"/>
      <c r="N245" s="9"/>
      <c r="O245" s="70">
        <f t="shared" si="102"/>
        <v>0</v>
      </c>
      <c r="P245" s="9"/>
      <c r="Q245" s="9"/>
      <c r="R245" s="9"/>
      <c r="S245" s="7">
        <f t="shared" si="104"/>
        <v>0</v>
      </c>
      <c r="T245" s="55"/>
    </row>
    <row r="246" spans="1:20" x14ac:dyDescent="0.15">
      <c r="A246" s="3"/>
      <c r="B246" s="8"/>
      <c r="C246" s="9"/>
      <c r="D246" s="10"/>
      <c r="E246" s="7">
        <f t="shared" si="99"/>
        <v>0</v>
      </c>
      <c r="F246" s="8"/>
      <c r="G246" s="9"/>
      <c r="H246" s="10"/>
      <c r="I246" s="7">
        <f t="shared" si="100"/>
        <v>0</v>
      </c>
      <c r="J246" s="31"/>
      <c r="K246" s="66"/>
      <c r="L246" s="9"/>
      <c r="M246" s="10"/>
      <c r="N246" s="9"/>
      <c r="O246" s="70">
        <f t="shared" si="102"/>
        <v>0</v>
      </c>
      <c r="P246" s="9"/>
      <c r="Q246" s="9"/>
      <c r="R246" s="9"/>
      <c r="S246" s="7">
        <f t="shared" si="104"/>
        <v>0</v>
      </c>
      <c r="T246" s="55"/>
    </row>
    <row r="247" spans="1:20" x14ac:dyDescent="0.15">
      <c r="A247" s="3"/>
      <c r="B247" s="8"/>
      <c r="C247" s="9"/>
      <c r="D247" s="10"/>
      <c r="E247" s="7">
        <f t="shared" si="99"/>
        <v>0</v>
      </c>
      <c r="F247" s="8"/>
      <c r="G247" s="9"/>
      <c r="H247" s="10"/>
      <c r="I247" s="7">
        <f t="shared" si="100"/>
        <v>0</v>
      </c>
      <c r="J247" s="31"/>
      <c r="K247" s="66"/>
      <c r="L247" s="9"/>
      <c r="M247" s="10"/>
      <c r="N247" s="9"/>
      <c r="O247" s="70">
        <f t="shared" ref="O247:O253" si="110">SUM(L247:N247)</f>
        <v>0</v>
      </c>
      <c r="P247" s="9"/>
      <c r="Q247" s="9"/>
      <c r="R247" s="9"/>
      <c r="S247" s="7">
        <f t="shared" ref="S247:S253" si="111">SUM(P247:R247)</f>
        <v>0</v>
      </c>
      <c r="T247" s="55"/>
    </row>
    <row r="248" spans="1:20" x14ac:dyDescent="0.15">
      <c r="A248" s="3"/>
      <c r="B248" s="8"/>
      <c r="C248" s="9"/>
      <c r="D248" s="10"/>
      <c r="E248" s="7">
        <f t="shared" si="99"/>
        <v>0</v>
      </c>
      <c r="F248" s="8"/>
      <c r="G248" s="9"/>
      <c r="H248" s="10"/>
      <c r="I248" s="7">
        <f t="shared" si="100"/>
        <v>0</v>
      </c>
      <c r="J248" s="31"/>
      <c r="K248" s="66"/>
      <c r="L248" s="9"/>
      <c r="M248" s="10"/>
      <c r="N248" s="9"/>
      <c r="O248" s="70">
        <f t="shared" si="110"/>
        <v>0</v>
      </c>
      <c r="P248" s="9"/>
      <c r="Q248" s="9"/>
      <c r="R248" s="9"/>
      <c r="S248" s="7">
        <f t="shared" si="111"/>
        <v>0</v>
      </c>
      <c r="T248" s="55"/>
    </row>
    <row r="249" spans="1:20" x14ac:dyDescent="0.15">
      <c r="A249" s="3"/>
      <c r="B249" s="8"/>
      <c r="C249" s="9"/>
      <c r="D249" s="10"/>
      <c r="E249" s="7">
        <f t="shared" si="99"/>
        <v>0</v>
      </c>
      <c r="F249" s="8"/>
      <c r="G249" s="9"/>
      <c r="H249" s="10"/>
      <c r="I249" s="7">
        <f t="shared" si="100"/>
        <v>0</v>
      </c>
      <c r="J249" s="31"/>
      <c r="K249" s="66"/>
      <c r="L249" s="9"/>
      <c r="M249" s="10"/>
      <c r="N249" s="9"/>
      <c r="O249" s="70">
        <f t="shared" si="110"/>
        <v>0</v>
      </c>
      <c r="P249" s="9"/>
      <c r="Q249" s="9"/>
      <c r="R249" s="9"/>
      <c r="S249" s="7">
        <f t="shared" si="111"/>
        <v>0</v>
      </c>
      <c r="T249" s="55"/>
    </row>
    <row r="250" spans="1:20" x14ac:dyDescent="0.15">
      <c r="A250" s="3"/>
      <c r="B250" s="8"/>
      <c r="C250" s="9"/>
      <c r="D250" s="10"/>
      <c r="E250" s="7">
        <f t="shared" si="99"/>
        <v>0</v>
      </c>
      <c r="F250" s="8"/>
      <c r="G250" s="9"/>
      <c r="H250" s="10"/>
      <c r="I250" s="7">
        <f t="shared" si="100"/>
        <v>0</v>
      </c>
      <c r="J250" s="31"/>
      <c r="K250" s="66"/>
      <c r="L250" s="9"/>
      <c r="M250" s="10"/>
      <c r="N250" s="9"/>
      <c r="O250" s="70">
        <f t="shared" si="110"/>
        <v>0</v>
      </c>
      <c r="P250" s="9"/>
      <c r="Q250" s="9"/>
      <c r="R250" s="9"/>
      <c r="S250" s="7">
        <f t="shared" si="111"/>
        <v>0</v>
      </c>
      <c r="T250" s="55"/>
    </row>
    <row r="251" spans="1:20" x14ac:dyDescent="0.15">
      <c r="A251" s="3"/>
      <c r="B251" s="8"/>
      <c r="C251" s="9"/>
      <c r="D251" s="10"/>
      <c r="E251" s="7">
        <f t="shared" si="99"/>
        <v>0</v>
      </c>
      <c r="F251" s="8"/>
      <c r="G251" s="9"/>
      <c r="H251" s="10"/>
      <c r="I251" s="7">
        <f t="shared" si="100"/>
        <v>0</v>
      </c>
      <c r="J251" s="31"/>
      <c r="K251" s="66"/>
      <c r="L251" s="9"/>
      <c r="M251" s="10"/>
      <c r="N251" s="9"/>
      <c r="O251" s="70">
        <f t="shared" si="110"/>
        <v>0</v>
      </c>
      <c r="P251" s="9"/>
      <c r="Q251" s="9"/>
      <c r="R251" s="9"/>
      <c r="S251" s="7">
        <f t="shared" si="111"/>
        <v>0</v>
      </c>
      <c r="T251" s="55"/>
    </row>
    <row r="252" spans="1:20" x14ac:dyDescent="0.15">
      <c r="A252" s="3"/>
      <c r="B252" s="8"/>
      <c r="C252" s="9"/>
      <c r="D252" s="10"/>
      <c r="E252" s="7">
        <f t="shared" si="99"/>
        <v>0</v>
      </c>
      <c r="F252" s="8"/>
      <c r="G252" s="9"/>
      <c r="H252" s="10"/>
      <c r="I252" s="7">
        <f t="shared" si="100"/>
        <v>0</v>
      </c>
      <c r="J252" s="31"/>
      <c r="K252" s="66"/>
      <c r="L252" s="9"/>
      <c r="M252" s="10"/>
      <c r="N252" s="9"/>
      <c r="O252" s="70">
        <f t="shared" si="110"/>
        <v>0</v>
      </c>
      <c r="P252" s="9"/>
      <c r="Q252" s="9"/>
      <c r="R252" s="9"/>
      <c r="S252" s="7">
        <f t="shared" si="111"/>
        <v>0</v>
      </c>
      <c r="T252" s="55"/>
    </row>
    <row r="253" spans="1:20" x14ac:dyDescent="0.15">
      <c r="A253" s="3"/>
      <c r="B253" s="8"/>
      <c r="C253" s="9"/>
      <c r="D253" s="10"/>
      <c r="E253" s="7">
        <f t="shared" si="99"/>
        <v>0</v>
      </c>
      <c r="F253" s="8"/>
      <c r="G253" s="9"/>
      <c r="H253" s="10"/>
      <c r="I253" s="7">
        <f t="shared" si="100"/>
        <v>0</v>
      </c>
      <c r="J253" s="31"/>
      <c r="K253" s="66"/>
      <c r="L253" s="9"/>
      <c r="M253" s="10"/>
      <c r="N253" s="9"/>
      <c r="O253" s="70">
        <f t="shared" si="110"/>
        <v>0</v>
      </c>
      <c r="P253" s="9"/>
      <c r="Q253" s="9"/>
      <c r="R253" s="9"/>
      <c r="S253" s="7">
        <f t="shared" si="111"/>
        <v>0</v>
      </c>
      <c r="T253" s="55"/>
    </row>
    <row r="254" spans="1:20" ht="14.25" thickBot="1" x14ac:dyDescent="0.2">
      <c r="A254" s="3"/>
      <c r="B254" s="8"/>
      <c r="C254" s="9"/>
      <c r="D254" s="10"/>
      <c r="E254" s="7">
        <f t="shared" si="99"/>
        <v>0</v>
      </c>
      <c r="F254" s="8"/>
      <c r="G254" s="9"/>
      <c r="H254" s="10"/>
      <c r="I254" s="7">
        <f t="shared" si="100"/>
        <v>0</v>
      </c>
      <c r="J254" s="31"/>
      <c r="K254" s="88" t="s">
        <v>178</v>
      </c>
      <c r="L254" s="89"/>
      <c r="M254" s="90"/>
      <c r="N254" s="89"/>
      <c r="O254" s="91">
        <f t="shared" si="102"/>
        <v>0</v>
      </c>
      <c r="P254" s="89"/>
      <c r="Q254" s="90"/>
      <c r="R254" s="89"/>
      <c r="S254" s="92">
        <f t="shared" si="104"/>
        <v>0</v>
      </c>
      <c r="T254" s="55" t="s">
        <v>179</v>
      </c>
    </row>
    <row r="255" spans="1:20" ht="14.25" thickBot="1" x14ac:dyDescent="0.2">
      <c r="A255" s="2" t="s">
        <v>5</v>
      </c>
      <c r="B255" s="12">
        <f>SUM(B231:B254)</f>
        <v>7</v>
      </c>
      <c r="C255" s="12">
        <f>SUM(C231:C254)</f>
        <v>4</v>
      </c>
      <c r="D255" s="12">
        <f>SUM(D231:D254)</f>
        <v>7</v>
      </c>
      <c r="E255" s="13">
        <f t="shared" si="99"/>
        <v>18</v>
      </c>
      <c r="F255" s="12">
        <f>SUM(F231:F254)</f>
        <v>7</v>
      </c>
      <c r="G255" s="12">
        <f>SUM(G231:G254)</f>
        <v>4</v>
      </c>
      <c r="H255" s="12">
        <f>SUM(H231:H254)</f>
        <v>7</v>
      </c>
      <c r="I255" s="13">
        <f t="shared" si="100"/>
        <v>18</v>
      </c>
      <c r="J255" s="48"/>
      <c r="K255" s="83" t="s">
        <v>5</v>
      </c>
      <c r="L255" s="68">
        <f>SUM(L231:L254)</f>
        <v>22</v>
      </c>
      <c r="M255" s="68">
        <f>SUM(M231:M254)</f>
        <v>42</v>
      </c>
      <c r="N255" s="68">
        <f>SUM(N231:N254)</f>
        <v>30</v>
      </c>
      <c r="O255" s="84">
        <f t="shared" ref="O255" si="112">SUM(L255:N255)</f>
        <v>94</v>
      </c>
      <c r="P255" s="68">
        <f>SUM(P231:P254)</f>
        <v>22</v>
      </c>
      <c r="Q255" s="68">
        <f>SUM(Q231:Q254)</f>
        <v>42</v>
      </c>
      <c r="R255" s="68">
        <f>SUM(R231:R254)</f>
        <v>30</v>
      </c>
      <c r="S255" s="84">
        <f t="shared" ref="S255" si="113">SUM(P255:R255)</f>
        <v>94</v>
      </c>
    </row>
    <row r="256" spans="1:20" ht="14.25" thickBot="1" x14ac:dyDescent="0.2">
      <c r="A256" s="21" t="s">
        <v>6</v>
      </c>
      <c r="B256" s="22">
        <f>B230-B255</f>
        <v>4</v>
      </c>
      <c r="C256" s="22">
        <f t="shared" ref="C256:E256" si="114">C230-C255</f>
        <v>7</v>
      </c>
      <c r="D256" s="22">
        <f t="shared" si="114"/>
        <v>3</v>
      </c>
      <c r="E256" s="22">
        <f t="shared" si="114"/>
        <v>14</v>
      </c>
      <c r="F256" s="22">
        <f>F230-F255</f>
        <v>4</v>
      </c>
      <c r="G256" s="22">
        <f>G230-G255</f>
        <v>7</v>
      </c>
      <c r="H256" s="22">
        <f>H230-H255</f>
        <v>3</v>
      </c>
      <c r="I256" s="20">
        <f t="shared" ref="I256" si="115">I230-I255</f>
        <v>14</v>
      </c>
      <c r="J256" s="48"/>
      <c r="K256" s="21" t="s">
        <v>6</v>
      </c>
      <c r="L256" s="22">
        <f>L230-L255</f>
        <v>28</v>
      </c>
      <c r="M256" s="22">
        <f t="shared" ref="M256:O256" si="116">M230-M255</f>
        <v>8</v>
      </c>
      <c r="N256" s="22">
        <f t="shared" si="116"/>
        <v>20</v>
      </c>
      <c r="O256" s="22">
        <f t="shared" si="116"/>
        <v>56</v>
      </c>
      <c r="P256" s="22">
        <f>P230-P255</f>
        <v>28</v>
      </c>
      <c r="Q256" s="22">
        <f>Q230-Q255</f>
        <v>8</v>
      </c>
      <c r="R256" s="22">
        <f>R230-R255</f>
        <v>20</v>
      </c>
      <c r="S256" s="20">
        <f t="shared" ref="S256" si="117">S230-S255</f>
        <v>56</v>
      </c>
    </row>
    <row r="259" spans="1:21" ht="21.75" thickBot="1" x14ac:dyDescent="0.25">
      <c r="A259" s="26" t="s">
        <v>162</v>
      </c>
      <c r="B259" s="27"/>
      <c r="C259" s="27"/>
      <c r="D259" s="27"/>
      <c r="E259" s="27"/>
      <c r="F259" s="28"/>
      <c r="G259" s="28"/>
      <c r="H259" s="28"/>
      <c r="I259" s="28"/>
      <c r="J259" s="49"/>
      <c r="K259" s="26" t="s">
        <v>161</v>
      </c>
      <c r="L259" s="27"/>
      <c r="M259" s="27"/>
      <c r="N259" s="27"/>
      <c r="O259" s="27"/>
      <c r="P259" s="28"/>
      <c r="Q259" s="28"/>
      <c r="R259" s="28"/>
      <c r="S259" s="28"/>
    </row>
    <row r="260" spans="1:21" ht="14.25" thickBot="1" x14ac:dyDescent="0.2">
      <c r="A260" s="1" t="s">
        <v>0</v>
      </c>
      <c r="B260" s="183" t="s">
        <v>12</v>
      </c>
      <c r="C260" s="183"/>
      <c r="D260" s="183"/>
      <c r="E260" s="184"/>
      <c r="F260" s="183" t="s">
        <v>10</v>
      </c>
      <c r="G260" s="183"/>
      <c r="H260" s="183"/>
      <c r="I260" s="184"/>
      <c r="J260" s="48"/>
      <c r="K260" s="1" t="s">
        <v>0</v>
      </c>
      <c r="L260" s="183" t="s">
        <v>12</v>
      </c>
      <c r="M260" s="183"/>
      <c r="N260" s="183"/>
      <c r="O260" s="184"/>
      <c r="P260" s="183" t="s">
        <v>10</v>
      </c>
      <c r="Q260" s="183"/>
      <c r="R260" s="183"/>
      <c r="S260" s="184"/>
    </row>
    <row r="261" spans="1:21" ht="14.25" thickBot="1" x14ac:dyDescent="0.2">
      <c r="A261" s="1" t="s">
        <v>1</v>
      </c>
      <c r="B261" s="2" t="s">
        <v>7</v>
      </c>
      <c r="C261" s="1" t="s">
        <v>8</v>
      </c>
      <c r="D261" s="15" t="s">
        <v>9</v>
      </c>
      <c r="E261" s="1" t="s">
        <v>2</v>
      </c>
      <c r="F261" s="2" t="s">
        <v>7</v>
      </c>
      <c r="G261" s="1" t="s">
        <v>8</v>
      </c>
      <c r="H261" s="15" t="s">
        <v>9</v>
      </c>
      <c r="I261" s="1" t="s">
        <v>2</v>
      </c>
      <c r="J261" s="48"/>
      <c r="K261" s="1" t="s">
        <v>1</v>
      </c>
      <c r="L261" s="2" t="s">
        <v>7</v>
      </c>
      <c r="M261" s="1" t="s">
        <v>8</v>
      </c>
      <c r="N261" s="15" t="s">
        <v>9</v>
      </c>
      <c r="O261" s="1" t="s">
        <v>2</v>
      </c>
      <c r="P261" s="2" t="s">
        <v>7</v>
      </c>
      <c r="Q261" s="1" t="s">
        <v>8</v>
      </c>
      <c r="R261" s="15" t="s">
        <v>9</v>
      </c>
      <c r="S261" s="1" t="s">
        <v>2</v>
      </c>
    </row>
    <row r="262" spans="1:21" ht="14.25" thickBot="1" x14ac:dyDescent="0.2">
      <c r="A262" s="41" t="s">
        <v>13</v>
      </c>
      <c r="B262" s="42">
        <f>B256</f>
        <v>4</v>
      </c>
      <c r="C262" s="43">
        <f>C256</f>
        <v>7</v>
      </c>
      <c r="D262" s="44">
        <f>D256</f>
        <v>3</v>
      </c>
      <c r="E262" s="45">
        <f t="shared" ref="E262:E298" si="118">SUM(B262:D262)</f>
        <v>14</v>
      </c>
      <c r="F262" s="42">
        <f>F256</f>
        <v>4</v>
      </c>
      <c r="G262" s="43">
        <f>G256</f>
        <v>7</v>
      </c>
      <c r="H262" s="44">
        <f>H256</f>
        <v>3</v>
      </c>
      <c r="I262" s="45">
        <f t="shared" ref="I262:I298" si="119">SUM(F262:H262)</f>
        <v>14</v>
      </c>
      <c r="J262" s="50"/>
      <c r="K262" s="34" t="s">
        <v>13</v>
      </c>
      <c r="L262" s="35">
        <f>L256</f>
        <v>28</v>
      </c>
      <c r="M262" s="35">
        <f t="shared" ref="M262:N262" si="120">M256</f>
        <v>8</v>
      </c>
      <c r="N262" s="35">
        <f t="shared" si="120"/>
        <v>20</v>
      </c>
      <c r="O262" s="20">
        <f t="shared" ref="O262:O297" si="121">SUM(L262:N262)</f>
        <v>56</v>
      </c>
      <c r="P262" s="35">
        <f>P256</f>
        <v>28</v>
      </c>
      <c r="Q262" s="36">
        <f t="shared" ref="Q262:R262" si="122">Q256</f>
        <v>8</v>
      </c>
      <c r="R262" s="37">
        <f t="shared" si="122"/>
        <v>20</v>
      </c>
      <c r="S262" s="20">
        <f t="shared" ref="S262:S297" si="123">SUM(P262:R262)</f>
        <v>56</v>
      </c>
    </row>
    <row r="263" spans="1:21" x14ac:dyDescent="0.15">
      <c r="A263" s="85" t="s">
        <v>91</v>
      </c>
      <c r="B263" s="38"/>
      <c r="C263" s="39">
        <v>1</v>
      </c>
      <c r="D263" s="40"/>
      <c r="E263" s="4">
        <f t="shared" si="118"/>
        <v>1</v>
      </c>
      <c r="F263" s="38"/>
      <c r="G263" s="39">
        <v>1</v>
      </c>
      <c r="H263" s="40"/>
      <c r="I263" s="4">
        <f t="shared" si="119"/>
        <v>1</v>
      </c>
      <c r="J263" s="47">
        <v>45043</v>
      </c>
      <c r="K263" s="5" t="s">
        <v>3</v>
      </c>
      <c r="L263" s="46"/>
      <c r="M263" s="3"/>
      <c r="N263" s="46"/>
      <c r="O263" s="4">
        <f t="shared" si="121"/>
        <v>0</v>
      </c>
      <c r="P263" s="46"/>
      <c r="Q263" s="3"/>
      <c r="R263" s="46"/>
      <c r="S263" s="4">
        <f t="shared" si="123"/>
        <v>0</v>
      </c>
    </row>
    <row r="264" spans="1:21" x14ac:dyDescent="0.15">
      <c r="A264" s="3" t="s">
        <v>258</v>
      </c>
      <c r="B264" s="8">
        <v>1</v>
      </c>
      <c r="C264" s="9"/>
      <c r="D264" s="10"/>
      <c r="E264" s="7">
        <f t="shared" si="118"/>
        <v>1</v>
      </c>
      <c r="F264" s="8">
        <v>1</v>
      </c>
      <c r="G264" s="9"/>
      <c r="H264" s="10"/>
      <c r="I264" s="7">
        <f t="shared" si="119"/>
        <v>1</v>
      </c>
      <c r="J264" s="31">
        <v>45082</v>
      </c>
      <c r="K264" s="5" t="s">
        <v>3</v>
      </c>
      <c r="L264" s="14"/>
      <c r="M264" s="11"/>
      <c r="N264" s="14"/>
      <c r="O264" s="4">
        <f t="shared" si="121"/>
        <v>0</v>
      </c>
      <c r="P264" s="14"/>
      <c r="Q264" s="11"/>
      <c r="R264" s="14"/>
      <c r="S264" s="4">
        <f t="shared" si="123"/>
        <v>0</v>
      </c>
      <c r="T264" s="47"/>
      <c r="U264" s="54"/>
    </row>
    <row r="265" spans="1:21" x14ac:dyDescent="0.15">
      <c r="A265" s="6" t="s">
        <v>3</v>
      </c>
      <c r="B265" s="14"/>
      <c r="C265" s="11"/>
      <c r="D265" s="14"/>
      <c r="E265" s="4">
        <f t="shared" si="118"/>
        <v>0</v>
      </c>
      <c r="F265" s="14"/>
      <c r="G265" s="11"/>
      <c r="H265" s="14"/>
      <c r="I265" s="4">
        <f t="shared" si="119"/>
        <v>0</v>
      </c>
      <c r="J265" s="31"/>
      <c r="K265" s="5" t="s">
        <v>3</v>
      </c>
      <c r="L265" s="14"/>
      <c r="M265" s="11"/>
      <c r="N265" s="14"/>
      <c r="O265" s="4">
        <f t="shared" ref="O265:O266" si="124">SUM(L265:N265)</f>
        <v>0</v>
      </c>
      <c r="P265" s="14"/>
      <c r="Q265" s="11"/>
      <c r="R265" s="14"/>
      <c r="S265" s="4">
        <f t="shared" ref="S265:S266" si="125">SUM(P265:R265)</f>
        <v>0</v>
      </c>
      <c r="T265" s="47"/>
      <c r="U265" s="54"/>
    </row>
    <row r="266" spans="1:21" x14ac:dyDescent="0.15">
      <c r="A266" s="6" t="s">
        <v>3</v>
      </c>
      <c r="B266" s="14"/>
      <c r="C266" s="11"/>
      <c r="D266" s="14"/>
      <c r="E266" s="4">
        <f t="shared" si="118"/>
        <v>0</v>
      </c>
      <c r="F266" s="14"/>
      <c r="G266" s="11"/>
      <c r="H266" s="14"/>
      <c r="I266" s="4">
        <f t="shared" si="119"/>
        <v>0</v>
      </c>
      <c r="J266" s="31"/>
      <c r="K266" s="5" t="s">
        <v>3</v>
      </c>
      <c r="L266" s="14"/>
      <c r="M266" s="11"/>
      <c r="N266" s="14"/>
      <c r="O266" s="4">
        <f t="shared" si="124"/>
        <v>0</v>
      </c>
      <c r="P266" s="14"/>
      <c r="Q266" s="11"/>
      <c r="R266" s="14"/>
      <c r="S266" s="4">
        <f t="shared" si="125"/>
        <v>0</v>
      </c>
      <c r="T266" s="47"/>
      <c r="U266" s="54"/>
    </row>
    <row r="267" spans="1:21" x14ac:dyDescent="0.15">
      <c r="A267" s="6" t="s">
        <v>3</v>
      </c>
      <c r="B267" s="14"/>
      <c r="C267" s="11"/>
      <c r="D267" s="14"/>
      <c r="E267" s="4">
        <f t="shared" si="118"/>
        <v>0</v>
      </c>
      <c r="F267" s="14"/>
      <c r="G267" s="11"/>
      <c r="H267" s="14"/>
      <c r="I267" s="4">
        <f t="shared" si="119"/>
        <v>0</v>
      </c>
      <c r="J267" s="31"/>
      <c r="K267" s="5" t="s">
        <v>3</v>
      </c>
      <c r="L267" s="25"/>
      <c r="M267" s="24"/>
      <c r="N267" s="25"/>
      <c r="O267" s="7">
        <f t="shared" si="121"/>
        <v>0</v>
      </c>
      <c r="P267" s="25"/>
      <c r="Q267" s="24"/>
      <c r="R267" s="25"/>
      <c r="S267" s="4">
        <f t="shared" si="123"/>
        <v>0</v>
      </c>
      <c r="T267" s="47"/>
      <c r="U267" s="54"/>
    </row>
    <row r="268" spans="1:21" x14ac:dyDescent="0.15">
      <c r="A268" s="6" t="s">
        <v>3</v>
      </c>
      <c r="B268" s="14"/>
      <c r="C268" s="11"/>
      <c r="D268" s="14"/>
      <c r="E268" s="4">
        <f t="shared" si="118"/>
        <v>0</v>
      </c>
      <c r="F268" s="14"/>
      <c r="G268" s="11"/>
      <c r="H268" s="14"/>
      <c r="I268" s="4">
        <f t="shared" si="119"/>
        <v>0</v>
      </c>
      <c r="J268" s="31"/>
      <c r="K268" s="5" t="s">
        <v>3</v>
      </c>
      <c r="L268" s="14"/>
      <c r="M268" s="11"/>
      <c r="N268" s="14"/>
      <c r="O268" s="4">
        <f t="shared" si="121"/>
        <v>0</v>
      </c>
      <c r="P268" s="14"/>
      <c r="Q268" s="11"/>
      <c r="R268" s="14"/>
      <c r="S268" s="4">
        <f t="shared" si="123"/>
        <v>0</v>
      </c>
      <c r="T268" s="55"/>
      <c r="U268" s="54"/>
    </row>
    <row r="269" spans="1:21" x14ac:dyDescent="0.15">
      <c r="A269" s="6" t="s">
        <v>3</v>
      </c>
      <c r="B269" s="14"/>
      <c r="C269" s="11"/>
      <c r="D269" s="14"/>
      <c r="E269" s="4">
        <f t="shared" si="118"/>
        <v>0</v>
      </c>
      <c r="F269" s="14"/>
      <c r="G269" s="11"/>
      <c r="H269" s="14"/>
      <c r="I269" s="4">
        <f t="shared" si="119"/>
        <v>0</v>
      </c>
      <c r="J269" s="31"/>
      <c r="K269" s="5" t="s">
        <v>3</v>
      </c>
      <c r="L269" s="14"/>
      <c r="M269" s="11"/>
      <c r="N269" s="14"/>
      <c r="O269" s="4">
        <f t="shared" si="121"/>
        <v>0</v>
      </c>
      <c r="P269" s="14"/>
      <c r="Q269" s="11"/>
      <c r="R269" s="14"/>
      <c r="S269" s="4">
        <f t="shared" si="123"/>
        <v>0</v>
      </c>
      <c r="T269" s="55"/>
      <c r="U269" s="54"/>
    </row>
    <row r="270" spans="1:21" x14ac:dyDescent="0.15">
      <c r="A270" s="6" t="s">
        <v>3</v>
      </c>
      <c r="B270" s="23"/>
      <c r="C270" s="24"/>
      <c r="D270" s="25"/>
      <c r="E270" s="7">
        <f t="shared" si="118"/>
        <v>0</v>
      </c>
      <c r="F270" s="23"/>
      <c r="G270" s="24"/>
      <c r="H270" s="25"/>
      <c r="I270" s="7">
        <f t="shared" si="119"/>
        <v>0</v>
      </c>
      <c r="J270" s="47"/>
      <c r="K270" s="5" t="s">
        <v>3</v>
      </c>
      <c r="L270" s="25"/>
      <c r="M270" s="24"/>
      <c r="N270" s="25"/>
      <c r="O270" s="7">
        <f t="shared" si="121"/>
        <v>0</v>
      </c>
      <c r="P270" s="23"/>
      <c r="Q270" s="24"/>
      <c r="R270" s="25"/>
      <c r="S270" s="7">
        <f t="shared" si="123"/>
        <v>0</v>
      </c>
      <c r="T270" s="55"/>
    </row>
    <row r="271" spans="1:21" x14ac:dyDescent="0.15">
      <c r="A271" s="6" t="s">
        <v>3</v>
      </c>
      <c r="B271" s="23"/>
      <c r="C271" s="24"/>
      <c r="D271" s="25"/>
      <c r="E271" s="7">
        <f t="shared" si="118"/>
        <v>0</v>
      </c>
      <c r="F271" s="23"/>
      <c r="G271" s="24"/>
      <c r="H271" s="25"/>
      <c r="I271" s="7">
        <f t="shared" si="119"/>
        <v>0</v>
      </c>
      <c r="J271" s="47"/>
      <c r="K271" s="5" t="s">
        <v>3</v>
      </c>
      <c r="L271" s="25"/>
      <c r="M271" s="24"/>
      <c r="N271" s="25"/>
      <c r="O271" s="7">
        <f t="shared" si="121"/>
        <v>0</v>
      </c>
      <c r="P271" s="25"/>
      <c r="Q271" s="24"/>
      <c r="R271" s="25"/>
      <c r="S271" s="7">
        <f t="shared" si="123"/>
        <v>0</v>
      </c>
      <c r="T271" s="55"/>
    </row>
    <row r="272" spans="1:21" ht="14.25" thickBot="1" x14ac:dyDescent="0.2">
      <c r="A272" s="6" t="s">
        <v>3</v>
      </c>
      <c r="B272" s="29"/>
      <c r="C272" s="30"/>
      <c r="D272" s="29"/>
      <c r="E272" s="16">
        <f t="shared" si="118"/>
        <v>0</v>
      </c>
      <c r="F272" s="29"/>
      <c r="G272" s="30"/>
      <c r="H272" s="29"/>
      <c r="I272" s="16">
        <f t="shared" si="119"/>
        <v>0</v>
      </c>
      <c r="J272" s="31"/>
      <c r="K272" s="33" t="s">
        <v>3</v>
      </c>
      <c r="L272" s="29"/>
      <c r="M272" s="30"/>
      <c r="N272" s="29"/>
      <c r="O272" s="16">
        <f t="shared" si="121"/>
        <v>0</v>
      </c>
      <c r="P272" s="29"/>
      <c r="Q272" s="30"/>
      <c r="R272" s="29"/>
      <c r="S272" s="16">
        <f t="shared" si="123"/>
        <v>0</v>
      </c>
      <c r="T272" s="47"/>
    </row>
    <row r="273" spans="1:21" ht="14.25" thickBot="1" x14ac:dyDescent="0.2">
      <c r="A273" s="17" t="s">
        <v>4</v>
      </c>
      <c r="B273" s="18">
        <f>SUM(B262:B272)</f>
        <v>5</v>
      </c>
      <c r="C273" s="18">
        <f>SUM(C262:C272)</f>
        <v>8</v>
      </c>
      <c r="D273" s="19">
        <f>SUM(D262:D272)</f>
        <v>3</v>
      </c>
      <c r="E273" s="20">
        <f t="shared" si="118"/>
        <v>16</v>
      </c>
      <c r="F273" s="18">
        <f>SUM(F262:F272)</f>
        <v>5</v>
      </c>
      <c r="G273" s="18">
        <f>SUM(G262:G272)</f>
        <v>8</v>
      </c>
      <c r="H273" s="19">
        <f>SUM(H262:H272)</f>
        <v>3</v>
      </c>
      <c r="I273" s="20">
        <f t="shared" si="119"/>
        <v>16</v>
      </c>
      <c r="J273" s="48"/>
      <c r="K273" s="17" t="s">
        <v>4</v>
      </c>
      <c r="L273" s="67">
        <f>SUM(L262:L272)</f>
        <v>28</v>
      </c>
      <c r="M273" s="18">
        <f>SUM(M262:M272)</f>
        <v>8</v>
      </c>
      <c r="N273" s="19">
        <f>SUM(N262:N272)</f>
        <v>20</v>
      </c>
      <c r="O273" s="20">
        <f t="shared" si="121"/>
        <v>56</v>
      </c>
      <c r="P273" s="18">
        <f>SUM(P262:P272)</f>
        <v>28</v>
      </c>
      <c r="Q273" s="18">
        <f>SUM(Q262:Q272)</f>
        <v>8</v>
      </c>
      <c r="R273" s="19">
        <f>SUM(R262:R272)</f>
        <v>20</v>
      </c>
      <c r="S273" s="20">
        <f t="shared" si="123"/>
        <v>56</v>
      </c>
    </row>
    <row r="274" spans="1:21" x14ac:dyDescent="0.15">
      <c r="A274" s="3" t="s">
        <v>221</v>
      </c>
      <c r="B274" s="8"/>
      <c r="C274" s="9">
        <v>6</v>
      </c>
      <c r="D274" s="10">
        <v>3</v>
      </c>
      <c r="E274" s="4">
        <f t="shared" si="118"/>
        <v>9</v>
      </c>
      <c r="F274" s="8"/>
      <c r="G274" s="9">
        <v>6</v>
      </c>
      <c r="H274" s="10">
        <v>3</v>
      </c>
      <c r="I274" s="4">
        <f t="shared" si="119"/>
        <v>9</v>
      </c>
      <c r="J274" s="31">
        <v>45042</v>
      </c>
      <c r="K274" s="82" t="s">
        <v>214</v>
      </c>
      <c r="L274" s="71">
        <v>5</v>
      </c>
      <c r="M274" s="10">
        <v>5</v>
      </c>
      <c r="N274" s="71">
        <v>5</v>
      </c>
      <c r="O274" s="69">
        <f t="shared" si="121"/>
        <v>15</v>
      </c>
      <c r="P274" s="71">
        <v>5</v>
      </c>
      <c r="Q274" s="71">
        <v>5</v>
      </c>
      <c r="R274" s="71">
        <v>5</v>
      </c>
      <c r="S274" s="72">
        <f t="shared" si="123"/>
        <v>15</v>
      </c>
      <c r="T274" s="47">
        <v>45041</v>
      </c>
    </row>
    <row r="275" spans="1:21" x14ac:dyDescent="0.15">
      <c r="A275" s="3"/>
      <c r="B275" s="8"/>
      <c r="C275" s="9"/>
      <c r="D275" s="10"/>
      <c r="E275" s="4">
        <f t="shared" si="118"/>
        <v>0</v>
      </c>
      <c r="F275" s="8"/>
      <c r="G275" s="9"/>
      <c r="H275" s="10"/>
      <c r="I275" s="4">
        <f t="shared" si="119"/>
        <v>0</v>
      </c>
      <c r="J275" s="31"/>
      <c r="K275" s="3" t="s">
        <v>222</v>
      </c>
      <c r="L275" s="9">
        <v>7</v>
      </c>
      <c r="M275" s="10"/>
      <c r="N275" s="9">
        <v>11</v>
      </c>
      <c r="O275" s="69">
        <f t="shared" si="121"/>
        <v>18</v>
      </c>
      <c r="P275" s="9">
        <v>7</v>
      </c>
      <c r="Q275" s="9"/>
      <c r="R275" s="9">
        <v>11</v>
      </c>
      <c r="S275" s="4">
        <f t="shared" si="123"/>
        <v>18</v>
      </c>
      <c r="T275" s="47">
        <v>45043</v>
      </c>
    </row>
    <row r="276" spans="1:21" x14ac:dyDescent="0.15">
      <c r="A276" s="3"/>
      <c r="B276" s="8"/>
      <c r="C276" s="9"/>
      <c r="D276" s="10"/>
      <c r="E276" s="4">
        <f t="shared" si="118"/>
        <v>0</v>
      </c>
      <c r="F276" s="8"/>
      <c r="G276" s="9"/>
      <c r="H276" s="10"/>
      <c r="I276" s="4">
        <f t="shared" si="119"/>
        <v>0</v>
      </c>
      <c r="J276" s="31"/>
      <c r="K276" s="3" t="s">
        <v>223</v>
      </c>
      <c r="L276" s="9"/>
      <c r="M276" s="10"/>
      <c r="N276" s="9">
        <v>1</v>
      </c>
      <c r="O276" s="69">
        <f t="shared" si="121"/>
        <v>1</v>
      </c>
      <c r="P276" s="9"/>
      <c r="Q276" s="9"/>
      <c r="R276" s="9">
        <v>1</v>
      </c>
      <c r="S276" s="4">
        <f t="shared" si="123"/>
        <v>1</v>
      </c>
      <c r="T276" s="47">
        <v>45047</v>
      </c>
      <c r="U276" s="54"/>
    </row>
    <row r="277" spans="1:21" x14ac:dyDescent="0.15">
      <c r="A277" s="3"/>
      <c r="B277" s="8"/>
      <c r="C277" s="9"/>
      <c r="D277" s="10"/>
      <c r="E277" s="4">
        <f t="shared" si="118"/>
        <v>0</v>
      </c>
      <c r="F277" s="8"/>
      <c r="G277" s="9"/>
      <c r="H277" s="10"/>
      <c r="I277" s="4">
        <f t="shared" si="119"/>
        <v>0</v>
      </c>
      <c r="J277" s="31"/>
      <c r="K277" s="3"/>
      <c r="L277" s="9"/>
      <c r="M277" s="10"/>
      <c r="N277" s="9"/>
      <c r="O277" s="69">
        <f t="shared" si="121"/>
        <v>0</v>
      </c>
      <c r="P277" s="9"/>
      <c r="Q277" s="9"/>
      <c r="R277" s="9"/>
      <c r="S277" s="4">
        <f t="shared" si="123"/>
        <v>0</v>
      </c>
      <c r="T277" s="47"/>
    </row>
    <row r="278" spans="1:21" x14ac:dyDescent="0.15">
      <c r="A278" s="3"/>
      <c r="B278" s="8"/>
      <c r="C278" s="9"/>
      <c r="D278" s="10"/>
      <c r="E278" s="4">
        <f t="shared" si="118"/>
        <v>0</v>
      </c>
      <c r="F278" s="8"/>
      <c r="G278" s="9"/>
      <c r="H278" s="10"/>
      <c r="I278" s="4">
        <f t="shared" si="119"/>
        <v>0</v>
      </c>
      <c r="J278" s="31"/>
      <c r="K278" s="66"/>
      <c r="L278" s="9"/>
      <c r="M278" s="10"/>
      <c r="N278" s="9"/>
      <c r="O278" s="69">
        <f t="shared" si="121"/>
        <v>0</v>
      </c>
      <c r="P278" s="9"/>
      <c r="Q278" s="9"/>
      <c r="R278" s="9"/>
      <c r="S278" s="4">
        <f t="shared" si="123"/>
        <v>0</v>
      </c>
      <c r="T278" s="47"/>
    </row>
    <row r="279" spans="1:21" x14ac:dyDescent="0.15">
      <c r="A279" s="3"/>
      <c r="B279" s="8"/>
      <c r="C279" s="9"/>
      <c r="D279" s="10"/>
      <c r="E279" s="7">
        <f t="shared" si="118"/>
        <v>0</v>
      </c>
      <c r="F279" s="8"/>
      <c r="G279" s="9"/>
      <c r="H279" s="10"/>
      <c r="I279" s="7">
        <f t="shared" si="119"/>
        <v>0</v>
      </c>
      <c r="J279" s="31"/>
      <c r="K279" s="66"/>
      <c r="L279" s="9"/>
      <c r="M279" s="10"/>
      <c r="N279" s="9"/>
      <c r="O279" s="70">
        <f t="shared" si="121"/>
        <v>0</v>
      </c>
      <c r="P279" s="9"/>
      <c r="Q279" s="9"/>
      <c r="R279" s="9"/>
      <c r="S279" s="7">
        <f t="shared" si="123"/>
        <v>0</v>
      </c>
      <c r="T279" s="47"/>
    </row>
    <row r="280" spans="1:21" x14ac:dyDescent="0.15">
      <c r="A280" s="3"/>
      <c r="B280" s="8"/>
      <c r="C280" s="9"/>
      <c r="D280" s="10"/>
      <c r="E280" s="7">
        <f t="shared" si="118"/>
        <v>0</v>
      </c>
      <c r="F280" s="8"/>
      <c r="G280" s="9"/>
      <c r="H280" s="10"/>
      <c r="I280" s="7">
        <f t="shared" si="119"/>
        <v>0</v>
      </c>
      <c r="J280" s="31"/>
      <c r="K280" s="3"/>
      <c r="L280" s="9"/>
      <c r="M280" s="10"/>
      <c r="N280" s="9"/>
      <c r="O280" s="70">
        <f t="shared" si="121"/>
        <v>0</v>
      </c>
      <c r="P280" s="9"/>
      <c r="Q280" s="9"/>
      <c r="R280" s="9"/>
      <c r="S280" s="7">
        <f t="shared" si="123"/>
        <v>0</v>
      </c>
      <c r="T280" s="47"/>
    </row>
    <row r="281" spans="1:21" x14ac:dyDescent="0.15">
      <c r="A281" s="3"/>
      <c r="B281" s="8"/>
      <c r="C281" s="9"/>
      <c r="D281" s="10"/>
      <c r="E281" s="7">
        <f t="shared" si="118"/>
        <v>0</v>
      </c>
      <c r="F281" s="8"/>
      <c r="G281" s="9"/>
      <c r="H281" s="10"/>
      <c r="I281" s="7">
        <f t="shared" si="119"/>
        <v>0</v>
      </c>
      <c r="J281" s="31"/>
      <c r="K281" s="3"/>
      <c r="L281" s="9"/>
      <c r="M281" s="10"/>
      <c r="N281" s="9"/>
      <c r="O281" s="70">
        <f t="shared" si="121"/>
        <v>0</v>
      </c>
      <c r="P281" s="9"/>
      <c r="Q281" s="9"/>
      <c r="R281" s="9"/>
      <c r="S281" s="7">
        <f t="shared" si="123"/>
        <v>0</v>
      </c>
      <c r="T281" s="47"/>
    </row>
    <row r="282" spans="1:21" x14ac:dyDescent="0.15">
      <c r="A282" s="3"/>
      <c r="B282" s="8"/>
      <c r="C282" s="9"/>
      <c r="D282" s="10"/>
      <c r="E282" s="7">
        <f t="shared" si="118"/>
        <v>0</v>
      </c>
      <c r="F282" s="8"/>
      <c r="G282" s="9"/>
      <c r="H282" s="10"/>
      <c r="I282" s="7">
        <f t="shared" si="119"/>
        <v>0</v>
      </c>
      <c r="J282" s="31"/>
      <c r="K282" s="3"/>
      <c r="L282" s="9"/>
      <c r="M282" s="10"/>
      <c r="N282" s="9"/>
      <c r="O282" s="70">
        <f t="shared" si="121"/>
        <v>0</v>
      </c>
      <c r="P282" s="9"/>
      <c r="Q282" s="9"/>
      <c r="R282" s="9"/>
      <c r="S282" s="7">
        <f t="shared" si="123"/>
        <v>0</v>
      </c>
      <c r="T282" s="47"/>
    </row>
    <row r="283" spans="1:21" x14ac:dyDescent="0.15">
      <c r="A283" s="3"/>
      <c r="B283" s="8"/>
      <c r="C283" s="9"/>
      <c r="D283" s="10"/>
      <c r="E283" s="7">
        <f t="shared" si="118"/>
        <v>0</v>
      </c>
      <c r="F283" s="8"/>
      <c r="G283" s="9"/>
      <c r="H283" s="10"/>
      <c r="I283" s="7">
        <f t="shared" si="119"/>
        <v>0</v>
      </c>
      <c r="J283" s="31"/>
      <c r="K283" s="3"/>
      <c r="L283" s="9"/>
      <c r="M283" s="10"/>
      <c r="N283" s="9"/>
      <c r="O283" s="70">
        <f t="shared" si="121"/>
        <v>0</v>
      </c>
      <c r="P283" s="9"/>
      <c r="Q283" s="9"/>
      <c r="R283" s="9"/>
      <c r="S283" s="7">
        <f t="shared" si="123"/>
        <v>0</v>
      </c>
      <c r="T283" s="47"/>
    </row>
    <row r="284" spans="1:21" x14ac:dyDescent="0.15">
      <c r="A284" s="3"/>
      <c r="B284" s="8"/>
      <c r="C284" s="9"/>
      <c r="D284" s="10"/>
      <c r="E284" s="7">
        <f t="shared" si="118"/>
        <v>0</v>
      </c>
      <c r="F284" s="8"/>
      <c r="G284" s="9"/>
      <c r="H284" s="10"/>
      <c r="I284" s="7">
        <f t="shared" si="119"/>
        <v>0</v>
      </c>
      <c r="J284" s="31"/>
      <c r="K284" s="66"/>
      <c r="L284" s="9"/>
      <c r="M284" s="10"/>
      <c r="N284" s="9"/>
      <c r="O284" s="70">
        <f t="shared" si="121"/>
        <v>0</v>
      </c>
      <c r="P284" s="9"/>
      <c r="Q284" s="9"/>
      <c r="R284" s="9"/>
      <c r="S284" s="7">
        <f t="shared" si="123"/>
        <v>0</v>
      </c>
      <c r="T284" s="47"/>
    </row>
    <row r="285" spans="1:21" x14ac:dyDescent="0.15">
      <c r="A285" s="3"/>
      <c r="B285" s="8"/>
      <c r="C285" s="9"/>
      <c r="D285" s="10"/>
      <c r="E285" s="7">
        <f t="shared" si="118"/>
        <v>0</v>
      </c>
      <c r="F285" s="8"/>
      <c r="G285" s="9"/>
      <c r="H285" s="10"/>
      <c r="I285" s="7">
        <f t="shared" si="119"/>
        <v>0</v>
      </c>
      <c r="J285" s="31"/>
      <c r="K285" s="5"/>
      <c r="L285" s="9"/>
      <c r="M285" s="10"/>
      <c r="N285" s="9"/>
      <c r="O285" s="70">
        <f t="shared" si="121"/>
        <v>0</v>
      </c>
      <c r="P285" s="9"/>
      <c r="Q285" s="9"/>
      <c r="R285" s="9"/>
      <c r="S285" s="7">
        <f t="shared" si="123"/>
        <v>0</v>
      </c>
      <c r="T285" s="47"/>
    </row>
    <row r="286" spans="1:21" x14ac:dyDescent="0.15">
      <c r="A286" s="3"/>
      <c r="B286" s="8"/>
      <c r="C286" s="9"/>
      <c r="D286" s="10"/>
      <c r="E286" s="7">
        <f t="shared" si="118"/>
        <v>0</v>
      </c>
      <c r="F286" s="8"/>
      <c r="G286" s="9"/>
      <c r="H286" s="10"/>
      <c r="I286" s="7">
        <f t="shared" si="119"/>
        <v>0</v>
      </c>
      <c r="J286" s="31"/>
      <c r="K286" s="3"/>
      <c r="L286" s="8"/>
      <c r="M286" s="9"/>
      <c r="N286" s="10"/>
      <c r="O286" s="7">
        <f t="shared" ref="O286" si="126">SUM(L286:N286)</f>
        <v>0</v>
      </c>
      <c r="P286" s="8"/>
      <c r="Q286" s="9"/>
      <c r="R286" s="10"/>
      <c r="S286" s="7">
        <f t="shared" ref="S286" si="127">SUM(P286:R286)</f>
        <v>0</v>
      </c>
      <c r="T286" s="47"/>
    </row>
    <row r="287" spans="1:21" x14ac:dyDescent="0.15">
      <c r="A287" s="3"/>
      <c r="B287" s="8"/>
      <c r="C287" s="9"/>
      <c r="D287" s="10"/>
      <c r="E287" s="7">
        <f t="shared" si="118"/>
        <v>0</v>
      </c>
      <c r="F287" s="8"/>
      <c r="G287" s="9"/>
      <c r="H287" s="10"/>
      <c r="I287" s="7">
        <f t="shared" si="119"/>
        <v>0</v>
      </c>
      <c r="J287" s="31"/>
      <c r="K287" s="66"/>
      <c r="L287" s="9"/>
      <c r="M287" s="10"/>
      <c r="N287" s="9"/>
      <c r="O287" s="70">
        <f t="shared" ref="O287:O288" si="128">SUM(L287:N287)</f>
        <v>0</v>
      </c>
      <c r="P287" s="9"/>
      <c r="Q287" s="10"/>
      <c r="R287" s="9"/>
      <c r="S287" s="7">
        <f t="shared" ref="S287:S288" si="129">SUM(P287:R287)</f>
        <v>0</v>
      </c>
      <c r="T287" s="55"/>
    </row>
    <row r="288" spans="1:21" x14ac:dyDescent="0.15">
      <c r="A288" s="3"/>
      <c r="B288" s="8"/>
      <c r="C288" s="9"/>
      <c r="D288" s="10"/>
      <c r="E288" s="7">
        <f t="shared" si="118"/>
        <v>0</v>
      </c>
      <c r="F288" s="8"/>
      <c r="G288" s="9"/>
      <c r="H288" s="10"/>
      <c r="I288" s="7">
        <f t="shared" si="119"/>
        <v>0</v>
      </c>
      <c r="J288" s="31"/>
      <c r="K288" s="66"/>
      <c r="L288" s="9"/>
      <c r="M288" s="10"/>
      <c r="N288" s="9"/>
      <c r="O288" s="70">
        <f t="shared" si="128"/>
        <v>0</v>
      </c>
      <c r="P288" s="9"/>
      <c r="Q288" s="9"/>
      <c r="R288" s="9"/>
      <c r="S288" s="7">
        <f t="shared" si="129"/>
        <v>0</v>
      </c>
      <c r="T288" s="55"/>
    </row>
    <row r="289" spans="1:20" x14ac:dyDescent="0.15">
      <c r="A289" s="3"/>
      <c r="B289" s="8"/>
      <c r="C289" s="9"/>
      <c r="D289" s="10"/>
      <c r="E289" s="7">
        <f t="shared" si="118"/>
        <v>0</v>
      </c>
      <c r="F289" s="8"/>
      <c r="G289" s="9"/>
      <c r="H289" s="10"/>
      <c r="I289" s="7">
        <f t="shared" si="119"/>
        <v>0</v>
      </c>
      <c r="J289" s="31"/>
      <c r="K289" s="3"/>
      <c r="L289" s="8"/>
      <c r="M289" s="9"/>
      <c r="N289" s="10"/>
      <c r="O289" s="7">
        <f t="shared" ref="O289:O295" si="130">SUM(L289:N289)</f>
        <v>0</v>
      </c>
      <c r="P289" s="8"/>
      <c r="Q289" s="9"/>
      <c r="R289" s="10"/>
      <c r="S289" s="7">
        <f t="shared" ref="S289:S295" si="131">SUM(P289:R289)</f>
        <v>0</v>
      </c>
      <c r="T289" s="47"/>
    </row>
    <row r="290" spans="1:20" x14ac:dyDescent="0.15">
      <c r="A290" s="3"/>
      <c r="B290" s="8"/>
      <c r="C290" s="9"/>
      <c r="D290" s="10"/>
      <c r="E290" s="7">
        <f t="shared" si="118"/>
        <v>0</v>
      </c>
      <c r="F290" s="8"/>
      <c r="G290" s="9"/>
      <c r="H290" s="10"/>
      <c r="I290" s="7">
        <f t="shared" si="119"/>
        <v>0</v>
      </c>
      <c r="J290" s="31"/>
      <c r="K290" s="66"/>
      <c r="L290" s="9"/>
      <c r="M290" s="10"/>
      <c r="N290" s="9"/>
      <c r="O290" s="70">
        <f t="shared" ref="O290" si="132">SUM(L290:N290)</f>
        <v>0</v>
      </c>
      <c r="P290" s="9"/>
      <c r="Q290" s="10"/>
      <c r="R290" s="9"/>
      <c r="S290" s="7">
        <f t="shared" ref="S290" si="133">SUM(P290:R290)</f>
        <v>0</v>
      </c>
      <c r="T290" s="55"/>
    </row>
    <row r="291" spans="1:20" x14ac:dyDescent="0.15">
      <c r="A291" s="3"/>
      <c r="B291" s="8"/>
      <c r="C291" s="9"/>
      <c r="D291" s="10"/>
      <c r="E291" s="7">
        <f t="shared" si="118"/>
        <v>0</v>
      </c>
      <c r="F291" s="8"/>
      <c r="G291" s="9"/>
      <c r="H291" s="10"/>
      <c r="I291" s="7">
        <f t="shared" si="119"/>
        <v>0</v>
      </c>
      <c r="J291" s="31"/>
      <c r="K291" s="66"/>
      <c r="L291" s="9"/>
      <c r="M291" s="10"/>
      <c r="N291" s="9"/>
      <c r="O291" s="70">
        <f t="shared" si="130"/>
        <v>0</v>
      </c>
      <c r="P291" s="9"/>
      <c r="Q291" s="9"/>
      <c r="R291" s="9"/>
      <c r="S291" s="7">
        <f t="shared" si="131"/>
        <v>0</v>
      </c>
      <c r="T291" s="55"/>
    </row>
    <row r="292" spans="1:20" x14ac:dyDescent="0.15">
      <c r="A292" s="3"/>
      <c r="B292" s="8"/>
      <c r="C292" s="9"/>
      <c r="D292" s="10"/>
      <c r="E292" s="7">
        <f t="shared" si="118"/>
        <v>0</v>
      </c>
      <c r="F292" s="8"/>
      <c r="G292" s="9"/>
      <c r="H292" s="10"/>
      <c r="I292" s="7">
        <f t="shared" si="119"/>
        <v>0</v>
      </c>
      <c r="J292" s="31"/>
      <c r="K292" s="66"/>
      <c r="L292" s="9"/>
      <c r="M292" s="10"/>
      <c r="N292" s="9"/>
      <c r="O292" s="70">
        <f t="shared" ref="O292:O293" si="134">SUM(L292:N292)</f>
        <v>0</v>
      </c>
      <c r="P292" s="9"/>
      <c r="Q292" s="9"/>
      <c r="R292" s="9"/>
      <c r="S292" s="7">
        <f t="shared" ref="S292:S293" si="135">SUM(P292:R292)</f>
        <v>0</v>
      </c>
      <c r="T292" s="55"/>
    </row>
    <row r="293" spans="1:20" x14ac:dyDescent="0.15">
      <c r="A293" s="3"/>
      <c r="B293" s="8"/>
      <c r="C293" s="9"/>
      <c r="D293" s="10"/>
      <c r="E293" s="7">
        <f t="shared" si="118"/>
        <v>0</v>
      </c>
      <c r="F293" s="8"/>
      <c r="G293" s="9"/>
      <c r="H293" s="10"/>
      <c r="I293" s="7">
        <f t="shared" si="119"/>
        <v>0</v>
      </c>
      <c r="J293" s="31"/>
      <c r="K293" s="66"/>
      <c r="L293" s="9"/>
      <c r="M293" s="10"/>
      <c r="N293" s="9"/>
      <c r="O293" s="70">
        <f t="shared" si="134"/>
        <v>0</v>
      </c>
      <c r="P293" s="9"/>
      <c r="Q293" s="9"/>
      <c r="R293" s="9"/>
      <c r="S293" s="7">
        <f t="shared" si="135"/>
        <v>0</v>
      </c>
      <c r="T293" s="55"/>
    </row>
    <row r="294" spans="1:20" x14ac:dyDescent="0.15">
      <c r="A294" s="3"/>
      <c r="B294" s="8"/>
      <c r="C294" s="9"/>
      <c r="D294" s="10"/>
      <c r="E294" s="7">
        <f t="shared" si="118"/>
        <v>0</v>
      </c>
      <c r="F294" s="8"/>
      <c r="G294" s="9"/>
      <c r="H294" s="10"/>
      <c r="I294" s="7">
        <f t="shared" si="119"/>
        <v>0</v>
      </c>
      <c r="J294" s="31"/>
      <c r="K294" s="66" t="s">
        <v>174</v>
      </c>
      <c r="L294" s="9"/>
      <c r="M294" s="10"/>
      <c r="N294" s="9"/>
      <c r="O294" s="70">
        <f t="shared" si="130"/>
        <v>0</v>
      </c>
      <c r="P294" s="9"/>
      <c r="Q294" s="10"/>
      <c r="R294" s="9"/>
      <c r="S294" s="7">
        <f t="shared" si="131"/>
        <v>0</v>
      </c>
      <c r="T294" s="55" t="s">
        <v>31</v>
      </c>
    </row>
    <row r="295" spans="1:20" x14ac:dyDescent="0.15">
      <c r="A295" s="3"/>
      <c r="B295" s="8"/>
      <c r="C295" s="9"/>
      <c r="D295" s="10"/>
      <c r="E295" s="7">
        <f t="shared" si="118"/>
        <v>0</v>
      </c>
      <c r="F295" s="8"/>
      <c r="G295" s="9"/>
      <c r="H295" s="10"/>
      <c r="I295" s="7">
        <f t="shared" si="119"/>
        <v>0</v>
      </c>
      <c r="J295" s="31"/>
      <c r="K295" s="66" t="s">
        <v>211</v>
      </c>
      <c r="L295" s="9"/>
      <c r="M295" s="10"/>
      <c r="N295" s="9"/>
      <c r="O295" s="70">
        <f t="shared" si="130"/>
        <v>0</v>
      </c>
      <c r="P295" s="9"/>
      <c r="Q295" s="10"/>
      <c r="R295" s="9"/>
      <c r="S295" s="7">
        <f t="shared" si="131"/>
        <v>0</v>
      </c>
      <c r="T295" s="55" t="s">
        <v>212</v>
      </c>
    </row>
    <row r="296" spans="1:20" x14ac:dyDescent="0.15">
      <c r="A296" s="3"/>
      <c r="B296" s="8"/>
      <c r="C296" s="9"/>
      <c r="D296" s="10"/>
      <c r="E296" s="7">
        <f t="shared" si="118"/>
        <v>0</v>
      </c>
      <c r="F296" s="8"/>
      <c r="G296" s="9"/>
      <c r="H296" s="10"/>
      <c r="I296" s="7">
        <f t="shared" si="119"/>
        <v>0</v>
      </c>
      <c r="J296" s="31"/>
      <c r="K296" s="66" t="s">
        <v>187</v>
      </c>
      <c r="L296" s="9"/>
      <c r="M296" s="10"/>
      <c r="N296" s="9"/>
      <c r="O296" s="70">
        <f t="shared" si="121"/>
        <v>0</v>
      </c>
      <c r="P296" s="9"/>
      <c r="Q296" s="10"/>
      <c r="R296" s="9"/>
      <c r="S296" s="7">
        <f t="shared" si="123"/>
        <v>0</v>
      </c>
      <c r="T296" s="55" t="s">
        <v>188</v>
      </c>
    </row>
    <row r="297" spans="1:20" ht="14.25" thickBot="1" x14ac:dyDescent="0.2">
      <c r="A297" s="3"/>
      <c r="B297" s="8"/>
      <c r="C297" s="9"/>
      <c r="D297" s="10"/>
      <c r="E297" s="7">
        <f t="shared" si="118"/>
        <v>0</v>
      </c>
      <c r="F297" s="8"/>
      <c r="G297" s="9"/>
      <c r="H297" s="10"/>
      <c r="I297" s="7">
        <f t="shared" si="119"/>
        <v>0</v>
      </c>
      <c r="J297" s="31"/>
      <c r="K297" s="88" t="s">
        <v>185</v>
      </c>
      <c r="L297" s="89"/>
      <c r="M297" s="90"/>
      <c r="N297" s="89"/>
      <c r="O297" s="91">
        <f t="shared" si="121"/>
        <v>0</v>
      </c>
      <c r="P297" s="89"/>
      <c r="Q297" s="90"/>
      <c r="R297" s="89"/>
      <c r="S297" s="7">
        <f t="shared" si="123"/>
        <v>0</v>
      </c>
      <c r="T297" s="55" t="s">
        <v>186</v>
      </c>
    </row>
    <row r="298" spans="1:20" ht="14.25" thickBot="1" x14ac:dyDescent="0.2">
      <c r="A298" s="2" t="s">
        <v>5</v>
      </c>
      <c r="B298" s="12">
        <f>SUM(B274:B297)</f>
        <v>0</v>
      </c>
      <c r="C298" s="12">
        <f>SUM(C274:C297)</f>
        <v>6</v>
      </c>
      <c r="D298" s="12">
        <f>SUM(D274:D297)</f>
        <v>3</v>
      </c>
      <c r="E298" s="13">
        <f t="shared" si="118"/>
        <v>9</v>
      </c>
      <c r="F298" s="12">
        <f>SUM(F274:F297)</f>
        <v>0</v>
      </c>
      <c r="G298" s="12">
        <f>SUM(G274:G297)</f>
        <v>6</v>
      </c>
      <c r="H298" s="12">
        <f>SUM(H274:H297)</f>
        <v>3</v>
      </c>
      <c r="I298" s="13">
        <f t="shared" si="119"/>
        <v>9</v>
      </c>
      <c r="J298" s="48"/>
      <c r="K298" s="83" t="s">
        <v>5</v>
      </c>
      <c r="L298" s="68">
        <f>SUM(L274:L297)</f>
        <v>12</v>
      </c>
      <c r="M298" s="68">
        <f>SUM(M274:M297)</f>
        <v>5</v>
      </c>
      <c r="N298" s="68">
        <f>SUM(N274:N297)</f>
        <v>17</v>
      </c>
      <c r="O298" s="84">
        <f t="shared" ref="O298" si="136">SUM(L298:N298)</f>
        <v>34</v>
      </c>
      <c r="P298" s="68">
        <f>SUM(P274:P297)</f>
        <v>12</v>
      </c>
      <c r="Q298" s="68">
        <f>SUM(Q274:Q297)</f>
        <v>5</v>
      </c>
      <c r="R298" s="68">
        <f>SUM(R274:R297)</f>
        <v>17</v>
      </c>
      <c r="S298" s="13">
        <f t="shared" ref="S298" si="137">SUM(P298:R298)</f>
        <v>34</v>
      </c>
    </row>
    <row r="299" spans="1:20" ht="14.25" thickBot="1" x14ac:dyDescent="0.2">
      <c r="A299" s="21" t="s">
        <v>6</v>
      </c>
      <c r="B299" s="22">
        <f t="shared" ref="B299:I299" si="138">B273-B298</f>
        <v>5</v>
      </c>
      <c r="C299" s="22">
        <f t="shared" si="138"/>
        <v>2</v>
      </c>
      <c r="D299" s="22">
        <f t="shared" si="138"/>
        <v>0</v>
      </c>
      <c r="E299" s="22">
        <f t="shared" si="138"/>
        <v>7</v>
      </c>
      <c r="F299" s="22">
        <f t="shared" si="138"/>
        <v>5</v>
      </c>
      <c r="G299" s="22">
        <f t="shared" si="138"/>
        <v>2</v>
      </c>
      <c r="H299" s="22">
        <f t="shared" si="138"/>
        <v>0</v>
      </c>
      <c r="I299" s="20">
        <f t="shared" si="138"/>
        <v>7</v>
      </c>
      <c r="J299" s="48"/>
      <c r="K299" s="21" t="s">
        <v>6</v>
      </c>
      <c r="L299" s="22">
        <f>L273-L298</f>
        <v>16</v>
      </c>
      <c r="M299" s="22">
        <f t="shared" ref="M299:O299" si="139">M273-M298</f>
        <v>3</v>
      </c>
      <c r="N299" s="22">
        <f t="shared" si="139"/>
        <v>3</v>
      </c>
      <c r="O299" s="22">
        <f t="shared" si="139"/>
        <v>22</v>
      </c>
      <c r="P299" s="22">
        <f>P273-P298</f>
        <v>16</v>
      </c>
      <c r="Q299" s="22">
        <f>Q273-Q298</f>
        <v>3</v>
      </c>
      <c r="R299" s="22">
        <f>R273-R298</f>
        <v>3</v>
      </c>
      <c r="S299" s="20">
        <f t="shared" ref="S299" si="140">S273-S298</f>
        <v>22</v>
      </c>
    </row>
    <row r="302" spans="1:20" ht="21.75" thickBot="1" x14ac:dyDescent="0.25">
      <c r="A302" s="26" t="s">
        <v>162</v>
      </c>
      <c r="B302" s="27"/>
      <c r="C302" s="27"/>
      <c r="D302" s="27"/>
      <c r="E302" s="27"/>
      <c r="F302" s="28"/>
      <c r="G302" s="28"/>
      <c r="H302" s="28"/>
      <c r="I302" s="28"/>
      <c r="K302" s="26" t="s">
        <v>161</v>
      </c>
      <c r="L302" s="27"/>
      <c r="M302" s="27"/>
      <c r="N302" s="27"/>
      <c r="O302" s="27"/>
      <c r="P302" s="28"/>
      <c r="Q302" s="28"/>
      <c r="R302" s="28"/>
      <c r="S302" s="28"/>
    </row>
    <row r="303" spans="1:20" ht="14.25" thickBot="1" x14ac:dyDescent="0.2">
      <c r="A303" s="1" t="s">
        <v>0</v>
      </c>
      <c r="B303" s="183" t="s">
        <v>12</v>
      </c>
      <c r="C303" s="183"/>
      <c r="D303" s="183"/>
      <c r="E303" s="184"/>
      <c r="F303" s="183" t="s">
        <v>10</v>
      </c>
      <c r="G303" s="183"/>
      <c r="H303" s="183"/>
      <c r="I303" s="184"/>
      <c r="K303" s="1" t="s">
        <v>0</v>
      </c>
      <c r="L303" s="183" t="s">
        <v>12</v>
      </c>
      <c r="M303" s="183"/>
      <c r="N303" s="183"/>
      <c r="O303" s="184"/>
      <c r="P303" s="183" t="s">
        <v>10</v>
      </c>
      <c r="Q303" s="183"/>
      <c r="R303" s="183"/>
      <c r="S303" s="184"/>
    </row>
    <row r="304" spans="1:20" ht="14.25" thickBot="1" x14ac:dyDescent="0.2">
      <c r="A304" s="1" t="s">
        <v>1</v>
      </c>
      <c r="B304" s="2" t="s">
        <v>7</v>
      </c>
      <c r="C304" s="1" t="s">
        <v>8</v>
      </c>
      <c r="D304" s="15" t="s">
        <v>9</v>
      </c>
      <c r="E304" s="1" t="s">
        <v>2</v>
      </c>
      <c r="F304" s="2" t="s">
        <v>7</v>
      </c>
      <c r="G304" s="1" t="s">
        <v>8</v>
      </c>
      <c r="H304" s="15" t="s">
        <v>9</v>
      </c>
      <c r="I304" s="1" t="s">
        <v>2</v>
      </c>
      <c r="K304" s="1" t="s">
        <v>1</v>
      </c>
      <c r="L304" s="2" t="s">
        <v>7</v>
      </c>
      <c r="M304" s="1" t="s">
        <v>8</v>
      </c>
      <c r="N304" s="15" t="s">
        <v>9</v>
      </c>
      <c r="O304" s="1" t="s">
        <v>2</v>
      </c>
      <c r="P304" s="2" t="s">
        <v>7</v>
      </c>
      <c r="Q304" s="1" t="s">
        <v>8</v>
      </c>
      <c r="R304" s="15" t="s">
        <v>9</v>
      </c>
      <c r="S304" s="1" t="s">
        <v>2</v>
      </c>
    </row>
    <row r="305" spans="1:21" ht="14.25" thickBot="1" x14ac:dyDescent="0.2">
      <c r="A305" s="41" t="s">
        <v>13</v>
      </c>
      <c r="B305" s="42">
        <f>B299</f>
        <v>5</v>
      </c>
      <c r="C305" s="43">
        <f>C299</f>
        <v>2</v>
      </c>
      <c r="D305" s="44">
        <f>D299</f>
        <v>0</v>
      </c>
      <c r="E305" s="45">
        <f t="shared" ref="E305:E341" si="141">SUM(B305:D305)</f>
        <v>7</v>
      </c>
      <c r="F305" s="42">
        <f>F299</f>
        <v>5</v>
      </c>
      <c r="G305" s="43">
        <f>G299</f>
        <v>2</v>
      </c>
      <c r="H305" s="44">
        <f>H299</f>
        <v>0</v>
      </c>
      <c r="I305" s="45">
        <f t="shared" ref="I305:I341" si="142">SUM(F305:H305)</f>
        <v>7</v>
      </c>
      <c r="K305" s="34" t="s">
        <v>13</v>
      </c>
      <c r="L305" s="35">
        <f>L299</f>
        <v>16</v>
      </c>
      <c r="M305" s="35">
        <f t="shared" ref="M305:N305" si="143">M299</f>
        <v>3</v>
      </c>
      <c r="N305" s="35">
        <f t="shared" si="143"/>
        <v>3</v>
      </c>
      <c r="O305" s="20">
        <f t="shared" ref="O305:O333" si="144">SUM(L305:N305)</f>
        <v>22</v>
      </c>
      <c r="P305" s="35">
        <f>P299</f>
        <v>16</v>
      </c>
      <c r="Q305" s="36">
        <f t="shared" ref="Q305:R305" si="145">Q299</f>
        <v>3</v>
      </c>
      <c r="R305" s="37">
        <f t="shared" si="145"/>
        <v>3</v>
      </c>
      <c r="S305" s="20">
        <f t="shared" ref="S305:S333" si="146">SUM(P305:R305)</f>
        <v>22</v>
      </c>
    </row>
    <row r="306" spans="1:21" x14ac:dyDescent="0.15">
      <c r="A306" s="6" t="s">
        <v>3</v>
      </c>
      <c r="B306" s="38">
        <v>3</v>
      </c>
      <c r="C306" s="39">
        <v>3</v>
      </c>
      <c r="D306" s="40">
        <v>5</v>
      </c>
      <c r="E306" s="4">
        <f t="shared" si="141"/>
        <v>11</v>
      </c>
      <c r="F306" s="38">
        <v>3</v>
      </c>
      <c r="G306" s="39">
        <v>3</v>
      </c>
      <c r="H306" s="40">
        <v>5</v>
      </c>
      <c r="I306" s="4">
        <f t="shared" si="142"/>
        <v>11</v>
      </c>
      <c r="J306" s="47">
        <v>45062</v>
      </c>
      <c r="K306" s="5" t="s">
        <v>3</v>
      </c>
      <c r="L306" s="46"/>
      <c r="M306" s="3"/>
      <c r="N306" s="46"/>
      <c r="O306" s="4">
        <f t="shared" si="144"/>
        <v>0</v>
      </c>
      <c r="P306" s="46"/>
      <c r="Q306" s="3"/>
      <c r="R306" s="46"/>
      <c r="S306" s="4">
        <f t="shared" si="146"/>
        <v>0</v>
      </c>
    </row>
    <row r="307" spans="1:21" x14ac:dyDescent="0.15">
      <c r="A307" s="6" t="s">
        <v>91</v>
      </c>
      <c r="B307" s="14">
        <v>1</v>
      </c>
      <c r="C307" s="11"/>
      <c r="D307" s="14"/>
      <c r="E307" s="4">
        <f t="shared" si="141"/>
        <v>1</v>
      </c>
      <c r="F307" s="14">
        <v>1</v>
      </c>
      <c r="G307" s="11"/>
      <c r="H307" s="14"/>
      <c r="I307" s="4">
        <f t="shared" si="142"/>
        <v>1</v>
      </c>
      <c r="J307" s="47">
        <v>45058</v>
      </c>
      <c r="K307" s="5" t="s">
        <v>3</v>
      </c>
      <c r="L307" s="14"/>
      <c r="M307" s="11"/>
      <c r="N307" s="14"/>
      <c r="O307" s="4">
        <f t="shared" si="144"/>
        <v>0</v>
      </c>
      <c r="P307" s="14"/>
      <c r="Q307" s="11"/>
      <c r="R307" s="14"/>
      <c r="S307" s="4">
        <f t="shared" si="146"/>
        <v>0</v>
      </c>
      <c r="T307" s="55"/>
      <c r="U307" s="54"/>
    </row>
    <row r="308" spans="1:21" x14ac:dyDescent="0.15">
      <c r="A308" s="6" t="s">
        <v>3</v>
      </c>
      <c r="B308" s="14">
        <v>10</v>
      </c>
      <c r="C308" s="11">
        <v>15</v>
      </c>
      <c r="D308" s="14">
        <v>5</v>
      </c>
      <c r="E308" s="4">
        <f t="shared" si="141"/>
        <v>30</v>
      </c>
      <c r="F308" s="14">
        <v>10</v>
      </c>
      <c r="G308" s="11">
        <v>15</v>
      </c>
      <c r="H308" s="14">
        <v>5</v>
      </c>
      <c r="I308" s="4">
        <f t="shared" si="142"/>
        <v>30</v>
      </c>
      <c r="J308" s="47">
        <v>45072</v>
      </c>
      <c r="K308" s="5" t="s">
        <v>164</v>
      </c>
      <c r="L308" s="14">
        <v>180</v>
      </c>
      <c r="M308" s="11">
        <v>250</v>
      </c>
      <c r="N308" s="14">
        <v>170</v>
      </c>
      <c r="O308" s="4">
        <f t="shared" si="144"/>
        <v>600</v>
      </c>
      <c r="P308" s="14">
        <v>180</v>
      </c>
      <c r="Q308" s="11">
        <v>250</v>
      </c>
      <c r="R308" s="14">
        <v>170</v>
      </c>
      <c r="S308" s="4">
        <f t="shared" si="146"/>
        <v>600</v>
      </c>
      <c r="T308" s="47" t="s">
        <v>225</v>
      </c>
      <c r="U308" s="54"/>
    </row>
    <row r="309" spans="1:21" x14ac:dyDescent="0.15">
      <c r="A309" s="5" t="s">
        <v>91</v>
      </c>
      <c r="B309" s="14"/>
      <c r="C309" s="11">
        <v>1</v>
      </c>
      <c r="D309" s="14">
        <v>1</v>
      </c>
      <c r="E309" s="4">
        <f t="shared" si="141"/>
        <v>2</v>
      </c>
      <c r="F309" s="14"/>
      <c r="G309" s="11">
        <v>1</v>
      </c>
      <c r="H309" s="14">
        <v>1</v>
      </c>
      <c r="I309" s="4">
        <f t="shared" si="142"/>
        <v>2</v>
      </c>
      <c r="J309" s="47">
        <v>45075</v>
      </c>
      <c r="K309" s="5" t="s">
        <v>3</v>
      </c>
      <c r="L309" s="25"/>
      <c r="M309" s="24"/>
      <c r="N309" s="25"/>
      <c r="O309" s="7">
        <f t="shared" si="144"/>
        <v>0</v>
      </c>
      <c r="P309" s="25"/>
      <c r="Q309" s="24"/>
      <c r="R309" s="25"/>
      <c r="S309" s="7">
        <f t="shared" si="146"/>
        <v>0</v>
      </c>
    </row>
    <row r="310" spans="1:21" x14ac:dyDescent="0.15">
      <c r="A310" s="3" t="s">
        <v>264</v>
      </c>
      <c r="B310" s="8">
        <v>1</v>
      </c>
      <c r="C310" s="9"/>
      <c r="D310" s="10"/>
      <c r="E310" s="4">
        <f t="shared" si="141"/>
        <v>1</v>
      </c>
      <c r="F310" s="8">
        <v>1</v>
      </c>
      <c r="G310" s="9"/>
      <c r="H310" s="10"/>
      <c r="I310" s="4">
        <f t="shared" si="142"/>
        <v>1</v>
      </c>
      <c r="J310" s="31">
        <v>45084</v>
      </c>
      <c r="K310" s="5" t="s">
        <v>3</v>
      </c>
      <c r="L310" s="25"/>
      <c r="M310" s="24"/>
      <c r="N310" s="25"/>
      <c r="O310" s="7">
        <f t="shared" si="144"/>
        <v>0</v>
      </c>
      <c r="P310" s="25"/>
      <c r="Q310" s="24"/>
      <c r="R310" s="25"/>
      <c r="S310" s="4">
        <f t="shared" si="146"/>
        <v>0</v>
      </c>
    </row>
    <row r="311" spans="1:21" x14ac:dyDescent="0.15">
      <c r="A311" s="6" t="s">
        <v>3</v>
      </c>
      <c r="B311" s="14"/>
      <c r="C311" s="11"/>
      <c r="D311" s="14"/>
      <c r="E311" s="4">
        <f t="shared" si="141"/>
        <v>0</v>
      </c>
      <c r="F311" s="14"/>
      <c r="G311" s="11"/>
      <c r="H311" s="14"/>
      <c r="I311" s="4">
        <f t="shared" si="142"/>
        <v>0</v>
      </c>
      <c r="K311" s="5" t="s">
        <v>3</v>
      </c>
      <c r="L311" s="14"/>
      <c r="M311" s="11"/>
      <c r="N311" s="14"/>
      <c r="O311" s="4">
        <f t="shared" si="144"/>
        <v>0</v>
      </c>
      <c r="P311" s="14"/>
      <c r="Q311" s="11"/>
      <c r="R311" s="14"/>
      <c r="S311" s="4">
        <f t="shared" si="146"/>
        <v>0</v>
      </c>
    </row>
    <row r="312" spans="1:21" x14ac:dyDescent="0.15">
      <c r="A312" s="6" t="s">
        <v>3</v>
      </c>
      <c r="B312" s="14"/>
      <c r="C312" s="11"/>
      <c r="D312" s="14"/>
      <c r="E312" s="4">
        <f t="shared" si="141"/>
        <v>0</v>
      </c>
      <c r="F312" s="14"/>
      <c r="G312" s="11"/>
      <c r="H312" s="14"/>
      <c r="I312" s="4">
        <f t="shared" si="142"/>
        <v>0</v>
      </c>
      <c r="K312" s="5" t="s">
        <v>3</v>
      </c>
      <c r="L312" s="14"/>
      <c r="M312" s="11"/>
      <c r="N312" s="14"/>
      <c r="O312" s="4">
        <f t="shared" si="144"/>
        <v>0</v>
      </c>
      <c r="P312" s="14"/>
      <c r="Q312" s="11"/>
      <c r="R312" s="14"/>
      <c r="S312" s="4">
        <f t="shared" si="146"/>
        <v>0</v>
      </c>
    </row>
    <row r="313" spans="1:21" x14ac:dyDescent="0.15">
      <c r="A313" s="6" t="s">
        <v>3</v>
      </c>
      <c r="B313" s="23"/>
      <c r="C313" s="24"/>
      <c r="D313" s="25"/>
      <c r="E313" s="7">
        <f t="shared" si="141"/>
        <v>0</v>
      </c>
      <c r="F313" s="23"/>
      <c r="G313" s="24"/>
      <c r="H313" s="25"/>
      <c r="I313" s="7">
        <f t="shared" si="142"/>
        <v>0</v>
      </c>
      <c r="K313" s="5" t="s">
        <v>3</v>
      </c>
      <c r="L313" s="25"/>
      <c r="M313" s="24"/>
      <c r="N313" s="25"/>
      <c r="O313" s="7">
        <f t="shared" si="144"/>
        <v>0</v>
      </c>
      <c r="P313" s="23"/>
      <c r="Q313" s="24"/>
      <c r="R313" s="25"/>
      <c r="S313" s="7">
        <f t="shared" si="146"/>
        <v>0</v>
      </c>
    </row>
    <row r="314" spans="1:21" x14ac:dyDescent="0.15">
      <c r="A314" s="6" t="s">
        <v>3</v>
      </c>
      <c r="B314" s="23"/>
      <c r="C314" s="24"/>
      <c r="D314" s="25"/>
      <c r="E314" s="7">
        <f t="shared" si="141"/>
        <v>0</v>
      </c>
      <c r="F314" s="23"/>
      <c r="G314" s="24"/>
      <c r="H314" s="25"/>
      <c r="I314" s="7">
        <f t="shared" si="142"/>
        <v>0</v>
      </c>
      <c r="K314" s="5" t="s">
        <v>3</v>
      </c>
      <c r="L314" s="25"/>
      <c r="M314" s="24"/>
      <c r="N314" s="25"/>
      <c r="O314" s="7">
        <f t="shared" si="144"/>
        <v>0</v>
      </c>
      <c r="P314" s="25"/>
      <c r="Q314" s="24"/>
      <c r="R314" s="25"/>
      <c r="S314" s="7">
        <f t="shared" si="146"/>
        <v>0</v>
      </c>
    </row>
    <row r="315" spans="1:21" ht="14.25" thickBot="1" x14ac:dyDescent="0.2">
      <c r="A315" s="6" t="s">
        <v>3</v>
      </c>
      <c r="B315" s="29"/>
      <c r="C315" s="30"/>
      <c r="D315" s="29"/>
      <c r="E315" s="16">
        <f t="shared" si="141"/>
        <v>0</v>
      </c>
      <c r="F315" s="29"/>
      <c r="G315" s="30"/>
      <c r="H315" s="29"/>
      <c r="I315" s="16">
        <f t="shared" si="142"/>
        <v>0</v>
      </c>
      <c r="K315" s="33" t="s">
        <v>3</v>
      </c>
      <c r="L315" s="29"/>
      <c r="M315" s="30"/>
      <c r="N315" s="29"/>
      <c r="O315" s="16">
        <f t="shared" si="144"/>
        <v>0</v>
      </c>
      <c r="P315" s="29"/>
      <c r="Q315" s="30"/>
      <c r="R315" s="29"/>
      <c r="S315" s="16">
        <f t="shared" si="146"/>
        <v>0</v>
      </c>
    </row>
    <row r="316" spans="1:21" ht="14.25" thickBot="1" x14ac:dyDescent="0.2">
      <c r="A316" s="17" t="s">
        <v>4</v>
      </c>
      <c r="B316" s="18">
        <f>SUM(B305:B315)</f>
        <v>20</v>
      </c>
      <c r="C316" s="18">
        <f>SUM(C305:C315)</f>
        <v>21</v>
      </c>
      <c r="D316" s="19">
        <f>SUM(D305:D315)</f>
        <v>11</v>
      </c>
      <c r="E316" s="20">
        <f t="shared" si="141"/>
        <v>52</v>
      </c>
      <c r="F316" s="18">
        <f>SUM(F305:F315)</f>
        <v>20</v>
      </c>
      <c r="G316" s="18">
        <f>SUM(G305:G315)</f>
        <v>21</v>
      </c>
      <c r="H316" s="19">
        <f>SUM(H305:H315)</f>
        <v>11</v>
      </c>
      <c r="I316" s="20">
        <f t="shared" si="142"/>
        <v>52</v>
      </c>
      <c r="K316" s="17" t="s">
        <v>4</v>
      </c>
      <c r="L316" s="67">
        <f>SUM(L305:L315)</f>
        <v>196</v>
      </c>
      <c r="M316" s="18">
        <f>SUM(M305:M315)</f>
        <v>253</v>
      </c>
      <c r="N316" s="19">
        <f>SUM(N305:N315)</f>
        <v>173</v>
      </c>
      <c r="O316" s="20">
        <f t="shared" si="144"/>
        <v>622</v>
      </c>
      <c r="P316" s="18">
        <f>SUM(P305:P315)</f>
        <v>196</v>
      </c>
      <c r="Q316" s="18">
        <f>SUM(Q305:Q315)</f>
        <v>253</v>
      </c>
      <c r="R316" s="19">
        <f>SUM(R305:R315)</f>
        <v>173</v>
      </c>
      <c r="S316" s="20">
        <f t="shared" si="146"/>
        <v>622</v>
      </c>
    </row>
    <row r="317" spans="1:21" x14ac:dyDescent="0.15">
      <c r="A317" s="3" t="s">
        <v>230</v>
      </c>
      <c r="B317" s="8">
        <v>1</v>
      </c>
      <c r="C317" s="9">
        <v>1</v>
      </c>
      <c r="D317" s="10"/>
      <c r="E317" s="4">
        <f t="shared" si="141"/>
        <v>2</v>
      </c>
      <c r="F317" s="8">
        <v>1</v>
      </c>
      <c r="G317" s="9">
        <v>1</v>
      </c>
      <c r="H317" s="10"/>
      <c r="I317" s="4">
        <f t="shared" si="142"/>
        <v>2</v>
      </c>
      <c r="J317" s="47">
        <v>45057</v>
      </c>
      <c r="K317" s="82" t="s">
        <v>215</v>
      </c>
      <c r="L317" s="71">
        <v>25</v>
      </c>
      <c r="M317" s="10">
        <v>35</v>
      </c>
      <c r="N317" s="71">
        <v>25</v>
      </c>
      <c r="O317" s="69">
        <f t="shared" si="144"/>
        <v>85</v>
      </c>
      <c r="P317" s="71">
        <v>25</v>
      </c>
      <c r="Q317" s="71">
        <v>35</v>
      </c>
      <c r="R317" s="71">
        <v>25</v>
      </c>
      <c r="S317" s="72">
        <f t="shared" si="146"/>
        <v>85</v>
      </c>
      <c r="T317" s="47">
        <v>45054</v>
      </c>
    </row>
    <row r="318" spans="1:21" x14ac:dyDescent="0.15">
      <c r="A318" s="3" t="s">
        <v>232</v>
      </c>
      <c r="B318" s="8">
        <v>1</v>
      </c>
      <c r="C318" s="9"/>
      <c r="D318" s="10"/>
      <c r="E318" s="4">
        <f t="shared" si="141"/>
        <v>1</v>
      </c>
      <c r="F318" s="8">
        <v>1</v>
      </c>
      <c r="G318" s="9"/>
      <c r="H318" s="10"/>
      <c r="I318" s="4">
        <f t="shared" si="142"/>
        <v>1</v>
      </c>
      <c r="J318" s="47">
        <v>45061</v>
      </c>
      <c r="K318" s="3" t="s">
        <v>224</v>
      </c>
      <c r="L318" s="9"/>
      <c r="M318" s="10">
        <f>12+3+6</f>
        <v>21</v>
      </c>
      <c r="N318" s="9"/>
      <c r="O318" s="69">
        <f t="shared" si="144"/>
        <v>21</v>
      </c>
      <c r="P318" s="9"/>
      <c r="Q318" s="9">
        <f>12+3+6</f>
        <v>21</v>
      </c>
      <c r="R318" s="9"/>
      <c r="S318" s="4">
        <f t="shared" si="146"/>
        <v>21</v>
      </c>
      <c r="T318" s="47">
        <v>45048</v>
      </c>
    </row>
    <row r="319" spans="1:21" x14ac:dyDescent="0.15">
      <c r="A319" s="3" t="s">
        <v>235</v>
      </c>
      <c r="B319" s="8"/>
      <c r="C319" s="9"/>
      <c r="D319" s="10">
        <v>1</v>
      </c>
      <c r="E319" s="4">
        <f t="shared" si="141"/>
        <v>1</v>
      </c>
      <c r="F319" s="8"/>
      <c r="G319" s="9"/>
      <c r="H319" s="10">
        <v>1</v>
      </c>
      <c r="I319" s="4">
        <f t="shared" si="142"/>
        <v>1</v>
      </c>
      <c r="J319" s="56">
        <v>45059</v>
      </c>
      <c r="K319" s="3" t="s">
        <v>226</v>
      </c>
      <c r="L319" s="9"/>
      <c r="M319" s="10"/>
      <c r="N319" s="9">
        <v>6</v>
      </c>
      <c r="O319" s="69">
        <f t="shared" si="144"/>
        <v>6</v>
      </c>
      <c r="P319" s="9"/>
      <c r="Q319" s="9"/>
      <c r="R319" s="9">
        <v>6</v>
      </c>
      <c r="S319" s="4">
        <f t="shared" si="146"/>
        <v>6</v>
      </c>
      <c r="T319" s="47">
        <v>45054</v>
      </c>
    </row>
    <row r="320" spans="1:21" x14ac:dyDescent="0.15">
      <c r="A320" s="3" t="s">
        <v>241</v>
      </c>
      <c r="B320" s="8"/>
      <c r="C320" s="9"/>
      <c r="D320" s="10">
        <v>1</v>
      </c>
      <c r="E320" s="4">
        <f t="shared" si="141"/>
        <v>1</v>
      </c>
      <c r="F320" s="8"/>
      <c r="G320" s="9"/>
      <c r="H320" s="10">
        <v>1</v>
      </c>
      <c r="I320" s="4">
        <f t="shared" si="142"/>
        <v>1</v>
      </c>
      <c r="J320" s="47">
        <v>45068</v>
      </c>
      <c r="K320" s="3" t="s">
        <v>228</v>
      </c>
      <c r="L320" s="9">
        <v>3</v>
      </c>
      <c r="M320" s="10">
        <v>6</v>
      </c>
      <c r="N320" s="9">
        <v>6</v>
      </c>
      <c r="O320" s="69">
        <f t="shared" si="144"/>
        <v>15</v>
      </c>
      <c r="P320" s="9">
        <v>3</v>
      </c>
      <c r="Q320" s="9">
        <v>6</v>
      </c>
      <c r="R320" s="9">
        <v>6</v>
      </c>
      <c r="S320" s="4">
        <f t="shared" si="146"/>
        <v>15</v>
      </c>
      <c r="T320" s="47">
        <v>45055</v>
      </c>
    </row>
    <row r="321" spans="1:21" x14ac:dyDescent="0.15">
      <c r="A321" s="3" t="s">
        <v>247</v>
      </c>
      <c r="B321" s="8"/>
      <c r="C321" s="9">
        <v>2</v>
      </c>
      <c r="D321" s="10"/>
      <c r="E321" s="4">
        <f t="shared" si="141"/>
        <v>2</v>
      </c>
      <c r="F321" s="8"/>
      <c r="G321" s="9">
        <v>2</v>
      </c>
      <c r="H321" s="10"/>
      <c r="I321" s="4">
        <f t="shared" si="142"/>
        <v>2</v>
      </c>
      <c r="J321" s="47">
        <v>45072</v>
      </c>
      <c r="K321" s="3" t="s">
        <v>229</v>
      </c>
      <c r="L321" s="9">
        <v>3</v>
      </c>
      <c r="M321" s="10"/>
      <c r="N321" s="9"/>
      <c r="O321" s="69">
        <f t="shared" si="144"/>
        <v>3</v>
      </c>
      <c r="P321" s="9">
        <v>3</v>
      </c>
      <c r="Q321" s="9"/>
      <c r="R321" s="9"/>
      <c r="S321" s="4">
        <f t="shared" si="146"/>
        <v>3</v>
      </c>
      <c r="T321" s="47">
        <v>45056</v>
      </c>
    </row>
    <row r="322" spans="1:21" x14ac:dyDescent="0.15">
      <c r="A322" s="97" t="s">
        <v>249</v>
      </c>
      <c r="B322" s="8">
        <v>10</v>
      </c>
      <c r="C322" s="9">
        <v>15</v>
      </c>
      <c r="D322" s="10">
        <v>5</v>
      </c>
      <c r="E322" s="7">
        <f t="shared" si="141"/>
        <v>30</v>
      </c>
      <c r="F322" s="8">
        <v>10</v>
      </c>
      <c r="G322" s="9">
        <v>15</v>
      </c>
      <c r="H322" s="10">
        <v>5</v>
      </c>
      <c r="I322" s="7">
        <f t="shared" si="142"/>
        <v>30</v>
      </c>
      <c r="J322" s="47">
        <v>45075</v>
      </c>
      <c r="K322" s="3" t="s">
        <v>233</v>
      </c>
      <c r="L322" s="9"/>
      <c r="M322" s="10">
        <v>10</v>
      </c>
      <c r="N322" s="9"/>
      <c r="O322" s="70">
        <f t="shared" si="144"/>
        <v>10</v>
      </c>
      <c r="P322" s="9"/>
      <c r="Q322" s="9">
        <v>10</v>
      </c>
      <c r="R322" s="9"/>
      <c r="S322" s="7">
        <f t="shared" si="146"/>
        <v>10</v>
      </c>
      <c r="T322" s="47">
        <v>45061</v>
      </c>
    </row>
    <row r="323" spans="1:21" x14ac:dyDescent="0.15">
      <c r="A323" s="3" t="s">
        <v>250</v>
      </c>
      <c r="B323" s="8">
        <v>1</v>
      </c>
      <c r="C323" s="9"/>
      <c r="D323" s="10"/>
      <c r="E323" s="7">
        <f t="shared" si="141"/>
        <v>1</v>
      </c>
      <c r="F323" s="8">
        <v>1</v>
      </c>
      <c r="G323" s="9"/>
      <c r="H323" s="10"/>
      <c r="I323" s="7">
        <f t="shared" si="142"/>
        <v>1</v>
      </c>
      <c r="J323" s="47">
        <v>45076</v>
      </c>
      <c r="K323" s="3" t="s">
        <v>234</v>
      </c>
      <c r="L323" s="9">
        <v>3</v>
      </c>
      <c r="M323" s="10">
        <v>3</v>
      </c>
      <c r="N323" s="9">
        <v>5</v>
      </c>
      <c r="O323" s="70">
        <f t="shared" si="144"/>
        <v>11</v>
      </c>
      <c r="P323" s="9">
        <v>3</v>
      </c>
      <c r="Q323" s="9">
        <v>3</v>
      </c>
      <c r="R323" s="9">
        <v>5</v>
      </c>
      <c r="S323" s="7">
        <f t="shared" si="146"/>
        <v>11</v>
      </c>
      <c r="T323" s="47">
        <v>45062</v>
      </c>
      <c r="U323" s="54"/>
    </row>
    <row r="324" spans="1:21" x14ac:dyDescent="0.15">
      <c r="A324" s="3"/>
      <c r="B324" s="8"/>
      <c r="C324" s="9"/>
      <c r="D324" s="10"/>
      <c r="E324" s="7">
        <f t="shared" si="141"/>
        <v>0</v>
      </c>
      <c r="F324" s="8"/>
      <c r="G324" s="9"/>
      <c r="H324" s="10"/>
      <c r="I324" s="7">
        <f t="shared" si="142"/>
        <v>0</v>
      </c>
      <c r="K324" s="93" t="s">
        <v>237</v>
      </c>
      <c r="L324" s="9">
        <v>8</v>
      </c>
      <c r="M324" s="10">
        <v>18</v>
      </c>
      <c r="N324" s="9">
        <v>10</v>
      </c>
      <c r="O324" s="70">
        <f t="shared" si="144"/>
        <v>36</v>
      </c>
      <c r="P324" s="9">
        <v>8</v>
      </c>
      <c r="Q324" s="9">
        <v>18</v>
      </c>
      <c r="R324" s="9">
        <v>10</v>
      </c>
      <c r="S324" s="7">
        <f t="shared" si="146"/>
        <v>36</v>
      </c>
      <c r="T324" s="47">
        <v>45062</v>
      </c>
      <c r="U324" s="54"/>
    </row>
    <row r="325" spans="1:21" x14ac:dyDescent="0.15">
      <c r="A325" s="3"/>
      <c r="B325" s="8"/>
      <c r="C325" s="9"/>
      <c r="D325" s="10"/>
      <c r="E325" s="7">
        <f t="shared" si="141"/>
        <v>0</v>
      </c>
      <c r="F325" s="8"/>
      <c r="G325" s="9"/>
      <c r="H325" s="10"/>
      <c r="I325" s="7">
        <f t="shared" si="142"/>
        <v>0</v>
      </c>
      <c r="K325" s="3" t="s">
        <v>236</v>
      </c>
      <c r="L325" s="9">
        <v>1</v>
      </c>
      <c r="M325" s="10">
        <v>4</v>
      </c>
      <c r="N325" s="9"/>
      <c r="O325" s="70">
        <f t="shared" si="144"/>
        <v>5</v>
      </c>
      <c r="P325" s="9">
        <v>1</v>
      </c>
      <c r="Q325" s="9">
        <v>4</v>
      </c>
      <c r="R325" s="9"/>
      <c r="S325" s="7">
        <f t="shared" si="146"/>
        <v>5</v>
      </c>
      <c r="T325" s="47">
        <v>45062</v>
      </c>
    </row>
    <row r="326" spans="1:21" x14ac:dyDescent="0.15">
      <c r="A326" s="3"/>
      <c r="B326" s="8"/>
      <c r="C326" s="9"/>
      <c r="D326" s="10"/>
      <c r="E326" s="7">
        <f t="shared" si="141"/>
        <v>0</v>
      </c>
      <c r="F326" s="8"/>
      <c r="G326" s="9"/>
      <c r="H326" s="10"/>
      <c r="I326" s="7">
        <f t="shared" si="142"/>
        <v>0</v>
      </c>
      <c r="K326" s="11" t="s">
        <v>239</v>
      </c>
      <c r="L326" s="9">
        <v>10</v>
      </c>
      <c r="M326" s="10">
        <v>10</v>
      </c>
      <c r="N326" s="9">
        <v>10</v>
      </c>
      <c r="O326" s="70">
        <f t="shared" si="144"/>
        <v>30</v>
      </c>
      <c r="P326" s="9">
        <v>10</v>
      </c>
      <c r="Q326" s="9">
        <v>10</v>
      </c>
      <c r="R326" s="9">
        <v>10</v>
      </c>
      <c r="S326" s="7">
        <f t="shared" si="146"/>
        <v>30</v>
      </c>
      <c r="T326" s="47">
        <v>45064</v>
      </c>
    </row>
    <row r="327" spans="1:21" x14ac:dyDescent="0.15">
      <c r="A327" s="3"/>
      <c r="B327" s="8"/>
      <c r="C327" s="9"/>
      <c r="D327" s="10"/>
      <c r="E327" s="7">
        <f t="shared" si="141"/>
        <v>0</v>
      </c>
      <c r="F327" s="8"/>
      <c r="G327" s="9"/>
      <c r="H327" s="10"/>
      <c r="I327" s="7">
        <f t="shared" si="142"/>
        <v>0</v>
      </c>
      <c r="K327" s="3" t="s">
        <v>238</v>
      </c>
      <c r="L327" s="9"/>
      <c r="M327" s="10">
        <v>7</v>
      </c>
      <c r="N327" s="9">
        <v>3</v>
      </c>
      <c r="O327" s="70">
        <f t="shared" si="144"/>
        <v>10</v>
      </c>
      <c r="P327" s="9"/>
      <c r="Q327" s="9">
        <v>7</v>
      </c>
      <c r="R327" s="9">
        <v>3</v>
      </c>
      <c r="S327" s="7">
        <f t="shared" si="146"/>
        <v>10</v>
      </c>
      <c r="T327" s="47">
        <v>45064</v>
      </c>
    </row>
    <row r="328" spans="1:21" x14ac:dyDescent="0.15">
      <c r="A328" s="3"/>
      <c r="B328" s="8"/>
      <c r="C328" s="9"/>
      <c r="D328" s="10"/>
      <c r="E328" s="7">
        <f t="shared" si="141"/>
        <v>0</v>
      </c>
      <c r="F328" s="8"/>
      <c r="G328" s="9"/>
      <c r="H328" s="10"/>
      <c r="I328" s="7">
        <f t="shared" si="142"/>
        <v>0</v>
      </c>
      <c r="K328" s="3" t="s">
        <v>240</v>
      </c>
      <c r="L328" s="9"/>
      <c r="M328" s="10">
        <v>3</v>
      </c>
      <c r="N328" s="9"/>
      <c r="O328" s="70">
        <f t="shared" si="144"/>
        <v>3</v>
      </c>
      <c r="P328" s="9"/>
      <c r="Q328" s="9">
        <v>3</v>
      </c>
      <c r="R328" s="9"/>
      <c r="S328" s="7">
        <f t="shared" si="146"/>
        <v>3</v>
      </c>
      <c r="T328" s="47">
        <v>45065</v>
      </c>
    </row>
    <row r="329" spans="1:21" x14ac:dyDescent="0.15">
      <c r="A329" s="3"/>
      <c r="B329" s="8"/>
      <c r="C329" s="9"/>
      <c r="D329" s="10"/>
      <c r="E329" s="7">
        <f t="shared" si="141"/>
        <v>0</v>
      </c>
      <c r="F329" s="8"/>
      <c r="G329" s="9"/>
      <c r="H329" s="10"/>
      <c r="I329" s="7">
        <f t="shared" si="142"/>
        <v>0</v>
      </c>
      <c r="K329" s="3" t="s">
        <v>242</v>
      </c>
      <c r="L329" s="8">
        <v>1</v>
      </c>
      <c r="M329" s="9"/>
      <c r="N329" s="10"/>
      <c r="O329" s="7">
        <f t="shared" si="144"/>
        <v>1</v>
      </c>
      <c r="P329" s="8">
        <v>1</v>
      </c>
      <c r="Q329" s="9"/>
      <c r="R329" s="10"/>
      <c r="S329" s="7">
        <f t="shared" si="146"/>
        <v>1</v>
      </c>
      <c r="T329" s="47">
        <v>45070</v>
      </c>
    </row>
    <row r="330" spans="1:21" x14ac:dyDescent="0.15">
      <c r="A330" s="3"/>
      <c r="B330" s="8"/>
      <c r="C330" s="9"/>
      <c r="D330" s="10"/>
      <c r="E330" s="7">
        <f t="shared" si="141"/>
        <v>0</v>
      </c>
      <c r="F330" s="8"/>
      <c r="G330" s="9"/>
      <c r="H330" s="10"/>
      <c r="I330" s="7">
        <f t="shared" si="142"/>
        <v>0</v>
      </c>
      <c r="K330" s="3" t="s">
        <v>246</v>
      </c>
      <c r="L330" s="9">
        <v>4</v>
      </c>
      <c r="M330" s="10">
        <v>1</v>
      </c>
      <c r="N330" s="9">
        <v>2</v>
      </c>
      <c r="O330" s="70">
        <f t="shared" si="144"/>
        <v>7</v>
      </c>
      <c r="P330" s="9">
        <v>4</v>
      </c>
      <c r="Q330" s="10">
        <v>1</v>
      </c>
      <c r="R330" s="9">
        <v>2</v>
      </c>
      <c r="S330" s="7">
        <f t="shared" si="146"/>
        <v>7</v>
      </c>
      <c r="T330" s="47">
        <v>45071</v>
      </c>
      <c r="U330" s="54"/>
    </row>
    <row r="331" spans="1:21" x14ac:dyDescent="0.15">
      <c r="A331" s="3"/>
      <c r="B331" s="8"/>
      <c r="C331" s="9"/>
      <c r="D331" s="10"/>
      <c r="E331" s="7">
        <f t="shared" si="141"/>
        <v>0</v>
      </c>
      <c r="F331" s="8"/>
      <c r="G331" s="9"/>
      <c r="H331" s="10"/>
      <c r="I331" s="7">
        <f t="shared" si="142"/>
        <v>0</v>
      </c>
      <c r="K331" s="3" t="s">
        <v>33</v>
      </c>
      <c r="L331" s="9">
        <v>10</v>
      </c>
      <c r="M331" s="10">
        <v>15</v>
      </c>
      <c r="N331" s="9">
        <v>5</v>
      </c>
      <c r="O331" s="70">
        <f t="shared" si="144"/>
        <v>30</v>
      </c>
      <c r="P331" s="9">
        <v>10</v>
      </c>
      <c r="Q331" s="9">
        <v>15</v>
      </c>
      <c r="R331" s="9">
        <v>5</v>
      </c>
      <c r="S331" s="7">
        <f t="shared" si="146"/>
        <v>30</v>
      </c>
      <c r="T331" s="47">
        <v>45072</v>
      </c>
    </row>
    <row r="332" spans="1:21" x14ac:dyDescent="0.15">
      <c r="A332" s="3"/>
      <c r="B332" s="8"/>
      <c r="C332" s="9"/>
      <c r="D332" s="10"/>
      <c r="E332" s="7">
        <f t="shared" si="141"/>
        <v>0</v>
      </c>
      <c r="F332" s="8"/>
      <c r="G332" s="9"/>
      <c r="H332" s="10"/>
      <c r="I332" s="7">
        <f t="shared" si="142"/>
        <v>0</v>
      </c>
      <c r="K332" s="3" t="s">
        <v>248</v>
      </c>
      <c r="L332" s="8"/>
      <c r="M332" s="9">
        <v>2</v>
      </c>
      <c r="N332" s="10">
        <v>3</v>
      </c>
      <c r="O332" s="7">
        <f t="shared" si="144"/>
        <v>5</v>
      </c>
      <c r="P332" s="8"/>
      <c r="Q332" s="9">
        <v>2</v>
      </c>
      <c r="R332" s="10">
        <v>3</v>
      </c>
      <c r="S332" s="7">
        <f t="shared" si="146"/>
        <v>5</v>
      </c>
      <c r="T332" s="47">
        <v>45075</v>
      </c>
    </row>
    <row r="333" spans="1:21" x14ac:dyDescent="0.15">
      <c r="A333" s="3"/>
      <c r="B333" s="8"/>
      <c r="C333" s="9"/>
      <c r="D333" s="10"/>
      <c r="E333" s="7">
        <f t="shared" si="141"/>
        <v>0</v>
      </c>
      <c r="F333" s="8"/>
      <c r="G333" s="9"/>
      <c r="H333" s="10"/>
      <c r="I333" s="7">
        <f t="shared" si="142"/>
        <v>0</v>
      </c>
      <c r="K333" s="97" t="s">
        <v>252</v>
      </c>
      <c r="L333" s="9">
        <v>5</v>
      </c>
      <c r="M333" s="10">
        <v>12</v>
      </c>
      <c r="N333" s="9">
        <v>8</v>
      </c>
      <c r="O333" s="70">
        <f t="shared" si="144"/>
        <v>25</v>
      </c>
      <c r="P333" s="9">
        <v>5</v>
      </c>
      <c r="Q333" s="10">
        <v>12</v>
      </c>
      <c r="R333" s="9">
        <v>8</v>
      </c>
      <c r="S333" s="7">
        <f t="shared" si="146"/>
        <v>25</v>
      </c>
      <c r="T333" s="47">
        <v>45076</v>
      </c>
    </row>
    <row r="334" spans="1:21" x14ac:dyDescent="0.15">
      <c r="A334" s="3"/>
      <c r="B334" s="8"/>
      <c r="C334" s="9"/>
      <c r="D334" s="10"/>
      <c r="E334" s="7">
        <f t="shared" si="141"/>
        <v>0</v>
      </c>
      <c r="F334" s="8"/>
      <c r="G334" s="9"/>
      <c r="H334" s="10"/>
      <c r="I334" s="7">
        <f t="shared" si="142"/>
        <v>0</v>
      </c>
      <c r="K334" s="3" t="s">
        <v>118</v>
      </c>
      <c r="L334" s="9">
        <v>3</v>
      </c>
      <c r="M334" s="10">
        <v>2</v>
      </c>
      <c r="N334" s="9"/>
      <c r="O334" s="70">
        <f t="shared" ref="O334:O340" si="147">SUM(L334:N334)</f>
        <v>5</v>
      </c>
      <c r="P334" s="9">
        <v>3</v>
      </c>
      <c r="Q334" s="10">
        <v>2</v>
      </c>
      <c r="R334" s="9"/>
      <c r="S334" s="7">
        <f t="shared" ref="S334:S340" si="148">SUM(P334:R334)</f>
        <v>5</v>
      </c>
      <c r="T334" s="47">
        <v>45077</v>
      </c>
    </row>
    <row r="335" spans="1:21" x14ac:dyDescent="0.15">
      <c r="A335" s="3"/>
      <c r="B335" s="8"/>
      <c r="C335" s="9"/>
      <c r="D335" s="10"/>
      <c r="E335" s="7">
        <f t="shared" si="141"/>
        <v>0</v>
      </c>
      <c r="F335" s="8"/>
      <c r="G335" s="9"/>
      <c r="H335" s="10"/>
      <c r="I335" s="7">
        <f t="shared" si="142"/>
        <v>0</v>
      </c>
      <c r="K335" s="3" t="s">
        <v>254</v>
      </c>
      <c r="L335" s="9">
        <v>2</v>
      </c>
      <c r="M335" s="10">
        <v>5</v>
      </c>
      <c r="N335" s="9">
        <v>2</v>
      </c>
      <c r="O335" s="70">
        <f t="shared" ref="O335:O336" si="149">SUM(L335:N335)</f>
        <v>9</v>
      </c>
      <c r="P335" s="9">
        <v>2</v>
      </c>
      <c r="Q335" s="10">
        <v>5</v>
      </c>
      <c r="R335" s="9">
        <v>2</v>
      </c>
      <c r="S335" s="7">
        <f t="shared" ref="S335:S336" si="150">SUM(P335:R335)</f>
        <v>9</v>
      </c>
      <c r="T335" s="47">
        <v>45078</v>
      </c>
    </row>
    <row r="336" spans="1:21" x14ac:dyDescent="0.15">
      <c r="A336" s="3"/>
      <c r="B336" s="8"/>
      <c r="C336" s="9"/>
      <c r="D336" s="10"/>
      <c r="E336" s="7">
        <f t="shared" si="141"/>
        <v>0</v>
      </c>
      <c r="F336" s="8"/>
      <c r="G336" s="9"/>
      <c r="H336" s="10"/>
      <c r="I336" s="7">
        <f t="shared" si="142"/>
        <v>0</v>
      </c>
      <c r="K336" s="66"/>
      <c r="L336" s="9"/>
      <c r="M336" s="10"/>
      <c r="N336" s="9"/>
      <c r="O336" s="70">
        <f t="shared" si="149"/>
        <v>0</v>
      </c>
      <c r="P336" s="9"/>
      <c r="Q336" s="10"/>
      <c r="R336" s="9"/>
      <c r="S336" s="7">
        <f t="shared" si="150"/>
        <v>0</v>
      </c>
    </row>
    <row r="337" spans="1:21" x14ac:dyDescent="0.15">
      <c r="A337" s="3"/>
      <c r="B337" s="8"/>
      <c r="C337" s="9"/>
      <c r="D337" s="10"/>
      <c r="E337" s="7">
        <f t="shared" si="141"/>
        <v>0</v>
      </c>
      <c r="F337" s="8"/>
      <c r="G337" s="9"/>
      <c r="H337" s="10"/>
      <c r="I337" s="7">
        <f t="shared" si="142"/>
        <v>0</v>
      </c>
      <c r="K337" s="66" t="s">
        <v>205</v>
      </c>
      <c r="L337" s="9"/>
      <c r="M337" s="10"/>
      <c r="N337" s="9"/>
      <c r="O337" s="70">
        <f t="shared" ref="O337:O338" si="151">SUM(L337:N337)</f>
        <v>0</v>
      </c>
      <c r="P337" s="9"/>
      <c r="Q337" s="10"/>
      <c r="R337" s="9"/>
      <c r="S337" s="7">
        <f t="shared" ref="S337:S338" si="152">SUM(P337:R337)</f>
        <v>0</v>
      </c>
      <c r="T337" s="55" t="s">
        <v>206</v>
      </c>
    </row>
    <row r="338" spans="1:21" x14ac:dyDescent="0.15">
      <c r="A338" s="3"/>
      <c r="B338" s="8"/>
      <c r="C338" s="9"/>
      <c r="D338" s="10"/>
      <c r="E338" s="7">
        <f t="shared" si="141"/>
        <v>0</v>
      </c>
      <c r="F338" s="8"/>
      <c r="G338" s="9"/>
      <c r="H338" s="10"/>
      <c r="I338" s="7">
        <f t="shared" si="142"/>
        <v>0</v>
      </c>
      <c r="K338" s="94" t="s">
        <v>35</v>
      </c>
      <c r="L338" s="9"/>
      <c r="M338" s="10"/>
      <c r="N338" s="9"/>
      <c r="O338" s="70">
        <f t="shared" si="151"/>
        <v>0</v>
      </c>
      <c r="P338" s="9"/>
      <c r="Q338" s="10"/>
      <c r="R338" s="9"/>
      <c r="S338" s="7">
        <f t="shared" si="152"/>
        <v>0</v>
      </c>
      <c r="T338" s="55" t="s">
        <v>36</v>
      </c>
    </row>
    <row r="339" spans="1:21" x14ac:dyDescent="0.15">
      <c r="A339" s="3"/>
      <c r="B339" s="8"/>
      <c r="C339" s="9"/>
      <c r="D339" s="10"/>
      <c r="E339" s="7">
        <f t="shared" si="141"/>
        <v>0</v>
      </c>
      <c r="F339" s="8"/>
      <c r="G339" s="9"/>
      <c r="H339" s="10"/>
      <c r="I339" s="7">
        <f t="shared" si="142"/>
        <v>0</v>
      </c>
      <c r="K339" s="5" t="s">
        <v>181</v>
      </c>
      <c r="L339" s="59"/>
      <c r="M339" s="60"/>
      <c r="N339" s="59"/>
      <c r="O339" s="95">
        <f t="shared" si="147"/>
        <v>0</v>
      </c>
      <c r="P339" s="59"/>
      <c r="Q339" s="60"/>
      <c r="R339" s="59"/>
      <c r="S339" s="61">
        <f t="shared" si="148"/>
        <v>0</v>
      </c>
      <c r="T339" s="55"/>
    </row>
    <row r="340" spans="1:21" ht="14.25" thickBot="1" x14ac:dyDescent="0.2">
      <c r="A340" s="3"/>
      <c r="B340" s="8"/>
      <c r="C340" s="9"/>
      <c r="D340" s="10"/>
      <c r="E340" s="7">
        <f t="shared" si="141"/>
        <v>0</v>
      </c>
      <c r="F340" s="8"/>
      <c r="G340" s="9"/>
      <c r="H340" s="10"/>
      <c r="I340" s="7">
        <f t="shared" si="142"/>
        <v>0</v>
      </c>
      <c r="K340" s="96" t="s">
        <v>251</v>
      </c>
      <c r="L340" s="89"/>
      <c r="M340" s="90"/>
      <c r="N340" s="89"/>
      <c r="O340" s="91">
        <f t="shared" si="147"/>
        <v>0</v>
      </c>
      <c r="P340" s="89"/>
      <c r="Q340" s="90"/>
      <c r="R340" s="89"/>
      <c r="S340" s="92">
        <f t="shared" si="148"/>
        <v>0</v>
      </c>
      <c r="T340" s="55" t="s">
        <v>180</v>
      </c>
    </row>
    <row r="341" spans="1:21" ht="14.25" thickBot="1" x14ac:dyDescent="0.2">
      <c r="A341" s="2" t="s">
        <v>5</v>
      </c>
      <c r="B341" s="12">
        <f>SUM(B317:B340)</f>
        <v>13</v>
      </c>
      <c r="C341" s="12">
        <f>SUM(C317:C340)</f>
        <v>18</v>
      </c>
      <c r="D341" s="12">
        <f>SUM(D317:D340)</f>
        <v>7</v>
      </c>
      <c r="E341" s="13">
        <f t="shared" si="141"/>
        <v>38</v>
      </c>
      <c r="F341" s="12">
        <f>SUM(F317:F340)</f>
        <v>13</v>
      </c>
      <c r="G341" s="12">
        <f>SUM(G317:G340)</f>
        <v>18</v>
      </c>
      <c r="H341" s="12">
        <f>SUM(H317:H340)</f>
        <v>7</v>
      </c>
      <c r="I341" s="13">
        <f t="shared" si="142"/>
        <v>38</v>
      </c>
      <c r="K341" s="83" t="s">
        <v>5</v>
      </c>
      <c r="L341" s="68">
        <f>SUM(L317:L340)</f>
        <v>78</v>
      </c>
      <c r="M341" s="68">
        <f>SUM(M317:M340)</f>
        <v>154</v>
      </c>
      <c r="N341" s="68">
        <f>SUM(N317:N340)</f>
        <v>85</v>
      </c>
      <c r="O341" s="84">
        <f t="shared" ref="O341" si="153">SUM(L341:N341)</f>
        <v>317</v>
      </c>
      <c r="P341" s="68">
        <f>SUM(P317:P340)</f>
        <v>78</v>
      </c>
      <c r="Q341" s="68">
        <f>SUM(Q317:Q340)</f>
        <v>154</v>
      </c>
      <c r="R341" s="68">
        <f>SUM(R317:R340)</f>
        <v>85</v>
      </c>
      <c r="S341" s="84">
        <f t="shared" ref="S341" si="154">SUM(P341:R341)</f>
        <v>317</v>
      </c>
    </row>
    <row r="342" spans="1:21" ht="14.25" thickBot="1" x14ac:dyDescent="0.2">
      <c r="A342" s="21" t="s">
        <v>6</v>
      </c>
      <c r="B342" s="22">
        <f t="shared" ref="B342:I342" si="155">B316-B341</f>
        <v>7</v>
      </c>
      <c r="C342" s="22">
        <f t="shared" si="155"/>
        <v>3</v>
      </c>
      <c r="D342" s="22">
        <f t="shared" si="155"/>
        <v>4</v>
      </c>
      <c r="E342" s="22">
        <f t="shared" si="155"/>
        <v>14</v>
      </c>
      <c r="F342" s="22">
        <f t="shared" si="155"/>
        <v>7</v>
      </c>
      <c r="G342" s="22">
        <f t="shared" si="155"/>
        <v>3</v>
      </c>
      <c r="H342" s="22">
        <f t="shared" si="155"/>
        <v>4</v>
      </c>
      <c r="I342" s="20">
        <f t="shared" si="155"/>
        <v>14</v>
      </c>
      <c r="K342" s="21" t="s">
        <v>6</v>
      </c>
      <c r="L342" s="22">
        <f>L316-L341</f>
        <v>118</v>
      </c>
      <c r="M342" s="22">
        <f t="shared" ref="M342:O342" si="156">M316-M341</f>
        <v>99</v>
      </c>
      <c r="N342" s="22">
        <f t="shared" si="156"/>
        <v>88</v>
      </c>
      <c r="O342" s="22">
        <f t="shared" si="156"/>
        <v>305</v>
      </c>
      <c r="P342" s="22">
        <f>P316-P341</f>
        <v>118</v>
      </c>
      <c r="Q342" s="22">
        <f>Q316-Q341</f>
        <v>99</v>
      </c>
      <c r="R342" s="22">
        <f>R316-R341</f>
        <v>88</v>
      </c>
      <c r="S342" s="20">
        <f t="shared" ref="S342" si="157">S316-S341</f>
        <v>305</v>
      </c>
    </row>
    <row r="345" spans="1:21" ht="21.75" thickBot="1" x14ac:dyDescent="0.25">
      <c r="A345" s="26" t="s">
        <v>162</v>
      </c>
      <c r="B345" s="27"/>
      <c r="C345" s="27"/>
      <c r="D345" s="27"/>
      <c r="E345" s="27"/>
      <c r="F345" s="28"/>
      <c r="G345" s="28"/>
      <c r="H345" s="28"/>
      <c r="I345" s="28"/>
      <c r="K345" s="26" t="s">
        <v>161</v>
      </c>
      <c r="L345" s="27"/>
      <c r="M345" s="27"/>
      <c r="N345" s="27"/>
      <c r="O345" s="27"/>
      <c r="P345" s="28"/>
      <c r="Q345" s="28"/>
      <c r="R345" s="28"/>
      <c r="S345" s="28"/>
    </row>
    <row r="346" spans="1:21" ht="14.25" thickBot="1" x14ac:dyDescent="0.2">
      <c r="A346" s="1" t="s">
        <v>0</v>
      </c>
      <c r="B346" s="183" t="s">
        <v>12</v>
      </c>
      <c r="C346" s="183"/>
      <c r="D346" s="183"/>
      <c r="E346" s="184"/>
      <c r="F346" s="183" t="s">
        <v>10</v>
      </c>
      <c r="G346" s="183"/>
      <c r="H346" s="183"/>
      <c r="I346" s="184"/>
      <c r="K346" s="1" t="s">
        <v>0</v>
      </c>
      <c r="L346" s="183" t="s">
        <v>12</v>
      </c>
      <c r="M346" s="183"/>
      <c r="N346" s="183"/>
      <c r="O346" s="184"/>
      <c r="P346" s="183" t="s">
        <v>10</v>
      </c>
      <c r="Q346" s="183"/>
      <c r="R346" s="183"/>
      <c r="S346" s="184"/>
    </row>
    <row r="347" spans="1:21" ht="14.25" thickBot="1" x14ac:dyDescent="0.2">
      <c r="A347" s="1" t="s">
        <v>1</v>
      </c>
      <c r="B347" s="2" t="s">
        <v>7</v>
      </c>
      <c r="C347" s="1" t="s">
        <v>8</v>
      </c>
      <c r="D347" s="15" t="s">
        <v>9</v>
      </c>
      <c r="E347" s="1" t="s">
        <v>2</v>
      </c>
      <c r="F347" s="2" t="s">
        <v>7</v>
      </c>
      <c r="G347" s="1" t="s">
        <v>8</v>
      </c>
      <c r="H347" s="15" t="s">
        <v>9</v>
      </c>
      <c r="I347" s="1" t="s">
        <v>2</v>
      </c>
      <c r="K347" s="1" t="s">
        <v>1</v>
      </c>
      <c r="L347" s="2" t="s">
        <v>7</v>
      </c>
      <c r="M347" s="1" t="s">
        <v>8</v>
      </c>
      <c r="N347" s="15" t="s">
        <v>9</v>
      </c>
      <c r="O347" s="1" t="s">
        <v>2</v>
      </c>
      <c r="P347" s="2" t="s">
        <v>7</v>
      </c>
      <c r="Q347" s="1" t="s">
        <v>8</v>
      </c>
      <c r="R347" s="15" t="s">
        <v>9</v>
      </c>
      <c r="S347" s="1" t="s">
        <v>2</v>
      </c>
    </row>
    <row r="348" spans="1:21" ht="14.25" thickBot="1" x14ac:dyDescent="0.2">
      <c r="A348" s="41" t="s">
        <v>13</v>
      </c>
      <c r="B348" s="42">
        <f>B342</f>
        <v>7</v>
      </c>
      <c r="C348" s="43">
        <f>C342</f>
        <v>3</v>
      </c>
      <c r="D348" s="44">
        <f>D342</f>
        <v>4</v>
      </c>
      <c r="E348" s="45">
        <f t="shared" ref="E348:E384" si="158">SUM(B348:D348)</f>
        <v>14</v>
      </c>
      <c r="F348" s="42">
        <f>F342</f>
        <v>7</v>
      </c>
      <c r="G348" s="43">
        <f>G342</f>
        <v>3</v>
      </c>
      <c r="H348" s="44">
        <f>H342</f>
        <v>4</v>
      </c>
      <c r="I348" s="45">
        <f t="shared" ref="I348:I384" si="159">SUM(F348:H348)</f>
        <v>14</v>
      </c>
      <c r="K348" s="34" t="s">
        <v>13</v>
      </c>
      <c r="L348" s="35">
        <f>L342</f>
        <v>118</v>
      </c>
      <c r="M348" s="35">
        <f t="shared" ref="M348:N348" si="160">M342</f>
        <v>99</v>
      </c>
      <c r="N348" s="35">
        <f t="shared" si="160"/>
        <v>88</v>
      </c>
      <c r="O348" s="20">
        <f t="shared" ref="O348:O384" si="161">SUM(L348:N348)</f>
        <v>305</v>
      </c>
      <c r="P348" s="35">
        <f>P342</f>
        <v>118</v>
      </c>
      <c r="Q348" s="36">
        <f t="shared" ref="Q348:R348" si="162">Q342</f>
        <v>99</v>
      </c>
      <c r="R348" s="37">
        <f t="shared" si="162"/>
        <v>88</v>
      </c>
      <c r="S348" s="20">
        <f t="shared" ref="S348:S384" si="163">SUM(P348:R348)</f>
        <v>305</v>
      </c>
    </row>
    <row r="349" spans="1:21" x14ac:dyDescent="0.15">
      <c r="A349" s="6" t="s">
        <v>267</v>
      </c>
      <c r="B349" s="38"/>
      <c r="C349" s="39">
        <v>2</v>
      </c>
      <c r="D349" s="40">
        <v>-2</v>
      </c>
      <c r="E349" s="4">
        <f t="shared" si="158"/>
        <v>0</v>
      </c>
      <c r="F349" s="38"/>
      <c r="G349" s="39">
        <v>2</v>
      </c>
      <c r="H349" s="40">
        <v>-2</v>
      </c>
      <c r="I349" s="4">
        <f t="shared" si="159"/>
        <v>0</v>
      </c>
      <c r="J349" s="56">
        <v>45085</v>
      </c>
      <c r="K349" s="5" t="s">
        <v>3</v>
      </c>
      <c r="L349" s="46"/>
      <c r="M349" s="3"/>
      <c r="N349" s="46"/>
      <c r="O349" s="4">
        <f t="shared" si="161"/>
        <v>0</v>
      </c>
      <c r="P349" s="46"/>
      <c r="Q349" s="3"/>
      <c r="R349" s="46"/>
      <c r="S349" s="4">
        <f t="shared" si="163"/>
        <v>0</v>
      </c>
    </row>
    <row r="350" spans="1:21" x14ac:dyDescent="0.15">
      <c r="A350" s="6" t="s">
        <v>270</v>
      </c>
      <c r="B350" s="14"/>
      <c r="C350" s="11">
        <v>1</v>
      </c>
      <c r="D350" s="14"/>
      <c r="E350" s="4">
        <f t="shared" si="158"/>
        <v>1</v>
      </c>
      <c r="F350" s="14"/>
      <c r="G350" s="11">
        <v>1</v>
      </c>
      <c r="H350" s="14"/>
      <c r="I350" s="4">
        <f t="shared" si="159"/>
        <v>1</v>
      </c>
      <c r="J350" s="56">
        <v>45086</v>
      </c>
      <c r="K350" s="5" t="s">
        <v>3</v>
      </c>
      <c r="L350" s="14">
        <v>20</v>
      </c>
      <c r="M350" s="11">
        <v>30</v>
      </c>
      <c r="N350" s="14">
        <v>10</v>
      </c>
      <c r="O350" s="4">
        <f t="shared" si="161"/>
        <v>60</v>
      </c>
      <c r="P350" s="14">
        <v>20</v>
      </c>
      <c r="Q350" s="11">
        <v>30</v>
      </c>
      <c r="R350" s="14">
        <v>10</v>
      </c>
      <c r="S350" s="4">
        <f t="shared" si="163"/>
        <v>60</v>
      </c>
      <c r="T350" s="56" t="s">
        <v>275</v>
      </c>
    </row>
    <row r="351" spans="1:21" x14ac:dyDescent="0.15">
      <c r="A351" s="6" t="s">
        <v>3</v>
      </c>
      <c r="B351" s="14">
        <v>3</v>
      </c>
      <c r="C351" s="11"/>
      <c r="D351" s="14">
        <v>4</v>
      </c>
      <c r="E351" s="4">
        <f t="shared" si="158"/>
        <v>7</v>
      </c>
      <c r="F351" s="14">
        <v>3</v>
      </c>
      <c r="G351" s="11"/>
      <c r="H351" s="14">
        <v>4</v>
      </c>
      <c r="I351" s="4">
        <f t="shared" si="159"/>
        <v>7</v>
      </c>
      <c r="J351" s="47">
        <v>45089</v>
      </c>
      <c r="K351" s="5" t="s">
        <v>165</v>
      </c>
      <c r="L351" s="25">
        <v>280</v>
      </c>
      <c r="M351" s="24">
        <v>370</v>
      </c>
      <c r="N351" s="25">
        <v>190</v>
      </c>
      <c r="O351" s="7">
        <f t="shared" si="161"/>
        <v>840</v>
      </c>
      <c r="P351" s="25">
        <v>280</v>
      </c>
      <c r="Q351" s="24">
        <v>370</v>
      </c>
      <c r="R351" s="25">
        <v>190</v>
      </c>
      <c r="S351" s="7">
        <f t="shared" si="163"/>
        <v>840</v>
      </c>
      <c r="T351" s="47" t="s">
        <v>279</v>
      </c>
      <c r="U351" s="54"/>
    </row>
    <row r="352" spans="1:21" x14ac:dyDescent="0.15">
      <c r="A352" s="6" t="s">
        <v>91</v>
      </c>
      <c r="B352" s="14"/>
      <c r="C352" s="11"/>
      <c r="D352" s="14">
        <v>1</v>
      </c>
      <c r="E352" s="4">
        <f t="shared" si="158"/>
        <v>1</v>
      </c>
      <c r="F352" s="14"/>
      <c r="G352" s="11"/>
      <c r="H352" s="14">
        <v>1</v>
      </c>
      <c r="I352" s="4">
        <f t="shared" si="159"/>
        <v>1</v>
      </c>
      <c r="J352" s="56">
        <v>45086</v>
      </c>
      <c r="K352" s="5" t="s">
        <v>3</v>
      </c>
      <c r="L352" s="25"/>
      <c r="M352" s="24"/>
      <c r="N352" s="25"/>
      <c r="O352" s="7">
        <f t="shared" si="161"/>
        <v>0</v>
      </c>
      <c r="P352" s="25"/>
      <c r="Q352" s="24"/>
      <c r="R352" s="25"/>
      <c r="S352" s="7">
        <f t="shared" si="163"/>
        <v>0</v>
      </c>
    </row>
    <row r="353" spans="1:21" x14ac:dyDescent="0.15">
      <c r="A353" s="6" t="s">
        <v>267</v>
      </c>
      <c r="B353" s="14"/>
      <c r="C353" s="11">
        <v>2</v>
      </c>
      <c r="D353" s="14">
        <v>-2</v>
      </c>
      <c r="E353" s="4">
        <f t="shared" si="158"/>
        <v>0</v>
      </c>
      <c r="F353" s="14"/>
      <c r="G353" s="11">
        <v>2</v>
      </c>
      <c r="H353" s="14">
        <v>-2</v>
      </c>
      <c r="I353" s="4">
        <f t="shared" si="159"/>
        <v>0</v>
      </c>
      <c r="J353" s="56">
        <v>45092</v>
      </c>
      <c r="K353" s="5" t="s">
        <v>3</v>
      </c>
      <c r="L353" s="25"/>
      <c r="M353" s="24"/>
      <c r="N353" s="25"/>
      <c r="O353" s="7">
        <f t="shared" si="161"/>
        <v>0</v>
      </c>
      <c r="P353" s="25"/>
      <c r="Q353" s="24"/>
      <c r="R353" s="25"/>
      <c r="S353" s="4">
        <f t="shared" si="163"/>
        <v>0</v>
      </c>
    </row>
    <row r="354" spans="1:21" x14ac:dyDescent="0.15">
      <c r="A354" s="6" t="s">
        <v>267</v>
      </c>
      <c r="B354" s="14"/>
      <c r="C354" s="11">
        <v>2</v>
      </c>
      <c r="D354" s="14">
        <v>-2</v>
      </c>
      <c r="E354" s="4">
        <f t="shared" si="158"/>
        <v>0</v>
      </c>
      <c r="F354" s="14"/>
      <c r="G354" s="11">
        <v>2</v>
      </c>
      <c r="H354" s="14">
        <v>-2</v>
      </c>
      <c r="I354" s="4">
        <f t="shared" si="159"/>
        <v>0</v>
      </c>
      <c r="J354" s="56">
        <v>45098</v>
      </c>
      <c r="K354" s="5" t="s">
        <v>3</v>
      </c>
      <c r="L354" s="14"/>
      <c r="M354" s="11"/>
      <c r="N354" s="14"/>
      <c r="O354" s="4">
        <f t="shared" ref="O354" si="164">SUM(L354:N354)</f>
        <v>0</v>
      </c>
      <c r="P354" s="14"/>
      <c r="Q354" s="11"/>
      <c r="R354" s="14"/>
      <c r="S354" s="4">
        <f t="shared" ref="S354" si="165">SUM(P354:R354)</f>
        <v>0</v>
      </c>
    </row>
    <row r="355" spans="1:21" x14ac:dyDescent="0.15">
      <c r="A355" s="6" t="s">
        <v>91</v>
      </c>
      <c r="B355" s="14"/>
      <c r="C355" s="11">
        <v>1</v>
      </c>
      <c r="D355" s="14"/>
      <c r="E355" s="4">
        <f t="shared" si="158"/>
        <v>1</v>
      </c>
      <c r="F355" s="14"/>
      <c r="G355" s="11">
        <v>1</v>
      </c>
      <c r="H355" s="14"/>
      <c r="I355" s="4">
        <f t="shared" si="159"/>
        <v>1</v>
      </c>
      <c r="J355" s="56">
        <v>45100</v>
      </c>
      <c r="K355" s="5" t="s">
        <v>3</v>
      </c>
      <c r="L355" s="14"/>
      <c r="M355" s="11"/>
      <c r="N355" s="14"/>
      <c r="O355" s="4">
        <f t="shared" si="161"/>
        <v>0</v>
      </c>
      <c r="P355" s="14"/>
      <c r="Q355" s="11"/>
      <c r="R355" s="14"/>
      <c r="S355" s="4">
        <f t="shared" si="163"/>
        <v>0</v>
      </c>
    </row>
    <row r="356" spans="1:21" x14ac:dyDescent="0.15">
      <c r="A356" s="6" t="s">
        <v>3</v>
      </c>
      <c r="B356" s="23"/>
      <c r="C356" s="24"/>
      <c r="D356" s="25"/>
      <c r="E356" s="7">
        <f t="shared" si="158"/>
        <v>0</v>
      </c>
      <c r="F356" s="23"/>
      <c r="G356" s="24"/>
      <c r="H356" s="25"/>
      <c r="I356" s="7">
        <f t="shared" si="159"/>
        <v>0</v>
      </c>
      <c r="K356" s="5" t="s">
        <v>3</v>
      </c>
      <c r="L356" s="25"/>
      <c r="M356" s="24"/>
      <c r="N356" s="25"/>
      <c r="O356" s="7">
        <f t="shared" si="161"/>
        <v>0</v>
      </c>
      <c r="P356" s="23"/>
      <c r="Q356" s="24"/>
      <c r="R356" s="25"/>
      <c r="S356" s="7">
        <f t="shared" si="163"/>
        <v>0</v>
      </c>
    </row>
    <row r="357" spans="1:21" x14ac:dyDescent="0.15">
      <c r="A357" s="6" t="s">
        <v>3</v>
      </c>
      <c r="B357" s="23"/>
      <c r="C357" s="24"/>
      <c r="D357" s="25"/>
      <c r="E357" s="7">
        <f t="shared" si="158"/>
        <v>0</v>
      </c>
      <c r="F357" s="23"/>
      <c r="G357" s="24"/>
      <c r="H357" s="25"/>
      <c r="I357" s="7">
        <f t="shared" si="159"/>
        <v>0</v>
      </c>
      <c r="K357" s="5" t="s">
        <v>3</v>
      </c>
      <c r="L357" s="25"/>
      <c r="M357" s="24"/>
      <c r="N357" s="25"/>
      <c r="O357" s="7">
        <f t="shared" si="161"/>
        <v>0</v>
      </c>
      <c r="P357" s="25"/>
      <c r="Q357" s="24"/>
      <c r="R357" s="25"/>
      <c r="S357" s="7">
        <f t="shared" si="163"/>
        <v>0</v>
      </c>
    </row>
    <row r="358" spans="1:21" ht="14.25" thickBot="1" x14ac:dyDescent="0.2">
      <c r="A358" s="6" t="s">
        <v>3</v>
      </c>
      <c r="B358" s="29"/>
      <c r="C358" s="30"/>
      <c r="D358" s="29"/>
      <c r="E358" s="16">
        <f t="shared" si="158"/>
        <v>0</v>
      </c>
      <c r="F358" s="29"/>
      <c r="G358" s="30"/>
      <c r="H358" s="29"/>
      <c r="I358" s="16">
        <f t="shared" si="159"/>
        <v>0</v>
      </c>
      <c r="K358" s="33" t="s">
        <v>3</v>
      </c>
      <c r="L358" s="29"/>
      <c r="M358" s="30"/>
      <c r="N358" s="29"/>
      <c r="O358" s="16">
        <f t="shared" si="161"/>
        <v>0</v>
      </c>
      <c r="P358" s="29"/>
      <c r="Q358" s="30"/>
      <c r="R358" s="29"/>
      <c r="S358" s="16">
        <f t="shared" si="163"/>
        <v>0</v>
      </c>
    </row>
    <row r="359" spans="1:21" ht="14.25" thickBot="1" x14ac:dyDescent="0.2">
      <c r="A359" s="17" t="s">
        <v>4</v>
      </c>
      <c r="B359" s="18">
        <f>SUM(B348:B358)</f>
        <v>10</v>
      </c>
      <c r="C359" s="18">
        <f>SUM(C348:C358)</f>
        <v>11</v>
      </c>
      <c r="D359" s="19">
        <f>SUM(D348:D358)</f>
        <v>3</v>
      </c>
      <c r="E359" s="20">
        <f t="shared" si="158"/>
        <v>24</v>
      </c>
      <c r="F359" s="18">
        <f>SUM(F348:F358)</f>
        <v>10</v>
      </c>
      <c r="G359" s="18">
        <f>SUM(G348:G358)</f>
        <v>11</v>
      </c>
      <c r="H359" s="19">
        <f>SUM(H348:H358)</f>
        <v>3</v>
      </c>
      <c r="I359" s="20">
        <f t="shared" si="159"/>
        <v>24</v>
      </c>
      <c r="K359" s="17" t="s">
        <v>4</v>
      </c>
      <c r="L359" s="67">
        <f>SUM(L348:L358)</f>
        <v>418</v>
      </c>
      <c r="M359" s="18">
        <f>SUM(M348:M358)</f>
        <v>499</v>
      </c>
      <c r="N359" s="19">
        <f>SUM(N348:N358)</f>
        <v>288</v>
      </c>
      <c r="O359" s="20">
        <f t="shared" si="161"/>
        <v>1205</v>
      </c>
      <c r="P359" s="18">
        <f>SUM(P348:P358)</f>
        <v>418</v>
      </c>
      <c r="Q359" s="18">
        <f>SUM(Q348:Q358)</f>
        <v>499</v>
      </c>
      <c r="R359" s="19">
        <f>SUM(R348:R358)</f>
        <v>288</v>
      </c>
      <c r="S359" s="20">
        <f t="shared" si="163"/>
        <v>1205</v>
      </c>
    </row>
    <row r="360" spans="1:21" x14ac:dyDescent="0.15">
      <c r="A360" s="3" t="s">
        <v>259</v>
      </c>
      <c r="B360" s="8">
        <v>2</v>
      </c>
      <c r="C360" s="9"/>
      <c r="D360" s="10"/>
      <c r="E360" s="4">
        <f t="shared" si="158"/>
        <v>2</v>
      </c>
      <c r="F360" s="8">
        <v>2</v>
      </c>
      <c r="G360" s="9"/>
      <c r="H360" s="10"/>
      <c r="I360" s="4">
        <f t="shared" si="159"/>
        <v>2</v>
      </c>
      <c r="J360" s="47">
        <v>45084</v>
      </c>
      <c r="K360" s="82" t="s">
        <v>253</v>
      </c>
      <c r="L360" s="71">
        <v>10</v>
      </c>
      <c r="M360" s="10">
        <v>10</v>
      </c>
      <c r="N360" s="71">
        <v>10</v>
      </c>
      <c r="O360" s="69">
        <f t="shared" si="161"/>
        <v>30</v>
      </c>
      <c r="P360" s="71">
        <v>10</v>
      </c>
      <c r="Q360" s="71">
        <v>10</v>
      </c>
      <c r="R360" s="71">
        <v>10</v>
      </c>
      <c r="S360" s="72">
        <f t="shared" si="163"/>
        <v>30</v>
      </c>
      <c r="T360" s="47">
        <v>45089</v>
      </c>
    </row>
    <row r="361" spans="1:21" x14ac:dyDescent="0.15">
      <c r="A361" s="3" t="s">
        <v>266</v>
      </c>
      <c r="B361" s="8">
        <v>2</v>
      </c>
      <c r="C361" s="9"/>
      <c r="D361" s="10"/>
      <c r="E361" s="4">
        <f t="shared" si="158"/>
        <v>2</v>
      </c>
      <c r="F361" s="8">
        <v>2</v>
      </c>
      <c r="G361" s="9"/>
      <c r="H361" s="10"/>
      <c r="I361" s="4">
        <f t="shared" si="159"/>
        <v>2</v>
      </c>
      <c r="J361" s="47">
        <v>45090</v>
      </c>
      <c r="K361" s="3" t="s">
        <v>255</v>
      </c>
      <c r="L361" s="9">
        <v>2</v>
      </c>
      <c r="M361" s="10"/>
      <c r="N361" s="9">
        <v>1</v>
      </c>
      <c r="O361" s="69">
        <f t="shared" si="161"/>
        <v>3</v>
      </c>
      <c r="P361" s="9">
        <v>2</v>
      </c>
      <c r="Q361" s="9"/>
      <c r="R361" s="9">
        <v>1</v>
      </c>
      <c r="S361" s="4">
        <f t="shared" si="163"/>
        <v>3</v>
      </c>
      <c r="T361" s="47">
        <v>45079</v>
      </c>
    </row>
    <row r="362" spans="1:21" x14ac:dyDescent="0.15">
      <c r="A362" s="3" t="s">
        <v>274</v>
      </c>
      <c r="B362" s="8"/>
      <c r="C362" s="9">
        <v>1</v>
      </c>
      <c r="D362" s="10"/>
      <c r="E362" s="4">
        <f t="shared" si="158"/>
        <v>1</v>
      </c>
      <c r="F362" s="8"/>
      <c r="G362" s="9">
        <v>1</v>
      </c>
      <c r="H362" s="10"/>
      <c r="I362" s="4">
        <f t="shared" si="159"/>
        <v>1</v>
      </c>
      <c r="J362" s="47">
        <v>45091</v>
      </c>
      <c r="K362" s="3" t="s">
        <v>256</v>
      </c>
      <c r="L362" s="9">
        <v>2</v>
      </c>
      <c r="M362" s="10">
        <v>3</v>
      </c>
      <c r="N362" s="9"/>
      <c r="O362" s="69">
        <f t="shared" si="161"/>
        <v>5</v>
      </c>
      <c r="P362" s="9">
        <v>2</v>
      </c>
      <c r="Q362" s="9">
        <v>3</v>
      </c>
      <c r="R362" s="9"/>
      <c r="S362" s="4">
        <f t="shared" si="163"/>
        <v>5</v>
      </c>
      <c r="T362" s="47">
        <v>45082</v>
      </c>
    </row>
    <row r="363" spans="1:21" x14ac:dyDescent="0.15">
      <c r="A363" s="3"/>
      <c r="B363" s="8"/>
      <c r="C363" s="9"/>
      <c r="D363" s="10"/>
      <c r="E363" s="4">
        <f t="shared" si="158"/>
        <v>0</v>
      </c>
      <c r="F363" s="8"/>
      <c r="G363" s="9"/>
      <c r="H363" s="10"/>
      <c r="I363" s="4">
        <f t="shared" si="159"/>
        <v>0</v>
      </c>
      <c r="J363" s="55"/>
      <c r="K363" s="3" t="s">
        <v>257</v>
      </c>
      <c r="L363" s="9">
        <v>7</v>
      </c>
      <c r="M363" s="10"/>
      <c r="N363" s="9">
        <v>3</v>
      </c>
      <c r="O363" s="69">
        <f t="shared" si="161"/>
        <v>10</v>
      </c>
      <c r="P363" s="9">
        <v>7</v>
      </c>
      <c r="Q363" s="9"/>
      <c r="R363" s="9">
        <v>3</v>
      </c>
      <c r="S363" s="4">
        <f t="shared" si="163"/>
        <v>10</v>
      </c>
      <c r="T363" s="47">
        <v>45083</v>
      </c>
    </row>
    <row r="364" spans="1:21" x14ac:dyDescent="0.15">
      <c r="A364" s="3"/>
      <c r="B364" s="8"/>
      <c r="C364" s="9"/>
      <c r="D364" s="10"/>
      <c r="E364" s="4">
        <f t="shared" si="158"/>
        <v>0</v>
      </c>
      <c r="F364" s="8"/>
      <c r="G364" s="9"/>
      <c r="H364" s="10"/>
      <c r="I364" s="4">
        <f t="shared" si="159"/>
        <v>0</v>
      </c>
      <c r="K364" s="3" t="s">
        <v>260</v>
      </c>
      <c r="L364" s="9">
        <v>2</v>
      </c>
      <c r="M364" s="10">
        <v>2</v>
      </c>
      <c r="N364" s="9">
        <v>3</v>
      </c>
      <c r="O364" s="69">
        <f t="shared" si="161"/>
        <v>7</v>
      </c>
      <c r="P364" s="9">
        <v>2</v>
      </c>
      <c r="Q364" s="9">
        <v>2</v>
      </c>
      <c r="R364" s="9">
        <v>3</v>
      </c>
      <c r="S364" s="4">
        <f t="shared" si="163"/>
        <v>7</v>
      </c>
      <c r="T364" s="47">
        <v>45085</v>
      </c>
      <c r="U364" s="54"/>
    </row>
    <row r="365" spans="1:21" x14ac:dyDescent="0.15">
      <c r="A365" s="3"/>
      <c r="B365" s="8"/>
      <c r="C365" s="9"/>
      <c r="D365" s="10"/>
      <c r="E365" s="7">
        <f t="shared" si="158"/>
        <v>0</v>
      </c>
      <c r="F365" s="8"/>
      <c r="G365" s="9"/>
      <c r="H365" s="10"/>
      <c r="I365" s="7">
        <f t="shared" si="159"/>
        <v>0</v>
      </c>
      <c r="K365" s="3" t="s">
        <v>265</v>
      </c>
      <c r="L365" s="9"/>
      <c r="M365" s="10">
        <v>3</v>
      </c>
      <c r="N365" s="9">
        <v>3</v>
      </c>
      <c r="O365" s="70">
        <f t="shared" si="161"/>
        <v>6</v>
      </c>
      <c r="P365" s="9"/>
      <c r="Q365" s="9">
        <v>3</v>
      </c>
      <c r="R365" s="9">
        <v>3</v>
      </c>
      <c r="S365" s="7">
        <f t="shared" si="163"/>
        <v>6</v>
      </c>
      <c r="T365" s="47">
        <v>45086</v>
      </c>
    </row>
    <row r="366" spans="1:21" x14ac:dyDescent="0.15">
      <c r="A366" s="3"/>
      <c r="B366" s="8"/>
      <c r="C366" s="9"/>
      <c r="D366" s="10"/>
      <c r="E366" s="7">
        <f t="shared" si="158"/>
        <v>0</v>
      </c>
      <c r="F366" s="8"/>
      <c r="G366" s="9"/>
      <c r="H366" s="10"/>
      <c r="I366" s="7">
        <f t="shared" si="159"/>
        <v>0</v>
      </c>
      <c r="K366" s="11" t="s">
        <v>268</v>
      </c>
      <c r="L366" s="9">
        <v>20</v>
      </c>
      <c r="M366" s="10">
        <v>26</v>
      </c>
      <c r="N366" s="9">
        <v>15</v>
      </c>
      <c r="O366" s="70">
        <f t="shared" si="161"/>
        <v>61</v>
      </c>
      <c r="P366" s="9">
        <v>20</v>
      </c>
      <c r="Q366" s="9">
        <v>26</v>
      </c>
      <c r="R366" s="9">
        <v>15</v>
      </c>
      <c r="S366" s="7">
        <f t="shared" si="163"/>
        <v>61</v>
      </c>
      <c r="T366" s="47">
        <v>45099</v>
      </c>
    </row>
    <row r="367" spans="1:21" x14ac:dyDescent="0.15">
      <c r="A367" s="3"/>
      <c r="B367" s="8"/>
      <c r="C367" s="9"/>
      <c r="D367" s="10"/>
      <c r="E367" s="7">
        <f t="shared" si="158"/>
        <v>0</v>
      </c>
      <c r="F367" s="8"/>
      <c r="G367" s="9"/>
      <c r="H367" s="10"/>
      <c r="I367" s="7">
        <f t="shared" si="159"/>
        <v>0</v>
      </c>
      <c r="K367" s="11" t="s">
        <v>269</v>
      </c>
      <c r="L367" s="9">
        <v>9</v>
      </c>
      <c r="M367" s="10">
        <v>12</v>
      </c>
      <c r="N367" s="9">
        <v>6</v>
      </c>
      <c r="O367" s="70">
        <f t="shared" si="161"/>
        <v>27</v>
      </c>
      <c r="P367" s="9">
        <v>9</v>
      </c>
      <c r="Q367" s="9">
        <v>12</v>
      </c>
      <c r="R367" s="9">
        <v>6</v>
      </c>
      <c r="S367" s="7">
        <f t="shared" si="163"/>
        <v>27</v>
      </c>
      <c r="T367" s="47">
        <v>45093</v>
      </c>
    </row>
    <row r="368" spans="1:21" x14ac:dyDescent="0.15">
      <c r="A368" s="3"/>
      <c r="B368" s="8"/>
      <c r="C368" s="9"/>
      <c r="D368" s="10"/>
      <c r="E368" s="7">
        <f t="shared" si="158"/>
        <v>0</v>
      </c>
      <c r="F368" s="8"/>
      <c r="G368" s="9"/>
      <c r="H368" s="10"/>
      <c r="I368" s="7">
        <f t="shared" si="159"/>
        <v>0</v>
      </c>
      <c r="K368" s="3" t="s">
        <v>33</v>
      </c>
      <c r="L368" s="9">
        <v>3</v>
      </c>
      <c r="M368" s="10"/>
      <c r="N368" s="9">
        <v>4</v>
      </c>
      <c r="O368" s="70">
        <f t="shared" si="161"/>
        <v>7</v>
      </c>
      <c r="P368" s="9">
        <v>3</v>
      </c>
      <c r="Q368" s="9"/>
      <c r="R368" s="9">
        <v>4</v>
      </c>
      <c r="S368" s="7">
        <f t="shared" si="163"/>
        <v>7</v>
      </c>
      <c r="T368" s="47">
        <v>45089</v>
      </c>
      <c r="U368" s="54"/>
    </row>
    <row r="369" spans="1:21" x14ac:dyDescent="0.15">
      <c r="A369" s="3"/>
      <c r="B369" s="8"/>
      <c r="C369" s="9"/>
      <c r="D369" s="10"/>
      <c r="E369" s="7">
        <f t="shared" si="158"/>
        <v>0</v>
      </c>
      <c r="F369" s="8"/>
      <c r="G369" s="9"/>
      <c r="H369" s="10"/>
      <c r="I369" s="7">
        <f t="shared" si="159"/>
        <v>0</v>
      </c>
      <c r="K369" s="3" t="s">
        <v>273</v>
      </c>
      <c r="L369" s="9">
        <v>1</v>
      </c>
      <c r="M369" s="10">
        <v>4</v>
      </c>
      <c r="N369" s="9">
        <v>2</v>
      </c>
      <c r="O369" s="70">
        <f t="shared" si="161"/>
        <v>7</v>
      </c>
      <c r="P369" s="9">
        <v>1</v>
      </c>
      <c r="Q369" s="9">
        <v>4</v>
      </c>
      <c r="R369" s="9">
        <v>2</v>
      </c>
      <c r="S369" s="7">
        <f t="shared" si="163"/>
        <v>7</v>
      </c>
      <c r="T369" s="47">
        <v>45090</v>
      </c>
    </row>
    <row r="370" spans="1:21" x14ac:dyDescent="0.15">
      <c r="A370" s="3"/>
      <c r="B370" s="8"/>
      <c r="C370" s="9"/>
      <c r="D370" s="10"/>
      <c r="E370" s="7">
        <f t="shared" si="158"/>
        <v>0</v>
      </c>
      <c r="F370" s="8"/>
      <c r="G370" s="9"/>
      <c r="H370" s="10"/>
      <c r="I370" s="7">
        <f t="shared" si="159"/>
        <v>0</v>
      </c>
      <c r="K370" s="11" t="s">
        <v>276</v>
      </c>
      <c r="L370" s="9">
        <v>2</v>
      </c>
      <c r="M370" s="10">
        <v>4</v>
      </c>
      <c r="N370" s="9">
        <v>3</v>
      </c>
      <c r="O370" s="70">
        <f t="shared" si="161"/>
        <v>9</v>
      </c>
      <c r="P370" s="9">
        <v>2</v>
      </c>
      <c r="Q370" s="9">
        <v>4</v>
      </c>
      <c r="R370" s="9">
        <v>3</v>
      </c>
      <c r="S370" s="7">
        <f t="shared" si="163"/>
        <v>9</v>
      </c>
      <c r="T370" s="47">
        <v>45092</v>
      </c>
    </row>
    <row r="371" spans="1:21" x14ac:dyDescent="0.15">
      <c r="A371" s="3"/>
      <c r="B371" s="8"/>
      <c r="C371" s="9"/>
      <c r="D371" s="10"/>
      <c r="E371" s="7">
        <f t="shared" si="158"/>
        <v>0</v>
      </c>
      <c r="F371" s="8"/>
      <c r="G371" s="9"/>
      <c r="H371" s="10"/>
      <c r="I371" s="7">
        <f t="shared" si="159"/>
        <v>0</v>
      </c>
      <c r="K371" s="99" t="s">
        <v>277</v>
      </c>
      <c r="L371" s="9">
        <v>10</v>
      </c>
      <c r="M371" s="10"/>
      <c r="N371" s="9"/>
      <c r="O371" s="70">
        <f t="shared" si="161"/>
        <v>10</v>
      </c>
      <c r="P371" s="9">
        <v>10</v>
      </c>
      <c r="Q371" s="9"/>
      <c r="R371" s="9"/>
      <c r="S371" s="7">
        <f t="shared" si="163"/>
        <v>10</v>
      </c>
      <c r="T371" s="47">
        <v>45104</v>
      </c>
      <c r="U371" s="54"/>
    </row>
    <row r="372" spans="1:21" x14ac:dyDescent="0.15">
      <c r="A372" s="3"/>
      <c r="B372" s="8"/>
      <c r="C372" s="9"/>
      <c r="D372" s="10"/>
      <c r="E372" s="7">
        <f t="shared" si="158"/>
        <v>0</v>
      </c>
      <c r="F372" s="8"/>
      <c r="G372" s="9"/>
      <c r="H372" s="10"/>
      <c r="I372" s="7">
        <f t="shared" si="159"/>
        <v>0</v>
      </c>
      <c r="K372" s="11" t="s">
        <v>142</v>
      </c>
      <c r="L372" s="9">
        <v>5</v>
      </c>
      <c r="M372" s="10">
        <v>6</v>
      </c>
      <c r="N372" s="9">
        <v>2</v>
      </c>
      <c r="O372" s="70">
        <f t="shared" ref="O372" si="166">SUM(L372:N372)</f>
        <v>13</v>
      </c>
      <c r="P372" s="9">
        <v>5</v>
      </c>
      <c r="Q372" s="10">
        <v>6</v>
      </c>
      <c r="R372" s="9">
        <v>2</v>
      </c>
      <c r="S372" s="7">
        <f t="shared" ref="S372" si="167">SUM(P372:R372)</f>
        <v>13</v>
      </c>
      <c r="T372" s="47">
        <v>45098</v>
      </c>
    </row>
    <row r="373" spans="1:21" x14ac:dyDescent="0.15">
      <c r="A373" s="3"/>
      <c r="B373" s="8"/>
      <c r="C373" s="9"/>
      <c r="D373" s="10"/>
      <c r="E373" s="7">
        <f t="shared" si="158"/>
        <v>0</v>
      </c>
      <c r="F373" s="8"/>
      <c r="G373" s="9"/>
      <c r="H373" s="10"/>
      <c r="I373" s="7">
        <f t="shared" si="159"/>
        <v>0</v>
      </c>
      <c r="K373" s="11" t="s">
        <v>283</v>
      </c>
      <c r="L373" s="9"/>
      <c r="M373" s="10">
        <v>5</v>
      </c>
      <c r="N373" s="9"/>
      <c r="O373" s="70">
        <f t="shared" si="161"/>
        <v>5</v>
      </c>
      <c r="P373" s="9"/>
      <c r="Q373" s="10">
        <v>5</v>
      </c>
      <c r="R373" s="9"/>
      <c r="S373" s="7">
        <f t="shared" si="163"/>
        <v>5</v>
      </c>
      <c r="T373" s="47">
        <v>45099</v>
      </c>
    </row>
    <row r="374" spans="1:21" x14ac:dyDescent="0.15">
      <c r="A374" s="3"/>
      <c r="B374" s="8"/>
      <c r="C374" s="9"/>
      <c r="D374" s="10"/>
      <c r="E374" s="7">
        <f t="shared" si="158"/>
        <v>0</v>
      </c>
      <c r="F374" s="8"/>
      <c r="G374" s="9"/>
      <c r="H374" s="10"/>
      <c r="I374" s="7">
        <f t="shared" si="159"/>
        <v>0</v>
      </c>
      <c r="K374" s="11" t="s">
        <v>284</v>
      </c>
      <c r="L374" s="9">
        <v>4</v>
      </c>
      <c r="M374" s="10">
        <v>2</v>
      </c>
      <c r="N374" s="9">
        <v>1</v>
      </c>
      <c r="O374" s="70">
        <f t="shared" si="161"/>
        <v>7</v>
      </c>
      <c r="P374" s="9">
        <v>4</v>
      </c>
      <c r="Q374" s="9">
        <v>2</v>
      </c>
      <c r="R374" s="9">
        <v>1</v>
      </c>
      <c r="S374" s="7">
        <f t="shared" si="163"/>
        <v>7</v>
      </c>
      <c r="T374" s="47">
        <v>45100</v>
      </c>
    </row>
    <row r="375" spans="1:21" x14ac:dyDescent="0.15">
      <c r="A375" s="3"/>
      <c r="B375" s="8"/>
      <c r="C375" s="9"/>
      <c r="D375" s="10"/>
      <c r="E375" s="7">
        <f t="shared" si="158"/>
        <v>0</v>
      </c>
      <c r="F375" s="8"/>
      <c r="G375" s="9"/>
      <c r="H375" s="10"/>
      <c r="I375" s="7">
        <f t="shared" si="159"/>
        <v>0</v>
      </c>
      <c r="K375" s="3"/>
      <c r="L375" s="8"/>
      <c r="M375" s="9"/>
      <c r="N375" s="10"/>
      <c r="O375" s="7">
        <f t="shared" si="161"/>
        <v>0</v>
      </c>
      <c r="P375" s="8"/>
      <c r="Q375" s="9"/>
      <c r="R375" s="10"/>
      <c r="S375" s="7">
        <f t="shared" si="163"/>
        <v>0</v>
      </c>
    </row>
    <row r="376" spans="1:21" x14ac:dyDescent="0.15">
      <c r="A376" s="3"/>
      <c r="B376" s="8"/>
      <c r="C376" s="9"/>
      <c r="D376" s="10"/>
      <c r="E376" s="7">
        <f t="shared" si="158"/>
        <v>0</v>
      </c>
      <c r="F376" s="8"/>
      <c r="G376" s="9"/>
      <c r="H376" s="10"/>
      <c r="I376" s="7">
        <f t="shared" si="159"/>
        <v>0</v>
      </c>
      <c r="K376" s="66"/>
      <c r="L376" s="86"/>
      <c r="M376" s="87"/>
      <c r="N376" s="86"/>
      <c r="O376" s="69">
        <f t="shared" si="161"/>
        <v>0</v>
      </c>
      <c r="P376" s="86"/>
      <c r="Q376" s="86"/>
      <c r="R376" s="86"/>
      <c r="S376" s="4">
        <f t="shared" si="163"/>
        <v>0</v>
      </c>
      <c r="T376" s="47"/>
    </row>
    <row r="377" spans="1:21" x14ac:dyDescent="0.15">
      <c r="A377" s="3"/>
      <c r="B377" s="8"/>
      <c r="C377" s="9"/>
      <c r="D377" s="10"/>
      <c r="E377" s="7">
        <f t="shared" si="158"/>
        <v>0</v>
      </c>
      <c r="F377" s="8"/>
      <c r="G377" s="9"/>
      <c r="H377" s="10"/>
      <c r="I377" s="7">
        <f t="shared" si="159"/>
        <v>0</v>
      </c>
      <c r="K377" s="66"/>
      <c r="L377" s="9"/>
      <c r="M377" s="10"/>
      <c r="N377" s="9"/>
      <c r="O377" s="70">
        <f t="shared" si="161"/>
        <v>0</v>
      </c>
      <c r="P377" s="9"/>
      <c r="Q377" s="10"/>
      <c r="R377" s="9"/>
      <c r="S377" s="7">
        <f t="shared" si="163"/>
        <v>0</v>
      </c>
      <c r="T377" s="55"/>
      <c r="U377" s="54"/>
    </row>
    <row r="378" spans="1:21" x14ac:dyDescent="0.15">
      <c r="A378" s="3"/>
      <c r="B378" s="8"/>
      <c r="C378" s="9"/>
      <c r="D378" s="10"/>
      <c r="E378" s="7">
        <f t="shared" si="158"/>
        <v>0</v>
      </c>
      <c r="F378" s="8"/>
      <c r="G378" s="9"/>
      <c r="H378" s="10"/>
      <c r="I378" s="7">
        <f t="shared" si="159"/>
        <v>0</v>
      </c>
      <c r="K378" s="66" t="s">
        <v>182</v>
      </c>
      <c r="L378" s="86"/>
      <c r="M378" s="87"/>
      <c r="N378" s="86"/>
      <c r="O378" s="69">
        <f t="shared" ref="O378:O383" si="168">SUM(L378:N378)</f>
        <v>0</v>
      </c>
      <c r="P378" s="86"/>
      <c r="Q378" s="86"/>
      <c r="R378" s="86"/>
      <c r="S378" s="4">
        <f t="shared" ref="S378:S383" si="169">SUM(P378:R378)</f>
        <v>0</v>
      </c>
      <c r="T378" s="47" t="s">
        <v>183</v>
      </c>
    </row>
    <row r="379" spans="1:21" x14ac:dyDescent="0.15">
      <c r="A379" s="3"/>
      <c r="B379" s="8"/>
      <c r="C379" s="9"/>
      <c r="D379" s="10"/>
      <c r="E379" s="7">
        <f t="shared" si="158"/>
        <v>0</v>
      </c>
      <c r="F379" s="8"/>
      <c r="G379" s="9"/>
      <c r="H379" s="10"/>
      <c r="I379" s="7">
        <f t="shared" si="159"/>
        <v>0</v>
      </c>
      <c r="K379" s="66" t="s">
        <v>278</v>
      </c>
      <c r="L379" s="9"/>
      <c r="M379" s="10"/>
      <c r="N379" s="9"/>
      <c r="O379" s="70">
        <f t="shared" si="168"/>
        <v>0</v>
      </c>
      <c r="P379" s="9"/>
      <c r="Q379" s="10"/>
      <c r="R379" s="9"/>
      <c r="S379" s="7">
        <f t="shared" si="169"/>
        <v>0</v>
      </c>
      <c r="T379" s="55" t="s">
        <v>190</v>
      </c>
    </row>
    <row r="380" spans="1:21" x14ac:dyDescent="0.15">
      <c r="A380" s="3"/>
      <c r="B380" s="8"/>
      <c r="C380" s="9"/>
      <c r="D380" s="10"/>
      <c r="E380" s="7">
        <f t="shared" si="158"/>
        <v>0</v>
      </c>
      <c r="F380" s="8"/>
      <c r="G380" s="9"/>
      <c r="H380" s="10"/>
      <c r="I380" s="7">
        <f t="shared" si="159"/>
        <v>0</v>
      </c>
      <c r="K380" s="94" t="s">
        <v>227</v>
      </c>
      <c r="L380" s="9"/>
      <c r="M380" s="10"/>
      <c r="N380" s="9"/>
      <c r="O380" s="70">
        <f t="shared" si="168"/>
        <v>0</v>
      </c>
      <c r="P380" s="9"/>
      <c r="Q380" s="10"/>
      <c r="R380" s="9"/>
      <c r="S380" s="7">
        <f t="shared" si="169"/>
        <v>0</v>
      </c>
      <c r="T380" s="55" t="s">
        <v>176</v>
      </c>
    </row>
    <row r="381" spans="1:21" x14ac:dyDescent="0.15">
      <c r="A381" s="3"/>
      <c r="B381" s="8"/>
      <c r="C381" s="9"/>
      <c r="D381" s="10"/>
      <c r="E381" s="7">
        <f t="shared" si="158"/>
        <v>0</v>
      </c>
      <c r="F381" s="8"/>
      <c r="G381" s="9"/>
      <c r="H381" s="10"/>
      <c r="I381" s="7">
        <f t="shared" si="159"/>
        <v>0</v>
      </c>
      <c r="K381" s="94" t="s">
        <v>220</v>
      </c>
      <c r="L381" s="9"/>
      <c r="M381" s="10"/>
      <c r="N381" s="9"/>
      <c r="O381" s="70">
        <f t="shared" si="168"/>
        <v>0</v>
      </c>
      <c r="P381" s="9"/>
      <c r="Q381" s="10"/>
      <c r="R381" s="9"/>
      <c r="S381" s="7">
        <f t="shared" si="169"/>
        <v>0</v>
      </c>
      <c r="T381" s="55" t="s">
        <v>46</v>
      </c>
    </row>
    <row r="382" spans="1:21" x14ac:dyDescent="0.15">
      <c r="A382" s="3"/>
      <c r="B382" s="8"/>
      <c r="C382" s="9"/>
      <c r="D382" s="10"/>
      <c r="E382" s="7">
        <f t="shared" si="158"/>
        <v>0</v>
      </c>
      <c r="F382" s="8"/>
      <c r="G382" s="9"/>
      <c r="H382" s="10"/>
      <c r="I382" s="7">
        <f t="shared" si="159"/>
        <v>0</v>
      </c>
      <c r="K382" s="66" t="s">
        <v>201</v>
      </c>
      <c r="L382" s="86"/>
      <c r="M382" s="87"/>
      <c r="N382" s="86"/>
      <c r="O382" s="69">
        <f t="shared" si="168"/>
        <v>0</v>
      </c>
      <c r="P382" s="86"/>
      <c r="Q382" s="87"/>
      <c r="R382" s="86"/>
      <c r="S382" s="7">
        <f t="shared" si="169"/>
        <v>0</v>
      </c>
      <c r="T382" s="55" t="s">
        <v>202</v>
      </c>
    </row>
    <row r="383" spans="1:21" ht="14.25" thickBot="1" x14ac:dyDescent="0.2">
      <c r="A383" s="3"/>
      <c r="B383" s="8"/>
      <c r="C383" s="9"/>
      <c r="D383" s="10"/>
      <c r="E383" s="7">
        <f t="shared" si="158"/>
        <v>0</v>
      </c>
      <c r="F383" s="8"/>
      <c r="G383" s="9"/>
      <c r="H383" s="10"/>
      <c r="I383" s="7">
        <f t="shared" si="159"/>
        <v>0</v>
      </c>
      <c r="K383" s="3" t="s">
        <v>175</v>
      </c>
      <c r="L383" s="98"/>
      <c r="M383" s="86"/>
      <c r="N383" s="87"/>
      <c r="O383" s="4">
        <f t="shared" si="168"/>
        <v>0</v>
      </c>
      <c r="P383" s="98"/>
      <c r="Q383" s="86"/>
      <c r="R383" s="87"/>
      <c r="S383" s="4">
        <f t="shared" si="169"/>
        <v>0</v>
      </c>
      <c r="T383" s="55" t="s">
        <v>176</v>
      </c>
    </row>
    <row r="384" spans="1:21" ht="14.25" thickBot="1" x14ac:dyDescent="0.2">
      <c r="A384" s="2" t="s">
        <v>5</v>
      </c>
      <c r="B384" s="12">
        <f>SUM(B360:B383)</f>
        <v>4</v>
      </c>
      <c r="C384" s="12">
        <f>SUM(C360:C383)</f>
        <v>1</v>
      </c>
      <c r="D384" s="12">
        <f>SUM(D360:D383)</f>
        <v>0</v>
      </c>
      <c r="E384" s="13">
        <f t="shared" si="158"/>
        <v>5</v>
      </c>
      <c r="F384" s="12">
        <f>SUM(F360:F383)</f>
        <v>4</v>
      </c>
      <c r="G384" s="12">
        <f>SUM(G360:G383)</f>
        <v>1</v>
      </c>
      <c r="H384" s="12">
        <f>SUM(H360:H383)</f>
        <v>0</v>
      </c>
      <c r="I384" s="13">
        <f t="shared" si="159"/>
        <v>5</v>
      </c>
      <c r="K384" s="2" t="s">
        <v>5</v>
      </c>
      <c r="L384" s="68">
        <f>SUM(L360:L383)</f>
        <v>77</v>
      </c>
      <c r="M384" s="12">
        <f>SUM(M360:M383)</f>
        <v>77</v>
      </c>
      <c r="N384" s="12">
        <f>SUM(N360:N383)</f>
        <v>53</v>
      </c>
      <c r="O384" s="13">
        <f t="shared" si="161"/>
        <v>207</v>
      </c>
      <c r="P384" s="12">
        <f>SUM(P360:P383)</f>
        <v>77</v>
      </c>
      <c r="Q384" s="12">
        <f>SUM(Q360:Q383)</f>
        <v>77</v>
      </c>
      <c r="R384" s="12">
        <f>SUM(R360:R383)</f>
        <v>53</v>
      </c>
      <c r="S384" s="13">
        <f t="shared" si="163"/>
        <v>207</v>
      </c>
    </row>
    <row r="385" spans="1:20" ht="14.25" thickBot="1" x14ac:dyDescent="0.2">
      <c r="A385" s="21" t="s">
        <v>6</v>
      </c>
      <c r="B385" s="22">
        <f t="shared" ref="B385:I385" si="170">B359-B384</f>
        <v>6</v>
      </c>
      <c r="C385" s="22">
        <f t="shared" si="170"/>
        <v>10</v>
      </c>
      <c r="D385" s="22">
        <f t="shared" si="170"/>
        <v>3</v>
      </c>
      <c r="E385" s="22">
        <f t="shared" si="170"/>
        <v>19</v>
      </c>
      <c r="F385" s="22">
        <f t="shared" si="170"/>
        <v>6</v>
      </c>
      <c r="G385" s="22">
        <f t="shared" si="170"/>
        <v>10</v>
      </c>
      <c r="H385" s="22">
        <f t="shared" si="170"/>
        <v>3</v>
      </c>
      <c r="I385" s="20">
        <f t="shared" si="170"/>
        <v>19</v>
      </c>
      <c r="K385" s="21" t="s">
        <v>6</v>
      </c>
      <c r="L385" s="22">
        <f>L359-L384</f>
        <v>341</v>
      </c>
      <c r="M385" s="22">
        <f t="shared" ref="M385:O385" si="171">M359-M384</f>
        <v>422</v>
      </c>
      <c r="N385" s="22">
        <f t="shared" si="171"/>
        <v>235</v>
      </c>
      <c r="O385" s="22">
        <f t="shared" si="171"/>
        <v>998</v>
      </c>
      <c r="P385" s="22">
        <f>P359-P384</f>
        <v>341</v>
      </c>
      <c r="Q385" s="22">
        <f>Q359-Q384</f>
        <v>422</v>
      </c>
      <c r="R385" s="22">
        <f>R359-R384</f>
        <v>235</v>
      </c>
      <c r="S385" s="20">
        <f t="shared" ref="S385" si="172">S359-S384</f>
        <v>998</v>
      </c>
    </row>
    <row r="388" spans="1:20" ht="21.75" thickBot="1" x14ac:dyDescent="0.25">
      <c r="A388" s="26" t="s">
        <v>162</v>
      </c>
      <c r="B388" s="27"/>
      <c r="C388" s="27"/>
      <c r="D388" s="27"/>
      <c r="E388" s="27"/>
      <c r="F388" s="28"/>
      <c r="G388" s="28"/>
      <c r="H388" s="28"/>
      <c r="I388" s="28"/>
      <c r="K388" s="26" t="s">
        <v>161</v>
      </c>
      <c r="L388" s="27"/>
      <c r="M388" s="27"/>
      <c r="N388" s="27"/>
      <c r="O388" s="27"/>
      <c r="P388" s="28"/>
      <c r="Q388" s="28"/>
      <c r="R388" s="28"/>
      <c r="S388" s="28"/>
    </row>
    <row r="389" spans="1:20" ht="14.25" thickBot="1" x14ac:dyDescent="0.2">
      <c r="A389" s="1" t="s">
        <v>0</v>
      </c>
      <c r="B389" s="183" t="s">
        <v>12</v>
      </c>
      <c r="C389" s="183"/>
      <c r="D389" s="183"/>
      <c r="E389" s="184"/>
      <c r="F389" s="183" t="s">
        <v>10</v>
      </c>
      <c r="G389" s="183"/>
      <c r="H389" s="183"/>
      <c r="I389" s="184"/>
      <c r="K389" s="1" t="s">
        <v>0</v>
      </c>
      <c r="L389" s="183" t="s">
        <v>12</v>
      </c>
      <c r="M389" s="183"/>
      <c r="N389" s="183"/>
      <c r="O389" s="184"/>
      <c r="P389" s="183" t="s">
        <v>10</v>
      </c>
      <c r="Q389" s="183"/>
      <c r="R389" s="183"/>
      <c r="S389" s="184"/>
    </row>
    <row r="390" spans="1:20" ht="14.25" thickBot="1" x14ac:dyDescent="0.2">
      <c r="A390" s="1" t="s">
        <v>1</v>
      </c>
      <c r="B390" s="2" t="s">
        <v>7</v>
      </c>
      <c r="C390" s="1" t="s">
        <v>8</v>
      </c>
      <c r="D390" s="15" t="s">
        <v>9</v>
      </c>
      <c r="E390" s="1" t="s">
        <v>2</v>
      </c>
      <c r="F390" s="2" t="s">
        <v>7</v>
      </c>
      <c r="G390" s="1" t="s">
        <v>8</v>
      </c>
      <c r="H390" s="15" t="s">
        <v>9</v>
      </c>
      <c r="I390" s="1" t="s">
        <v>2</v>
      </c>
      <c r="K390" s="1" t="s">
        <v>1</v>
      </c>
      <c r="L390" s="2" t="s">
        <v>7</v>
      </c>
      <c r="M390" s="1" t="s">
        <v>8</v>
      </c>
      <c r="N390" s="15" t="s">
        <v>9</v>
      </c>
      <c r="O390" s="1" t="s">
        <v>2</v>
      </c>
      <c r="P390" s="2" t="s">
        <v>7</v>
      </c>
      <c r="Q390" s="1" t="s">
        <v>8</v>
      </c>
      <c r="R390" s="15" t="s">
        <v>9</v>
      </c>
      <c r="S390" s="1" t="s">
        <v>2</v>
      </c>
    </row>
    <row r="391" spans="1:20" ht="14.25" thickBot="1" x14ac:dyDescent="0.2">
      <c r="A391" s="41" t="s">
        <v>13</v>
      </c>
      <c r="B391" s="42">
        <f>B385</f>
        <v>6</v>
      </c>
      <c r="C391" s="43">
        <f>C385</f>
        <v>10</v>
      </c>
      <c r="D391" s="44">
        <f>D385</f>
        <v>3</v>
      </c>
      <c r="E391" s="45">
        <f t="shared" ref="E391:E427" si="173">SUM(B391:D391)</f>
        <v>19</v>
      </c>
      <c r="F391" s="42">
        <f>F385</f>
        <v>6</v>
      </c>
      <c r="G391" s="43">
        <f>G385</f>
        <v>10</v>
      </c>
      <c r="H391" s="44">
        <f>H385</f>
        <v>3</v>
      </c>
      <c r="I391" s="45">
        <f t="shared" ref="I391:I427" si="174">SUM(F391:H391)</f>
        <v>19</v>
      </c>
      <c r="K391" s="34" t="s">
        <v>13</v>
      </c>
      <c r="L391" s="35">
        <f>L385</f>
        <v>341</v>
      </c>
      <c r="M391" s="35">
        <f t="shared" ref="M391:N391" si="175">M385</f>
        <v>422</v>
      </c>
      <c r="N391" s="35">
        <f t="shared" si="175"/>
        <v>235</v>
      </c>
      <c r="O391" s="20">
        <f t="shared" ref="O391:O427" si="176">SUM(L391:N391)</f>
        <v>998</v>
      </c>
      <c r="P391" s="35">
        <f>P385</f>
        <v>341</v>
      </c>
      <c r="Q391" s="36">
        <f t="shared" ref="Q391:R391" si="177">Q385</f>
        <v>422</v>
      </c>
      <c r="R391" s="37">
        <f t="shared" si="177"/>
        <v>235</v>
      </c>
      <c r="S391" s="20">
        <f t="shared" ref="S391:S427" si="178">SUM(P391:R391)</f>
        <v>998</v>
      </c>
    </row>
    <row r="392" spans="1:20" x14ac:dyDescent="0.15">
      <c r="A392" s="85" t="s">
        <v>3</v>
      </c>
      <c r="B392" s="38"/>
      <c r="C392" s="39">
        <v>5</v>
      </c>
      <c r="D392" s="40"/>
      <c r="E392" s="4">
        <f t="shared" si="173"/>
        <v>5</v>
      </c>
      <c r="F392" s="38"/>
      <c r="G392" s="39">
        <v>5</v>
      </c>
      <c r="H392" s="40"/>
      <c r="I392" s="4">
        <f t="shared" si="174"/>
        <v>5</v>
      </c>
      <c r="J392" s="47">
        <v>45107</v>
      </c>
      <c r="K392" s="5" t="s">
        <v>3</v>
      </c>
      <c r="L392" s="46"/>
      <c r="M392" s="3"/>
      <c r="N392" s="46"/>
      <c r="O392" s="4">
        <f t="shared" si="176"/>
        <v>0</v>
      </c>
      <c r="P392" s="46"/>
      <c r="Q392" s="3"/>
      <c r="R392" s="46"/>
      <c r="S392" s="4">
        <f t="shared" si="178"/>
        <v>0</v>
      </c>
    </row>
    <row r="393" spans="1:20" x14ac:dyDescent="0.15">
      <c r="A393" s="3" t="s">
        <v>302</v>
      </c>
      <c r="B393" s="8"/>
      <c r="C393" s="9">
        <v>1</v>
      </c>
      <c r="D393" s="10"/>
      <c r="E393" s="7">
        <f t="shared" si="173"/>
        <v>1</v>
      </c>
      <c r="F393" s="8"/>
      <c r="G393" s="9">
        <v>1</v>
      </c>
      <c r="H393" s="10"/>
      <c r="I393" s="7">
        <f t="shared" si="174"/>
        <v>1</v>
      </c>
      <c r="J393" s="31">
        <v>45111</v>
      </c>
      <c r="K393" s="5" t="s">
        <v>3</v>
      </c>
      <c r="L393" s="14"/>
      <c r="M393" s="11"/>
      <c r="N393" s="14"/>
      <c r="O393" s="4">
        <f t="shared" si="176"/>
        <v>0</v>
      </c>
      <c r="P393" s="14"/>
      <c r="Q393" s="11"/>
      <c r="R393" s="14"/>
      <c r="S393" s="4">
        <f t="shared" si="178"/>
        <v>0</v>
      </c>
    </row>
    <row r="394" spans="1:20" x14ac:dyDescent="0.15">
      <c r="A394" s="6" t="s">
        <v>267</v>
      </c>
      <c r="B394" s="14"/>
      <c r="C394" s="11">
        <v>2</v>
      </c>
      <c r="D394" s="14">
        <v>-2</v>
      </c>
      <c r="E394" s="4">
        <f t="shared" si="173"/>
        <v>0</v>
      </c>
      <c r="F394" s="14"/>
      <c r="G394" s="11">
        <v>2</v>
      </c>
      <c r="H394" s="14">
        <v>-2</v>
      </c>
      <c r="I394" s="4">
        <f t="shared" si="174"/>
        <v>0</v>
      </c>
      <c r="J394" s="56">
        <v>45112</v>
      </c>
      <c r="K394" s="5" t="s">
        <v>3</v>
      </c>
      <c r="L394" s="14">
        <v>70</v>
      </c>
      <c r="M394" s="11">
        <v>140</v>
      </c>
      <c r="N394" s="14">
        <v>90</v>
      </c>
      <c r="O394" s="4">
        <f t="shared" si="176"/>
        <v>300</v>
      </c>
      <c r="P394" s="14">
        <v>70</v>
      </c>
      <c r="Q394" s="11">
        <v>140</v>
      </c>
      <c r="R394" s="14">
        <v>90</v>
      </c>
      <c r="S394" s="4">
        <f t="shared" si="178"/>
        <v>300</v>
      </c>
      <c r="T394" s="47" t="s">
        <v>293</v>
      </c>
    </row>
    <row r="395" spans="1:20" x14ac:dyDescent="0.15">
      <c r="A395" s="6" t="s">
        <v>91</v>
      </c>
      <c r="B395" s="14"/>
      <c r="C395" s="11"/>
      <c r="D395" s="14">
        <v>2</v>
      </c>
      <c r="E395" s="4">
        <f t="shared" si="173"/>
        <v>2</v>
      </c>
      <c r="F395" s="14"/>
      <c r="G395" s="11"/>
      <c r="H395" s="14">
        <v>2</v>
      </c>
      <c r="I395" s="4">
        <f t="shared" si="174"/>
        <v>2</v>
      </c>
      <c r="J395" s="56">
        <v>45112</v>
      </c>
      <c r="K395" s="5" t="s">
        <v>3</v>
      </c>
      <c r="L395" s="25"/>
      <c r="M395" s="24"/>
      <c r="N395" s="25"/>
      <c r="O395" s="7">
        <f t="shared" si="176"/>
        <v>0</v>
      </c>
      <c r="P395" s="25"/>
      <c r="Q395" s="24"/>
      <c r="R395" s="25"/>
      <c r="S395" s="7">
        <f t="shared" si="178"/>
        <v>0</v>
      </c>
      <c r="T395" s="55" t="s">
        <v>263</v>
      </c>
    </row>
    <row r="396" spans="1:20" x14ac:dyDescent="0.15">
      <c r="A396" s="5" t="s">
        <v>270</v>
      </c>
      <c r="B396" s="14"/>
      <c r="C396" s="11"/>
      <c r="D396" s="14">
        <v>1</v>
      </c>
      <c r="E396" s="4">
        <f t="shared" si="173"/>
        <v>1</v>
      </c>
      <c r="F396" s="14"/>
      <c r="G396" s="11"/>
      <c r="H396" s="14">
        <v>1</v>
      </c>
      <c r="I396" s="4">
        <f t="shared" si="174"/>
        <v>1</v>
      </c>
      <c r="J396" s="56">
        <v>45126</v>
      </c>
      <c r="K396" s="5" t="s">
        <v>3</v>
      </c>
      <c r="L396" s="25"/>
      <c r="M396" s="24"/>
      <c r="N396" s="25"/>
      <c r="O396" s="7">
        <f t="shared" si="176"/>
        <v>0</v>
      </c>
      <c r="P396" s="25"/>
      <c r="Q396" s="24"/>
      <c r="R396" s="25"/>
      <c r="S396" s="4">
        <f t="shared" si="178"/>
        <v>0</v>
      </c>
    </row>
    <row r="397" spans="1:20" x14ac:dyDescent="0.15">
      <c r="A397" s="3" t="s">
        <v>331</v>
      </c>
      <c r="B397" s="8">
        <v>1</v>
      </c>
      <c r="C397" s="9"/>
      <c r="D397" s="10"/>
      <c r="E397" s="7">
        <f t="shared" ref="E397" si="179">SUM(B397:D397)</f>
        <v>1</v>
      </c>
      <c r="F397" s="8">
        <v>1</v>
      </c>
      <c r="G397" s="9"/>
      <c r="H397" s="10"/>
      <c r="I397" s="7">
        <f t="shared" si="174"/>
        <v>1</v>
      </c>
      <c r="J397" s="31">
        <v>45132</v>
      </c>
      <c r="K397" s="5" t="s">
        <v>3</v>
      </c>
      <c r="L397" s="25"/>
      <c r="M397" s="24"/>
      <c r="N397" s="25"/>
      <c r="O397" s="7">
        <f t="shared" ref="O397" si="180">SUM(L397:N397)</f>
        <v>0</v>
      </c>
      <c r="P397" s="25"/>
      <c r="Q397" s="24"/>
      <c r="R397" s="25"/>
      <c r="S397" s="4">
        <f t="shared" ref="S397" si="181">SUM(P397:R397)</f>
        <v>0</v>
      </c>
    </row>
    <row r="398" spans="1:20" x14ac:dyDescent="0.15">
      <c r="A398" s="6" t="s">
        <v>3</v>
      </c>
      <c r="B398" s="14"/>
      <c r="C398" s="11"/>
      <c r="D398" s="14"/>
      <c r="E398" s="4">
        <f t="shared" si="173"/>
        <v>0</v>
      </c>
      <c r="F398" s="14"/>
      <c r="G398" s="11"/>
      <c r="H398" s="14"/>
      <c r="I398" s="4">
        <f t="shared" si="174"/>
        <v>0</v>
      </c>
      <c r="K398" s="5" t="s">
        <v>3</v>
      </c>
      <c r="L398" s="14"/>
      <c r="M398" s="11"/>
      <c r="N398" s="14"/>
      <c r="O398" s="4">
        <f t="shared" si="176"/>
        <v>0</v>
      </c>
      <c r="P398" s="14"/>
      <c r="Q398" s="11"/>
      <c r="R398" s="14"/>
      <c r="S398" s="4">
        <f t="shared" si="178"/>
        <v>0</v>
      </c>
    </row>
    <row r="399" spans="1:20" x14ac:dyDescent="0.15">
      <c r="A399" s="6" t="s">
        <v>3</v>
      </c>
      <c r="B399" s="23"/>
      <c r="C399" s="24"/>
      <c r="D399" s="25"/>
      <c r="E399" s="7">
        <f t="shared" si="173"/>
        <v>0</v>
      </c>
      <c r="F399" s="23"/>
      <c r="G399" s="24"/>
      <c r="H399" s="25"/>
      <c r="I399" s="7">
        <f t="shared" si="174"/>
        <v>0</v>
      </c>
      <c r="K399" s="5" t="s">
        <v>3</v>
      </c>
      <c r="L399" s="25"/>
      <c r="M399" s="24"/>
      <c r="N399" s="25"/>
      <c r="O399" s="7">
        <f t="shared" si="176"/>
        <v>0</v>
      </c>
      <c r="P399" s="23"/>
      <c r="Q399" s="24"/>
      <c r="R399" s="25"/>
      <c r="S399" s="7">
        <f t="shared" si="178"/>
        <v>0</v>
      </c>
    </row>
    <row r="400" spans="1:20" x14ac:dyDescent="0.15">
      <c r="A400" s="6" t="s">
        <v>3</v>
      </c>
      <c r="B400" s="23"/>
      <c r="C400" s="24"/>
      <c r="D400" s="25"/>
      <c r="E400" s="7">
        <f t="shared" si="173"/>
        <v>0</v>
      </c>
      <c r="F400" s="23"/>
      <c r="G400" s="24"/>
      <c r="H400" s="25"/>
      <c r="I400" s="7">
        <f t="shared" si="174"/>
        <v>0</v>
      </c>
      <c r="K400" s="5" t="s">
        <v>3</v>
      </c>
      <c r="L400" s="25"/>
      <c r="M400" s="24"/>
      <c r="N400" s="25"/>
      <c r="O400" s="7">
        <f t="shared" si="176"/>
        <v>0</v>
      </c>
      <c r="P400" s="25"/>
      <c r="Q400" s="24"/>
      <c r="R400" s="25"/>
      <c r="S400" s="7">
        <f t="shared" si="178"/>
        <v>0</v>
      </c>
    </row>
    <row r="401" spans="1:21" ht="14.25" thickBot="1" x14ac:dyDescent="0.2">
      <c r="A401" s="6" t="s">
        <v>3</v>
      </c>
      <c r="B401" s="29"/>
      <c r="C401" s="30"/>
      <c r="D401" s="29"/>
      <c r="E401" s="16">
        <f t="shared" si="173"/>
        <v>0</v>
      </c>
      <c r="F401" s="29"/>
      <c r="G401" s="30"/>
      <c r="H401" s="29"/>
      <c r="I401" s="16">
        <f t="shared" si="174"/>
        <v>0</v>
      </c>
      <c r="K401" s="33" t="s">
        <v>3</v>
      </c>
      <c r="L401" s="29"/>
      <c r="M401" s="30"/>
      <c r="N401" s="29"/>
      <c r="O401" s="16">
        <f t="shared" si="176"/>
        <v>0</v>
      </c>
      <c r="P401" s="29"/>
      <c r="Q401" s="30"/>
      <c r="R401" s="29"/>
      <c r="S401" s="16">
        <f t="shared" si="178"/>
        <v>0</v>
      </c>
    </row>
    <row r="402" spans="1:21" ht="14.25" thickBot="1" x14ac:dyDescent="0.2">
      <c r="A402" s="17" t="s">
        <v>4</v>
      </c>
      <c r="B402" s="18">
        <f>SUM(B391:B401)</f>
        <v>7</v>
      </c>
      <c r="C402" s="18">
        <f>SUM(C391:C401)</f>
        <v>18</v>
      </c>
      <c r="D402" s="19">
        <f>SUM(D391:D401)</f>
        <v>4</v>
      </c>
      <c r="E402" s="20">
        <f t="shared" si="173"/>
        <v>29</v>
      </c>
      <c r="F402" s="18">
        <f>SUM(F391:F401)</f>
        <v>7</v>
      </c>
      <c r="G402" s="18">
        <f>SUM(G391:G401)</f>
        <v>18</v>
      </c>
      <c r="H402" s="19">
        <f>SUM(H391:H401)</f>
        <v>4</v>
      </c>
      <c r="I402" s="20">
        <f t="shared" si="174"/>
        <v>29</v>
      </c>
      <c r="K402" s="17" t="s">
        <v>4</v>
      </c>
      <c r="L402" s="67">
        <f>SUM(L391:L401)</f>
        <v>411</v>
      </c>
      <c r="M402" s="18">
        <f>SUM(M391:M401)</f>
        <v>562</v>
      </c>
      <c r="N402" s="19">
        <f>SUM(N391:N401)</f>
        <v>325</v>
      </c>
      <c r="O402" s="20">
        <f t="shared" si="176"/>
        <v>1298</v>
      </c>
      <c r="P402" s="18">
        <f>SUM(P391:P401)</f>
        <v>411</v>
      </c>
      <c r="Q402" s="18">
        <f>SUM(Q391:Q401)</f>
        <v>562</v>
      </c>
      <c r="R402" s="19">
        <f>SUM(R391:R401)</f>
        <v>325</v>
      </c>
      <c r="S402" s="20">
        <f t="shared" si="178"/>
        <v>1298</v>
      </c>
    </row>
    <row r="403" spans="1:21" x14ac:dyDescent="0.15">
      <c r="A403" s="11" t="s">
        <v>291</v>
      </c>
      <c r="B403" s="8"/>
      <c r="C403" s="9"/>
      <c r="D403" s="10">
        <v>1</v>
      </c>
      <c r="E403" s="4">
        <f t="shared" si="173"/>
        <v>1</v>
      </c>
      <c r="F403" s="8"/>
      <c r="G403" s="9"/>
      <c r="H403" s="10">
        <v>1</v>
      </c>
      <c r="I403" s="4">
        <f t="shared" si="174"/>
        <v>1</v>
      </c>
      <c r="J403" s="47">
        <v>45105</v>
      </c>
      <c r="K403" s="11" t="s">
        <v>285</v>
      </c>
      <c r="L403" s="71"/>
      <c r="M403" s="10">
        <v>3</v>
      </c>
      <c r="N403" s="71">
        <v>6</v>
      </c>
      <c r="O403" s="69">
        <f t="shared" si="176"/>
        <v>9</v>
      </c>
      <c r="P403" s="71"/>
      <c r="Q403" s="71">
        <v>3</v>
      </c>
      <c r="R403" s="71">
        <v>6</v>
      </c>
      <c r="S403" s="72">
        <f t="shared" si="178"/>
        <v>9</v>
      </c>
      <c r="T403" s="47">
        <v>45103</v>
      </c>
    </row>
    <row r="404" spans="1:21" x14ac:dyDescent="0.15">
      <c r="A404" s="11" t="s">
        <v>294</v>
      </c>
      <c r="B404" s="8"/>
      <c r="C404" s="9">
        <v>1</v>
      </c>
      <c r="D404" s="10"/>
      <c r="E404" s="4">
        <f t="shared" si="173"/>
        <v>1</v>
      </c>
      <c r="F404" s="8"/>
      <c r="G404" s="9">
        <v>1</v>
      </c>
      <c r="H404" s="10"/>
      <c r="I404" s="4">
        <f t="shared" si="174"/>
        <v>1</v>
      </c>
      <c r="J404" s="47">
        <v>45107</v>
      </c>
      <c r="K404" s="11" t="s">
        <v>286</v>
      </c>
      <c r="L404" s="9">
        <v>6</v>
      </c>
      <c r="M404" s="10">
        <v>2</v>
      </c>
      <c r="N404" s="9">
        <v>1</v>
      </c>
      <c r="O404" s="69">
        <f t="shared" si="176"/>
        <v>9</v>
      </c>
      <c r="P404" s="9">
        <v>6</v>
      </c>
      <c r="Q404" s="9">
        <v>2</v>
      </c>
      <c r="R404" s="9">
        <v>1</v>
      </c>
      <c r="S404" s="4">
        <f t="shared" si="178"/>
        <v>9</v>
      </c>
      <c r="T404" s="47">
        <v>45104</v>
      </c>
    </row>
    <row r="405" spans="1:21" x14ac:dyDescent="0.15">
      <c r="A405" s="11" t="s">
        <v>295</v>
      </c>
      <c r="B405" s="8"/>
      <c r="C405" s="9">
        <v>5</v>
      </c>
      <c r="D405" s="10"/>
      <c r="E405" s="4">
        <f t="shared" si="173"/>
        <v>5</v>
      </c>
      <c r="F405" s="8"/>
      <c r="G405" s="9">
        <v>5</v>
      </c>
      <c r="H405" s="10"/>
      <c r="I405" s="4">
        <f t="shared" si="174"/>
        <v>5</v>
      </c>
      <c r="J405" s="47">
        <v>45111</v>
      </c>
      <c r="K405" s="11" t="s">
        <v>292</v>
      </c>
      <c r="L405" s="9">
        <v>4</v>
      </c>
      <c r="M405" s="10">
        <v>4</v>
      </c>
      <c r="N405" s="9">
        <v>1</v>
      </c>
      <c r="O405" s="69">
        <f t="shared" si="176"/>
        <v>9</v>
      </c>
      <c r="P405" s="9">
        <v>4</v>
      </c>
      <c r="Q405" s="9">
        <v>4</v>
      </c>
      <c r="R405" s="9">
        <v>1</v>
      </c>
      <c r="S405" s="4">
        <f t="shared" si="178"/>
        <v>9</v>
      </c>
      <c r="T405" s="47">
        <v>45106</v>
      </c>
    </row>
    <row r="406" spans="1:21" x14ac:dyDescent="0.15">
      <c r="A406" s="11" t="s">
        <v>297</v>
      </c>
      <c r="B406" s="8"/>
      <c r="C406" s="9">
        <v>1</v>
      </c>
      <c r="D406" s="10"/>
      <c r="E406" s="4">
        <f t="shared" si="173"/>
        <v>1</v>
      </c>
      <c r="F406" s="8"/>
      <c r="G406" s="9">
        <v>1</v>
      </c>
      <c r="H406" s="10"/>
      <c r="I406" s="4">
        <f t="shared" si="174"/>
        <v>1</v>
      </c>
      <c r="J406" s="47">
        <v>45110</v>
      </c>
      <c r="K406" s="11" t="s">
        <v>296</v>
      </c>
      <c r="L406" s="9"/>
      <c r="M406" s="10">
        <v>5</v>
      </c>
      <c r="N406" s="9"/>
      <c r="O406" s="69">
        <f t="shared" si="176"/>
        <v>5</v>
      </c>
      <c r="P406" s="9"/>
      <c r="Q406" s="9">
        <v>5</v>
      </c>
      <c r="R406" s="9"/>
      <c r="S406" s="4">
        <f t="shared" si="178"/>
        <v>5</v>
      </c>
      <c r="T406" s="47">
        <v>45107</v>
      </c>
    </row>
    <row r="407" spans="1:21" x14ac:dyDescent="0.15">
      <c r="A407" s="11" t="s">
        <v>298</v>
      </c>
      <c r="B407" s="8"/>
      <c r="C407" s="9">
        <v>2</v>
      </c>
      <c r="D407" s="10"/>
      <c r="E407" s="4">
        <f t="shared" si="173"/>
        <v>2</v>
      </c>
      <c r="F407" s="8"/>
      <c r="G407" s="9">
        <v>2</v>
      </c>
      <c r="H407" s="10"/>
      <c r="I407" s="4">
        <f t="shared" si="174"/>
        <v>2</v>
      </c>
      <c r="J407" s="47">
        <v>45111</v>
      </c>
      <c r="K407" s="11" t="s">
        <v>299</v>
      </c>
      <c r="L407" s="9">
        <v>10</v>
      </c>
      <c r="M407" s="10">
        <v>10</v>
      </c>
      <c r="N407" s="9">
        <v>5</v>
      </c>
      <c r="O407" s="69">
        <f t="shared" si="176"/>
        <v>25</v>
      </c>
      <c r="P407" s="9">
        <v>10</v>
      </c>
      <c r="Q407" s="9">
        <v>10</v>
      </c>
      <c r="R407" s="9">
        <v>5</v>
      </c>
      <c r="S407" s="4">
        <f t="shared" si="178"/>
        <v>25</v>
      </c>
      <c r="T407" s="47">
        <v>45113</v>
      </c>
    </row>
    <row r="408" spans="1:21" x14ac:dyDescent="0.15">
      <c r="A408" s="11" t="s">
        <v>306</v>
      </c>
      <c r="B408" s="8"/>
      <c r="C408" s="9">
        <v>1</v>
      </c>
      <c r="D408" s="10"/>
      <c r="E408" s="7">
        <f t="shared" si="173"/>
        <v>1</v>
      </c>
      <c r="F408" s="8"/>
      <c r="G408" s="9">
        <v>1</v>
      </c>
      <c r="H408" s="10"/>
      <c r="I408" s="7">
        <f t="shared" si="174"/>
        <v>1</v>
      </c>
      <c r="J408" s="47">
        <v>45114</v>
      </c>
      <c r="K408" s="11" t="s">
        <v>300</v>
      </c>
      <c r="L408" s="9"/>
      <c r="M408" s="10"/>
      <c r="N408" s="9">
        <v>5</v>
      </c>
      <c r="O408" s="70">
        <f t="shared" si="176"/>
        <v>5</v>
      </c>
      <c r="P408" s="9"/>
      <c r="Q408" s="9"/>
      <c r="R408" s="9">
        <v>5</v>
      </c>
      <c r="S408" s="7">
        <f t="shared" si="178"/>
        <v>5</v>
      </c>
      <c r="T408" s="47">
        <v>45114</v>
      </c>
      <c r="U408" s="54"/>
    </row>
    <row r="409" spans="1:21" x14ac:dyDescent="0.15">
      <c r="A409" s="3"/>
      <c r="B409" s="8"/>
      <c r="C409" s="9"/>
      <c r="D409" s="10"/>
      <c r="E409" s="7">
        <f t="shared" si="173"/>
        <v>0</v>
      </c>
      <c r="F409" s="8"/>
      <c r="G409" s="9"/>
      <c r="H409" s="10"/>
      <c r="I409" s="7">
        <f t="shared" si="174"/>
        <v>0</v>
      </c>
      <c r="K409" s="11" t="s">
        <v>301</v>
      </c>
      <c r="L409" s="9"/>
      <c r="M409" s="10">
        <v>3</v>
      </c>
      <c r="N409" s="9">
        <v>1</v>
      </c>
      <c r="O409" s="70">
        <f t="shared" si="176"/>
        <v>4</v>
      </c>
      <c r="P409" s="9"/>
      <c r="Q409" s="9">
        <v>3</v>
      </c>
      <c r="R409" s="9">
        <v>1</v>
      </c>
      <c r="S409" s="7">
        <f t="shared" si="178"/>
        <v>4</v>
      </c>
      <c r="T409" s="47">
        <v>45112</v>
      </c>
      <c r="U409" s="54"/>
    </row>
    <row r="410" spans="1:21" x14ac:dyDescent="0.15">
      <c r="A410" s="3"/>
      <c r="B410" s="8"/>
      <c r="C410" s="9"/>
      <c r="D410" s="10"/>
      <c r="E410" s="7">
        <f t="shared" si="173"/>
        <v>0</v>
      </c>
      <c r="F410" s="8"/>
      <c r="G410" s="9"/>
      <c r="H410" s="10"/>
      <c r="I410" s="7">
        <f t="shared" si="174"/>
        <v>0</v>
      </c>
      <c r="K410" s="11" t="s">
        <v>303</v>
      </c>
      <c r="L410" s="9"/>
      <c r="M410" s="10">
        <v>3</v>
      </c>
      <c r="N410" s="9"/>
      <c r="O410" s="70">
        <f t="shared" si="176"/>
        <v>3</v>
      </c>
      <c r="P410" s="9"/>
      <c r="Q410" s="9">
        <v>3</v>
      </c>
      <c r="R410" s="9"/>
      <c r="S410" s="7">
        <f t="shared" si="178"/>
        <v>3</v>
      </c>
      <c r="T410" s="47">
        <v>45113</v>
      </c>
      <c r="U410" s="54"/>
    </row>
    <row r="411" spans="1:21" x14ac:dyDescent="0.15">
      <c r="A411" s="3"/>
      <c r="B411" s="8"/>
      <c r="C411" s="9"/>
      <c r="D411" s="10"/>
      <c r="E411" s="7">
        <f t="shared" si="173"/>
        <v>0</v>
      </c>
      <c r="F411" s="8"/>
      <c r="G411" s="9"/>
      <c r="H411" s="10"/>
      <c r="I411" s="7">
        <f t="shared" si="174"/>
        <v>0</v>
      </c>
      <c r="K411" s="11" t="s">
        <v>304</v>
      </c>
      <c r="L411" s="9">
        <v>5</v>
      </c>
      <c r="M411" s="10"/>
      <c r="N411" s="9">
        <v>5</v>
      </c>
      <c r="O411" s="70">
        <f t="shared" si="176"/>
        <v>10</v>
      </c>
      <c r="P411" s="9">
        <v>5</v>
      </c>
      <c r="Q411" s="9"/>
      <c r="R411" s="9">
        <v>5</v>
      </c>
      <c r="S411" s="7">
        <f t="shared" si="178"/>
        <v>10</v>
      </c>
      <c r="T411" s="47">
        <v>45114</v>
      </c>
      <c r="U411" s="54"/>
    </row>
    <row r="412" spans="1:21" x14ac:dyDescent="0.15">
      <c r="A412" s="3"/>
      <c r="B412" s="8"/>
      <c r="C412" s="9"/>
      <c r="D412" s="10"/>
      <c r="E412" s="7">
        <f t="shared" si="173"/>
        <v>0</v>
      </c>
      <c r="F412" s="8"/>
      <c r="G412" s="9"/>
      <c r="H412" s="10"/>
      <c r="I412" s="7">
        <f t="shared" si="174"/>
        <v>0</v>
      </c>
      <c r="K412" s="11" t="s">
        <v>305</v>
      </c>
      <c r="L412" s="9"/>
      <c r="M412" s="10"/>
      <c r="N412" s="9">
        <v>1</v>
      </c>
      <c r="O412" s="70">
        <f t="shared" si="176"/>
        <v>1</v>
      </c>
      <c r="P412" s="9"/>
      <c r="Q412" s="9"/>
      <c r="R412" s="9">
        <v>1</v>
      </c>
      <c r="S412" s="7">
        <f t="shared" si="178"/>
        <v>1</v>
      </c>
      <c r="T412" s="47">
        <v>45114</v>
      </c>
    </row>
    <row r="413" spans="1:21" x14ac:dyDescent="0.15">
      <c r="A413" s="3"/>
      <c r="B413" s="8"/>
      <c r="C413" s="9"/>
      <c r="D413" s="10"/>
      <c r="E413" s="7">
        <f t="shared" si="173"/>
        <v>0</v>
      </c>
      <c r="F413" s="8"/>
      <c r="G413" s="9"/>
      <c r="H413" s="10"/>
      <c r="I413" s="7">
        <f t="shared" si="174"/>
        <v>0</v>
      </c>
      <c r="K413" s="11" t="s">
        <v>309</v>
      </c>
      <c r="L413" s="9">
        <v>5</v>
      </c>
      <c r="M413" s="10">
        <v>5</v>
      </c>
      <c r="N413" s="9">
        <v>5</v>
      </c>
      <c r="O413" s="70">
        <f t="shared" si="176"/>
        <v>15</v>
      </c>
      <c r="P413" s="9">
        <v>5</v>
      </c>
      <c r="Q413" s="9">
        <v>5</v>
      </c>
      <c r="R413" s="9">
        <v>5</v>
      </c>
      <c r="S413" s="7">
        <f t="shared" si="178"/>
        <v>15</v>
      </c>
      <c r="T413" s="47">
        <v>45118</v>
      </c>
      <c r="U413" s="54"/>
    </row>
    <row r="414" spans="1:21" x14ac:dyDescent="0.15">
      <c r="A414" s="3"/>
      <c r="B414" s="8"/>
      <c r="C414" s="9"/>
      <c r="D414" s="10"/>
      <c r="E414" s="7">
        <f t="shared" si="173"/>
        <v>0</v>
      </c>
      <c r="F414" s="8"/>
      <c r="G414" s="9"/>
      <c r="H414" s="10"/>
      <c r="I414" s="7">
        <f t="shared" si="174"/>
        <v>0</v>
      </c>
      <c r="K414" s="11" t="s">
        <v>310</v>
      </c>
      <c r="L414" s="9">
        <v>10</v>
      </c>
      <c r="M414" s="10">
        <v>10</v>
      </c>
      <c r="N414" s="9">
        <v>10</v>
      </c>
      <c r="O414" s="70">
        <f t="shared" si="176"/>
        <v>30</v>
      </c>
      <c r="P414" s="9">
        <v>10</v>
      </c>
      <c r="Q414" s="9">
        <v>10</v>
      </c>
      <c r="R414" s="9">
        <v>10</v>
      </c>
      <c r="S414" s="7">
        <f t="shared" si="178"/>
        <v>30</v>
      </c>
      <c r="T414" s="47">
        <v>45121</v>
      </c>
    </row>
    <row r="415" spans="1:21" x14ac:dyDescent="0.15">
      <c r="A415" s="3"/>
      <c r="B415" s="8"/>
      <c r="C415" s="9"/>
      <c r="D415" s="10"/>
      <c r="E415" s="7">
        <f t="shared" si="173"/>
        <v>0</v>
      </c>
      <c r="F415" s="8"/>
      <c r="G415" s="9"/>
      <c r="H415" s="10"/>
      <c r="I415" s="7">
        <f t="shared" si="174"/>
        <v>0</v>
      </c>
      <c r="K415" s="11" t="s">
        <v>311</v>
      </c>
      <c r="L415" s="8"/>
      <c r="M415" s="9">
        <v>2</v>
      </c>
      <c r="N415" s="10">
        <v>1</v>
      </c>
      <c r="O415" s="7">
        <f t="shared" si="176"/>
        <v>3</v>
      </c>
      <c r="P415" s="8"/>
      <c r="Q415" s="9">
        <v>2</v>
      </c>
      <c r="R415" s="10">
        <v>1</v>
      </c>
      <c r="S415" s="7">
        <f t="shared" si="178"/>
        <v>3</v>
      </c>
      <c r="T415" s="47">
        <v>45117</v>
      </c>
    </row>
    <row r="416" spans="1:21" x14ac:dyDescent="0.15">
      <c r="A416" s="3"/>
      <c r="B416" s="8"/>
      <c r="C416" s="9"/>
      <c r="D416" s="10"/>
      <c r="E416" s="7">
        <f t="shared" si="173"/>
        <v>0</v>
      </c>
      <c r="F416" s="8"/>
      <c r="G416" s="9"/>
      <c r="H416" s="10"/>
      <c r="I416" s="7">
        <f t="shared" si="174"/>
        <v>0</v>
      </c>
      <c r="K416" s="11" t="s">
        <v>312</v>
      </c>
      <c r="L416" s="9">
        <v>1</v>
      </c>
      <c r="M416" s="10">
        <v>1</v>
      </c>
      <c r="N416" s="9"/>
      <c r="O416" s="70">
        <f t="shared" si="176"/>
        <v>2</v>
      </c>
      <c r="P416" s="9">
        <v>1</v>
      </c>
      <c r="Q416" s="10">
        <v>1</v>
      </c>
      <c r="R416" s="9"/>
      <c r="S416" s="7">
        <f t="shared" si="178"/>
        <v>2</v>
      </c>
      <c r="T416" s="47">
        <v>45118</v>
      </c>
      <c r="U416" s="54"/>
    </row>
    <row r="417" spans="1:21" x14ac:dyDescent="0.15">
      <c r="A417" s="3"/>
      <c r="B417" s="8"/>
      <c r="C417" s="9"/>
      <c r="D417" s="10"/>
      <c r="E417" s="7">
        <f t="shared" si="173"/>
        <v>0</v>
      </c>
      <c r="F417" s="8"/>
      <c r="G417" s="9"/>
      <c r="H417" s="10"/>
      <c r="I417" s="7">
        <f t="shared" si="174"/>
        <v>0</v>
      </c>
      <c r="K417" s="11" t="s">
        <v>313</v>
      </c>
      <c r="L417" s="9">
        <v>5</v>
      </c>
      <c r="M417" s="10">
        <v>15</v>
      </c>
      <c r="N417" s="9">
        <v>5</v>
      </c>
      <c r="O417" s="70">
        <f t="shared" si="176"/>
        <v>25</v>
      </c>
      <c r="P417" s="9">
        <v>5</v>
      </c>
      <c r="Q417" s="9">
        <v>15</v>
      </c>
      <c r="R417" s="9">
        <v>5</v>
      </c>
      <c r="S417" s="7">
        <f t="shared" si="178"/>
        <v>25</v>
      </c>
      <c r="T417" s="47">
        <v>45120</v>
      </c>
    </row>
    <row r="418" spans="1:21" x14ac:dyDescent="0.15">
      <c r="A418" s="3"/>
      <c r="B418" s="8"/>
      <c r="C418" s="9"/>
      <c r="D418" s="10"/>
      <c r="E418" s="7">
        <f t="shared" si="173"/>
        <v>0</v>
      </c>
      <c r="F418" s="8"/>
      <c r="G418" s="9"/>
      <c r="H418" s="10"/>
      <c r="I418" s="7">
        <f t="shared" si="174"/>
        <v>0</v>
      </c>
      <c r="K418" s="11" t="s">
        <v>314</v>
      </c>
      <c r="L418" s="8">
        <v>1</v>
      </c>
      <c r="M418" s="9"/>
      <c r="N418" s="10"/>
      <c r="O418" s="7">
        <f t="shared" si="176"/>
        <v>1</v>
      </c>
      <c r="P418" s="8">
        <v>1</v>
      </c>
      <c r="Q418" s="9"/>
      <c r="R418" s="10"/>
      <c r="S418" s="7">
        <f t="shared" si="178"/>
        <v>1</v>
      </c>
      <c r="T418" s="47">
        <v>45119</v>
      </c>
      <c r="U418" s="54"/>
    </row>
    <row r="419" spans="1:21" x14ac:dyDescent="0.15">
      <c r="A419" s="3"/>
      <c r="B419" s="8"/>
      <c r="C419" s="9"/>
      <c r="D419" s="10"/>
      <c r="E419" s="7">
        <f t="shared" si="173"/>
        <v>0</v>
      </c>
      <c r="F419" s="8"/>
      <c r="G419" s="9"/>
      <c r="H419" s="10"/>
      <c r="I419" s="7">
        <f t="shared" si="174"/>
        <v>0</v>
      </c>
      <c r="K419" s="11" t="s">
        <v>315</v>
      </c>
      <c r="L419" s="8"/>
      <c r="M419" s="9">
        <v>5</v>
      </c>
      <c r="N419" s="10"/>
      <c r="O419" s="7">
        <f t="shared" ref="O419:O420" si="182">SUM(L419:N419)</f>
        <v>5</v>
      </c>
      <c r="P419" s="8"/>
      <c r="Q419" s="9">
        <v>5</v>
      </c>
      <c r="R419" s="10"/>
      <c r="S419" s="7">
        <f t="shared" ref="S419:S420" si="183">SUM(P419:R419)</f>
        <v>5</v>
      </c>
      <c r="T419" s="47">
        <v>45125</v>
      </c>
    </row>
    <row r="420" spans="1:21" x14ac:dyDescent="0.15">
      <c r="A420" s="3"/>
      <c r="B420" s="8"/>
      <c r="C420" s="9"/>
      <c r="D420" s="10"/>
      <c r="E420" s="7">
        <f t="shared" si="173"/>
        <v>0</v>
      </c>
      <c r="F420" s="8"/>
      <c r="G420" s="9"/>
      <c r="H420" s="10"/>
      <c r="I420" s="7">
        <f t="shared" si="174"/>
        <v>0</v>
      </c>
      <c r="K420" s="11" t="s">
        <v>316</v>
      </c>
      <c r="L420" s="9">
        <v>1</v>
      </c>
      <c r="M420" s="10">
        <v>2</v>
      </c>
      <c r="N420" s="9">
        <v>1</v>
      </c>
      <c r="O420" s="70">
        <f t="shared" si="182"/>
        <v>4</v>
      </c>
      <c r="P420" s="9">
        <v>1</v>
      </c>
      <c r="Q420" s="10">
        <v>2</v>
      </c>
      <c r="R420" s="9">
        <v>1</v>
      </c>
      <c r="S420" s="7">
        <f t="shared" si="183"/>
        <v>4</v>
      </c>
      <c r="T420" s="47">
        <v>45121</v>
      </c>
    </row>
    <row r="421" spans="1:21" x14ac:dyDescent="0.15">
      <c r="A421" s="3"/>
      <c r="B421" s="8"/>
      <c r="C421" s="9"/>
      <c r="D421" s="10"/>
      <c r="E421" s="7">
        <f t="shared" si="173"/>
        <v>0</v>
      </c>
      <c r="F421" s="8"/>
      <c r="G421" s="9"/>
      <c r="H421" s="10"/>
      <c r="I421" s="7">
        <f t="shared" si="174"/>
        <v>0</v>
      </c>
      <c r="K421" s="11" t="s">
        <v>319</v>
      </c>
      <c r="L421" s="9"/>
      <c r="M421" s="10">
        <v>2</v>
      </c>
      <c r="N421" s="9"/>
      <c r="O421" s="70">
        <f t="shared" si="176"/>
        <v>2</v>
      </c>
      <c r="P421" s="9"/>
      <c r="Q421" s="10">
        <v>2</v>
      </c>
      <c r="R421" s="9"/>
      <c r="S421" s="7">
        <f t="shared" si="178"/>
        <v>2</v>
      </c>
      <c r="T421" s="47">
        <v>45126</v>
      </c>
    </row>
    <row r="422" spans="1:21" x14ac:dyDescent="0.15">
      <c r="A422" s="3"/>
      <c r="B422" s="8"/>
      <c r="C422" s="9"/>
      <c r="D422" s="10"/>
      <c r="E422" s="7">
        <f t="shared" si="173"/>
        <v>0</v>
      </c>
      <c r="F422" s="8"/>
      <c r="G422" s="9"/>
      <c r="H422" s="10"/>
      <c r="I422" s="7">
        <f t="shared" si="174"/>
        <v>0</v>
      </c>
      <c r="K422" s="3" t="s">
        <v>317</v>
      </c>
      <c r="L422" s="86">
        <v>20</v>
      </c>
      <c r="M422" s="87">
        <v>20</v>
      </c>
      <c r="N422" s="86">
        <v>10</v>
      </c>
      <c r="O422" s="69">
        <f t="shared" si="176"/>
        <v>50</v>
      </c>
      <c r="P422" s="86">
        <v>20</v>
      </c>
      <c r="Q422" s="86">
        <v>20</v>
      </c>
      <c r="R422" s="86">
        <v>10</v>
      </c>
      <c r="S422" s="4">
        <f t="shared" si="178"/>
        <v>50</v>
      </c>
      <c r="T422" s="47">
        <v>45126</v>
      </c>
      <c r="U422" s="54"/>
    </row>
    <row r="423" spans="1:21" x14ac:dyDescent="0.15">
      <c r="A423" s="3"/>
      <c r="B423" s="8"/>
      <c r="C423" s="9"/>
      <c r="D423" s="10"/>
      <c r="E423" s="7">
        <f t="shared" si="173"/>
        <v>0</v>
      </c>
      <c r="F423" s="8"/>
      <c r="G423" s="9"/>
      <c r="H423" s="10"/>
      <c r="I423" s="7">
        <f t="shared" si="174"/>
        <v>0</v>
      </c>
      <c r="K423" s="11"/>
      <c r="L423" s="9"/>
      <c r="M423" s="10"/>
      <c r="N423" s="9"/>
      <c r="O423" s="70">
        <f t="shared" ref="O423:O425" si="184">SUM(L423:N423)</f>
        <v>0</v>
      </c>
      <c r="P423" s="9"/>
      <c r="Q423" s="10"/>
      <c r="R423" s="9"/>
      <c r="S423" s="7">
        <f t="shared" ref="S423:S425" si="185">SUM(P423:R423)</f>
        <v>0</v>
      </c>
      <c r="T423" s="47"/>
    </row>
    <row r="424" spans="1:21" x14ac:dyDescent="0.15">
      <c r="A424" s="3"/>
      <c r="B424" s="8"/>
      <c r="C424" s="9"/>
      <c r="D424" s="10"/>
      <c r="E424" s="7">
        <f t="shared" si="173"/>
        <v>0</v>
      </c>
      <c r="F424" s="8"/>
      <c r="G424" s="9"/>
      <c r="H424" s="10"/>
      <c r="I424" s="7">
        <f t="shared" si="174"/>
        <v>0</v>
      </c>
      <c r="K424" s="66" t="s">
        <v>271</v>
      </c>
      <c r="L424" s="86"/>
      <c r="M424" s="87"/>
      <c r="N424" s="86"/>
      <c r="O424" s="69">
        <f t="shared" si="184"/>
        <v>0</v>
      </c>
      <c r="P424" s="86"/>
      <c r="Q424" s="87"/>
      <c r="R424" s="86"/>
      <c r="S424" s="7">
        <f t="shared" si="185"/>
        <v>0</v>
      </c>
      <c r="T424" s="55" t="s">
        <v>272</v>
      </c>
    </row>
    <row r="425" spans="1:21" x14ac:dyDescent="0.15">
      <c r="A425" s="3"/>
      <c r="B425" s="8"/>
      <c r="C425" s="9"/>
      <c r="D425" s="10"/>
      <c r="E425" s="7">
        <f t="shared" si="173"/>
        <v>0</v>
      </c>
      <c r="F425" s="8"/>
      <c r="G425" s="9"/>
      <c r="H425" s="10"/>
      <c r="I425" s="7">
        <f t="shared" si="174"/>
        <v>0</v>
      </c>
      <c r="K425" s="94" t="s">
        <v>287</v>
      </c>
      <c r="L425" s="9"/>
      <c r="M425" s="10"/>
      <c r="N425" s="9"/>
      <c r="O425" s="70">
        <f t="shared" si="184"/>
        <v>0</v>
      </c>
      <c r="P425" s="9"/>
      <c r="Q425" s="10"/>
      <c r="R425" s="9"/>
      <c r="S425" s="7">
        <f t="shared" si="185"/>
        <v>0</v>
      </c>
      <c r="T425" s="55" t="s">
        <v>288</v>
      </c>
    </row>
    <row r="426" spans="1:21" ht="14.25" thickBot="1" x14ac:dyDescent="0.2">
      <c r="A426" s="3"/>
      <c r="B426" s="8"/>
      <c r="C426" s="9"/>
      <c r="D426" s="10"/>
      <c r="E426" s="7">
        <f t="shared" si="173"/>
        <v>0</v>
      </c>
      <c r="F426" s="8"/>
      <c r="G426" s="9"/>
      <c r="H426" s="10"/>
      <c r="I426" s="7">
        <f t="shared" si="174"/>
        <v>0</v>
      </c>
      <c r="K426" s="100" t="s">
        <v>231</v>
      </c>
      <c r="L426" s="101"/>
      <c r="M426" s="102"/>
      <c r="N426" s="101"/>
      <c r="O426" s="103">
        <f t="shared" si="176"/>
        <v>0</v>
      </c>
      <c r="P426" s="101"/>
      <c r="Q426" s="102"/>
      <c r="R426" s="101"/>
      <c r="S426" s="4">
        <f t="shared" si="178"/>
        <v>0</v>
      </c>
      <c r="T426" s="55" t="s">
        <v>245</v>
      </c>
    </row>
    <row r="427" spans="1:21" ht="14.25" thickBot="1" x14ac:dyDescent="0.2">
      <c r="A427" s="2" t="s">
        <v>5</v>
      </c>
      <c r="B427" s="12">
        <f>SUM(B403:B426)</f>
        <v>0</v>
      </c>
      <c r="C427" s="12">
        <f>SUM(C403:C426)</f>
        <v>10</v>
      </c>
      <c r="D427" s="12">
        <f>SUM(D403:D426)</f>
        <v>1</v>
      </c>
      <c r="E427" s="13">
        <f t="shared" si="173"/>
        <v>11</v>
      </c>
      <c r="F427" s="12">
        <f>SUM(F403:F426)</f>
        <v>0</v>
      </c>
      <c r="G427" s="12">
        <f>SUM(G403:G426)</f>
        <v>10</v>
      </c>
      <c r="H427" s="12">
        <f>SUM(H403:H426)</f>
        <v>1</v>
      </c>
      <c r="I427" s="13">
        <f t="shared" si="174"/>
        <v>11</v>
      </c>
      <c r="K427" s="83" t="s">
        <v>5</v>
      </c>
      <c r="L427" s="68">
        <f>SUM(L403:L426)</f>
        <v>68</v>
      </c>
      <c r="M427" s="68">
        <f>SUM(M403:M426)</f>
        <v>92</v>
      </c>
      <c r="N427" s="68">
        <f>SUM(N403:N426)</f>
        <v>57</v>
      </c>
      <c r="O427" s="84">
        <f t="shared" si="176"/>
        <v>217</v>
      </c>
      <c r="P427" s="68">
        <f>SUM(P403:P426)</f>
        <v>68</v>
      </c>
      <c r="Q427" s="68">
        <f>SUM(Q403:Q426)</f>
        <v>92</v>
      </c>
      <c r="R427" s="68">
        <f>SUM(R403:R426)</f>
        <v>57</v>
      </c>
      <c r="S427" s="13">
        <f t="shared" si="178"/>
        <v>217</v>
      </c>
    </row>
    <row r="428" spans="1:21" ht="14.25" thickBot="1" x14ac:dyDescent="0.2">
      <c r="A428" s="21" t="s">
        <v>6</v>
      </c>
      <c r="B428" s="22">
        <f t="shared" ref="B428:I428" si="186">B402-B427</f>
        <v>7</v>
      </c>
      <c r="C428" s="22">
        <f t="shared" si="186"/>
        <v>8</v>
      </c>
      <c r="D428" s="22">
        <f t="shared" si="186"/>
        <v>3</v>
      </c>
      <c r="E428" s="22">
        <f t="shared" si="186"/>
        <v>18</v>
      </c>
      <c r="F428" s="22">
        <f t="shared" si="186"/>
        <v>7</v>
      </c>
      <c r="G428" s="22">
        <f t="shared" si="186"/>
        <v>8</v>
      </c>
      <c r="H428" s="22">
        <f t="shared" si="186"/>
        <v>3</v>
      </c>
      <c r="I428" s="20">
        <f t="shared" si="186"/>
        <v>18</v>
      </c>
      <c r="K428" s="21" t="s">
        <v>6</v>
      </c>
      <c r="L428" s="22">
        <f>L402-L427</f>
        <v>343</v>
      </c>
      <c r="M428" s="22">
        <f t="shared" ref="M428:O428" si="187">M402-M427</f>
        <v>470</v>
      </c>
      <c r="N428" s="22">
        <f t="shared" si="187"/>
        <v>268</v>
      </c>
      <c r="O428" s="22">
        <f t="shared" si="187"/>
        <v>1081</v>
      </c>
      <c r="P428" s="22">
        <f>P402-P427</f>
        <v>343</v>
      </c>
      <c r="Q428" s="22">
        <f>Q402-Q427</f>
        <v>470</v>
      </c>
      <c r="R428" s="22">
        <f>R402-R427</f>
        <v>268</v>
      </c>
      <c r="S428" s="20">
        <f t="shared" ref="S428" si="188">S402-S427</f>
        <v>1081</v>
      </c>
    </row>
    <row r="429" spans="1:21" x14ac:dyDescent="0.15">
      <c r="K429" s="110"/>
      <c r="L429" s="104"/>
      <c r="M429" s="104"/>
      <c r="N429" s="104"/>
      <c r="O429" s="104"/>
      <c r="P429" s="104"/>
      <c r="Q429" s="104"/>
      <c r="R429" s="104"/>
      <c r="S429" s="104"/>
    </row>
    <row r="430" spans="1:21" x14ac:dyDescent="0.15">
      <c r="L430" s="74"/>
      <c r="M430" s="74"/>
      <c r="N430" s="74"/>
      <c r="O430" s="74"/>
    </row>
    <row r="431" spans="1:21" ht="21.75" thickBot="1" x14ac:dyDescent="0.25">
      <c r="A431" s="26" t="s">
        <v>162</v>
      </c>
      <c r="B431" s="27"/>
      <c r="C431" s="27"/>
      <c r="D431" s="27"/>
      <c r="E431" s="27"/>
      <c r="F431" s="28"/>
      <c r="G431" s="28"/>
      <c r="H431" s="28"/>
      <c r="I431" s="28"/>
      <c r="K431" s="26" t="s">
        <v>161</v>
      </c>
      <c r="L431" s="27"/>
      <c r="M431" s="27"/>
      <c r="N431" s="27"/>
      <c r="O431" s="27"/>
      <c r="P431" s="28"/>
      <c r="Q431" s="28"/>
      <c r="R431" s="28"/>
      <c r="S431" s="28"/>
    </row>
    <row r="432" spans="1:21" ht="14.25" thickBot="1" x14ac:dyDescent="0.2">
      <c r="A432" s="1" t="s">
        <v>0</v>
      </c>
      <c r="B432" s="183" t="s">
        <v>12</v>
      </c>
      <c r="C432" s="183"/>
      <c r="D432" s="183"/>
      <c r="E432" s="184"/>
      <c r="F432" s="183" t="s">
        <v>10</v>
      </c>
      <c r="G432" s="183"/>
      <c r="H432" s="183"/>
      <c r="I432" s="184"/>
      <c r="K432" s="1" t="s">
        <v>0</v>
      </c>
      <c r="L432" s="183" t="s">
        <v>12</v>
      </c>
      <c r="M432" s="183"/>
      <c r="N432" s="183"/>
      <c r="O432" s="184"/>
      <c r="P432" s="183" t="s">
        <v>10</v>
      </c>
      <c r="Q432" s="183"/>
      <c r="R432" s="183"/>
      <c r="S432" s="184"/>
    </row>
    <row r="433" spans="1:21" ht="14.25" thickBot="1" x14ac:dyDescent="0.2">
      <c r="A433" s="1" t="s">
        <v>1</v>
      </c>
      <c r="B433" s="2" t="s">
        <v>7</v>
      </c>
      <c r="C433" s="1" t="s">
        <v>8</v>
      </c>
      <c r="D433" s="15" t="s">
        <v>9</v>
      </c>
      <c r="E433" s="1" t="s">
        <v>2</v>
      </c>
      <c r="F433" s="2" t="s">
        <v>7</v>
      </c>
      <c r="G433" s="1" t="s">
        <v>8</v>
      </c>
      <c r="H433" s="15" t="s">
        <v>9</v>
      </c>
      <c r="I433" s="1" t="s">
        <v>2</v>
      </c>
      <c r="K433" s="1" t="s">
        <v>1</v>
      </c>
      <c r="L433" s="2" t="s">
        <v>7</v>
      </c>
      <c r="M433" s="1" t="s">
        <v>8</v>
      </c>
      <c r="N433" s="15" t="s">
        <v>9</v>
      </c>
      <c r="O433" s="1" t="s">
        <v>2</v>
      </c>
      <c r="P433" s="2" t="s">
        <v>7</v>
      </c>
      <c r="Q433" s="1" t="s">
        <v>8</v>
      </c>
      <c r="R433" s="15" t="s">
        <v>9</v>
      </c>
      <c r="S433" s="1" t="s">
        <v>2</v>
      </c>
    </row>
    <row r="434" spans="1:21" ht="14.25" thickBot="1" x14ac:dyDescent="0.2">
      <c r="A434" s="41" t="s">
        <v>13</v>
      </c>
      <c r="B434" s="42">
        <f>B428</f>
        <v>7</v>
      </c>
      <c r="C434" s="43">
        <f>C428</f>
        <v>8</v>
      </c>
      <c r="D434" s="44">
        <f>D428</f>
        <v>3</v>
      </c>
      <c r="E434" s="45">
        <f t="shared" ref="E434:E470" si="189">SUM(B434:D434)</f>
        <v>18</v>
      </c>
      <c r="F434" s="42">
        <f>F428</f>
        <v>7</v>
      </c>
      <c r="G434" s="43">
        <f>G428</f>
        <v>8</v>
      </c>
      <c r="H434" s="44">
        <f>H428</f>
        <v>3</v>
      </c>
      <c r="I434" s="45">
        <f t="shared" ref="I434:I470" si="190">SUM(F434:H434)</f>
        <v>18</v>
      </c>
      <c r="K434" s="34" t="s">
        <v>13</v>
      </c>
      <c r="L434" s="35">
        <f>L428</f>
        <v>343</v>
      </c>
      <c r="M434" s="35">
        <f t="shared" ref="M434:N434" si="191">M428</f>
        <v>470</v>
      </c>
      <c r="N434" s="35">
        <f t="shared" si="191"/>
        <v>268</v>
      </c>
      <c r="O434" s="20">
        <f t="shared" ref="O434:O461" si="192">SUM(L434:N434)</f>
        <v>1081</v>
      </c>
      <c r="P434" s="35">
        <f>P428</f>
        <v>343</v>
      </c>
      <c r="Q434" s="36">
        <f t="shared" ref="Q434:R434" si="193">Q428</f>
        <v>470</v>
      </c>
      <c r="R434" s="37">
        <f t="shared" si="193"/>
        <v>268</v>
      </c>
      <c r="S434" s="20">
        <f t="shared" ref="S434:S461" si="194">SUM(P434:R434)</f>
        <v>1081</v>
      </c>
    </row>
    <row r="435" spans="1:21" x14ac:dyDescent="0.15">
      <c r="A435" s="3" t="s">
        <v>330</v>
      </c>
      <c r="B435" s="8">
        <v>1</v>
      </c>
      <c r="C435" s="9"/>
      <c r="D435" s="10"/>
      <c r="E435" s="7">
        <f t="shared" si="189"/>
        <v>1</v>
      </c>
      <c r="F435" s="8">
        <v>1</v>
      </c>
      <c r="G435" s="9"/>
      <c r="H435" s="10"/>
      <c r="I435" s="7">
        <f t="shared" si="190"/>
        <v>1</v>
      </c>
      <c r="J435" s="31">
        <v>45132</v>
      </c>
      <c r="K435" s="5" t="s">
        <v>3</v>
      </c>
      <c r="L435" s="46"/>
      <c r="M435" s="3"/>
      <c r="N435" s="46"/>
      <c r="O435" s="4">
        <f t="shared" si="192"/>
        <v>0</v>
      </c>
      <c r="P435" s="46"/>
      <c r="Q435" s="3"/>
      <c r="R435" s="46"/>
      <c r="S435" s="4">
        <f t="shared" si="194"/>
        <v>0</v>
      </c>
    </row>
    <row r="436" spans="1:21" x14ac:dyDescent="0.15">
      <c r="A436" s="6" t="s">
        <v>3</v>
      </c>
      <c r="B436" s="14"/>
      <c r="C436" s="11"/>
      <c r="D436" s="14"/>
      <c r="E436" s="4">
        <f t="shared" si="189"/>
        <v>0</v>
      </c>
      <c r="F436" s="14"/>
      <c r="G436" s="11"/>
      <c r="H436" s="14"/>
      <c r="I436" s="4">
        <f t="shared" si="190"/>
        <v>0</v>
      </c>
      <c r="K436" s="5" t="s">
        <v>3</v>
      </c>
      <c r="L436" s="14"/>
      <c r="M436" s="11"/>
      <c r="N436" s="14"/>
      <c r="O436" s="4">
        <f t="shared" si="192"/>
        <v>0</v>
      </c>
      <c r="P436" s="14"/>
      <c r="Q436" s="11"/>
      <c r="R436" s="14"/>
      <c r="S436" s="4">
        <f t="shared" si="194"/>
        <v>0</v>
      </c>
    </row>
    <row r="437" spans="1:21" x14ac:dyDescent="0.15">
      <c r="A437" s="6" t="s">
        <v>3</v>
      </c>
      <c r="B437" s="14"/>
      <c r="C437" s="11"/>
      <c r="D437" s="14"/>
      <c r="E437" s="4">
        <f t="shared" si="189"/>
        <v>0</v>
      </c>
      <c r="F437" s="14"/>
      <c r="G437" s="11"/>
      <c r="H437" s="14"/>
      <c r="I437" s="4">
        <f t="shared" si="190"/>
        <v>0</v>
      </c>
      <c r="K437" s="5" t="s">
        <v>3</v>
      </c>
      <c r="L437" s="14"/>
      <c r="M437" s="11"/>
      <c r="N437" s="14"/>
      <c r="O437" s="4">
        <f t="shared" ref="O437:O438" si="195">SUM(L437:N437)</f>
        <v>0</v>
      </c>
      <c r="P437" s="14"/>
      <c r="Q437" s="11"/>
      <c r="R437" s="14"/>
      <c r="S437" s="4">
        <f t="shared" ref="S437:S438" si="196">SUM(P437:R437)</f>
        <v>0</v>
      </c>
    </row>
    <row r="438" spans="1:21" x14ac:dyDescent="0.15">
      <c r="A438" s="6" t="s">
        <v>3</v>
      </c>
      <c r="B438" s="14"/>
      <c r="C438" s="11"/>
      <c r="D438" s="14"/>
      <c r="E438" s="4">
        <f t="shared" si="189"/>
        <v>0</v>
      </c>
      <c r="F438" s="14"/>
      <c r="G438" s="11"/>
      <c r="H438" s="14"/>
      <c r="I438" s="4">
        <f t="shared" si="190"/>
        <v>0</v>
      </c>
      <c r="K438" s="5" t="s">
        <v>3</v>
      </c>
      <c r="L438" s="14"/>
      <c r="M438" s="11"/>
      <c r="N438" s="14"/>
      <c r="O438" s="4">
        <f t="shared" si="195"/>
        <v>0</v>
      </c>
      <c r="P438" s="14"/>
      <c r="Q438" s="11"/>
      <c r="R438" s="14"/>
      <c r="S438" s="4">
        <f t="shared" si="196"/>
        <v>0</v>
      </c>
    </row>
    <row r="439" spans="1:21" x14ac:dyDescent="0.15">
      <c r="A439" s="6" t="s">
        <v>3</v>
      </c>
      <c r="B439" s="14"/>
      <c r="C439" s="11"/>
      <c r="D439" s="14"/>
      <c r="E439" s="4">
        <f t="shared" si="189"/>
        <v>0</v>
      </c>
      <c r="F439" s="14"/>
      <c r="G439" s="11"/>
      <c r="H439" s="14"/>
      <c r="I439" s="4">
        <f t="shared" si="190"/>
        <v>0</v>
      </c>
      <c r="K439" s="5" t="s">
        <v>3</v>
      </c>
      <c r="L439" s="25"/>
      <c r="M439" s="24"/>
      <c r="N439" s="25"/>
      <c r="O439" s="7">
        <f t="shared" si="192"/>
        <v>0</v>
      </c>
      <c r="P439" s="25"/>
      <c r="Q439" s="24"/>
      <c r="R439" s="25"/>
      <c r="S439" s="4">
        <f t="shared" si="194"/>
        <v>0</v>
      </c>
    </row>
    <row r="440" spans="1:21" x14ac:dyDescent="0.15">
      <c r="A440" s="6" t="s">
        <v>3</v>
      </c>
      <c r="B440" s="14"/>
      <c r="C440" s="11"/>
      <c r="D440" s="14"/>
      <c r="E440" s="4">
        <f t="shared" si="189"/>
        <v>0</v>
      </c>
      <c r="F440" s="14"/>
      <c r="G440" s="11"/>
      <c r="H440" s="14"/>
      <c r="I440" s="4">
        <f t="shared" si="190"/>
        <v>0</v>
      </c>
      <c r="K440" s="5" t="s">
        <v>166</v>
      </c>
      <c r="L440" s="25">
        <v>200</v>
      </c>
      <c r="M440" s="24">
        <v>230</v>
      </c>
      <c r="N440" s="25">
        <v>170</v>
      </c>
      <c r="O440" s="7">
        <f t="shared" si="192"/>
        <v>600</v>
      </c>
      <c r="P440" s="25">
        <v>200</v>
      </c>
      <c r="Q440" s="24">
        <v>230</v>
      </c>
      <c r="R440" s="25">
        <v>170</v>
      </c>
      <c r="S440" s="4">
        <f t="shared" si="194"/>
        <v>600</v>
      </c>
      <c r="T440" s="47" t="s">
        <v>318</v>
      </c>
    </row>
    <row r="441" spans="1:21" x14ac:dyDescent="0.15">
      <c r="A441" s="6" t="s">
        <v>3</v>
      </c>
      <c r="B441" s="14"/>
      <c r="C441" s="11"/>
      <c r="D441" s="14"/>
      <c r="E441" s="4">
        <f t="shared" si="189"/>
        <v>0</v>
      </c>
      <c r="F441" s="14"/>
      <c r="G441" s="11"/>
      <c r="H441" s="14"/>
      <c r="I441" s="4">
        <f t="shared" si="190"/>
        <v>0</v>
      </c>
      <c r="K441" s="5" t="s">
        <v>3</v>
      </c>
      <c r="L441" s="14"/>
      <c r="M441" s="11"/>
      <c r="N441" s="14"/>
      <c r="O441" s="4">
        <f t="shared" si="192"/>
        <v>0</v>
      </c>
      <c r="P441" s="14"/>
      <c r="Q441" s="11"/>
      <c r="R441" s="14"/>
      <c r="S441" s="4">
        <f t="shared" si="194"/>
        <v>0</v>
      </c>
    </row>
    <row r="442" spans="1:21" x14ac:dyDescent="0.15">
      <c r="A442" s="6" t="s">
        <v>3</v>
      </c>
      <c r="B442" s="23"/>
      <c r="C442" s="24"/>
      <c r="D442" s="25"/>
      <c r="E442" s="7">
        <f t="shared" si="189"/>
        <v>0</v>
      </c>
      <c r="F442" s="23"/>
      <c r="G442" s="24"/>
      <c r="H442" s="25"/>
      <c r="I442" s="7">
        <f t="shared" si="190"/>
        <v>0</v>
      </c>
      <c r="K442" s="5" t="s">
        <v>3</v>
      </c>
      <c r="L442" s="25"/>
      <c r="M442" s="24"/>
      <c r="N442" s="25"/>
      <c r="O442" s="7">
        <f t="shared" si="192"/>
        <v>0</v>
      </c>
      <c r="P442" s="23"/>
      <c r="Q442" s="24"/>
      <c r="R442" s="25"/>
      <c r="S442" s="7">
        <f t="shared" si="194"/>
        <v>0</v>
      </c>
    </row>
    <row r="443" spans="1:21" x14ac:dyDescent="0.15">
      <c r="A443" s="6" t="s">
        <v>3</v>
      </c>
      <c r="B443" s="23"/>
      <c r="C443" s="24"/>
      <c r="D443" s="25"/>
      <c r="E443" s="7">
        <f t="shared" si="189"/>
        <v>0</v>
      </c>
      <c r="F443" s="23"/>
      <c r="G443" s="24"/>
      <c r="H443" s="25"/>
      <c r="I443" s="7">
        <f t="shared" si="190"/>
        <v>0</v>
      </c>
      <c r="K443" s="5" t="s">
        <v>3</v>
      </c>
      <c r="L443" s="25"/>
      <c r="M443" s="24"/>
      <c r="N443" s="25"/>
      <c r="O443" s="7">
        <f t="shared" si="192"/>
        <v>0</v>
      </c>
      <c r="P443" s="25"/>
      <c r="Q443" s="24"/>
      <c r="R443" s="25"/>
      <c r="S443" s="7">
        <f t="shared" si="194"/>
        <v>0</v>
      </c>
    </row>
    <row r="444" spans="1:21" ht="14.25" thickBot="1" x14ac:dyDescent="0.2">
      <c r="A444" s="6" t="s">
        <v>3</v>
      </c>
      <c r="B444" s="29"/>
      <c r="C444" s="30"/>
      <c r="D444" s="29"/>
      <c r="E444" s="16">
        <f t="shared" si="189"/>
        <v>0</v>
      </c>
      <c r="F444" s="29"/>
      <c r="G444" s="30"/>
      <c r="H444" s="29"/>
      <c r="I444" s="16">
        <f t="shared" si="190"/>
        <v>0</v>
      </c>
      <c r="K444" s="33" t="s">
        <v>3</v>
      </c>
      <c r="L444" s="29"/>
      <c r="M444" s="30"/>
      <c r="N444" s="29"/>
      <c r="O444" s="16">
        <f t="shared" si="192"/>
        <v>0</v>
      </c>
      <c r="P444" s="29"/>
      <c r="Q444" s="30"/>
      <c r="R444" s="29"/>
      <c r="S444" s="16">
        <f t="shared" si="194"/>
        <v>0</v>
      </c>
    </row>
    <row r="445" spans="1:21" ht="14.25" thickBot="1" x14ac:dyDescent="0.2">
      <c r="A445" s="17" t="s">
        <v>4</v>
      </c>
      <c r="B445" s="18">
        <f>SUM(B434:B444)</f>
        <v>8</v>
      </c>
      <c r="C445" s="18">
        <f>SUM(C434:C444)</f>
        <v>8</v>
      </c>
      <c r="D445" s="19">
        <f>SUM(D434:D444)</f>
        <v>3</v>
      </c>
      <c r="E445" s="20">
        <f t="shared" si="189"/>
        <v>19</v>
      </c>
      <c r="F445" s="18">
        <f>SUM(F434:F444)</f>
        <v>8</v>
      </c>
      <c r="G445" s="18">
        <f>SUM(G434:G444)</f>
        <v>8</v>
      </c>
      <c r="H445" s="19">
        <f>SUM(H434:H444)</f>
        <v>3</v>
      </c>
      <c r="I445" s="20">
        <f t="shared" si="190"/>
        <v>19</v>
      </c>
      <c r="K445" s="17" t="s">
        <v>4</v>
      </c>
      <c r="L445" s="18">
        <f>SUM(L434:L444)</f>
        <v>543</v>
      </c>
      <c r="M445" s="18">
        <f>SUM(M434:M444)</f>
        <v>700</v>
      </c>
      <c r="N445" s="19">
        <f>SUM(N434:N444)</f>
        <v>438</v>
      </c>
      <c r="O445" s="20">
        <f t="shared" si="192"/>
        <v>1681</v>
      </c>
      <c r="P445" s="18">
        <f>SUM(P434:P444)</f>
        <v>543</v>
      </c>
      <c r="Q445" s="18">
        <f>SUM(Q434:Q444)</f>
        <v>700</v>
      </c>
      <c r="R445" s="19">
        <f>SUM(R434:R444)</f>
        <v>438</v>
      </c>
      <c r="S445" s="20">
        <f t="shared" si="194"/>
        <v>1681</v>
      </c>
    </row>
    <row r="446" spans="1:21" x14ac:dyDescent="0.15">
      <c r="A446" s="11" t="s">
        <v>321</v>
      </c>
      <c r="B446" s="8">
        <v>1</v>
      </c>
      <c r="C446" s="9"/>
      <c r="D446" s="10"/>
      <c r="E446" s="4">
        <f t="shared" si="189"/>
        <v>1</v>
      </c>
      <c r="F446" s="8">
        <v>1</v>
      </c>
      <c r="G446" s="9"/>
      <c r="H446" s="10"/>
      <c r="I446" s="4">
        <f t="shared" si="190"/>
        <v>1</v>
      </c>
      <c r="J446" s="47">
        <v>45128</v>
      </c>
      <c r="K446" s="11" t="s">
        <v>320</v>
      </c>
      <c r="L446" s="9">
        <v>6</v>
      </c>
      <c r="M446" s="10">
        <v>6</v>
      </c>
      <c r="N446" s="9">
        <v>5</v>
      </c>
      <c r="O446" s="70">
        <f t="shared" si="192"/>
        <v>17</v>
      </c>
      <c r="P446" s="9">
        <v>6</v>
      </c>
      <c r="Q446" s="10">
        <v>6</v>
      </c>
      <c r="R446" s="9">
        <v>5</v>
      </c>
      <c r="S446" s="7">
        <f t="shared" si="194"/>
        <v>17</v>
      </c>
      <c r="T446" s="47">
        <v>45127</v>
      </c>
    </row>
    <row r="447" spans="1:21" x14ac:dyDescent="0.15">
      <c r="A447" s="11" t="s">
        <v>328</v>
      </c>
      <c r="B447" s="8"/>
      <c r="C447" s="9">
        <v>1</v>
      </c>
      <c r="D447" s="10"/>
      <c r="E447" s="4">
        <f t="shared" si="189"/>
        <v>1</v>
      </c>
      <c r="F447" s="8"/>
      <c r="G447" s="9">
        <v>1</v>
      </c>
      <c r="H447" s="10"/>
      <c r="I447" s="4">
        <f t="shared" si="190"/>
        <v>1</v>
      </c>
      <c r="J447" s="47">
        <v>45133</v>
      </c>
      <c r="K447" s="11" t="s">
        <v>322</v>
      </c>
      <c r="L447" s="9">
        <v>5</v>
      </c>
      <c r="M447" s="10">
        <v>8</v>
      </c>
      <c r="N447" s="9">
        <v>2</v>
      </c>
      <c r="O447" s="69">
        <f t="shared" si="192"/>
        <v>15</v>
      </c>
      <c r="P447" s="9">
        <v>5</v>
      </c>
      <c r="Q447" s="9">
        <v>8</v>
      </c>
      <c r="R447" s="9">
        <v>2</v>
      </c>
      <c r="S447" s="4">
        <f t="shared" si="194"/>
        <v>15</v>
      </c>
      <c r="T447" s="47">
        <v>45128</v>
      </c>
    </row>
    <row r="448" spans="1:21" x14ac:dyDescent="0.15">
      <c r="A448" s="11" t="s">
        <v>334</v>
      </c>
      <c r="B448" s="8"/>
      <c r="C448" s="9">
        <v>2</v>
      </c>
      <c r="D448" s="10"/>
      <c r="E448" s="4">
        <f t="shared" si="189"/>
        <v>2</v>
      </c>
      <c r="F448" s="8"/>
      <c r="G448" s="9">
        <v>2</v>
      </c>
      <c r="H448" s="10"/>
      <c r="I448" s="4">
        <f t="shared" si="190"/>
        <v>2</v>
      </c>
      <c r="J448" s="47">
        <v>45138</v>
      </c>
      <c r="K448" s="11" t="s">
        <v>323</v>
      </c>
      <c r="L448" s="9">
        <v>4</v>
      </c>
      <c r="M448" s="10">
        <v>7</v>
      </c>
      <c r="N448" s="9">
        <v>7</v>
      </c>
      <c r="O448" s="69">
        <f t="shared" si="192"/>
        <v>18</v>
      </c>
      <c r="P448" s="9">
        <v>4</v>
      </c>
      <c r="Q448" s="9">
        <v>7</v>
      </c>
      <c r="R448" s="9">
        <v>7</v>
      </c>
      <c r="S448" s="4">
        <f t="shared" si="194"/>
        <v>18</v>
      </c>
      <c r="T448" s="47">
        <v>45131</v>
      </c>
      <c r="U448" s="54"/>
    </row>
    <row r="449" spans="1:21" x14ac:dyDescent="0.15">
      <c r="A449" s="3"/>
      <c r="B449" s="8"/>
      <c r="C449" s="9"/>
      <c r="D449" s="10"/>
      <c r="E449" s="4">
        <f t="shared" si="189"/>
        <v>0</v>
      </c>
      <c r="F449" s="8"/>
      <c r="G449" s="9"/>
      <c r="H449" s="10"/>
      <c r="I449" s="4">
        <f t="shared" si="190"/>
        <v>0</v>
      </c>
      <c r="K449" s="3" t="s">
        <v>324</v>
      </c>
      <c r="L449" s="9">
        <v>5</v>
      </c>
      <c r="M449" s="10">
        <v>5</v>
      </c>
      <c r="N449" s="9"/>
      <c r="O449" s="69">
        <f t="shared" si="192"/>
        <v>10</v>
      </c>
      <c r="P449" s="9">
        <v>5</v>
      </c>
      <c r="Q449" s="9">
        <v>5</v>
      </c>
      <c r="R449" s="9"/>
      <c r="S449" s="4">
        <f t="shared" si="194"/>
        <v>10</v>
      </c>
      <c r="T449" s="47">
        <v>45133</v>
      </c>
      <c r="U449" s="54"/>
    </row>
    <row r="450" spans="1:21" x14ac:dyDescent="0.15">
      <c r="A450" s="3"/>
      <c r="B450" s="8"/>
      <c r="C450" s="9"/>
      <c r="D450" s="10"/>
      <c r="E450" s="4">
        <f t="shared" si="189"/>
        <v>0</v>
      </c>
      <c r="F450" s="8"/>
      <c r="G450" s="9"/>
      <c r="H450" s="10"/>
      <c r="I450" s="4">
        <f t="shared" si="190"/>
        <v>0</v>
      </c>
      <c r="K450" s="66" t="s">
        <v>326</v>
      </c>
      <c r="L450" s="9">
        <v>5</v>
      </c>
      <c r="M450" s="10">
        <v>12</v>
      </c>
      <c r="N450" s="9">
        <v>10</v>
      </c>
      <c r="O450" s="69">
        <f t="shared" si="192"/>
        <v>27</v>
      </c>
      <c r="P450" s="9">
        <v>5</v>
      </c>
      <c r="Q450" s="9">
        <v>12</v>
      </c>
      <c r="R450" s="9">
        <v>10</v>
      </c>
      <c r="S450" s="4">
        <f t="shared" si="194"/>
        <v>27</v>
      </c>
      <c r="T450" s="47">
        <v>45132</v>
      </c>
    </row>
    <row r="451" spans="1:21" x14ac:dyDescent="0.15">
      <c r="A451" s="3"/>
      <c r="B451" s="8"/>
      <c r="C451" s="9"/>
      <c r="D451" s="10"/>
      <c r="E451" s="7">
        <f t="shared" si="189"/>
        <v>0</v>
      </c>
      <c r="F451" s="8"/>
      <c r="G451" s="9"/>
      <c r="H451" s="10"/>
      <c r="I451" s="7">
        <f t="shared" si="190"/>
        <v>0</v>
      </c>
      <c r="K451" s="11" t="s">
        <v>327</v>
      </c>
      <c r="L451" s="9"/>
      <c r="M451" s="10">
        <v>5</v>
      </c>
      <c r="N451" s="9"/>
      <c r="O451" s="70">
        <f t="shared" si="192"/>
        <v>5</v>
      </c>
      <c r="P451" s="9"/>
      <c r="Q451" s="9">
        <v>5</v>
      </c>
      <c r="R451" s="9"/>
      <c r="S451" s="7">
        <f t="shared" si="194"/>
        <v>5</v>
      </c>
      <c r="T451" s="47">
        <v>45134</v>
      </c>
    </row>
    <row r="452" spans="1:21" x14ac:dyDescent="0.15">
      <c r="A452" s="3"/>
      <c r="B452" s="8"/>
      <c r="C452" s="9"/>
      <c r="D452" s="10"/>
      <c r="E452" s="7">
        <f t="shared" si="189"/>
        <v>0</v>
      </c>
      <c r="F452" s="8"/>
      <c r="G452" s="9"/>
      <c r="H452" s="10"/>
      <c r="I452" s="7">
        <f t="shared" si="190"/>
        <v>0</v>
      </c>
      <c r="K452" s="66" t="s">
        <v>329</v>
      </c>
      <c r="L452" s="9">
        <v>9</v>
      </c>
      <c r="M452" s="10">
        <v>2</v>
      </c>
      <c r="N452" s="9">
        <v>13</v>
      </c>
      <c r="O452" s="70">
        <f t="shared" si="192"/>
        <v>24</v>
      </c>
      <c r="P452" s="9">
        <v>9</v>
      </c>
      <c r="Q452" s="9">
        <v>2</v>
      </c>
      <c r="R452" s="9">
        <v>13</v>
      </c>
      <c r="S452" s="7">
        <f t="shared" si="194"/>
        <v>24</v>
      </c>
      <c r="T452" s="47">
        <v>45133</v>
      </c>
    </row>
    <row r="453" spans="1:21" x14ac:dyDescent="0.15">
      <c r="A453" s="3"/>
      <c r="B453" s="8"/>
      <c r="C453" s="9"/>
      <c r="D453" s="10"/>
      <c r="E453" s="7">
        <f t="shared" si="189"/>
        <v>0</v>
      </c>
      <c r="F453" s="8"/>
      <c r="G453" s="9"/>
      <c r="H453" s="10"/>
      <c r="I453" s="7">
        <f t="shared" si="190"/>
        <v>0</v>
      </c>
      <c r="K453" s="66" t="s">
        <v>332</v>
      </c>
      <c r="L453" s="9">
        <v>1</v>
      </c>
      <c r="M453" s="10">
        <v>10</v>
      </c>
      <c r="N453" s="9">
        <v>12</v>
      </c>
      <c r="O453" s="70">
        <f t="shared" si="192"/>
        <v>23</v>
      </c>
      <c r="P453" s="9">
        <v>1</v>
      </c>
      <c r="Q453" s="9">
        <v>10</v>
      </c>
      <c r="R453" s="9">
        <v>12</v>
      </c>
      <c r="S453" s="7">
        <f t="shared" si="194"/>
        <v>23</v>
      </c>
      <c r="T453" s="47">
        <v>45134</v>
      </c>
    </row>
    <row r="454" spans="1:21" x14ac:dyDescent="0.15">
      <c r="A454" s="3"/>
      <c r="B454" s="8"/>
      <c r="C454" s="9"/>
      <c r="D454" s="10"/>
      <c r="E454" s="7">
        <f t="shared" si="189"/>
        <v>0</v>
      </c>
      <c r="F454" s="8"/>
      <c r="G454" s="9"/>
      <c r="H454" s="10"/>
      <c r="I454" s="7">
        <f t="shared" si="190"/>
        <v>0</v>
      </c>
      <c r="K454" s="66" t="s">
        <v>333</v>
      </c>
      <c r="L454" s="9">
        <v>1</v>
      </c>
      <c r="M454" s="10">
        <v>2</v>
      </c>
      <c r="N454" s="9">
        <v>3</v>
      </c>
      <c r="O454" s="70">
        <f t="shared" si="192"/>
        <v>6</v>
      </c>
      <c r="P454" s="9">
        <v>1</v>
      </c>
      <c r="Q454" s="9">
        <v>2</v>
      </c>
      <c r="R454" s="9">
        <v>3</v>
      </c>
      <c r="S454" s="7">
        <f t="shared" si="194"/>
        <v>6</v>
      </c>
      <c r="T454" s="47">
        <v>45135</v>
      </c>
      <c r="U454" s="54"/>
    </row>
    <row r="455" spans="1:21" x14ac:dyDescent="0.15">
      <c r="A455" s="3"/>
      <c r="B455" s="8"/>
      <c r="C455" s="9"/>
      <c r="D455" s="10"/>
      <c r="E455" s="7">
        <f t="shared" si="189"/>
        <v>0</v>
      </c>
      <c r="F455" s="8"/>
      <c r="G455" s="9"/>
      <c r="H455" s="10"/>
      <c r="I455" s="7">
        <f t="shared" si="190"/>
        <v>0</v>
      </c>
      <c r="K455" s="66" t="s">
        <v>335</v>
      </c>
      <c r="L455" s="9">
        <v>2</v>
      </c>
      <c r="M455" s="10">
        <v>4</v>
      </c>
      <c r="N455" s="9"/>
      <c r="O455" s="70">
        <f t="shared" si="192"/>
        <v>6</v>
      </c>
      <c r="P455" s="9">
        <v>2</v>
      </c>
      <c r="Q455" s="9">
        <v>4</v>
      </c>
      <c r="R455" s="9"/>
      <c r="S455" s="7">
        <f t="shared" si="194"/>
        <v>6</v>
      </c>
      <c r="T455" s="47">
        <v>45138</v>
      </c>
    </row>
    <row r="456" spans="1:21" x14ac:dyDescent="0.15">
      <c r="A456" s="3"/>
      <c r="B456" s="8"/>
      <c r="C456" s="9"/>
      <c r="D456" s="10"/>
      <c r="E456" s="7">
        <f t="shared" si="189"/>
        <v>0</v>
      </c>
      <c r="F456" s="8"/>
      <c r="G456" s="9"/>
      <c r="H456" s="10"/>
      <c r="I456" s="7">
        <f t="shared" si="190"/>
        <v>0</v>
      </c>
      <c r="K456" s="3" t="s">
        <v>336</v>
      </c>
      <c r="L456" s="9">
        <v>20</v>
      </c>
      <c r="M456" s="10">
        <v>20</v>
      </c>
      <c r="N456" s="9">
        <v>10</v>
      </c>
      <c r="O456" s="70">
        <f t="shared" si="192"/>
        <v>50</v>
      </c>
      <c r="P456" s="9">
        <v>20</v>
      </c>
      <c r="Q456" s="9">
        <v>20</v>
      </c>
      <c r="R456" s="9">
        <v>10</v>
      </c>
      <c r="S456" s="7">
        <f t="shared" si="194"/>
        <v>50</v>
      </c>
      <c r="T456" s="47">
        <v>45140</v>
      </c>
    </row>
    <row r="457" spans="1:21" x14ac:dyDescent="0.15">
      <c r="A457" s="3"/>
      <c r="B457" s="8"/>
      <c r="C457" s="9"/>
      <c r="D457" s="10"/>
      <c r="E457" s="7">
        <f t="shared" si="189"/>
        <v>0</v>
      </c>
      <c r="F457" s="8"/>
      <c r="G457" s="9"/>
      <c r="H457" s="10"/>
      <c r="I457" s="7">
        <f t="shared" si="190"/>
        <v>0</v>
      </c>
      <c r="K457" s="11" t="s">
        <v>337</v>
      </c>
      <c r="L457" s="9">
        <v>16</v>
      </c>
      <c r="M457" s="10">
        <v>40</v>
      </c>
      <c r="N457" s="9">
        <v>20</v>
      </c>
      <c r="O457" s="70">
        <f t="shared" si="192"/>
        <v>76</v>
      </c>
      <c r="P457" s="9">
        <v>16</v>
      </c>
      <c r="Q457" s="9">
        <v>40</v>
      </c>
      <c r="R457" s="9">
        <v>20</v>
      </c>
      <c r="S457" s="7">
        <f t="shared" si="194"/>
        <v>76</v>
      </c>
      <c r="T457" s="47">
        <v>45140</v>
      </c>
      <c r="U457" s="54"/>
    </row>
    <row r="458" spans="1:21" x14ac:dyDescent="0.15">
      <c r="A458" s="3"/>
      <c r="B458" s="8"/>
      <c r="C458" s="9"/>
      <c r="D458" s="10"/>
      <c r="E458" s="7">
        <f t="shared" si="189"/>
        <v>0</v>
      </c>
      <c r="F458" s="8"/>
      <c r="G458" s="9"/>
      <c r="H458" s="10"/>
      <c r="I458" s="7">
        <f t="shared" si="190"/>
        <v>0</v>
      </c>
      <c r="K458" s="66" t="s">
        <v>338</v>
      </c>
      <c r="L458" s="8">
        <v>3</v>
      </c>
      <c r="M458" s="9">
        <v>6</v>
      </c>
      <c r="N458" s="10">
        <v>5</v>
      </c>
      <c r="O458" s="7">
        <f t="shared" si="192"/>
        <v>14</v>
      </c>
      <c r="P458" s="8">
        <v>3</v>
      </c>
      <c r="Q458" s="9">
        <v>6</v>
      </c>
      <c r="R458" s="10">
        <v>5</v>
      </c>
      <c r="S458" s="7">
        <f t="shared" si="194"/>
        <v>14</v>
      </c>
      <c r="T458" s="47">
        <v>45139</v>
      </c>
    </row>
    <row r="459" spans="1:21" x14ac:dyDescent="0.15">
      <c r="A459" s="3"/>
      <c r="B459" s="8"/>
      <c r="C459" s="9"/>
      <c r="D459" s="10"/>
      <c r="E459" s="7">
        <f t="shared" si="189"/>
        <v>0</v>
      </c>
      <c r="F459" s="8"/>
      <c r="G459" s="9"/>
      <c r="H459" s="10"/>
      <c r="I459" s="7">
        <f t="shared" si="190"/>
        <v>0</v>
      </c>
      <c r="K459" s="66" t="s">
        <v>339</v>
      </c>
      <c r="L459" s="9">
        <v>6</v>
      </c>
      <c r="M459" s="10">
        <v>1</v>
      </c>
      <c r="N459" s="9">
        <v>3</v>
      </c>
      <c r="O459" s="70">
        <f t="shared" si="192"/>
        <v>10</v>
      </c>
      <c r="P459" s="9">
        <v>6</v>
      </c>
      <c r="Q459" s="10">
        <v>1</v>
      </c>
      <c r="R459" s="9">
        <v>3</v>
      </c>
      <c r="S459" s="7">
        <f t="shared" si="194"/>
        <v>10</v>
      </c>
      <c r="T459" s="47">
        <v>45140</v>
      </c>
    </row>
    <row r="460" spans="1:21" x14ac:dyDescent="0.15">
      <c r="A460" s="3"/>
      <c r="B460" s="8"/>
      <c r="C460" s="9"/>
      <c r="D460" s="10"/>
      <c r="E460" s="7">
        <f t="shared" si="189"/>
        <v>0</v>
      </c>
      <c r="F460" s="8"/>
      <c r="G460" s="9"/>
      <c r="H460" s="10"/>
      <c r="I460" s="7">
        <f t="shared" si="190"/>
        <v>0</v>
      </c>
      <c r="K460" s="3" t="s">
        <v>340</v>
      </c>
      <c r="L460" s="9">
        <v>15</v>
      </c>
      <c r="M460" s="10">
        <v>40</v>
      </c>
      <c r="N460" s="9">
        <v>15</v>
      </c>
      <c r="O460" s="70">
        <f t="shared" si="192"/>
        <v>70</v>
      </c>
      <c r="P460" s="9">
        <v>15</v>
      </c>
      <c r="Q460" s="9">
        <v>40</v>
      </c>
      <c r="R460" s="9">
        <v>15</v>
      </c>
      <c r="S460" s="7">
        <f t="shared" si="194"/>
        <v>70</v>
      </c>
      <c r="T460" s="47">
        <v>45142</v>
      </c>
    </row>
    <row r="461" spans="1:21" x14ac:dyDescent="0.15">
      <c r="A461" s="3"/>
      <c r="B461" s="8"/>
      <c r="C461" s="9"/>
      <c r="D461" s="10"/>
      <c r="E461" s="7">
        <f t="shared" si="189"/>
        <v>0</v>
      </c>
      <c r="F461" s="8"/>
      <c r="G461" s="9"/>
      <c r="H461" s="10"/>
      <c r="I461" s="7">
        <f t="shared" si="190"/>
        <v>0</v>
      </c>
      <c r="K461" s="66" t="s">
        <v>341</v>
      </c>
      <c r="L461" s="8">
        <v>2</v>
      </c>
      <c r="M461" s="9">
        <v>4</v>
      </c>
      <c r="N461" s="10">
        <v>3</v>
      </c>
      <c r="O461" s="7">
        <f t="shared" si="192"/>
        <v>9</v>
      </c>
      <c r="P461" s="8">
        <v>2</v>
      </c>
      <c r="Q461" s="9">
        <v>4</v>
      </c>
      <c r="R461" s="10">
        <v>3</v>
      </c>
      <c r="S461" s="7">
        <f t="shared" si="194"/>
        <v>9</v>
      </c>
      <c r="T461" s="47">
        <v>45141</v>
      </c>
    </row>
    <row r="462" spans="1:21" x14ac:dyDescent="0.15">
      <c r="A462" s="3"/>
      <c r="B462" s="8"/>
      <c r="C462" s="9"/>
      <c r="D462" s="10"/>
      <c r="E462" s="7">
        <f t="shared" si="189"/>
        <v>0</v>
      </c>
      <c r="F462" s="8"/>
      <c r="G462" s="9"/>
      <c r="H462" s="10"/>
      <c r="I462" s="7">
        <f t="shared" si="190"/>
        <v>0</v>
      </c>
      <c r="K462" s="66" t="s">
        <v>342</v>
      </c>
      <c r="L462" s="8">
        <v>1</v>
      </c>
      <c r="M462" s="9">
        <v>6</v>
      </c>
      <c r="N462" s="10"/>
      <c r="O462" s="7">
        <f t="shared" ref="O462" si="197">SUM(L462:N462)</f>
        <v>7</v>
      </c>
      <c r="P462" s="8">
        <v>1</v>
      </c>
      <c r="Q462" s="9">
        <v>6</v>
      </c>
      <c r="R462" s="10"/>
      <c r="S462" s="7">
        <f t="shared" ref="S462" si="198">SUM(P462:R462)</f>
        <v>7</v>
      </c>
      <c r="T462" s="47">
        <v>45142</v>
      </c>
    </row>
    <row r="463" spans="1:21" x14ac:dyDescent="0.15">
      <c r="A463" s="3"/>
      <c r="B463" s="8"/>
      <c r="C463" s="9"/>
      <c r="D463" s="10"/>
      <c r="E463" s="7">
        <f t="shared" si="189"/>
        <v>0</v>
      </c>
      <c r="F463" s="8"/>
      <c r="G463" s="9"/>
      <c r="H463" s="10"/>
      <c r="I463" s="7">
        <f t="shared" si="190"/>
        <v>0</v>
      </c>
      <c r="K463" s="111" t="s">
        <v>343</v>
      </c>
      <c r="L463" s="8">
        <v>15</v>
      </c>
      <c r="M463" s="9">
        <v>24</v>
      </c>
      <c r="N463" s="10">
        <v>28</v>
      </c>
      <c r="O463" s="7">
        <f t="shared" ref="O463:O465" si="199">SUM(L463:N463)</f>
        <v>67</v>
      </c>
      <c r="P463" s="8">
        <v>15</v>
      </c>
      <c r="Q463" s="9">
        <v>24</v>
      </c>
      <c r="R463" s="10">
        <v>28</v>
      </c>
      <c r="S463" s="7">
        <f t="shared" ref="S463:S465" si="200">SUM(P463:R463)</f>
        <v>67</v>
      </c>
      <c r="T463" s="47">
        <v>45147</v>
      </c>
    </row>
    <row r="464" spans="1:21" x14ac:dyDescent="0.15">
      <c r="A464" s="3"/>
      <c r="B464" s="8"/>
      <c r="C464" s="9"/>
      <c r="D464" s="10"/>
      <c r="E464" s="7">
        <f t="shared" si="189"/>
        <v>0</v>
      </c>
      <c r="F464" s="8"/>
      <c r="G464" s="9"/>
      <c r="H464" s="10"/>
      <c r="I464" s="7">
        <f t="shared" si="190"/>
        <v>0</v>
      </c>
      <c r="K464" s="66" t="s">
        <v>344</v>
      </c>
      <c r="L464" s="8"/>
      <c r="M464" s="9">
        <v>3</v>
      </c>
      <c r="N464" s="10">
        <v>1</v>
      </c>
      <c r="O464" s="7">
        <f t="shared" si="199"/>
        <v>4</v>
      </c>
      <c r="P464" s="8"/>
      <c r="Q464" s="9">
        <v>3</v>
      </c>
      <c r="R464" s="10">
        <v>1</v>
      </c>
      <c r="S464" s="7">
        <f t="shared" si="200"/>
        <v>4</v>
      </c>
      <c r="T464" s="47">
        <v>45145</v>
      </c>
    </row>
    <row r="465" spans="1:20" x14ac:dyDescent="0.15">
      <c r="A465" s="3"/>
      <c r="B465" s="8"/>
      <c r="C465" s="9"/>
      <c r="D465" s="10"/>
      <c r="E465" s="7">
        <f t="shared" si="189"/>
        <v>0</v>
      </c>
      <c r="F465" s="8"/>
      <c r="G465" s="9"/>
      <c r="H465" s="10"/>
      <c r="I465" s="7">
        <f t="shared" si="190"/>
        <v>0</v>
      </c>
      <c r="K465" s="66" t="s">
        <v>345</v>
      </c>
      <c r="L465" s="8"/>
      <c r="M465" s="9">
        <v>6</v>
      </c>
      <c r="N465" s="10">
        <v>3</v>
      </c>
      <c r="O465" s="7">
        <f t="shared" si="199"/>
        <v>9</v>
      </c>
      <c r="P465" s="8"/>
      <c r="Q465" s="9">
        <v>6</v>
      </c>
      <c r="R465" s="10">
        <v>3</v>
      </c>
      <c r="S465" s="7">
        <f t="shared" si="200"/>
        <v>9</v>
      </c>
      <c r="T465" s="47">
        <v>45146</v>
      </c>
    </row>
    <row r="466" spans="1:20" x14ac:dyDescent="0.15">
      <c r="A466" s="3"/>
      <c r="B466" s="8"/>
      <c r="C466" s="9"/>
      <c r="D466" s="10"/>
      <c r="E466" s="7">
        <f t="shared" si="189"/>
        <v>0</v>
      </c>
      <c r="F466" s="8"/>
      <c r="G466" s="9"/>
      <c r="H466" s="10"/>
      <c r="I466" s="7">
        <f t="shared" si="190"/>
        <v>0</v>
      </c>
      <c r="K466" s="11"/>
      <c r="L466" s="9"/>
      <c r="M466" s="10"/>
      <c r="N466" s="9"/>
      <c r="O466" s="70">
        <f t="shared" ref="O466" si="201">SUM(L466:N466)</f>
        <v>0</v>
      </c>
      <c r="P466" s="9"/>
      <c r="Q466" s="10"/>
      <c r="R466" s="9"/>
      <c r="S466" s="7">
        <f t="shared" ref="S466" si="202">SUM(P466:R466)</f>
        <v>0</v>
      </c>
      <c r="T466" s="55"/>
    </row>
    <row r="467" spans="1:20" x14ac:dyDescent="0.15">
      <c r="A467" s="3"/>
      <c r="B467" s="8"/>
      <c r="C467" s="9"/>
      <c r="D467" s="10"/>
      <c r="E467" s="7">
        <f t="shared" si="189"/>
        <v>0</v>
      </c>
      <c r="F467" s="8"/>
      <c r="G467" s="9"/>
      <c r="H467" s="10"/>
      <c r="I467" s="7">
        <f t="shared" si="190"/>
        <v>0</v>
      </c>
      <c r="K467" s="11" t="s">
        <v>261</v>
      </c>
      <c r="L467" s="9"/>
      <c r="M467" s="10"/>
      <c r="N467" s="9"/>
      <c r="O467" s="70">
        <f t="shared" ref="O467" si="203">SUM(L467:N467)</f>
        <v>0</v>
      </c>
      <c r="P467" s="9"/>
      <c r="Q467" s="10"/>
      <c r="R467" s="9"/>
      <c r="S467" s="7">
        <f t="shared" ref="S467" si="204">SUM(P467:R467)</f>
        <v>0</v>
      </c>
      <c r="T467" s="55" t="s">
        <v>262</v>
      </c>
    </row>
    <row r="468" spans="1:20" x14ac:dyDescent="0.15">
      <c r="A468" s="3"/>
      <c r="B468" s="8"/>
      <c r="C468" s="9"/>
      <c r="D468" s="10"/>
      <c r="E468" s="7">
        <f t="shared" si="189"/>
        <v>0</v>
      </c>
      <c r="F468" s="8"/>
      <c r="G468" s="9"/>
      <c r="H468" s="10"/>
      <c r="I468" s="7">
        <f t="shared" si="190"/>
        <v>0</v>
      </c>
      <c r="K468" s="113" t="s">
        <v>191</v>
      </c>
      <c r="L468" s="59"/>
      <c r="M468" s="60"/>
      <c r="N468" s="59"/>
      <c r="O468" s="95">
        <f t="shared" ref="O468" si="205">SUM(L468:N468)</f>
        <v>0</v>
      </c>
      <c r="P468" s="59"/>
      <c r="Q468" s="60"/>
      <c r="R468" s="59"/>
      <c r="S468" s="61">
        <f t="shared" ref="S468" si="206">SUM(P468:R468)</f>
        <v>0</v>
      </c>
      <c r="T468" s="62"/>
    </row>
    <row r="469" spans="1:20" ht="14.25" thickBot="1" x14ac:dyDescent="0.2">
      <c r="A469" s="3"/>
      <c r="B469" s="8"/>
      <c r="C469" s="9"/>
      <c r="D469" s="10"/>
      <c r="E469" s="7">
        <f t="shared" si="189"/>
        <v>0</v>
      </c>
      <c r="F469" s="8"/>
      <c r="G469" s="9"/>
      <c r="H469" s="10"/>
      <c r="I469" s="7">
        <f t="shared" si="190"/>
        <v>0</v>
      </c>
      <c r="K469" s="114" t="s">
        <v>169</v>
      </c>
      <c r="L469" s="115"/>
      <c r="M469" s="116"/>
      <c r="N469" s="115"/>
      <c r="O469" s="117">
        <f>SUM(L469:N469)</f>
        <v>0</v>
      </c>
      <c r="P469" s="115"/>
      <c r="Q469" s="115"/>
      <c r="R469" s="115"/>
      <c r="S469" s="118">
        <f>SUM(P469:R469)</f>
        <v>0</v>
      </c>
      <c r="T469" s="55" t="s">
        <v>170</v>
      </c>
    </row>
    <row r="470" spans="1:20" ht="14.25" thickBot="1" x14ac:dyDescent="0.2">
      <c r="A470" s="2" t="s">
        <v>5</v>
      </c>
      <c r="B470" s="12">
        <f>SUM(B446:B469)</f>
        <v>1</v>
      </c>
      <c r="C470" s="12">
        <f>SUM(C446:C469)</f>
        <v>3</v>
      </c>
      <c r="D470" s="12">
        <f>SUM(D446:D469)</f>
        <v>0</v>
      </c>
      <c r="E470" s="13">
        <f t="shared" si="189"/>
        <v>4</v>
      </c>
      <c r="F470" s="12">
        <f>SUM(F446:F469)</f>
        <v>1</v>
      </c>
      <c r="G470" s="12">
        <f>SUM(G446:G469)</f>
        <v>3</v>
      </c>
      <c r="H470" s="12">
        <f>SUM(H446:H469)</f>
        <v>0</v>
      </c>
      <c r="I470" s="13">
        <f t="shared" si="190"/>
        <v>4</v>
      </c>
      <c r="K470" s="83" t="s">
        <v>5</v>
      </c>
      <c r="L470" s="68">
        <f>SUM(L446:L469)</f>
        <v>116</v>
      </c>
      <c r="M470" s="68">
        <f>SUM(M446:M469)</f>
        <v>211</v>
      </c>
      <c r="N470" s="68">
        <f>SUM(N446:N469)</f>
        <v>140</v>
      </c>
      <c r="O470" s="84">
        <f t="shared" ref="O470" si="207">SUM(L470:N470)</f>
        <v>467</v>
      </c>
      <c r="P470" s="68">
        <f>SUM(P446:P469)</f>
        <v>116</v>
      </c>
      <c r="Q470" s="68">
        <f>SUM(Q446:Q469)</f>
        <v>211</v>
      </c>
      <c r="R470" s="68">
        <f>SUM(R446:R469)</f>
        <v>140</v>
      </c>
      <c r="S470" s="84">
        <f t="shared" ref="S470" si="208">SUM(P470:R470)</f>
        <v>467</v>
      </c>
    </row>
    <row r="471" spans="1:20" ht="14.25" thickBot="1" x14ac:dyDescent="0.2">
      <c r="A471" s="21" t="s">
        <v>6</v>
      </c>
      <c r="B471" s="22">
        <f t="shared" ref="B471:I471" si="209">B445-B470</f>
        <v>7</v>
      </c>
      <c r="C471" s="22">
        <f t="shared" si="209"/>
        <v>5</v>
      </c>
      <c r="D471" s="22">
        <f t="shared" si="209"/>
        <v>3</v>
      </c>
      <c r="E471" s="22">
        <f t="shared" si="209"/>
        <v>15</v>
      </c>
      <c r="F471" s="22">
        <f t="shared" si="209"/>
        <v>7</v>
      </c>
      <c r="G471" s="22">
        <f t="shared" si="209"/>
        <v>5</v>
      </c>
      <c r="H471" s="22">
        <f t="shared" si="209"/>
        <v>3</v>
      </c>
      <c r="I471" s="20">
        <f t="shared" si="209"/>
        <v>15</v>
      </c>
      <c r="K471" s="21" t="s">
        <v>6</v>
      </c>
      <c r="L471" s="22">
        <f>L445-L470</f>
        <v>427</v>
      </c>
      <c r="M471" s="22">
        <f t="shared" ref="M471:O471" si="210">M445-M470</f>
        <v>489</v>
      </c>
      <c r="N471" s="22">
        <f t="shared" si="210"/>
        <v>298</v>
      </c>
      <c r="O471" s="22">
        <f t="shared" si="210"/>
        <v>1214</v>
      </c>
      <c r="P471" s="22">
        <f>P445-P470</f>
        <v>427</v>
      </c>
      <c r="Q471" s="22">
        <f>Q445-Q470</f>
        <v>489</v>
      </c>
      <c r="R471" s="22">
        <f>R445-R470</f>
        <v>298</v>
      </c>
      <c r="S471" s="20">
        <f t="shared" ref="S471" si="211">S445-S470</f>
        <v>1214</v>
      </c>
    </row>
    <row r="474" spans="1:20" ht="21.75" thickBot="1" x14ac:dyDescent="0.25">
      <c r="A474" s="26" t="s">
        <v>368</v>
      </c>
      <c r="B474" s="27"/>
      <c r="C474" s="27"/>
      <c r="D474" s="27"/>
      <c r="E474" s="27"/>
      <c r="F474" s="28"/>
      <c r="G474" s="28"/>
      <c r="H474" s="28"/>
      <c r="I474" s="28"/>
      <c r="K474" s="26" t="s">
        <v>367</v>
      </c>
      <c r="L474" s="27"/>
      <c r="M474" s="27"/>
      <c r="N474" s="27"/>
      <c r="O474" s="27"/>
      <c r="P474" s="28"/>
      <c r="Q474" s="28"/>
      <c r="R474" s="28"/>
      <c r="S474" s="28"/>
    </row>
    <row r="475" spans="1:20" ht="14.25" thickBot="1" x14ac:dyDescent="0.2">
      <c r="A475" s="1" t="s">
        <v>0</v>
      </c>
      <c r="B475" s="183" t="s">
        <v>12</v>
      </c>
      <c r="C475" s="183"/>
      <c r="D475" s="183"/>
      <c r="E475" s="184"/>
      <c r="F475" s="183" t="s">
        <v>10</v>
      </c>
      <c r="G475" s="183"/>
      <c r="H475" s="183"/>
      <c r="I475" s="184"/>
      <c r="K475" s="1" t="s">
        <v>0</v>
      </c>
      <c r="L475" s="183" t="s">
        <v>12</v>
      </c>
      <c r="M475" s="183"/>
      <c r="N475" s="183"/>
      <c r="O475" s="184"/>
      <c r="P475" s="183" t="s">
        <v>10</v>
      </c>
      <c r="Q475" s="183"/>
      <c r="R475" s="183"/>
      <c r="S475" s="184"/>
    </row>
    <row r="476" spans="1:20" ht="14.25" thickBot="1" x14ac:dyDescent="0.2">
      <c r="A476" s="1" t="s">
        <v>1</v>
      </c>
      <c r="B476" s="2" t="s">
        <v>7</v>
      </c>
      <c r="C476" s="1" t="s">
        <v>8</v>
      </c>
      <c r="D476" s="15" t="s">
        <v>9</v>
      </c>
      <c r="E476" s="1" t="s">
        <v>2</v>
      </c>
      <c r="F476" s="2" t="s">
        <v>7</v>
      </c>
      <c r="G476" s="1" t="s">
        <v>8</v>
      </c>
      <c r="H476" s="15" t="s">
        <v>9</v>
      </c>
      <c r="I476" s="1" t="s">
        <v>2</v>
      </c>
      <c r="K476" s="1" t="s">
        <v>1</v>
      </c>
      <c r="L476" s="2" t="s">
        <v>7</v>
      </c>
      <c r="M476" s="1" t="s">
        <v>8</v>
      </c>
      <c r="N476" s="15" t="s">
        <v>9</v>
      </c>
      <c r="O476" s="1" t="s">
        <v>2</v>
      </c>
      <c r="P476" s="2" t="s">
        <v>7</v>
      </c>
      <c r="Q476" s="1" t="s">
        <v>8</v>
      </c>
      <c r="R476" s="15" t="s">
        <v>9</v>
      </c>
      <c r="S476" s="1" t="s">
        <v>2</v>
      </c>
    </row>
    <row r="477" spans="1:20" ht="14.25" thickBot="1" x14ac:dyDescent="0.2">
      <c r="A477" s="41" t="s">
        <v>13</v>
      </c>
      <c r="B477" s="42">
        <f>B471</f>
        <v>7</v>
      </c>
      <c r="C477" s="43">
        <f>C471</f>
        <v>5</v>
      </c>
      <c r="D477" s="44">
        <f>D471</f>
        <v>3</v>
      </c>
      <c r="E477" s="45">
        <f t="shared" ref="E477:E513" si="212">SUM(B477:D477)</f>
        <v>15</v>
      </c>
      <c r="F477" s="42">
        <f>F471</f>
        <v>7</v>
      </c>
      <c r="G477" s="43">
        <f>G471</f>
        <v>5</v>
      </c>
      <c r="H477" s="44">
        <f>H471</f>
        <v>3</v>
      </c>
      <c r="I477" s="45">
        <f t="shared" ref="I477:I513" si="213">SUM(F477:H477)</f>
        <v>15</v>
      </c>
      <c r="K477" s="34" t="s">
        <v>13</v>
      </c>
      <c r="L477" s="35">
        <f>L471</f>
        <v>427</v>
      </c>
      <c r="M477" s="35">
        <f t="shared" ref="M477:N477" si="214">M471</f>
        <v>489</v>
      </c>
      <c r="N477" s="35">
        <f t="shared" si="214"/>
        <v>298</v>
      </c>
      <c r="O477" s="20">
        <f t="shared" ref="O477:O506" si="215">SUM(L477:N477)</f>
        <v>1214</v>
      </c>
      <c r="P477" s="35">
        <f>P471</f>
        <v>427</v>
      </c>
      <c r="Q477" s="36">
        <f t="shared" ref="Q477:R477" si="216">Q471</f>
        <v>489</v>
      </c>
      <c r="R477" s="37">
        <f t="shared" si="216"/>
        <v>298</v>
      </c>
      <c r="S477" s="20">
        <f t="shared" ref="S477:S506" si="217">SUM(P477:R477)</f>
        <v>1214</v>
      </c>
    </row>
    <row r="478" spans="1:20" x14ac:dyDescent="0.15">
      <c r="A478" s="6" t="s">
        <v>152</v>
      </c>
      <c r="B478" s="38">
        <v>0</v>
      </c>
      <c r="C478" s="39">
        <v>0</v>
      </c>
      <c r="D478" s="40">
        <v>0</v>
      </c>
      <c r="E478" s="4">
        <f t="shared" si="212"/>
        <v>0</v>
      </c>
      <c r="F478" s="38">
        <v>0</v>
      </c>
      <c r="G478" s="39">
        <v>0</v>
      </c>
      <c r="H478" s="40">
        <v>0</v>
      </c>
      <c r="I478" s="4">
        <f t="shared" si="213"/>
        <v>0</v>
      </c>
      <c r="J478" s="56">
        <v>45163</v>
      </c>
      <c r="K478" s="5" t="s">
        <v>3</v>
      </c>
      <c r="L478" s="46"/>
      <c r="M478" s="3"/>
      <c r="N478" s="46"/>
      <c r="O478" s="4">
        <f t="shared" si="215"/>
        <v>0</v>
      </c>
      <c r="P478" s="46"/>
      <c r="Q478" s="3"/>
      <c r="R478" s="46"/>
      <c r="S478" s="4">
        <f t="shared" si="217"/>
        <v>0</v>
      </c>
    </row>
    <row r="479" spans="1:20" x14ac:dyDescent="0.15">
      <c r="A479" s="6" t="s">
        <v>91</v>
      </c>
      <c r="B479" s="14"/>
      <c r="C479" s="11"/>
      <c r="D479" s="14">
        <v>3</v>
      </c>
      <c r="E479" s="4">
        <f t="shared" si="212"/>
        <v>3</v>
      </c>
      <c r="F479" s="14"/>
      <c r="G479" s="11"/>
      <c r="H479" s="14">
        <v>3</v>
      </c>
      <c r="I479" s="4">
        <f t="shared" si="213"/>
        <v>3</v>
      </c>
      <c r="J479" s="56">
        <v>45168</v>
      </c>
      <c r="K479" s="5" t="s">
        <v>3</v>
      </c>
      <c r="L479" s="14"/>
      <c r="M479" s="11"/>
      <c r="N479" s="14"/>
      <c r="O479" s="4">
        <f t="shared" si="215"/>
        <v>0</v>
      </c>
      <c r="P479" s="14"/>
      <c r="Q479" s="11"/>
      <c r="R479" s="14"/>
      <c r="S479" s="4">
        <f t="shared" si="217"/>
        <v>0</v>
      </c>
    </row>
    <row r="480" spans="1:20" x14ac:dyDescent="0.15">
      <c r="A480" s="6" t="s">
        <v>3</v>
      </c>
      <c r="B480" s="14"/>
      <c r="C480" s="11"/>
      <c r="D480" s="14">
        <v>8</v>
      </c>
      <c r="E480" s="4">
        <f t="shared" si="212"/>
        <v>8</v>
      </c>
      <c r="F480" s="14"/>
      <c r="G480" s="11"/>
      <c r="H480" s="14">
        <v>8</v>
      </c>
      <c r="I480" s="4">
        <f t="shared" si="213"/>
        <v>8</v>
      </c>
      <c r="J480" s="47">
        <v>45180</v>
      </c>
      <c r="K480" s="5" t="s">
        <v>3</v>
      </c>
      <c r="L480" s="14"/>
      <c r="M480" s="11"/>
      <c r="N480" s="14"/>
      <c r="O480" s="4">
        <f t="shared" si="215"/>
        <v>0</v>
      </c>
      <c r="P480" s="14"/>
      <c r="Q480" s="11"/>
      <c r="R480" s="14"/>
      <c r="S480" s="4">
        <f t="shared" si="217"/>
        <v>0</v>
      </c>
    </row>
    <row r="481" spans="1:20" x14ac:dyDescent="0.15">
      <c r="A481" s="6" t="s">
        <v>3</v>
      </c>
      <c r="B481" s="14"/>
      <c r="C481" s="11"/>
      <c r="D481" s="14"/>
      <c r="E481" s="4">
        <f t="shared" si="212"/>
        <v>0</v>
      </c>
      <c r="F481" s="14"/>
      <c r="G481" s="11"/>
      <c r="H481" s="14"/>
      <c r="I481" s="4">
        <f t="shared" si="213"/>
        <v>0</v>
      </c>
      <c r="J481" s="55"/>
      <c r="K481" s="5" t="s">
        <v>3</v>
      </c>
      <c r="L481" s="14"/>
      <c r="M481" s="11"/>
      <c r="N481" s="14"/>
      <c r="O481" s="4">
        <f t="shared" si="215"/>
        <v>0</v>
      </c>
      <c r="P481" s="14"/>
      <c r="Q481" s="11"/>
      <c r="R481" s="14"/>
      <c r="S481" s="4">
        <f t="shared" si="217"/>
        <v>0</v>
      </c>
    </row>
    <row r="482" spans="1:20" x14ac:dyDescent="0.15">
      <c r="A482" s="6" t="s">
        <v>3</v>
      </c>
      <c r="B482" s="14"/>
      <c r="C482" s="11"/>
      <c r="D482" s="14"/>
      <c r="E482" s="4">
        <f t="shared" si="212"/>
        <v>0</v>
      </c>
      <c r="F482" s="14"/>
      <c r="G482" s="11"/>
      <c r="H482" s="14"/>
      <c r="I482" s="4">
        <f t="shared" si="213"/>
        <v>0</v>
      </c>
      <c r="J482" s="55"/>
      <c r="K482" s="5" t="s">
        <v>3</v>
      </c>
      <c r="L482" s="25"/>
      <c r="M482" s="24"/>
      <c r="N482" s="25"/>
      <c r="O482" s="7">
        <f t="shared" si="215"/>
        <v>0</v>
      </c>
      <c r="P482" s="25"/>
      <c r="Q482" s="24"/>
      <c r="R482" s="25"/>
      <c r="S482" s="4">
        <f t="shared" si="217"/>
        <v>0</v>
      </c>
    </row>
    <row r="483" spans="1:20" x14ac:dyDescent="0.15">
      <c r="A483" s="6" t="s">
        <v>3</v>
      </c>
      <c r="B483" s="14"/>
      <c r="C483" s="11"/>
      <c r="D483" s="14"/>
      <c r="E483" s="4">
        <f t="shared" si="212"/>
        <v>0</v>
      </c>
      <c r="F483" s="14"/>
      <c r="G483" s="11"/>
      <c r="H483" s="14"/>
      <c r="I483" s="4">
        <f t="shared" si="213"/>
        <v>0</v>
      </c>
      <c r="K483" s="5" t="s">
        <v>3</v>
      </c>
      <c r="L483" s="25"/>
      <c r="M483" s="24"/>
      <c r="N483" s="25"/>
      <c r="O483" s="7">
        <f t="shared" ref="O483" si="218">SUM(L483:N483)</f>
        <v>0</v>
      </c>
      <c r="P483" s="25"/>
      <c r="Q483" s="24"/>
      <c r="R483" s="25"/>
      <c r="S483" s="4">
        <f t="shared" ref="S483" si="219">SUM(P483:R483)</f>
        <v>0</v>
      </c>
    </row>
    <row r="484" spans="1:20" x14ac:dyDescent="0.15">
      <c r="A484" s="6" t="s">
        <v>3</v>
      </c>
      <c r="B484" s="14"/>
      <c r="C484" s="11"/>
      <c r="D484" s="14"/>
      <c r="E484" s="4">
        <f t="shared" si="212"/>
        <v>0</v>
      </c>
      <c r="F484" s="14"/>
      <c r="G484" s="11"/>
      <c r="H484" s="14"/>
      <c r="I484" s="4">
        <f t="shared" si="213"/>
        <v>0</v>
      </c>
      <c r="K484" s="5" t="s">
        <v>3</v>
      </c>
      <c r="L484" s="14"/>
      <c r="M484" s="11"/>
      <c r="N484" s="14"/>
      <c r="O484" s="4">
        <f t="shared" si="215"/>
        <v>0</v>
      </c>
      <c r="P484" s="14"/>
      <c r="Q484" s="11"/>
      <c r="R484" s="14"/>
      <c r="S484" s="4">
        <f t="shared" si="217"/>
        <v>0</v>
      </c>
    </row>
    <row r="485" spans="1:20" x14ac:dyDescent="0.15">
      <c r="A485" s="6" t="s">
        <v>3</v>
      </c>
      <c r="B485" s="23"/>
      <c r="C485" s="24"/>
      <c r="D485" s="25"/>
      <c r="E485" s="7">
        <f t="shared" si="212"/>
        <v>0</v>
      </c>
      <c r="F485" s="23"/>
      <c r="G485" s="24"/>
      <c r="H485" s="25"/>
      <c r="I485" s="7">
        <f t="shared" si="213"/>
        <v>0</v>
      </c>
      <c r="K485" s="5" t="s">
        <v>3</v>
      </c>
      <c r="L485" s="25"/>
      <c r="M485" s="24"/>
      <c r="N485" s="25"/>
      <c r="O485" s="7">
        <f t="shared" si="215"/>
        <v>0</v>
      </c>
      <c r="P485" s="23"/>
      <c r="Q485" s="24"/>
      <c r="R485" s="25"/>
      <c r="S485" s="7">
        <f t="shared" si="217"/>
        <v>0</v>
      </c>
    </row>
    <row r="486" spans="1:20" x14ac:dyDescent="0.15">
      <c r="A486" s="6" t="s">
        <v>3</v>
      </c>
      <c r="B486" s="23"/>
      <c r="C486" s="24"/>
      <c r="D486" s="25"/>
      <c r="E486" s="7">
        <f t="shared" si="212"/>
        <v>0</v>
      </c>
      <c r="F486" s="23"/>
      <c r="G486" s="24"/>
      <c r="H486" s="25"/>
      <c r="I486" s="7">
        <f t="shared" si="213"/>
        <v>0</v>
      </c>
      <c r="K486" s="5" t="s">
        <v>3</v>
      </c>
      <c r="L486" s="25"/>
      <c r="M486" s="24"/>
      <c r="N486" s="25"/>
      <c r="O486" s="7">
        <f t="shared" si="215"/>
        <v>0</v>
      </c>
      <c r="P486" s="25"/>
      <c r="Q486" s="24"/>
      <c r="R486" s="25"/>
      <c r="S486" s="7">
        <f t="shared" si="217"/>
        <v>0</v>
      </c>
    </row>
    <row r="487" spans="1:20" ht="14.25" thickBot="1" x14ac:dyDescent="0.2">
      <c r="A487" s="6" t="s">
        <v>3</v>
      </c>
      <c r="B487" s="29"/>
      <c r="C487" s="30"/>
      <c r="D487" s="29"/>
      <c r="E487" s="16">
        <f t="shared" si="212"/>
        <v>0</v>
      </c>
      <c r="F487" s="29"/>
      <c r="G487" s="30"/>
      <c r="H487" s="29"/>
      <c r="I487" s="16">
        <f t="shared" si="213"/>
        <v>0</v>
      </c>
      <c r="K487" s="33" t="s">
        <v>3</v>
      </c>
      <c r="L487" s="29"/>
      <c r="M487" s="30"/>
      <c r="N487" s="29"/>
      <c r="O487" s="16">
        <f t="shared" si="215"/>
        <v>0</v>
      </c>
      <c r="P487" s="29"/>
      <c r="Q487" s="30"/>
      <c r="R487" s="29"/>
      <c r="S487" s="16">
        <f t="shared" si="217"/>
        <v>0</v>
      </c>
    </row>
    <row r="488" spans="1:20" ht="14.25" thickBot="1" x14ac:dyDescent="0.2">
      <c r="A488" s="17" t="s">
        <v>4</v>
      </c>
      <c r="B488" s="18">
        <f>SUM(B477:B487)</f>
        <v>7</v>
      </c>
      <c r="C488" s="18">
        <f>SUM(C477:C487)</f>
        <v>5</v>
      </c>
      <c r="D488" s="19">
        <f>SUM(D477:D487)</f>
        <v>14</v>
      </c>
      <c r="E488" s="20">
        <f t="shared" si="212"/>
        <v>26</v>
      </c>
      <c r="F488" s="18">
        <f>SUM(F477:F487)</f>
        <v>7</v>
      </c>
      <c r="G488" s="18">
        <f>SUM(G477:G487)</f>
        <v>5</v>
      </c>
      <c r="H488" s="19">
        <f>SUM(H477:H487)</f>
        <v>14</v>
      </c>
      <c r="I488" s="20">
        <f t="shared" si="213"/>
        <v>26</v>
      </c>
      <c r="K488" s="17" t="s">
        <v>4</v>
      </c>
      <c r="L488" s="67">
        <f>SUM(L477:L487)</f>
        <v>427</v>
      </c>
      <c r="M488" s="18">
        <f>SUM(M477:M487)</f>
        <v>489</v>
      </c>
      <c r="N488" s="19">
        <f>SUM(N477:N487)</f>
        <v>298</v>
      </c>
      <c r="O488" s="20">
        <f t="shared" si="215"/>
        <v>1214</v>
      </c>
      <c r="P488" s="18">
        <f>SUM(P477:P487)</f>
        <v>427</v>
      </c>
      <c r="Q488" s="18">
        <f>SUM(Q477:Q487)</f>
        <v>489</v>
      </c>
      <c r="R488" s="19">
        <f>SUM(R477:R487)</f>
        <v>298</v>
      </c>
      <c r="S488" s="20">
        <f t="shared" si="217"/>
        <v>1214</v>
      </c>
    </row>
    <row r="489" spans="1:20" x14ac:dyDescent="0.15">
      <c r="A489" s="66" t="s">
        <v>347</v>
      </c>
      <c r="B489" s="8"/>
      <c r="C489" s="9"/>
      <c r="D489" s="10">
        <v>1</v>
      </c>
      <c r="E489" s="4">
        <f t="shared" si="212"/>
        <v>1</v>
      </c>
      <c r="F489" s="8"/>
      <c r="G489" s="9"/>
      <c r="H489" s="10">
        <v>1</v>
      </c>
      <c r="I489" s="4">
        <f t="shared" si="213"/>
        <v>1</v>
      </c>
      <c r="J489" s="47">
        <v>45148</v>
      </c>
      <c r="K489" s="112" t="s">
        <v>346</v>
      </c>
      <c r="L489" s="71">
        <v>20</v>
      </c>
      <c r="M489" s="10">
        <v>20</v>
      </c>
      <c r="N489" s="71">
        <v>20</v>
      </c>
      <c r="O489" s="69">
        <f t="shared" si="215"/>
        <v>60</v>
      </c>
      <c r="P489" s="71">
        <v>20</v>
      </c>
      <c r="Q489" s="71">
        <v>20</v>
      </c>
      <c r="R489" s="71">
        <v>20</v>
      </c>
      <c r="S489" s="72">
        <f t="shared" si="217"/>
        <v>60</v>
      </c>
      <c r="T489" s="47">
        <v>45148</v>
      </c>
    </row>
    <row r="490" spans="1:20" x14ac:dyDescent="0.15">
      <c r="A490" s="11" t="s">
        <v>360</v>
      </c>
      <c r="B490" s="8">
        <v>1</v>
      </c>
      <c r="C490" s="9"/>
      <c r="D490" s="10"/>
      <c r="E490" s="4">
        <f t="shared" si="212"/>
        <v>1</v>
      </c>
      <c r="F490" s="8">
        <v>1</v>
      </c>
      <c r="G490" s="9"/>
      <c r="H490" s="10"/>
      <c r="I490" s="4">
        <f t="shared" si="213"/>
        <v>1</v>
      </c>
      <c r="J490" s="47">
        <v>45167</v>
      </c>
      <c r="K490" s="3" t="s">
        <v>348</v>
      </c>
      <c r="L490" s="9">
        <v>15</v>
      </c>
      <c r="M490" s="10">
        <v>10</v>
      </c>
      <c r="N490" s="9">
        <v>20</v>
      </c>
      <c r="O490" s="69">
        <f t="shared" si="215"/>
        <v>45</v>
      </c>
      <c r="P490" s="9">
        <v>15</v>
      </c>
      <c r="Q490" s="9">
        <v>10</v>
      </c>
      <c r="R490" s="9">
        <v>20</v>
      </c>
      <c r="S490" s="4">
        <f t="shared" si="217"/>
        <v>45</v>
      </c>
      <c r="T490" s="47">
        <v>45152</v>
      </c>
    </row>
    <row r="491" spans="1:20" x14ac:dyDescent="0.15">
      <c r="A491" s="11" t="s">
        <v>362</v>
      </c>
      <c r="B491" s="8">
        <v>1</v>
      </c>
      <c r="C491" s="9"/>
      <c r="D491" s="10"/>
      <c r="E491" s="4">
        <f t="shared" si="212"/>
        <v>1</v>
      </c>
      <c r="F491" s="8">
        <v>1</v>
      </c>
      <c r="G491" s="9"/>
      <c r="H491" s="10"/>
      <c r="I491" s="4">
        <f t="shared" si="213"/>
        <v>1</v>
      </c>
      <c r="J491" s="47">
        <v>45168</v>
      </c>
      <c r="K491" s="111" t="s">
        <v>349</v>
      </c>
      <c r="L491" s="9">
        <v>23</v>
      </c>
      <c r="M491" s="10">
        <v>26</v>
      </c>
      <c r="N491" s="9">
        <v>16</v>
      </c>
      <c r="O491" s="69">
        <f t="shared" si="215"/>
        <v>65</v>
      </c>
      <c r="P491" s="9">
        <v>23</v>
      </c>
      <c r="Q491" s="9">
        <v>26</v>
      </c>
      <c r="R491" s="9">
        <v>16</v>
      </c>
      <c r="S491" s="4">
        <f t="shared" si="217"/>
        <v>65</v>
      </c>
      <c r="T491" s="47">
        <v>45155</v>
      </c>
    </row>
    <row r="492" spans="1:20" x14ac:dyDescent="0.15">
      <c r="A492" s="11" t="s">
        <v>365</v>
      </c>
      <c r="B492" s="8"/>
      <c r="C492" s="9"/>
      <c r="D492" s="10">
        <v>1</v>
      </c>
      <c r="E492" s="4">
        <f t="shared" si="212"/>
        <v>1</v>
      </c>
      <c r="F492" s="8"/>
      <c r="G492" s="9"/>
      <c r="H492" s="10">
        <v>1</v>
      </c>
      <c r="I492" s="4">
        <f t="shared" si="213"/>
        <v>1</v>
      </c>
      <c r="J492" s="47">
        <v>45170</v>
      </c>
      <c r="K492" s="66" t="s">
        <v>350</v>
      </c>
      <c r="L492" s="9"/>
      <c r="M492" s="10">
        <v>4</v>
      </c>
      <c r="N492" s="9">
        <v>7</v>
      </c>
      <c r="O492" s="69">
        <f t="shared" si="215"/>
        <v>11</v>
      </c>
      <c r="P492" s="9"/>
      <c r="Q492" s="9">
        <v>4</v>
      </c>
      <c r="R492" s="9">
        <v>7</v>
      </c>
      <c r="S492" s="4">
        <f t="shared" si="217"/>
        <v>11</v>
      </c>
      <c r="T492" s="47">
        <v>45154</v>
      </c>
    </row>
    <row r="493" spans="1:20" x14ac:dyDescent="0.15">
      <c r="A493" s="111" t="s">
        <v>369</v>
      </c>
      <c r="B493" s="8"/>
      <c r="C493" s="9"/>
      <c r="D493" s="10">
        <v>2</v>
      </c>
      <c r="E493" s="7">
        <f t="shared" si="212"/>
        <v>2</v>
      </c>
      <c r="F493" s="8"/>
      <c r="G493" s="9"/>
      <c r="H493" s="10">
        <v>2</v>
      </c>
      <c r="I493" s="7">
        <f t="shared" si="213"/>
        <v>2</v>
      </c>
      <c r="J493" s="47">
        <v>45180</v>
      </c>
      <c r="K493" s="11" t="s">
        <v>351</v>
      </c>
      <c r="L493" s="9">
        <v>5</v>
      </c>
      <c r="M493" s="10">
        <v>12</v>
      </c>
      <c r="N493" s="9">
        <v>12</v>
      </c>
      <c r="O493" s="69">
        <f t="shared" si="215"/>
        <v>29</v>
      </c>
      <c r="P493" s="9">
        <v>5</v>
      </c>
      <c r="Q493" s="9">
        <v>12</v>
      </c>
      <c r="R493" s="9">
        <v>12</v>
      </c>
      <c r="S493" s="4">
        <f t="shared" si="217"/>
        <v>29</v>
      </c>
      <c r="T493" s="47">
        <v>45156</v>
      </c>
    </row>
    <row r="494" spans="1:20" x14ac:dyDescent="0.15">
      <c r="A494" s="111" t="s">
        <v>371</v>
      </c>
      <c r="B494" s="8"/>
      <c r="C494" s="9"/>
      <c r="D494" s="10">
        <v>6</v>
      </c>
      <c r="E494" s="7">
        <f t="shared" si="212"/>
        <v>6</v>
      </c>
      <c r="F494" s="8"/>
      <c r="G494" s="9"/>
      <c r="H494" s="10">
        <v>6</v>
      </c>
      <c r="I494" s="7">
        <f t="shared" si="213"/>
        <v>6</v>
      </c>
      <c r="J494" s="47">
        <v>45182</v>
      </c>
      <c r="K494" s="3" t="s">
        <v>352</v>
      </c>
      <c r="L494" s="9">
        <v>10</v>
      </c>
      <c r="M494" s="10">
        <v>10</v>
      </c>
      <c r="N494" s="9"/>
      <c r="O494" s="70">
        <f t="shared" si="215"/>
        <v>20</v>
      </c>
      <c r="P494" s="9">
        <v>10</v>
      </c>
      <c r="Q494" s="9">
        <v>10</v>
      </c>
      <c r="R494" s="9"/>
      <c r="S494" s="7">
        <f t="shared" si="217"/>
        <v>20</v>
      </c>
      <c r="T494" s="47">
        <v>45159</v>
      </c>
    </row>
    <row r="495" spans="1:20" x14ac:dyDescent="0.15">
      <c r="A495" s="3"/>
      <c r="B495" s="8"/>
      <c r="C495" s="9"/>
      <c r="D495" s="10"/>
      <c r="E495" s="7">
        <f t="shared" si="212"/>
        <v>0</v>
      </c>
      <c r="F495" s="8"/>
      <c r="G495" s="9"/>
      <c r="H495" s="10"/>
      <c r="I495" s="7">
        <f t="shared" si="213"/>
        <v>0</v>
      </c>
      <c r="K495" s="11" t="s">
        <v>353</v>
      </c>
      <c r="L495" s="9"/>
      <c r="M495" s="10">
        <v>4</v>
      </c>
      <c r="N495" s="9">
        <v>3</v>
      </c>
      <c r="O495" s="70">
        <f t="shared" si="215"/>
        <v>7</v>
      </c>
      <c r="P495" s="9"/>
      <c r="Q495" s="9">
        <v>4</v>
      </c>
      <c r="R495" s="9">
        <v>3</v>
      </c>
      <c r="S495" s="7">
        <f t="shared" si="217"/>
        <v>7</v>
      </c>
      <c r="T495" s="47">
        <v>45159</v>
      </c>
    </row>
    <row r="496" spans="1:20" x14ac:dyDescent="0.15">
      <c r="A496" s="3"/>
      <c r="B496" s="8"/>
      <c r="C496" s="9"/>
      <c r="D496" s="10"/>
      <c r="E496" s="7">
        <f t="shared" si="212"/>
        <v>0</v>
      </c>
      <c r="F496" s="8"/>
      <c r="G496" s="9"/>
      <c r="H496" s="10"/>
      <c r="I496" s="7">
        <f t="shared" si="213"/>
        <v>0</v>
      </c>
      <c r="K496" s="111" t="s">
        <v>357</v>
      </c>
      <c r="L496" s="9"/>
      <c r="M496" s="10"/>
      <c r="N496" s="9">
        <v>4</v>
      </c>
      <c r="O496" s="70">
        <f t="shared" si="215"/>
        <v>4</v>
      </c>
      <c r="P496" s="9"/>
      <c r="Q496" s="9"/>
      <c r="R496" s="9">
        <v>4</v>
      </c>
      <c r="S496" s="7">
        <f t="shared" si="217"/>
        <v>4</v>
      </c>
      <c r="T496" s="47">
        <v>45160</v>
      </c>
    </row>
    <row r="497" spans="1:21" x14ac:dyDescent="0.15">
      <c r="A497" s="3"/>
      <c r="B497" s="8"/>
      <c r="C497" s="9"/>
      <c r="D497" s="10"/>
      <c r="E497" s="7">
        <f t="shared" si="212"/>
        <v>0</v>
      </c>
      <c r="F497" s="8"/>
      <c r="G497" s="9"/>
      <c r="H497" s="10"/>
      <c r="I497" s="7">
        <f t="shared" si="213"/>
        <v>0</v>
      </c>
      <c r="K497" s="11" t="s">
        <v>354</v>
      </c>
      <c r="L497" s="9"/>
      <c r="M497" s="10">
        <v>2</v>
      </c>
      <c r="N497" s="9">
        <v>1</v>
      </c>
      <c r="O497" s="70">
        <f t="shared" ref="O497:O499" si="220">SUM(L497:N497)</f>
        <v>3</v>
      </c>
      <c r="P497" s="9"/>
      <c r="Q497" s="9">
        <v>2</v>
      </c>
      <c r="R497" s="9">
        <v>1</v>
      </c>
      <c r="S497" s="7">
        <f t="shared" ref="S497:S499" si="221">SUM(P497:R497)</f>
        <v>3</v>
      </c>
      <c r="T497" s="47">
        <v>45160</v>
      </c>
    </row>
    <row r="498" spans="1:21" x14ac:dyDescent="0.15">
      <c r="A498" s="3"/>
      <c r="B498" s="8"/>
      <c r="C498" s="9"/>
      <c r="D498" s="10"/>
      <c r="E498" s="7">
        <f t="shared" si="212"/>
        <v>0</v>
      </c>
      <c r="F498" s="8"/>
      <c r="G498" s="9"/>
      <c r="H498" s="10"/>
      <c r="I498" s="7">
        <f t="shared" si="213"/>
        <v>0</v>
      </c>
      <c r="K498" s="99" t="s">
        <v>355</v>
      </c>
      <c r="L498" s="9"/>
      <c r="M498" s="10"/>
      <c r="N498" s="9">
        <v>4</v>
      </c>
      <c r="O498" s="70">
        <f t="shared" si="220"/>
        <v>4</v>
      </c>
      <c r="P498" s="9"/>
      <c r="Q498" s="9"/>
      <c r="R498" s="9">
        <v>4</v>
      </c>
      <c r="S498" s="7">
        <f t="shared" si="221"/>
        <v>4</v>
      </c>
      <c r="T498" s="47">
        <v>45161</v>
      </c>
    </row>
    <row r="499" spans="1:21" x14ac:dyDescent="0.15">
      <c r="A499" s="3"/>
      <c r="B499" s="8"/>
      <c r="C499" s="9"/>
      <c r="D499" s="10"/>
      <c r="E499" s="7">
        <f t="shared" si="212"/>
        <v>0</v>
      </c>
      <c r="F499" s="8"/>
      <c r="G499" s="9"/>
      <c r="H499" s="10"/>
      <c r="I499" s="7">
        <f t="shared" si="213"/>
        <v>0</v>
      </c>
      <c r="K499" s="3" t="s">
        <v>356</v>
      </c>
      <c r="L499" s="9">
        <v>16</v>
      </c>
      <c r="M499" s="10">
        <v>15</v>
      </c>
      <c r="N499" s="9">
        <v>18</v>
      </c>
      <c r="O499" s="70">
        <f t="shared" si="220"/>
        <v>49</v>
      </c>
      <c r="P499" s="9">
        <v>16</v>
      </c>
      <c r="Q499" s="9">
        <v>15</v>
      </c>
      <c r="R499" s="9">
        <v>18</v>
      </c>
      <c r="S499" s="7">
        <f t="shared" si="221"/>
        <v>49</v>
      </c>
      <c r="T499" s="47">
        <v>45160</v>
      </c>
      <c r="U499" s="54"/>
    </row>
    <row r="500" spans="1:21" x14ac:dyDescent="0.15">
      <c r="A500" s="3"/>
      <c r="B500" s="8"/>
      <c r="C500" s="9"/>
      <c r="D500" s="10"/>
      <c r="E500" s="7">
        <f t="shared" si="212"/>
        <v>0</v>
      </c>
      <c r="F500" s="8"/>
      <c r="G500" s="9"/>
      <c r="H500" s="10"/>
      <c r="I500" s="7">
        <f t="shared" si="213"/>
        <v>0</v>
      </c>
      <c r="K500" s="111" t="s">
        <v>358</v>
      </c>
      <c r="L500" s="9"/>
      <c r="M500" s="10"/>
      <c r="N500" s="9">
        <v>12</v>
      </c>
      <c r="O500" s="70">
        <f t="shared" si="215"/>
        <v>12</v>
      </c>
      <c r="P500" s="9"/>
      <c r="Q500" s="9"/>
      <c r="R500" s="9">
        <v>12</v>
      </c>
      <c r="S500" s="7">
        <f t="shared" si="217"/>
        <v>12</v>
      </c>
      <c r="T500" s="47">
        <v>45162</v>
      </c>
    </row>
    <row r="501" spans="1:21" x14ac:dyDescent="0.15">
      <c r="A501" s="3"/>
      <c r="B501" s="8"/>
      <c r="C501" s="9"/>
      <c r="D501" s="10"/>
      <c r="E501" s="7">
        <f t="shared" si="212"/>
        <v>0</v>
      </c>
      <c r="F501" s="8"/>
      <c r="G501" s="9"/>
      <c r="H501" s="10"/>
      <c r="I501" s="7">
        <f t="shared" si="213"/>
        <v>0</v>
      </c>
      <c r="K501" s="11" t="s">
        <v>359</v>
      </c>
      <c r="L501" s="8"/>
      <c r="M501" s="9">
        <v>4</v>
      </c>
      <c r="N501" s="10"/>
      <c r="O501" s="7">
        <f t="shared" si="215"/>
        <v>4</v>
      </c>
      <c r="P501" s="8"/>
      <c r="Q501" s="9">
        <v>4</v>
      </c>
      <c r="R501" s="10"/>
      <c r="S501" s="7">
        <f t="shared" si="217"/>
        <v>4</v>
      </c>
      <c r="T501" s="47">
        <v>45161</v>
      </c>
    </row>
    <row r="502" spans="1:21" x14ac:dyDescent="0.15">
      <c r="A502" s="3"/>
      <c r="B502" s="8"/>
      <c r="C502" s="9"/>
      <c r="D502" s="10"/>
      <c r="E502" s="7">
        <f t="shared" si="212"/>
        <v>0</v>
      </c>
      <c r="F502" s="8"/>
      <c r="G502" s="9"/>
      <c r="H502" s="10"/>
      <c r="I502" s="7">
        <f t="shared" si="213"/>
        <v>0</v>
      </c>
      <c r="K502" s="111" t="s">
        <v>361</v>
      </c>
      <c r="L502" s="9">
        <v>10</v>
      </c>
      <c r="M502" s="10">
        <v>8</v>
      </c>
      <c r="N502" s="9">
        <v>4</v>
      </c>
      <c r="O502" s="70">
        <f t="shared" si="215"/>
        <v>22</v>
      </c>
      <c r="P502" s="9">
        <v>10</v>
      </c>
      <c r="Q502" s="10">
        <v>8</v>
      </c>
      <c r="R502" s="9">
        <v>4</v>
      </c>
      <c r="S502" s="7">
        <f t="shared" si="217"/>
        <v>22</v>
      </c>
      <c r="T502" s="47">
        <v>45169</v>
      </c>
    </row>
    <row r="503" spans="1:21" x14ac:dyDescent="0.15">
      <c r="A503" s="3"/>
      <c r="B503" s="8"/>
      <c r="C503" s="9"/>
      <c r="D503" s="10"/>
      <c r="E503" s="7">
        <f t="shared" si="212"/>
        <v>0</v>
      </c>
      <c r="F503" s="8"/>
      <c r="G503" s="9"/>
      <c r="H503" s="10"/>
      <c r="I503" s="7">
        <f t="shared" si="213"/>
        <v>0</v>
      </c>
      <c r="K503" s="11" t="s">
        <v>363</v>
      </c>
      <c r="L503" s="9">
        <v>2</v>
      </c>
      <c r="M503" s="10">
        <v>3</v>
      </c>
      <c r="N503" s="9">
        <v>1</v>
      </c>
      <c r="O503" s="70">
        <f t="shared" si="215"/>
        <v>6</v>
      </c>
      <c r="P503" s="9">
        <v>2</v>
      </c>
      <c r="Q503" s="9">
        <v>3</v>
      </c>
      <c r="R503" s="9">
        <v>1</v>
      </c>
      <c r="S503" s="7">
        <f t="shared" si="217"/>
        <v>6</v>
      </c>
      <c r="T503" s="47">
        <v>45169</v>
      </c>
    </row>
    <row r="504" spans="1:21" x14ac:dyDescent="0.15">
      <c r="A504" s="3"/>
      <c r="B504" s="8"/>
      <c r="C504" s="9"/>
      <c r="D504" s="10"/>
      <c r="E504" s="7">
        <f t="shared" si="212"/>
        <v>0</v>
      </c>
      <c r="F504" s="8"/>
      <c r="G504" s="9"/>
      <c r="H504" s="10"/>
      <c r="I504" s="7">
        <f t="shared" si="213"/>
        <v>0</v>
      </c>
      <c r="K504" s="3" t="s">
        <v>364</v>
      </c>
      <c r="L504" s="8"/>
      <c r="M504" s="9">
        <v>5</v>
      </c>
      <c r="N504" s="10"/>
      <c r="O504" s="7">
        <f t="shared" si="215"/>
        <v>5</v>
      </c>
      <c r="P504" s="8"/>
      <c r="Q504" s="9">
        <v>5</v>
      </c>
      <c r="R504" s="10"/>
      <c r="S504" s="7">
        <f t="shared" si="217"/>
        <v>5</v>
      </c>
      <c r="T504" s="47">
        <v>45170</v>
      </c>
    </row>
    <row r="505" spans="1:21" x14ac:dyDescent="0.15">
      <c r="A505" s="3"/>
      <c r="B505" s="8"/>
      <c r="C505" s="9"/>
      <c r="D505" s="10"/>
      <c r="E505" s="7">
        <f t="shared" si="212"/>
        <v>0</v>
      </c>
      <c r="F505" s="8"/>
      <c r="G505" s="9"/>
      <c r="H505" s="10"/>
      <c r="I505" s="7">
        <f t="shared" si="213"/>
        <v>0</v>
      </c>
      <c r="K505" s="111" t="s">
        <v>366</v>
      </c>
      <c r="L505" s="86">
        <v>20</v>
      </c>
      <c r="M505" s="87">
        <v>20</v>
      </c>
      <c r="N505" s="86">
        <v>15</v>
      </c>
      <c r="O505" s="70">
        <f t="shared" si="215"/>
        <v>55</v>
      </c>
      <c r="P505" s="9">
        <v>20</v>
      </c>
      <c r="Q505" s="10">
        <v>20</v>
      </c>
      <c r="R505" s="9">
        <v>15</v>
      </c>
      <c r="S505" s="7">
        <f t="shared" si="217"/>
        <v>55</v>
      </c>
      <c r="T505" s="47">
        <v>45173</v>
      </c>
    </row>
    <row r="506" spans="1:21" x14ac:dyDescent="0.15">
      <c r="A506" s="3"/>
      <c r="B506" s="8"/>
      <c r="C506" s="9"/>
      <c r="D506" s="10"/>
      <c r="E506" s="7">
        <f t="shared" si="212"/>
        <v>0</v>
      </c>
      <c r="F506" s="8"/>
      <c r="G506" s="9"/>
      <c r="H506" s="10"/>
      <c r="I506" s="7">
        <f t="shared" si="213"/>
        <v>0</v>
      </c>
      <c r="K506" s="11" t="s">
        <v>370</v>
      </c>
      <c r="L506" s="8"/>
      <c r="M506" s="9">
        <v>2</v>
      </c>
      <c r="N506" s="10"/>
      <c r="O506" s="7">
        <f t="shared" si="215"/>
        <v>2</v>
      </c>
      <c r="P506" s="8"/>
      <c r="Q506" s="9">
        <v>2</v>
      </c>
      <c r="R506" s="10"/>
      <c r="S506" s="7">
        <f t="shared" si="217"/>
        <v>2</v>
      </c>
      <c r="T506" s="47">
        <v>45177</v>
      </c>
    </row>
    <row r="507" spans="1:21" x14ac:dyDescent="0.15">
      <c r="A507" s="3"/>
      <c r="B507" s="8"/>
      <c r="C507" s="9"/>
      <c r="D507" s="10"/>
      <c r="E507" s="7">
        <f t="shared" si="212"/>
        <v>0</v>
      </c>
      <c r="F507" s="8"/>
      <c r="G507" s="9"/>
      <c r="H507" s="10"/>
      <c r="I507" s="7">
        <f t="shared" si="213"/>
        <v>0</v>
      </c>
      <c r="K507" s="3" t="s">
        <v>372</v>
      </c>
      <c r="L507" s="8"/>
      <c r="M507" s="9"/>
      <c r="N507" s="10">
        <v>8</v>
      </c>
      <c r="O507" s="7">
        <f t="shared" ref="O507:O508" si="222">SUM(L507:N507)</f>
        <v>8</v>
      </c>
      <c r="P507" s="8"/>
      <c r="Q507" s="9"/>
      <c r="R507" s="10">
        <v>8</v>
      </c>
      <c r="S507" s="7">
        <f t="shared" ref="S507:S508" si="223">SUM(P507:R507)</f>
        <v>8</v>
      </c>
      <c r="T507" s="47">
        <v>45180</v>
      </c>
    </row>
    <row r="508" spans="1:21" x14ac:dyDescent="0.15">
      <c r="A508" s="3"/>
      <c r="B508" s="8"/>
      <c r="C508" s="9"/>
      <c r="D508" s="10"/>
      <c r="E508" s="7">
        <f t="shared" si="212"/>
        <v>0</v>
      </c>
      <c r="F508" s="8"/>
      <c r="G508" s="9"/>
      <c r="H508" s="10"/>
      <c r="I508" s="7">
        <f t="shared" si="213"/>
        <v>0</v>
      </c>
      <c r="K508" s="66" t="s">
        <v>280</v>
      </c>
      <c r="L508" s="9"/>
      <c r="M508" s="10"/>
      <c r="N508" s="9"/>
      <c r="O508" s="70">
        <f t="shared" si="222"/>
        <v>0</v>
      </c>
      <c r="P508" s="9"/>
      <c r="Q508" s="10"/>
      <c r="R508" s="9"/>
      <c r="S508" s="7">
        <f t="shared" si="223"/>
        <v>0</v>
      </c>
      <c r="T508" s="55" t="s">
        <v>281</v>
      </c>
    </row>
    <row r="509" spans="1:21" x14ac:dyDescent="0.15">
      <c r="A509" s="3"/>
      <c r="B509" s="8"/>
      <c r="C509" s="9"/>
      <c r="D509" s="10"/>
      <c r="E509" s="7">
        <f t="shared" si="212"/>
        <v>0</v>
      </c>
      <c r="F509" s="8"/>
      <c r="G509" s="9"/>
      <c r="H509" s="10"/>
      <c r="I509" s="7">
        <f t="shared" si="213"/>
        <v>0</v>
      </c>
      <c r="K509" s="111" t="s">
        <v>307</v>
      </c>
      <c r="L509" s="130"/>
      <c r="M509" s="131"/>
      <c r="N509" s="130"/>
      <c r="O509" s="132">
        <f>SUM(L509:N509)</f>
        <v>0</v>
      </c>
      <c r="P509" s="130"/>
      <c r="Q509" s="131"/>
      <c r="R509" s="130"/>
      <c r="S509" s="133">
        <f>SUM(P509:R509)</f>
        <v>0</v>
      </c>
      <c r="T509" s="55" t="s">
        <v>308</v>
      </c>
    </row>
    <row r="510" spans="1:21" x14ac:dyDescent="0.15">
      <c r="A510" s="3"/>
      <c r="B510" s="8"/>
      <c r="C510" s="9"/>
      <c r="D510" s="10"/>
      <c r="E510" s="7">
        <f t="shared" si="212"/>
        <v>0</v>
      </c>
      <c r="F510" s="8"/>
      <c r="G510" s="9"/>
      <c r="H510" s="10"/>
      <c r="I510" s="7">
        <f t="shared" si="213"/>
        <v>0</v>
      </c>
      <c r="K510" s="66" t="s">
        <v>289</v>
      </c>
      <c r="L510" s="86"/>
      <c r="M510" s="87"/>
      <c r="N510" s="86"/>
      <c r="O510" s="69">
        <f t="shared" ref="O510" si="224">SUM(L510:N510)</f>
        <v>0</v>
      </c>
      <c r="P510" s="86"/>
      <c r="Q510" s="87"/>
      <c r="R510" s="86"/>
      <c r="S510" s="7">
        <f t="shared" ref="S510" si="225">SUM(P510:R510)</f>
        <v>0</v>
      </c>
      <c r="T510" s="55" t="s">
        <v>290</v>
      </c>
    </row>
    <row r="511" spans="1:21" x14ac:dyDescent="0.15">
      <c r="A511" s="3"/>
      <c r="B511" s="8"/>
      <c r="C511" s="9"/>
      <c r="D511" s="10"/>
      <c r="E511" s="7">
        <f t="shared" si="212"/>
        <v>0</v>
      </c>
      <c r="F511" s="8"/>
      <c r="G511" s="9"/>
      <c r="H511" s="10"/>
      <c r="I511" s="7">
        <f t="shared" si="213"/>
        <v>0</v>
      </c>
      <c r="K511" s="5" t="s">
        <v>282</v>
      </c>
      <c r="L511" s="119"/>
      <c r="M511" s="120"/>
      <c r="N511" s="119"/>
      <c r="O511" s="121">
        <f>SUM(L511:N511)</f>
        <v>0</v>
      </c>
      <c r="P511" s="119"/>
      <c r="Q511" s="119"/>
      <c r="R511" s="119"/>
      <c r="S511" s="122">
        <f>SUM(P511:R511)</f>
        <v>0</v>
      </c>
      <c r="T511" s="55"/>
      <c r="U511" s="54"/>
    </row>
    <row r="512" spans="1:21" ht="14.25" thickBot="1" x14ac:dyDescent="0.2">
      <c r="A512" s="3"/>
      <c r="B512" s="8"/>
      <c r="C512" s="9"/>
      <c r="D512" s="10"/>
      <c r="E512" s="7">
        <f t="shared" si="212"/>
        <v>0</v>
      </c>
      <c r="F512" s="8"/>
      <c r="G512" s="9"/>
      <c r="H512" s="10"/>
      <c r="I512" s="7">
        <f t="shared" si="213"/>
        <v>0</v>
      </c>
      <c r="K512" s="123" t="s">
        <v>243</v>
      </c>
      <c r="L512" s="124"/>
      <c r="M512" s="89"/>
      <c r="N512" s="90"/>
      <c r="O512" s="92">
        <f t="shared" ref="O512:O513" si="226">SUM(L512:N512)</f>
        <v>0</v>
      </c>
      <c r="P512" s="124"/>
      <c r="Q512" s="89"/>
      <c r="R512" s="90"/>
      <c r="S512" s="92">
        <f t="shared" ref="S512:S513" si="227">SUM(P512:R512)</f>
        <v>0</v>
      </c>
      <c r="T512" s="47" t="s">
        <v>244</v>
      </c>
      <c r="U512" s="54"/>
    </row>
    <row r="513" spans="1:20" ht="14.25" thickBot="1" x14ac:dyDescent="0.2">
      <c r="A513" s="2" t="s">
        <v>5</v>
      </c>
      <c r="B513" s="12">
        <f>SUM(B489:B512)</f>
        <v>2</v>
      </c>
      <c r="C513" s="12">
        <f>SUM(C489:C512)</f>
        <v>0</v>
      </c>
      <c r="D513" s="12">
        <f>SUM(D489:D512)</f>
        <v>10</v>
      </c>
      <c r="E513" s="13">
        <f t="shared" si="212"/>
        <v>12</v>
      </c>
      <c r="F513" s="12">
        <f>SUM(F489:F512)</f>
        <v>2</v>
      </c>
      <c r="G513" s="12">
        <f>SUM(G489:G512)</f>
        <v>0</v>
      </c>
      <c r="H513" s="12">
        <f>SUM(H489:H512)</f>
        <v>10</v>
      </c>
      <c r="I513" s="13">
        <f t="shared" si="213"/>
        <v>12</v>
      </c>
      <c r="K513" s="83" t="s">
        <v>5</v>
      </c>
      <c r="L513" s="68">
        <f>SUM(L489:L512)</f>
        <v>121</v>
      </c>
      <c r="M513" s="68">
        <f>SUM(M489:M512)</f>
        <v>145</v>
      </c>
      <c r="N513" s="68">
        <f>SUM(N489:N512)</f>
        <v>145</v>
      </c>
      <c r="O513" s="84">
        <f t="shared" si="226"/>
        <v>411</v>
      </c>
      <c r="P513" s="68">
        <f>SUM(P489:P512)</f>
        <v>121</v>
      </c>
      <c r="Q513" s="68">
        <f>SUM(Q489:Q512)</f>
        <v>145</v>
      </c>
      <c r="R513" s="68">
        <f>SUM(R489:R512)</f>
        <v>145</v>
      </c>
      <c r="S513" s="84">
        <f t="shared" si="227"/>
        <v>411</v>
      </c>
    </row>
    <row r="514" spans="1:20" ht="14.25" thickBot="1" x14ac:dyDescent="0.2">
      <c r="A514" s="21" t="s">
        <v>6</v>
      </c>
      <c r="B514" s="22">
        <f t="shared" ref="B514:I514" si="228">B488-B513</f>
        <v>5</v>
      </c>
      <c r="C514" s="22">
        <f t="shared" si="228"/>
        <v>5</v>
      </c>
      <c r="D514" s="22">
        <f t="shared" si="228"/>
        <v>4</v>
      </c>
      <c r="E514" s="22">
        <f t="shared" si="228"/>
        <v>14</v>
      </c>
      <c r="F514" s="22">
        <f t="shared" si="228"/>
        <v>5</v>
      </c>
      <c r="G514" s="22">
        <f t="shared" si="228"/>
        <v>5</v>
      </c>
      <c r="H514" s="22">
        <f t="shared" si="228"/>
        <v>4</v>
      </c>
      <c r="I514" s="20">
        <f t="shared" si="228"/>
        <v>14</v>
      </c>
      <c r="K514" s="21" t="s">
        <v>6</v>
      </c>
      <c r="L514" s="22">
        <f>L488-L513</f>
        <v>306</v>
      </c>
      <c r="M514" s="22">
        <f t="shared" ref="M514:O514" si="229">M488-M513</f>
        <v>344</v>
      </c>
      <c r="N514" s="22">
        <f t="shared" si="229"/>
        <v>153</v>
      </c>
      <c r="O514" s="22">
        <f t="shared" si="229"/>
        <v>803</v>
      </c>
      <c r="P514" s="22">
        <f>P488-P513</f>
        <v>306</v>
      </c>
      <c r="Q514" s="22">
        <f>Q488-Q513</f>
        <v>344</v>
      </c>
      <c r="R514" s="22">
        <f>R488-R513</f>
        <v>153</v>
      </c>
      <c r="S514" s="20">
        <f t="shared" ref="S514" si="230">S488-S513</f>
        <v>803</v>
      </c>
    </row>
    <row r="515" spans="1:20" x14ac:dyDescent="0.15">
      <c r="K515" s="110" t="s">
        <v>412</v>
      </c>
      <c r="L515" s="104">
        <f>L556+L513+L470+L427+L384+L341+L298+L255</f>
        <v>508</v>
      </c>
      <c r="M515" s="104">
        <f>M556+M513+M470+M427+M384+M341+M298+M255</f>
        <v>754</v>
      </c>
      <c r="N515" s="104">
        <f t="shared" ref="N515:S515" si="231">N556+N513+N470+N427+N384+N341+N298+N255</f>
        <v>536</v>
      </c>
      <c r="O515" s="104">
        <f t="shared" si="231"/>
        <v>1798</v>
      </c>
      <c r="P515" s="104">
        <f t="shared" si="231"/>
        <v>508</v>
      </c>
      <c r="Q515" s="104">
        <f t="shared" si="231"/>
        <v>754</v>
      </c>
      <c r="R515" s="104">
        <f t="shared" si="231"/>
        <v>536</v>
      </c>
      <c r="S515" s="104">
        <f t="shared" si="231"/>
        <v>1798</v>
      </c>
    </row>
    <row r="516" spans="1:20" x14ac:dyDescent="0.15">
      <c r="L516" s="74">
        <f>L515/$O$515*100</f>
        <v>28.253615127919911</v>
      </c>
      <c r="M516" s="74">
        <f t="shared" ref="M516:O516" si="232">M515/$O$515*100</f>
        <v>41.935483870967744</v>
      </c>
      <c r="N516" s="74">
        <f t="shared" si="232"/>
        <v>29.810901001112345</v>
      </c>
      <c r="O516" s="74">
        <f t="shared" si="232"/>
        <v>100</v>
      </c>
      <c r="P516" s="74"/>
      <c r="Q516" s="74"/>
      <c r="R516" s="74"/>
      <c r="S516" s="74"/>
    </row>
    <row r="517" spans="1:20" ht="21.75" thickBot="1" x14ac:dyDescent="0.25">
      <c r="A517" s="26" t="s">
        <v>368</v>
      </c>
      <c r="B517" s="27"/>
      <c r="C517" s="27"/>
      <c r="D517" s="27"/>
      <c r="E517" s="27"/>
      <c r="F517" s="28"/>
      <c r="G517" s="28"/>
      <c r="H517" s="28"/>
      <c r="I517" s="28"/>
      <c r="K517" s="26" t="s">
        <v>367</v>
      </c>
      <c r="L517" s="27"/>
      <c r="M517" s="27"/>
      <c r="N517" s="27"/>
      <c r="O517" s="27"/>
      <c r="P517" s="28"/>
      <c r="Q517" s="28"/>
      <c r="R517" s="28"/>
      <c r="S517" s="28"/>
    </row>
    <row r="518" spans="1:20" ht="14.25" thickBot="1" x14ac:dyDescent="0.2">
      <c r="A518" s="1" t="s">
        <v>0</v>
      </c>
      <c r="B518" s="183" t="s">
        <v>12</v>
      </c>
      <c r="C518" s="183"/>
      <c r="D518" s="183"/>
      <c r="E518" s="184"/>
      <c r="F518" s="183" t="s">
        <v>10</v>
      </c>
      <c r="G518" s="183"/>
      <c r="H518" s="183"/>
      <c r="I518" s="184"/>
      <c r="K518" s="1" t="s">
        <v>0</v>
      </c>
      <c r="L518" s="183" t="s">
        <v>12</v>
      </c>
      <c r="M518" s="183"/>
      <c r="N518" s="183"/>
      <c r="O518" s="184"/>
      <c r="P518" s="183" t="s">
        <v>10</v>
      </c>
      <c r="Q518" s="183"/>
      <c r="R518" s="183"/>
      <c r="S518" s="184"/>
    </row>
    <row r="519" spans="1:20" ht="14.25" thickBot="1" x14ac:dyDescent="0.2">
      <c r="A519" s="1" t="s">
        <v>1</v>
      </c>
      <c r="B519" s="2" t="s">
        <v>7</v>
      </c>
      <c r="C519" s="1" t="s">
        <v>8</v>
      </c>
      <c r="D519" s="15" t="s">
        <v>9</v>
      </c>
      <c r="E519" s="1" t="s">
        <v>2</v>
      </c>
      <c r="F519" s="2" t="s">
        <v>7</v>
      </c>
      <c r="G519" s="1" t="s">
        <v>8</v>
      </c>
      <c r="H519" s="15" t="s">
        <v>9</v>
      </c>
      <c r="I519" s="1" t="s">
        <v>2</v>
      </c>
      <c r="K519" s="1" t="s">
        <v>1</v>
      </c>
      <c r="L519" s="2" t="s">
        <v>7</v>
      </c>
      <c r="M519" s="1" t="s">
        <v>8</v>
      </c>
      <c r="N519" s="15" t="s">
        <v>9</v>
      </c>
      <c r="O519" s="1" t="s">
        <v>2</v>
      </c>
      <c r="P519" s="2" t="s">
        <v>7</v>
      </c>
      <c r="Q519" s="1" t="s">
        <v>8</v>
      </c>
      <c r="R519" s="15" t="s">
        <v>9</v>
      </c>
      <c r="S519" s="1" t="s">
        <v>2</v>
      </c>
    </row>
    <row r="520" spans="1:20" ht="14.25" thickBot="1" x14ac:dyDescent="0.2">
      <c r="A520" s="41" t="s">
        <v>13</v>
      </c>
      <c r="B520" s="42">
        <f>B514</f>
        <v>5</v>
      </c>
      <c r="C520" s="43">
        <f>C514</f>
        <v>5</v>
      </c>
      <c r="D520" s="44">
        <f>D514</f>
        <v>4</v>
      </c>
      <c r="E520" s="45">
        <f t="shared" ref="E520:E556" si="233">SUM(B520:D520)</f>
        <v>14</v>
      </c>
      <c r="F520" s="42">
        <f>F514</f>
        <v>5</v>
      </c>
      <c r="G520" s="43">
        <f>G514</f>
        <v>5</v>
      </c>
      <c r="H520" s="44">
        <f>H514</f>
        <v>4</v>
      </c>
      <c r="I520" s="45">
        <f t="shared" ref="I520:I556" si="234">SUM(F520:H520)</f>
        <v>14</v>
      </c>
      <c r="K520" s="34" t="s">
        <v>13</v>
      </c>
      <c r="L520" s="35">
        <f>L514</f>
        <v>306</v>
      </c>
      <c r="M520" s="35">
        <f t="shared" ref="M520:N520" si="235">M514</f>
        <v>344</v>
      </c>
      <c r="N520" s="35">
        <f t="shared" si="235"/>
        <v>153</v>
      </c>
      <c r="O520" s="20">
        <f t="shared" ref="O520:O548" si="236">SUM(L520:N520)</f>
        <v>803</v>
      </c>
      <c r="P520" s="35">
        <f>P514</f>
        <v>306</v>
      </c>
      <c r="Q520" s="36">
        <f t="shared" ref="Q520:R520" si="237">Q514</f>
        <v>344</v>
      </c>
      <c r="R520" s="37">
        <f t="shared" si="237"/>
        <v>153</v>
      </c>
      <c r="S520" s="20">
        <f t="shared" ref="S520:S548" si="238">SUM(P520:R520)</f>
        <v>803</v>
      </c>
    </row>
    <row r="521" spans="1:20" x14ac:dyDescent="0.15">
      <c r="A521" s="3" t="s">
        <v>374</v>
      </c>
      <c r="B521" s="8">
        <v>1</v>
      </c>
      <c r="C521" s="9"/>
      <c r="D521" s="10"/>
      <c r="E521" s="4">
        <f t="shared" ref="E521" si="239">SUM(B521:D521)</f>
        <v>1</v>
      </c>
      <c r="F521" s="8">
        <v>1</v>
      </c>
      <c r="G521" s="9"/>
      <c r="H521" s="10"/>
      <c r="I521" s="4">
        <f t="shared" si="234"/>
        <v>1</v>
      </c>
      <c r="J521" s="31">
        <v>45177</v>
      </c>
      <c r="K521" s="5" t="s">
        <v>270</v>
      </c>
      <c r="L521" s="46">
        <v>10</v>
      </c>
      <c r="M521" s="3">
        <v>8</v>
      </c>
      <c r="N521" s="46">
        <v>5</v>
      </c>
      <c r="O521" s="4">
        <f t="shared" si="236"/>
        <v>23</v>
      </c>
      <c r="P521" s="46">
        <v>10</v>
      </c>
      <c r="Q521" s="3">
        <v>8</v>
      </c>
      <c r="R521" s="46">
        <v>5</v>
      </c>
      <c r="S521" s="4">
        <f t="shared" si="238"/>
        <v>23</v>
      </c>
      <c r="T521" s="56">
        <v>45257</v>
      </c>
    </row>
    <row r="522" spans="1:20" x14ac:dyDescent="0.15">
      <c r="A522" s="6" t="s">
        <v>91</v>
      </c>
      <c r="B522" s="14">
        <v>1</v>
      </c>
      <c r="C522" s="11"/>
      <c r="D522" s="14"/>
      <c r="E522" s="4">
        <f t="shared" si="233"/>
        <v>1</v>
      </c>
      <c r="F522" s="14">
        <v>1</v>
      </c>
      <c r="G522" s="11"/>
      <c r="H522" s="14"/>
      <c r="I522" s="4">
        <f t="shared" si="234"/>
        <v>1</v>
      </c>
      <c r="J522" s="56">
        <v>45183</v>
      </c>
      <c r="K522" s="5" t="s">
        <v>3</v>
      </c>
      <c r="L522" s="14"/>
      <c r="M522" s="11"/>
      <c r="N522" s="14"/>
      <c r="O522" s="4">
        <f t="shared" si="236"/>
        <v>0</v>
      </c>
      <c r="P522" s="14"/>
      <c r="Q522" s="11"/>
      <c r="R522" s="14"/>
      <c r="S522" s="4">
        <f t="shared" si="238"/>
        <v>0</v>
      </c>
    </row>
    <row r="523" spans="1:20" x14ac:dyDescent="0.15">
      <c r="A523" s="6" t="s">
        <v>147</v>
      </c>
      <c r="B523" s="14">
        <v>2</v>
      </c>
      <c r="C523" s="11">
        <v>6</v>
      </c>
      <c r="D523" s="14"/>
      <c r="E523" s="4">
        <f t="shared" si="233"/>
        <v>8</v>
      </c>
      <c r="F523" s="14">
        <v>2</v>
      </c>
      <c r="G523" s="11">
        <v>6</v>
      </c>
      <c r="H523" s="14"/>
      <c r="I523" s="4">
        <f t="shared" si="234"/>
        <v>8</v>
      </c>
      <c r="J523" s="56">
        <v>45188</v>
      </c>
      <c r="K523" s="5" t="s">
        <v>3</v>
      </c>
      <c r="L523" s="14"/>
      <c r="M523" s="11"/>
      <c r="N523" s="14"/>
      <c r="O523" s="4">
        <f t="shared" si="236"/>
        <v>0</v>
      </c>
      <c r="P523" s="14"/>
      <c r="Q523" s="11"/>
      <c r="R523" s="14"/>
      <c r="S523" s="4">
        <f t="shared" si="238"/>
        <v>0</v>
      </c>
    </row>
    <row r="524" spans="1:20" x14ac:dyDescent="0.15">
      <c r="A524" s="6" t="s">
        <v>91</v>
      </c>
      <c r="B524" s="14"/>
      <c r="C524" s="11"/>
      <c r="D524" s="14">
        <v>1</v>
      </c>
      <c r="E524" s="4">
        <f t="shared" si="233"/>
        <v>1</v>
      </c>
      <c r="F524" s="14"/>
      <c r="G524" s="11"/>
      <c r="H524" s="14">
        <v>1</v>
      </c>
      <c r="I524" s="4">
        <f t="shared" si="234"/>
        <v>1</v>
      </c>
      <c r="J524" s="56">
        <v>45196</v>
      </c>
      <c r="K524" s="5" t="s">
        <v>3</v>
      </c>
      <c r="L524" s="14"/>
      <c r="M524" s="11"/>
      <c r="N524" s="14"/>
      <c r="O524" s="4">
        <f t="shared" si="236"/>
        <v>0</v>
      </c>
      <c r="P524" s="14"/>
      <c r="Q524" s="11"/>
      <c r="R524" s="14"/>
      <c r="S524" s="4">
        <f t="shared" si="238"/>
        <v>0</v>
      </c>
    </row>
    <row r="525" spans="1:20" x14ac:dyDescent="0.15">
      <c r="A525" s="6" t="s">
        <v>3</v>
      </c>
      <c r="B525" s="14"/>
      <c r="C525" s="11">
        <v>3</v>
      </c>
      <c r="D525" s="14"/>
      <c r="E525" s="4">
        <f t="shared" si="233"/>
        <v>3</v>
      </c>
      <c r="F525" s="14"/>
      <c r="G525" s="11">
        <v>3</v>
      </c>
      <c r="H525" s="14"/>
      <c r="I525" s="4">
        <f t="shared" si="234"/>
        <v>3</v>
      </c>
      <c r="J525" s="47">
        <v>45206</v>
      </c>
      <c r="K525" s="5" t="s">
        <v>3</v>
      </c>
      <c r="L525" s="25"/>
      <c r="M525" s="24"/>
      <c r="N525" s="25"/>
      <c r="O525" s="7">
        <f t="shared" si="236"/>
        <v>0</v>
      </c>
      <c r="P525" s="25"/>
      <c r="Q525" s="24"/>
      <c r="R525" s="25"/>
      <c r="S525" s="4">
        <f t="shared" si="238"/>
        <v>0</v>
      </c>
    </row>
    <row r="526" spans="1:20" x14ac:dyDescent="0.15">
      <c r="A526" s="6" t="s">
        <v>91</v>
      </c>
      <c r="B526" s="14">
        <v>1</v>
      </c>
      <c r="C526" s="11">
        <v>2</v>
      </c>
      <c r="D526" s="14"/>
      <c r="E526" s="4">
        <f t="shared" si="233"/>
        <v>3</v>
      </c>
      <c r="F526" s="14">
        <v>1</v>
      </c>
      <c r="G526" s="11">
        <v>2</v>
      </c>
      <c r="H526" s="14"/>
      <c r="I526" s="4">
        <f t="shared" si="234"/>
        <v>3</v>
      </c>
      <c r="J526" s="56">
        <v>45210</v>
      </c>
      <c r="K526" s="5" t="s">
        <v>3</v>
      </c>
      <c r="L526" s="25"/>
      <c r="M526" s="24"/>
      <c r="N526" s="25"/>
      <c r="O526" s="7">
        <f t="shared" si="236"/>
        <v>0</v>
      </c>
      <c r="P526" s="25"/>
      <c r="Q526" s="24"/>
      <c r="R526" s="25"/>
      <c r="S526" s="4">
        <f t="shared" si="238"/>
        <v>0</v>
      </c>
    </row>
    <row r="527" spans="1:20" x14ac:dyDescent="0.15">
      <c r="A527" s="6" t="s">
        <v>403</v>
      </c>
      <c r="B527" s="14">
        <v>4</v>
      </c>
      <c r="C527" s="11">
        <v>1</v>
      </c>
      <c r="D527" s="14">
        <v>3</v>
      </c>
      <c r="E527" s="4">
        <f t="shared" si="233"/>
        <v>8</v>
      </c>
      <c r="F527" s="14">
        <v>4</v>
      </c>
      <c r="G527" s="11">
        <v>1</v>
      </c>
      <c r="H527" s="14">
        <v>3</v>
      </c>
      <c r="I527" s="4">
        <f t="shared" si="234"/>
        <v>8</v>
      </c>
      <c r="J527" s="56">
        <v>45257</v>
      </c>
      <c r="K527" s="5" t="s">
        <v>3</v>
      </c>
      <c r="L527" s="14"/>
      <c r="M527" s="11"/>
      <c r="N527" s="14"/>
      <c r="O527" s="4">
        <f t="shared" si="236"/>
        <v>0</v>
      </c>
      <c r="P527" s="14"/>
      <c r="Q527" s="11"/>
      <c r="R527" s="14"/>
      <c r="S527" s="4">
        <f t="shared" si="238"/>
        <v>0</v>
      </c>
    </row>
    <row r="528" spans="1:20" x14ac:dyDescent="0.15">
      <c r="A528" s="6" t="s">
        <v>3</v>
      </c>
      <c r="B528" s="23"/>
      <c r="C528" s="24"/>
      <c r="D528" s="25"/>
      <c r="E528" s="7">
        <f t="shared" si="233"/>
        <v>0</v>
      </c>
      <c r="F528" s="23"/>
      <c r="G528" s="24"/>
      <c r="H528" s="25"/>
      <c r="I528" s="7">
        <f t="shared" si="234"/>
        <v>0</v>
      </c>
      <c r="K528" s="5" t="s">
        <v>3</v>
      </c>
      <c r="L528" s="25"/>
      <c r="M528" s="24"/>
      <c r="N528" s="25"/>
      <c r="O528" s="7">
        <f t="shared" si="236"/>
        <v>0</v>
      </c>
      <c r="P528" s="23"/>
      <c r="Q528" s="24"/>
      <c r="R528" s="25"/>
      <c r="S528" s="7">
        <f t="shared" si="238"/>
        <v>0</v>
      </c>
    </row>
    <row r="529" spans="1:21" x14ac:dyDescent="0.15">
      <c r="A529" s="6" t="s">
        <v>3</v>
      </c>
      <c r="B529" s="23"/>
      <c r="C529" s="24"/>
      <c r="D529" s="25"/>
      <c r="E529" s="7">
        <f t="shared" si="233"/>
        <v>0</v>
      </c>
      <c r="F529" s="23"/>
      <c r="G529" s="24"/>
      <c r="H529" s="25"/>
      <c r="I529" s="7">
        <f t="shared" si="234"/>
        <v>0</v>
      </c>
      <c r="K529" s="5" t="s">
        <v>3</v>
      </c>
      <c r="L529" s="25"/>
      <c r="M529" s="24"/>
      <c r="N529" s="25"/>
      <c r="O529" s="7">
        <f t="shared" si="236"/>
        <v>0</v>
      </c>
      <c r="P529" s="25"/>
      <c r="Q529" s="24"/>
      <c r="R529" s="25"/>
      <c r="S529" s="7">
        <f t="shared" si="238"/>
        <v>0</v>
      </c>
    </row>
    <row r="530" spans="1:21" ht="14.25" thickBot="1" x14ac:dyDescent="0.2">
      <c r="A530" s="6" t="s">
        <v>3</v>
      </c>
      <c r="B530" s="29"/>
      <c r="C530" s="30"/>
      <c r="D530" s="29"/>
      <c r="E530" s="16">
        <f t="shared" si="233"/>
        <v>0</v>
      </c>
      <c r="F530" s="29"/>
      <c r="G530" s="30"/>
      <c r="H530" s="29"/>
      <c r="I530" s="16">
        <f t="shared" si="234"/>
        <v>0</v>
      </c>
      <c r="K530" s="33" t="s">
        <v>3</v>
      </c>
      <c r="L530" s="29"/>
      <c r="M530" s="30"/>
      <c r="N530" s="29"/>
      <c r="O530" s="16">
        <f t="shared" si="236"/>
        <v>0</v>
      </c>
      <c r="P530" s="29"/>
      <c r="Q530" s="30"/>
      <c r="R530" s="29"/>
      <c r="S530" s="16">
        <f t="shared" si="238"/>
        <v>0</v>
      </c>
    </row>
    <row r="531" spans="1:21" ht="14.25" thickBot="1" x14ac:dyDescent="0.2">
      <c r="A531" s="17" t="s">
        <v>4</v>
      </c>
      <c r="B531" s="18">
        <f>SUM(B520:B530)</f>
        <v>14</v>
      </c>
      <c r="C531" s="18">
        <f>SUM(C520:C530)</f>
        <v>17</v>
      </c>
      <c r="D531" s="19">
        <f>SUM(D520:D530)</f>
        <v>8</v>
      </c>
      <c r="E531" s="20">
        <f t="shared" si="233"/>
        <v>39</v>
      </c>
      <c r="F531" s="18">
        <f>SUM(F520:F530)</f>
        <v>14</v>
      </c>
      <c r="G531" s="18">
        <f>SUM(G520:G530)</f>
        <v>17</v>
      </c>
      <c r="H531" s="19">
        <f>SUM(H520:H530)</f>
        <v>8</v>
      </c>
      <c r="I531" s="20">
        <f t="shared" si="234"/>
        <v>39</v>
      </c>
      <c r="K531" s="17" t="s">
        <v>4</v>
      </c>
      <c r="L531" s="18">
        <f>SUM(L520:L530)</f>
        <v>316</v>
      </c>
      <c r="M531" s="18">
        <f>SUM(M520:M530)</f>
        <v>352</v>
      </c>
      <c r="N531" s="18">
        <f>SUM(N520:N530)</f>
        <v>158</v>
      </c>
      <c r="O531" s="20">
        <f t="shared" si="236"/>
        <v>826</v>
      </c>
      <c r="P531" s="18">
        <f>SUM(P520:P530)</f>
        <v>316</v>
      </c>
      <c r="Q531" s="18">
        <f>SUM(Q520:Q530)</f>
        <v>352</v>
      </c>
      <c r="R531" s="19">
        <f>SUM(R520:R530)</f>
        <v>158</v>
      </c>
      <c r="S531" s="20">
        <f t="shared" si="238"/>
        <v>826</v>
      </c>
    </row>
    <row r="532" spans="1:21" x14ac:dyDescent="0.15">
      <c r="A532" s="11" t="s">
        <v>373</v>
      </c>
      <c r="B532" s="8"/>
      <c r="C532" s="9">
        <v>1</v>
      </c>
      <c r="D532" s="10"/>
      <c r="E532" s="4">
        <f t="shared" si="233"/>
        <v>1</v>
      </c>
      <c r="F532" s="8"/>
      <c r="G532" s="9">
        <v>1</v>
      </c>
      <c r="H532" s="10"/>
      <c r="I532" s="4">
        <f t="shared" si="234"/>
        <v>1</v>
      </c>
      <c r="J532" s="47">
        <v>45180</v>
      </c>
      <c r="K532" s="11" t="s">
        <v>375</v>
      </c>
      <c r="L532" s="9"/>
      <c r="M532" s="10">
        <v>3</v>
      </c>
      <c r="N532" s="9"/>
      <c r="O532" s="70">
        <f t="shared" si="236"/>
        <v>3</v>
      </c>
      <c r="P532" s="9"/>
      <c r="Q532" s="10">
        <v>3</v>
      </c>
      <c r="R532" s="9"/>
      <c r="S532" s="7">
        <f t="shared" si="238"/>
        <v>3</v>
      </c>
      <c r="T532" s="47">
        <v>45181</v>
      </c>
    </row>
    <row r="533" spans="1:21" x14ac:dyDescent="0.15">
      <c r="A533" s="111" t="s">
        <v>380</v>
      </c>
      <c r="B533" s="8"/>
      <c r="C533" s="9">
        <v>2</v>
      </c>
      <c r="D533" s="10"/>
      <c r="E533" s="4">
        <f t="shared" si="233"/>
        <v>2</v>
      </c>
      <c r="F533" s="8"/>
      <c r="G533" s="9">
        <v>2</v>
      </c>
      <c r="H533" s="10"/>
      <c r="I533" s="4">
        <f t="shared" si="234"/>
        <v>2</v>
      </c>
      <c r="J533" s="47">
        <v>45191</v>
      </c>
      <c r="K533" s="111" t="s">
        <v>376</v>
      </c>
      <c r="L533" s="9">
        <v>6</v>
      </c>
      <c r="M533" s="10">
        <v>9</v>
      </c>
      <c r="N533" s="9">
        <v>8</v>
      </c>
      <c r="O533" s="70">
        <f t="shared" ref="O533:O544" si="240">SUM(L533:N533)</f>
        <v>23</v>
      </c>
      <c r="P533" s="9">
        <v>6</v>
      </c>
      <c r="Q533" s="10">
        <v>9</v>
      </c>
      <c r="R533" s="9">
        <v>8</v>
      </c>
      <c r="S533" s="7">
        <f t="shared" ref="S533:S544" si="241">SUM(P533:R533)</f>
        <v>23</v>
      </c>
      <c r="T533" s="47">
        <v>45184</v>
      </c>
      <c r="U533" s="54"/>
    </row>
    <row r="534" spans="1:21" x14ac:dyDescent="0.15">
      <c r="A534" s="11" t="s">
        <v>381</v>
      </c>
      <c r="B534" s="8"/>
      <c r="C534" s="9">
        <v>1</v>
      </c>
      <c r="D534" s="10"/>
      <c r="E534" s="4">
        <f t="shared" si="233"/>
        <v>1</v>
      </c>
      <c r="F534" s="8"/>
      <c r="G534" s="9">
        <v>1</v>
      </c>
      <c r="H534" s="10"/>
      <c r="I534" s="4">
        <f t="shared" si="234"/>
        <v>1</v>
      </c>
      <c r="J534" s="47">
        <v>45190</v>
      </c>
      <c r="K534" s="3" t="s">
        <v>377</v>
      </c>
      <c r="L534" s="9">
        <v>5</v>
      </c>
      <c r="M534" s="10"/>
      <c r="N534" s="9"/>
      <c r="O534" s="70">
        <f t="shared" si="240"/>
        <v>5</v>
      </c>
      <c r="P534" s="9">
        <v>5</v>
      </c>
      <c r="Q534" s="10"/>
      <c r="R534" s="9"/>
      <c r="S534" s="7">
        <f t="shared" si="241"/>
        <v>5</v>
      </c>
      <c r="T534" s="47">
        <v>45188</v>
      </c>
    </row>
    <row r="535" spans="1:21" x14ac:dyDescent="0.15">
      <c r="A535" s="111" t="s">
        <v>382</v>
      </c>
      <c r="B535" s="8">
        <v>2</v>
      </c>
      <c r="C535" s="9"/>
      <c r="D535" s="10"/>
      <c r="E535" s="4">
        <f t="shared" si="233"/>
        <v>2</v>
      </c>
      <c r="F535" s="8">
        <v>2</v>
      </c>
      <c r="G535" s="9"/>
      <c r="H535" s="10"/>
      <c r="I535" s="4">
        <f t="shared" si="234"/>
        <v>2</v>
      </c>
      <c r="J535" s="47">
        <v>45191</v>
      </c>
      <c r="K535" s="11" t="s">
        <v>379</v>
      </c>
      <c r="L535" s="9"/>
      <c r="M535" s="10">
        <v>1</v>
      </c>
      <c r="N535" s="9"/>
      <c r="O535" s="70">
        <f t="shared" si="240"/>
        <v>1</v>
      </c>
      <c r="P535" s="9"/>
      <c r="Q535" s="10">
        <v>1</v>
      </c>
      <c r="R535" s="9"/>
      <c r="S535" s="7">
        <f t="shared" si="241"/>
        <v>1</v>
      </c>
      <c r="T535" s="47">
        <v>45188</v>
      </c>
    </row>
    <row r="536" spans="1:21" x14ac:dyDescent="0.15">
      <c r="A536" s="11" t="s">
        <v>383</v>
      </c>
      <c r="B536" s="8">
        <v>1</v>
      </c>
      <c r="C536" s="9">
        <v>1</v>
      </c>
      <c r="D536" s="10"/>
      <c r="E536" s="4">
        <f t="shared" si="233"/>
        <v>2</v>
      </c>
      <c r="F536" s="8">
        <v>1</v>
      </c>
      <c r="G536" s="9">
        <v>1</v>
      </c>
      <c r="H536" s="10"/>
      <c r="I536" s="4">
        <f t="shared" si="234"/>
        <v>2</v>
      </c>
      <c r="J536" s="47">
        <v>45194</v>
      </c>
      <c r="K536" s="11" t="s">
        <v>385</v>
      </c>
      <c r="L536" s="9"/>
      <c r="M536" s="10">
        <v>1</v>
      </c>
      <c r="N536" s="9">
        <v>1</v>
      </c>
      <c r="O536" s="70">
        <f t="shared" si="240"/>
        <v>2</v>
      </c>
      <c r="P536" s="9"/>
      <c r="Q536" s="10">
        <v>1</v>
      </c>
      <c r="R536" s="9">
        <v>1</v>
      </c>
      <c r="S536" s="7">
        <f t="shared" si="241"/>
        <v>2</v>
      </c>
      <c r="T536" s="47">
        <v>45197</v>
      </c>
    </row>
    <row r="537" spans="1:21" x14ac:dyDescent="0.15">
      <c r="A537" s="111" t="s">
        <v>382</v>
      </c>
      <c r="B537" s="8">
        <v>2</v>
      </c>
      <c r="C537" s="9"/>
      <c r="D537" s="10"/>
      <c r="E537" s="7">
        <f t="shared" si="233"/>
        <v>2</v>
      </c>
      <c r="F537" s="8">
        <v>2</v>
      </c>
      <c r="G537" s="9"/>
      <c r="H537" s="10"/>
      <c r="I537" s="7">
        <f t="shared" si="234"/>
        <v>2</v>
      </c>
      <c r="J537" s="47">
        <v>45204</v>
      </c>
      <c r="K537" s="3" t="s">
        <v>386</v>
      </c>
      <c r="L537" s="9"/>
      <c r="M537" s="10">
        <v>5</v>
      </c>
      <c r="N537" s="9"/>
      <c r="O537" s="70">
        <f t="shared" si="240"/>
        <v>5</v>
      </c>
      <c r="P537" s="9"/>
      <c r="Q537" s="10">
        <v>5</v>
      </c>
      <c r="R537" s="9"/>
      <c r="S537" s="7">
        <f t="shared" si="241"/>
        <v>5</v>
      </c>
      <c r="T537" s="47">
        <v>45203</v>
      </c>
    </row>
    <row r="538" spans="1:21" x14ac:dyDescent="0.15">
      <c r="A538" s="11" t="s">
        <v>384</v>
      </c>
      <c r="B538" s="8"/>
      <c r="C538" s="9"/>
      <c r="D538" s="10">
        <v>1</v>
      </c>
      <c r="E538" s="7">
        <f t="shared" si="233"/>
        <v>1</v>
      </c>
      <c r="F538" s="8"/>
      <c r="G538" s="9"/>
      <c r="H538" s="10">
        <v>1</v>
      </c>
      <c r="I538" s="7">
        <f t="shared" si="234"/>
        <v>1</v>
      </c>
      <c r="J538" s="47">
        <v>45196</v>
      </c>
      <c r="K538" s="66" t="s">
        <v>389</v>
      </c>
      <c r="L538" s="9"/>
      <c r="M538" s="10">
        <v>3</v>
      </c>
      <c r="N538" s="9"/>
      <c r="O538" s="70">
        <f t="shared" ref="O538" si="242">SUM(L538:N538)</f>
        <v>3</v>
      </c>
      <c r="P538" s="9"/>
      <c r="Q538" s="10">
        <v>3</v>
      </c>
      <c r="R538" s="9"/>
      <c r="S538" s="7">
        <f t="shared" ref="S538" si="243">SUM(P538:R538)</f>
        <v>3</v>
      </c>
      <c r="T538" s="47">
        <v>45206</v>
      </c>
    </row>
    <row r="539" spans="1:21" x14ac:dyDescent="0.15">
      <c r="A539" s="111" t="s">
        <v>387</v>
      </c>
      <c r="B539" s="8"/>
      <c r="C539" s="9">
        <v>3</v>
      </c>
      <c r="D539" s="10"/>
      <c r="E539" s="7">
        <f t="shared" si="233"/>
        <v>3</v>
      </c>
      <c r="F539" s="8"/>
      <c r="G539" s="9">
        <v>3</v>
      </c>
      <c r="H539" s="10"/>
      <c r="I539" s="7">
        <f t="shared" si="234"/>
        <v>3</v>
      </c>
      <c r="J539" s="47">
        <v>45204</v>
      </c>
      <c r="K539" s="11" t="s">
        <v>390</v>
      </c>
      <c r="L539" s="9"/>
      <c r="M539" s="10">
        <v>2</v>
      </c>
      <c r="N539" s="9"/>
      <c r="O539" s="70">
        <f t="shared" si="240"/>
        <v>2</v>
      </c>
      <c r="P539" s="9"/>
      <c r="Q539" s="10">
        <v>2</v>
      </c>
      <c r="R539" s="9"/>
      <c r="S539" s="7">
        <f t="shared" si="241"/>
        <v>2</v>
      </c>
      <c r="T539" s="47">
        <v>45211</v>
      </c>
    </row>
    <row r="540" spans="1:21" x14ac:dyDescent="0.15">
      <c r="A540" s="111" t="s">
        <v>388</v>
      </c>
      <c r="B540" s="9"/>
      <c r="C540" s="10">
        <v>1</v>
      </c>
      <c r="D540" s="9"/>
      <c r="E540" s="7">
        <f t="shared" si="233"/>
        <v>1</v>
      </c>
      <c r="F540" s="9"/>
      <c r="G540" s="10">
        <v>1</v>
      </c>
      <c r="H540" s="9"/>
      <c r="I540" s="7">
        <f t="shared" si="234"/>
        <v>1</v>
      </c>
      <c r="J540" s="47">
        <v>45211</v>
      </c>
      <c r="K540" s="111" t="s">
        <v>391</v>
      </c>
      <c r="L540" s="9"/>
      <c r="M540" s="10">
        <v>1</v>
      </c>
      <c r="N540" s="9"/>
      <c r="O540" s="70">
        <f t="shared" si="240"/>
        <v>1</v>
      </c>
      <c r="P540" s="9"/>
      <c r="Q540" s="10">
        <v>1</v>
      </c>
      <c r="R540" s="9"/>
      <c r="S540" s="7">
        <f t="shared" si="241"/>
        <v>1</v>
      </c>
      <c r="T540" s="47">
        <v>45218</v>
      </c>
      <c r="U540" s="54"/>
    </row>
    <row r="541" spans="1:21" x14ac:dyDescent="0.15">
      <c r="A541" s="11" t="s">
        <v>392</v>
      </c>
      <c r="B541" s="8"/>
      <c r="C541" s="9"/>
      <c r="D541" s="10">
        <v>1</v>
      </c>
      <c r="E541" s="7">
        <f t="shared" si="233"/>
        <v>1</v>
      </c>
      <c r="F541" s="8"/>
      <c r="G541" s="9"/>
      <c r="H541" s="10">
        <v>1</v>
      </c>
      <c r="I541" s="7">
        <f t="shared" si="234"/>
        <v>1</v>
      </c>
      <c r="J541" s="47">
        <v>45217</v>
      </c>
      <c r="K541" s="111" t="s">
        <v>394</v>
      </c>
      <c r="L541" s="9"/>
      <c r="M541" s="10">
        <v>1</v>
      </c>
      <c r="N541" s="9"/>
      <c r="O541" s="70">
        <f t="shared" si="240"/>
        <v>1</v>
      </c>
      <c r="P541" s="9"/>
      <c r="Q541" s="10">
        <v>1</v>
      </c>
      <c r="R541" s="9"/>
      <c r="S541" s="7">
        <f t="shared" si="241"/>
        <v>1</v>
      </c>
      <c r="T541" s="47">
        <v>45223</v>
      </c>
    </row>
    <row r="542" spans="1:21" x14ac:dyDescent="0.15">
      <c r="A542" s="11" t="s">
        <v>393</v>
      </c>
      <c r="B542" s="8"/>
      <c r="C542" s="9"/>
      <c r="D542" s="10">
        <v>1</v>
      </c>
      <c r="E542" s="7">
        <f t="shared" si="233"/>
        <v>1</v>
      </c>
      <c r="F542" s="8"/>
      <c r="G542" s="9"/>
      <c r="H542" s="10">
        <v>1</v>
      </c>
      <c r="I542" s="7">
        <f t="shared" si="234"/>
        <v>1</v>
      </c>
      <c r="J542" s="47">
        <v>45219</v>
      </c>
      <c r="K542" s="111" t="s">
        <v>396</v>
      </c>
      <c r="L542" s="9"/>
      <c r="M542" s="10">
        <v>1</v>
      </c>
      <c r="N542" s="9"/>
      <c r="O542" s="70">
        <f t="shared" si="240"/>
        <v>1</v>
      </c>
      <c r="P542" s="9"/>
      <c r="Q542" s="10">
        <v>1</v>
      </c>
      <c r="R542" s="9"/>
      <c r="S542" s="7">
        <f t="shared" si="241"/>
        <v>1</v>
      </c>
      <c r="T542" s="47">
        <v>45226</v>
      </c>
      <c r="U542" s="54"/>
    </row>
    <row r="543" spans="1:21" x14ac:dyDescent="0.15">
      <c r="A543" s="11" t="s">
        <v>395</v>
      </c>
      <c r="B543" s="8">
        <v>1</v>
      </c>
      <c r="C543" s="9"/>
      <c r="D543" s="10"/>
      <c r="E543" s="7">
        <f t="shared" si="233"/>
        <v>1</v>
      </c>
      <c r="F543" s="8">
        <v>1</v>
      </c>
      <c r="G543" s="9"/>
      <c r="H543" s="10"/>
      <c r="I543" s="7">
        <f t="shared" si="234"/>
        <v>1</v>
      </c>
      <c r="J543" s="47">
        <v>45223</v>
      </c>
      <c r="K543" s="111" t="s">
        <v>397</v>
      </c>
      <c r="L543" s="9">
        <v>1</v>
      </c>
      <c r="M543" s="10">
        <v>1</v>
      </c>
      <c r="N543" s="9"/>
      <c r="O543" s="70">
        <f t="shared" si="240"/>
        <v>2</v>
      </c>
      <c r="P543" s="9">
        <v>1</v>
      </c>
      <c r="Q543" s="10">
        <v>1</v>
      </c>
      <c r="R543" s="9"/>
      <c r="S543" s="7">
        <f t="shared" si="241"/>
        <v>2</v>
      </c>
      <c r="T543" s="47">
        <v>45236</v>
      </c>
    </row>
    <row r="544" spans="1:21" x14ac:dyDescent="0.15">
      <c r="A544" s="3" t="s">
        <v>398</v>
      </c>
      <c r="B544" s="8">
        <v>1</v>
      </c>
      <c r="C544" s="9"/>
      <c r="D544" s="10"/>
      <c r="E544" s="7">
        <f t="shared" si="233"/>
        <v>1</v>
      </c>
      <c r="F544" s="8">
        <v>1</v>
      </c>
      <c r="G544" s="9"/>
      <c r="H544" s="10"/>
      <c r="I544" s="7">
        <f t="shared" si="234"/>
        <v>1</v>
      </c>
      <c r="J544" s="47">
        <v>45239</v>
      </c>
      <c r="K544" s="111" t="s">
        <v>399</v>
      </c>
      <c r="L544" s="9">
        <v>2</v>
      </c>
      <c r="M544" s="10"/>
      <c r="N544" s="9"/>
      <c r="O544" s="70">
        <f t="shared" si="240"/>
        <v>2</v>
      </c>
      <c r="P544" s="9">
        <v>2</v>
      </c>
      <c r="Q544" s="10"/>
      <c r="R544" s="9"/>
      <c r="S544" s="7">
        <f t="shared" si="241"/>
        <v>2</v>
      </c>
      <c r="T544" s="47">
        <v>45243</v>
      </c>
    </row>
    <row r="545" spans="1:19" x14ac:dyDescent="0.15">
      <c r="A545" s="11" t="s">
        <v>400</v>
      </c>
      <c r="B545" s="8"/>
      <c r="C545" s="9">
        <v>1</v>
      </c>
      <c r="D545" s="10"/>
      <c r="E545" s="7">
        <f t="shared" si="233"/>
        <v>1</v>
      </c>
      <c r="F545" s="8"/>
      <c r="G545" s="9">
        <v>1</v>
      </c>
      <c r="H545" s="10"/>
      <c r="I545" s="7">
        <f t="shared" si="234"/>
        <v>1</v>
      </c>
      <c r="J545" s="47">
        <v>45243</v>
      </c>
      <c r="K545" s="66"/>
      <c r="L545" s="9"/>
      <c r="M545" s="10"/>
      <c r="N545" s="9"/>
      <c r="O545" s="70">
        <f t="shared" si="236"/>
        <v>0</v>
      </c>
      <c r="P545" s="9"/>
      <c r="Q545" s="10"/>
      <c r="R545" s="9"/>
      <c r="S545" s="7">
        <f t="shared" si="238"/>
        <v>0</v>
      </c>
    </row>
    <row r="546" spans="1:19" x14ac:dyDescent="0.15">
      <c r="A546" s="11" t="s">
        <v>401</v>
      </c>
      <c r="B546" s="8"/>
      <c r="C546" s="9">
        <v>1</v>
      </c>
      <c r="D546" s="10"/>
      <c r="E546" s="7">
        <f t="shared" si="233"/>
        <v>1</v>
      </c>
      <c r="F546" s="8"/>
      <c r="G546" s="9">
        <v>1</v>
      </c>
      <c r="H546" s="10"/>
      <c r="I546" s="7">
        <f t="shared" si="234"/>
        <v>1</v>
      </c>
      <c r="J546" s="47">
        <v>45254</v>
      </c>
      <c r="K546" s="66"/>
      <c r="L546" s="9"/>
      <c r="M546" s="10"/>
      <c r="N546" s="9"/>
      <c r="O546" s="70">
        <f t="shared" si="236"/>
        <v>0</v>
      </c>
      <c r="P546" s="9"/>
      <c r="Q546" s="9"/>
      <c r="R546" s="9"/>
      <c r="S546" s="7">
        <f t="shared" si="238"/>
        <v>0</v>
      </c>
    </row>
    <row r="547" spans="1:19" x14ac:dyDescent="0.15">
      <c r="A547" s="11" t="s">
        <v>402</v>
      </c>
      <c r="B547" s="8"/>
      <c r="C547" s="9">
        <v>1</v>
      </c>
      <c r="D547" s="10"/>
      <c r="E547" s="7">
        <f t="shared" si="233"/>
        <v>1</v>
      </c>
      <c r="F547" s="8"/>
      <c r="G547" s="9">
        <v>1</v>
      </c>
      <c r="H547" s="10"/>
      <c r="I547" s="7">
        <f t="shared" si="234"/>
        <v>1</v>
      </c>
      <c r="J547" s="47">
        <v>45258</v>
      </c>
      <c r="K547" s="3"/>
      <c r="L547" s="8"/>
      <c r="M547" s="9"/>
      <c r="N547" s="10"/>
      <c r="O547" s="7">
        <f t="shared" si="236"/>
        <v>0</v>
      </c>
      <c r="P547" s="8"/>
      <c r="Q547" s="9"/>
      <c r="R547" s="10"/>
      <c r="S547" s="7">
        <f t="shared" si="238"/>
        <v>0</v>
      </c>
    </row>
    <row r="548" spans="1:19" x14ac:dyDescent="0.15">
      <c r="A548" s="3" t="s">
        <v>404</v>
      </c>
      <c r="B548" s="8">
        <v>1</v>
      </c>
      <c r="C548" s="9"/>
      <c r="D548" s="10"/>
      <c r="E548" s="7">
        <f t="shared" si="233"/>
        <v>1</v>
      </c>
      <c r="F548" s="8">
        <v>1</v>
      </c>
      <c r="G548" s="9"/>
      <c r="H548" s="10"/>
      <c r="I548" s="7">
        <f t="shared" si="234"/>
        <v>1</v>
      </c>
      <c r="J548" s="56">
        <v>45259</v>
      </c>
      <c r="K548" s="3"/>
      <c r="L548" s="8"/>
      <c r="M548" s="9"/>
      <c r="N548" s="10"/>
      <c r="O548" s="7">
        <f t="shared" si="236"/>
        <v>0</v>
      </c>
      <c r="P548" s="8"/>
      <c r="Q548" s="9"/>
      <c r="R548" s="10"/>
      <c r="S548" s="7">
        <f t="shared" si="238"/>
        <v>0</v>
      </c>
    </row>
    <row r="549" spans="1:19" x14ac:dyDescent="0.15">
      <c r="A549" s="3" t="s">
        <v>405</v>
      </c>
      <c r="B549" s="8">
        <v>1</v>
      </c>
      <c r="C549" s="9"/>
      <c r="D549" s="10"/>
      <c r="E549" s="7">
        <f t="shared" si="233"/>
        <v>1</v>
      </c>
      <c r="F549" s="8">
        <v>1</v>
      </c>
      <c r="G549" s="9"/>
      <c r="H549" s="10"/>
      <c r="I549" s="7">
        <f t="shared" si="234"/>
        <v>1</v>
      </c>
      <c r="J549" s="47">
        <v>45259</v>
      </c>
      <c r="K549" s="3"/>
      <c r="L549" s="8"/>
      <c r="M549" s="9"/>
      <c r="N549" s="10"/>
      <c r="O549" s="7">
        <f t="shared" ref="O549:O554" si="244">SUM(L549:N549)</f>
        <v>0</v>
      </c>
      <c r="P549" s="8"/>
      <c r="Q549" s="9"/>
      <c r="R549" s="10"/>
      <c r="S549" s="7">
        <f t="shared" ref="S549:S554" si="245">SUM(P549:R549)</f>
        <v>0</v>
      </c>
    </row>
    <row r="550" spans="1:19" x14ac:dyDescent="0.15">
      <c r="A550" s="11" t="s">
        <v>406</v>
      </c>
      <c r="B550" s="8">
        <v>1</v>
      </c>
      <c r="C550" s="9"/>
      <c r="D550" s="10"/>
      <c r="E550" s="7">
        <f t="shared" si="233"/>
        <v>1</v>
      </c>
      <c r="F550" s="8">
        <v>1</v>
      </c>
      <c r="G550" s="9"/>
      <c r="H550" s="10"/>
      <c r="I550" s="7">
        <f t="shared" si="234"/>
        <v>1</v>
      </c>
      <c r="J550" s="47">
        <v>45264</v>
      </c>
      <c r="K550" s="3"/>
      <c r="L550" s="8"/>
      <c r="M550" s="9"/>
      <c r="N550" s="10"/>
      <c r="O550" s="7">
        <f t="shared" si="244"/>
        <v>0</v>
      </c>
      <c r="P550" s="8"/>
      <c r="Q550" s="9"/>
      <c r="R550" s="10"/>
      <c r="S550" s="7">
        <f t="shared" si="245"/>
        <v>0</v>
      </c>
    </row>
    <row r="551" spans="1:19" x14ac:dyDescent="0.15">
      <c r="A551" s="11" t="s">
        <v>407</v>
      </c>
      <c r="B551" s="8"/>
      <c r="C551" s="9">
        <v>1</v>
      </c>
      <c r="D551" s="10"/>
      <c r="E551" s="7">
        <f t="shared" si="233"/>
        <v>1</v>
      </c>
      <c r="F551" s="8"/>
      <c r="G551" s="9">
        <v>1</v>
      </c>
      <c r="H551" s="10"/>
      <c r="I551" s="7">
        <f t="shared" si="234"/>
        <v>1</v>
      </c>
      <c r="J551" s="47">
        <v>45273</v>
      </c>
      <c r="K551" s="3"/>
      <c r="L551" s="8"/>
      <c r="M551" s="9"/>
      <c r="N551" s="10"/>
      <c r="O551" s="7">
        <f t="shared" si="244"/>
        <v>0</v>
      </c>
      <c r="P551" s="8"/>
      <c r="Q551" s="9"/>
      <c r="R551" s="10"/>
      <c r="S551" s="7">
        <f t="shared" si="245"/>
        <v>0</v>
      </c>
    </row>
    <row r="552" spans="1:19" x14ac:dyDescent="0.15">
      <c r="A552" s="11" t="s">
        <v>410</v>
      </c>
      <c r="B552" s="8">
        <v>1</v>
      </c>
      <c r="C552" s="9"/>
      <c r="D552" s="10"/>
      <c r="E552" s="7">
        <f t="shared" si="233"/>
        <v>1</v>
      </c>
      <c r="F552" s="8">
        <v>1</v>
      </c>
      <c r="G552" s="9"/>
      <c r="H552" s="10"/>
      <c r="I552" s="7">
        <f t="shared" si="234"/>
        <v>1</v>
      </c>
      <c r="J552" s="47">
        <v>45274</v>
      </c>
      <c r="K552" s="3"/>
      <c r="L552" s="8"/>
      <c r="M552" s="9"/>
      <c r="N552" s="10"/>
      <c r="O552" s="7">
        <f t="shared" si="244"/>
        <v>0</v>
      </c>
      <c r="P552" s="8"/>
      <c r="Q552" s="9"/>
      <c r="R552" s="10"/>
      <c r="S552" s="7">
        <f t="shared" si="245"/>
        <v>0</v>
      </c>
    </row>
    <row r="553" spans="1:19" x14ac:dyDescent="0.15">
      <c r="A553" s="11" t="s">
        <v>411</v>
      </c>
      <c r="B553" s="8"/>
      <c r="C553" s="9"/>
      <c r="D553" s="10">
        <v>1</v>
      </c>
      <c r="E553" s="7">
        <f t="shared" si="233"/>
        <v>1</v>
      </c>
      <c r="F553" s="8"/>
      <c r="G553" s="9"/>
      <c r="H553" s="10">
        <v>1</v>
      </c>
      <c r="I553" s="7">
        <f t="shared" si="234"/>
        <v>1</v>
      </c>
      <c r="J553" s="47">
        <v>45278</v>
      </c>
      <c r="K553" s="3"/>
      <c r="L553" s="8"/>
      <c r="M553" s="9"/>
      <c r="N553" s="10"/>
      <c r="O553" s="7">
        <f t="shared" si="244"/>
        <v>0</v>
      </c>
      <c r="P553" s="8"/>
      <c r="Q553" s="9"/>
      <c r="R553" s="10"/>
      <c r="S553" s="7">
        <f t="shared" si="245"/>
        <v>0</v>
      </c>
    </row>
    <row r="554" spans="1:19" x14ac:dyDescent="0.15">
      <c r="A554" s="3"/>
      <c r="B554" s="8"/>
      <c r="C554" s="9"/>
      <c r="D554" s="10"/>
      <c r="E554" s="7">
        <f t="shared" si="233"/>
        <v>0</v>
      </c>
      <c r="F554" s="8"/>
      <c r="G554" s="9"/>
      <c r="H554" s="10"/>
      <c r="I554" s="7">
        <f t="shared" si="234"/>
        <v>0</v>
      </c>
      <c r="K554" s="3"/>
      <c r="L554" s="8"/>
      <c r="M554" s="9"/>
      <c r="N554" s="10"/>
      <c r="O554" s="7">
        <f t="shared" si="244"/>
        <v>0</v>
      </c>
      <c r="P554" s="8"/>
      <c r="Q554" s="9"/>
      <c r="R554" s="10"/>
      <c r="S554" s="7">
        <f t="shared" si="245"/>
        <v>0</v>
      </c>
    </row>
    <row r="555" spans="1:19" ht="14.25" thickBot="1" x14ac:dyDescent="0.2">
      <c r="A555" s="3"/>
      <c r="B555" s="8"/>
      <c r="C555" s="9"/>
      <c r="D555" s="10"/>
      <c r="E555" s="7">
        <f t="shared" si="233"/>
        <v>0</v>
      </c>
      <c r="F555" s="8"/>
      <c r="G555" s="9"/>
      <c r="H555" s="10"/>
      <c r="I555" s="7">
        <f t="shared" si="234"/>
        <v>0</v>
      </c>
      <c r="K555" s="3"/>
      <c r="L555" s="8"/>
      <c r="M555" s="9"/>
      <c r="N555" s="10"/>
      <c r="O555" s="7">
        <f t="shared" ref="O555" si="246">SUM(L555:N555)</f>
        <v>0</v>
      </c>
      <c r="P555" s="8"/>
      <c r="Q555" s="9"/>
      <c r="R555" s="10"/>
      <c r="S555" s="7">
        <f t="shared" ref="S555" si="247">SUM(P555:R555)</f>
        <v>0</v>
      </c>
    </row>
    <row r="556" spans="1:19" ht="14.25" thickBot="1" x14ac:dyDescent="0.2">
      <c r="A556" s="2" t="s">
        <v>5</v>
      </c>
      <c r="B556" s="12">
        <f>SUM(B532:B555)</f>
        <v>11</v>
      </c>
      <c r="C556" s="12">
        <f>SUM(C532:C555)</f>
        <v>13</v>
      </c>
      <c r="D556" s="12">
        <f>SUM(D532:D555)</f>
        <v>4</v>
      </c>
      <c r="E556" s="13">
        <f t="shared" si="233"/>
        <v>28</v>
      </c>
      <c r="F556" s="12">
        <f>SUM(F532:F555)</f>
        <v>11</v>
      </c>
      <c r="G556" s="12">
        <f>SUM(G532:G555)</f>
        <v>13</v>
      </c>
      <c r="H556" s="12">
        <f>SUM(H532:H555)</f>
        <v>4</v>
      </c>
      <c r="I556" s="13">
        <f t="shared" si="234"/>
        <v>28</v>
      </c>
      <c r="K556" s="2" t="s">
        <v>5</v>
      </c>
      <c r="L556" s="12">
        <f>SUM(L532:L555)</f>
        <v>14</v>
      </c>
      <c r="M556" s="12">
        <f>SUM(M532:M555)</f>
        <v>28</v>
      </c>
      <c r="N556" s="12">
        <f>SUM(N532:N555)</f>
        <v>9</v>
      </c>
      <c r="O556" s="13">
        <f t="shared" ref="O556" si="248">SUM(L556:N556)</f>
        <v>51</v>
      </c>
      <c r="P556" s="12">
        <f>SUM(P532:P555)</f>
        <v>14</v>
      </c>
      <c r="Q556" s="12">
        <f>SUM(Q532:Q555)</f>
        <v>28</v>
      </c>
      <c r="R556" s="12">
        <f>SUM(R532:R555)</f>
        <v>9</v>
      </c>
      <c r="S556" s="13">
        <f t="shared" ref="S556" si="249">SUM(P556:R556)</f>
        <v>51</v>
      </c>
    </row>
    <row r="557" spans="1:19" ht="14.25" thickBot="1" x14ac:dyDescent="0.2">
      <c r="A557" s="21" t="s">
        <v>6</v>
      </c>
      <c r="B557" s="22">
        <f t="shared" ref="B557:I557" si="250">B531-B556</f>
        <v>3</v>
      </c>
      <c r="C557" s="22">
        <f t="shared" si="250"/>
        <v>4</v>
      </c>
      <c r="D557" s="22">
        <f t="shared" si="250"/>
        <v>4</v>
      </c>
      <c r="E557" s="22">
        <f t="shared" si="250"/>
        <v>11</v>
      </c>
      <c r="F557" s="22">
        <f t="shared" si="250"/>
        <v>3</v>
      </c>
      <c r="G557" s="22">
        <f t="shared" si="250"/>
        <v>4</v>
      </c>
      <c r="H557" s="22">
        <f t="shared" si="250"/>
        <v>4</v>
      </c>
      <c r="I557" s="20">
        <f t="shared" si="250"/>
        <v>11</v>
      </c>
      <c r="K557" s="21" t="s">
        <v>6</v>
      </c>
      <c r="L557" s="22">
        <f>L531-L556</f>
        <v>302</v>
      </c>
      <c r="M557" s="22">
        <f t="shared" ref="M557:O557" si="251">M531-M556</f>
        <v>324</v>
      </c>
      <c r="N557" s="22">
        <f t="shared" si="251"/>
        <v>149</v>
      </c>
      <c r="O557" s="22">
        <f t="shared" si="251"/>
        <v>775</v>
      </c>
      <c r="P557" s="22">
        <f>P531-P556</f>
        <v>302</v>
      </c>
      <c r="Q557" s="22">
        <f>Q531-Q556</f>
        <v>324</v>
      </c>
      <c r="R557" s="22">
        <f>R531-R556</f>
        <v>149</v>
      </c>
      <c r="S557" s="20">
        <f t="shared" ref="S557" si="252">S531-S556</f>
        <v>775</v>
      </c>
    </row>
    <row r="558" spans="1:19" ht="32.25" x14ac:dyDescent="0.15">
      <c r="A558" s="137"/>
      <c r="B558" s="137"/>
      <c r="C558" s="137"/>
      <c r="D558" s="137"/>
      <c r="E558" s="137"/>
      <c r="F558" s="137"/>
      <c r="G558" s="137"/>
      <c r="H558" s="137"/>
      <c r="I558" s="137"/>
      <c r="J558" s="138"/>
      <c r="K558" s="139" t="s">
        <v>378</v>
      </c>
      <c r="L558" s="138"/>
      <c r="M558" s="138"/>
      <c r="N558" s="138"/>
      <c r="O558" s="138"/>
      <c r="P558" s="138"/>
      <c r="Q558" s="138"/>
      <c r="R558" s="138"/>
      <c r="S558" s="138"/>
    </row>
    <row r="559" spans="1:19" x14ac:dyDescent="0.15">
      <c r="K559" s="110"/>
      <c r="L559" s="142"/>
      <c r="M559" s="142"/>
      <c r="N559" s="142"/>
      <c r="O559" s="142"/>
      <c r="P559" s="142"/>
      <c r="Q559" s="142"/>
      <c r="R559" s="142"/>
      <c r="S559" s="142"/>
    </row>
    <row r="560" spans="1:19" ht="21.75" thickBot="1" x14ac:dyDescent="0.25">
      <c r="A560" s="26" t="s">
        <v>368</v>
      </c>
      <c r="B560" s="27"/>
      <c r="C560" s="27"/>
      <c r="D560" s="27"/>
      <c r="E560" s="27"/>
      <c r="F560" s="28"/>
      <c r="G560" s="28"/>
      <c r="H560" s="28"/>
      <c r="I560" s="28"/>
      <c r="K560" s="26" t="s">
        <v>367</v>
      </c>
      <c r="L560" s="27"/>
      <c r="M560" s="27"/>
      <c r="N560" s="27"/>
      <c r="O560" s="27"/>
      <c r="P560" s="28"/>
      <c r="Q560" s="28"/>
      <c r="R560" s="28"/>
      <c r="S560" s="28"/>
    </row>
    <row r="561" spans="1:21" ht="14.25" thickBot="1" x14ac:dyDescent="0.2">
      <c r="A561" s="1" t="s">
        <v>0</v>
      </c>
      <c r="B561" s="183" t="s">
        <v>12</v>
      </c>
      <c r="C561" s="183"/>
      <c r="D561" s="183"/>
      <c r="E561" s="184"/>
      <c r="F561" s="183" t="s">
        <v>10</v>
      </c>
      <c r="G561" s="183"/>
      <c r="H561" s="183"/>
      <c r="I561" s="184"/>
      <c r="K561" s="1" t="s">
        <v>0</v>
      </c>
      <c r="L561" s="183" t="s">
        <v>12</v>
      </c>
      <c r="M561" s="183"/>
      <c r="N561" s="183"/>
      <c r="O561" s="184"/>
      <c r="P561" s="183" t="s">
        <v>10</v>
      </c>
      <c r="Q561" s="183"/>
      <c r="R561" s="183"/>
      <c r="S561" s="184"/>
    </row>
    <row r="562" spans="1:21" ht="14.25" thickBot="1" x14ac:dyDescent="0.2">
      <c r="A562" s="1" t="s">
        <v>1</v>
      </c>
      <c r="B562" s="2" t="s">
        <v>7</v>
      </c>
      <c r="C562" s="1" t="s">
        <v>8</v>
      </c>
      <c r="D562" s="15" t="s">
        <v>9</v>
      </c>
      <c r="E562" s="1" t="s">
        <v>2</v>
      </c>
      <c r="F562" s="2" t="s">
        <v>7</v>
      </c>
      <c r="G562" s="1" t="s">
        <v>8</v>
      </c>
      <c r="H562" s="15" t="s">
        <v>9</v>
      </c>
      <c r="I562" s="1" t="s">
        <v>2</v>
      </c>
      <c r="K562" s="1" t="s">
        <v>1</v>
      </c>
      <c r="L562" s="2" t="s">
        <v>7</v>
      </c>
      <c r="M562" s="1" t="s">
        <v>8</v>
      </c>
      <c r="N562" s="15" t="s">
        <v>9</v>
      </c>
      <c r="O562" s="1" t="s">
        <v>2</v>
      </c>
      <c r="P562" s="2" t="s">
        <v>7</v>
      </c>
      <c r="Q562" s="1" t="s">
        <v>8</v>
      </c>
      <c r="R562" s="15" t="s">
        <v>9</v>
      </c>
      <c r="S562" s="1" t="s">
        <v>2</v>
      </c>
    </row>
    <row r="563" spans="1:21" ht="14.25" thickBot="1" x14ac:dyDescent="0.2">
      <c r="A563" s="41" t="s">
        <v>13</v>
      </c>
      <c r="B563" s="42">
        <f>B557</f>
        <v>3</v>
      </c>
      <c r="C563" s="43">
        <f>C557</f>
        <v>4</v>
      </c>
      <c r="D563" s="44">
        <f>D557</f>
        <v>4</v>
      </c>
      <c r="E563" s="45">
        <f t="shared" ref="E563:E599" si="253">SUM(B563:D563)</f>
        <v>11</v>
      </c>
      <c r="F563" s="42">
        <f>F557</f>
        <v>3</v>
      </c>
      <c r="G563" s="43">
        <f>G557</f>
        <v>4</v>
      </c>
      <c r="H563" s="44">
        <f>H557</f>
        <v>4</v>
      </c>
      <c r="I563" s="45">
        <f t="shared" ref="I563:I599" si="254">SUM(F563:H563)</f>
        <v>11</v>
      </c>
      <c r="K563" s="34" t="s">
        <v>13</v>
      </c>
      <c r="L563" s="35">
        <f>L557</f>
        <v>302</v>
      </c>
      <c r="M563" s="35">
        <f t="shared" ref="M563:N563" si="255">M557</f>
        <v>324</v>
      </c>
      <c r="N563" s="35">
        <f t="shared" si="255"/>
        <v>149</v>
      </c>
      <c r="O563" s="20">
        <f t="shared" ref="O563:O599" si="256">SUM(L563:N563)</f>
        <v>775</v>
      </c>
      <c r="P563" s="35">
        <f>P557</f>
        <v>302</v>
      </c>
      <c r="Q563" s="36">
        <f t="shared" ref="Q563:R563" si="257">Q557</f>
        <v>324</v>
      </c>
      <c r="R563" s="37">
        <f t="shared" si="257"/>
        <v>149</v>
      </c>
      <c r="S563" s="20">
        <f t="shared" ref="S563:S599" si="258">SUM(P563:R563)</f>
        <v>775</v>
      </c>
    </row>
    <row r="564" spans="1:21" x14ac:dyDescent="0.15">
      <c r="A564" s="6" t="s">
        <v>3</v>
      </c>
      <c r="B564" s="38">
        <v>5</v>
      </c>
      <c r="C564" s="39"/>
      <c r="D564" s="40"/>
      <c r="E564" s="4">
        <f t="shared" si="253"/>
        <v>5</v>
      </c>
      <c r="F564" s="38">
        <v>5</v>
      </c>
      <c r="G564" s="39"/>
      <c r="H564" s="40"/>
      <c r="I564" s="4">
        <f t="shared" si="254"/>
        <v>5</v>
      </c>
      <c r="J564" s="47">
        <v>45344</v>
      </c>
      <c r="K564" s="5" t="s">
        <v>3</v>
      </c>
      <c r="L564" s="46"/>
      <c r="M564" s="3"/>
      <c r="N564" s="46"/>
      <c r="O564" s="4">
        <f t="shared" si="256"/>
        <v>0</v>
      </c>
      <c r="P564" s="46"/>
      <c r="Q564" s="3"/>
      <c r="R564" s="46"/>
      <c r="S564" s="4">
        <f t="shared" si="258"/>
        <v>0</v>
      </c>
    </row>
    <row r="565" spans="1:21" x14ac:dyDescent="0.15">
      <c r="A565" s="6" t="s">
        <v>3</v>
      </c>
      <c r="B565" s="14">
        <v>3</v>
      </c>
      <c r="C565" s="11">
        <v>5</v>
      </c>
      <c r="D565" s="14">
        <v>3</v>
      </c>
      <c r="E565" s="4">
        <f t="shared" si="253"/>
        <v>11</v>
      </c>
      <c r="F565" s="14">
        <v>3</v>
      </c>
      <c r="G565" s="11">
        <v>5</v>
      </c>
      <c r="H565" s="14">
        <v>3</v>
      </c>
      <c r="I565" s="4">
        <f t="shared" si="254"/>
        <v>11</v>
      </c>
      <c r="J565" s="47">
        <v>45362</v>
      </c>
      <c r="K565" s="5" t="s">
        <v>3</v>
      </c>
      <c r="L565" s="14"/>
      <c r="M565" s="11"/>
      <c r="N565" s="14"/>
      <c r="O565" s="4">
        <f t="shared" ref="O565:O569" si="259">SUM(L565:N565)</f>
        <v>0</v>
      </c>
      <c r="P565" s="14"/>
      <c r="Q565" s="11"/>
      <c r="R565" s="14"/>
      <c r="S565" s="4">
        <f t="shared" ref="S565:S569" si="260">SUM(P565:R565)</f>
        <v>0</v>
      </c>
    </row>
    <row r="566" spans="1:21" x14ac:dyDescent="0.15">
      <c r="A566" s="6" t="s">
        <v>91</v>
      </c>
      <c r="B566" s="14"/>
      <c r="C566" s="11"/>
      <c r="D566" s="14">
        <v>1</v>
      </c>
      <c r="E566" s="4">
        <f t="shared" si="253"/>
        <v>1</v>
      </c>
      <c r="F566" s="14"/>
      <c r="G566" s="11"/>
      <c r="H566" s="14">
        <v>1</v>
      </c>
      <c r="I566" s="4">
        <f t="shared" si="254"/>
        <v>1</v>
      </c>
      <c r="J566" s="47">
        <v>45407</v>
      </c>
      <c r="K566" s="5" t="s">
        <v>3</v>
      </c>
      <c r="L566" s="14"/>
      <c r="M566" s="11"/>
      <c r="N566" s="14"/>
      <c r="O566" s="4">
        <f t="shared" si="259"/>
        <v>0</v>
      </c>
      <c r="P566" s="14"/>
      <c r="Q566" s="11"/>
      <c r="R566" s="14"/>
      <c r="S566" s="4">
        <f t="shared" si="260"/>
        <v>0</v>
      </c>
    </row>
    <row r="567" spans="1:21" x14ac:dyDescent="0.15">
      <c r="A567" s="6" t="s">
        <v>3</v>
      </c>
      <c r="B567" s="14"/>
      <c r="C567" s="11"/>
      <c r="D567" s="14"/>
      <c r="E567" s="4">
        <f t="shared" si="253"/>
        <v>0</v>
      </c>
      <c r="F567" s="14"/>
      <c r="G567" s="11"/>
      <c r="H567" s="14"/>
      <c r="I567" s="4">
        <f t="shared" si="254"/>
        <v>0</v>
      </c>
      <c r="K567" s="5" t="s">
        <v>3</v>
      </c>
      <c r="L567" s="14"/>
      <c r="M567" s="11"/>
      <c r="N567" s="14"/>
      <c r="O567" s="4">
        <f t="shared" si="259"/>
        <v>0</v>
      </c>
      <c r="P567" s="14"/>
      <c r="Q567" s="11"/>
      <c r="R567" s="14"/>
      <c r="S567" s="4">
        <f t="shared" si="260"/>
        <v>0</v>
      </c>
    </row>
    <row r="568" spans="1:21" x14ac:dyDescent="0.15">
      <c r="A568" s="6" t="s">
        <v>3</v>
      </c>
      <c r="B568" s="14"/>
      <c r="C568" s="11"/>
      <c r="D568" s="14"/>
      <c r="E568" s="4">
        <f t="shared" si="253"/>
        <v>0</v>
      </c>
      <c r="F568" s="14"/>
      <c r="G568" s="11"/>
      <c r="H568" s="14"/>
      <c r="I568" s="4">
        <f t="shared" si="254"/>
        <v>0</v>
      </c>
      <c r="K568" s="5" t="s">
        <v>3</v>
      </c>
      <c r="L568" s="14"/>
      <c r="M568" s="11"/>
      <c r="N568" s="14"/>
      <c r="O568" s="4">
        <f t="shared" si="259"/>
        <v>0</v>
      </c>
      <c r="P568" s="14"/>
      <c r="Q568" s="11"/>
      <c r="R568" s="14"/>
      <c r="S568" s="4">
        <f t="shared" si="260"/>
        <v>0</v>
      </c>
    </row>
    <row r="569" spans="1:21" x14ac:dyDescent="0.15">
      <c r="A569" s="6" t="s">
        <v>3</v>
      </c>
      <c r="B569" s="14"/>
      <c r="C569" s="11"/>
      <c r="D569" s="14"/>
      <c r="E569" s="4">
        <f t="shared" si="253"/>
        <v>0</v>
      </c>
      <c r="F569" s="14"/>
      <c r="G569" s="11"/>
      <c r="H569" s="14"/>
      <c r="I569" s="4">
        <f t="shared" si="254"/>
        <v>0</v>
      </c>
      <c r="K569" s="5" t="s">
        <v>3</v>
      </c>
      <c r="L569" s="14"/>
      <c r="M569" s="11"/>
      <c r="N569" s="14"/>
      <c r="O569" s="4">
        <f t="shared" si="259"/>
        <v>0</v>
      </c>
      <c r="P569" s="14"/>
      <c r="Q569" s="11"/>
      <c r="R569" s="14"/>
      <c r="S569" s="4">
        <f t="shared" si="260"/>
        <v>0</v>
      </c>
    </row>
    <row r="570" spans="1:21" x14ac:dyDescent="0.15">
      <c r="A570" s="6" t="s">
        <v>3</v>
      </c>
      <c r="B570" s="14"/>
      <c r="C570" s="11"/>
      <c r="D570" s="14"/>
      <c r="E570" s="4">
        <f t="shared" si="253"/>
        <v>0</v>
      </c>
      <c r="F570" s="14"/>
      <c r="G570" s="11"/>
      <c r="H570" s="14"/>
      <c r="I570" s="4">
        <f t="shared" si="254"/>
        <v>0</v>
      </c>
      <c r="K570" s="5" t="s">
        <v>3</v>
      </c>
      <c r="L570" s="14"/>
      <c r="M570" s="11"/>
      <c r="N570" s="14"/>
      <c r="O570" s="4">
        <f t="shared" si="256"/>
        <v>0</v>
      </c>
      <c r="P570" s="14"/>
      <c r="Q570" s="11"/>
      <c r="R570" s="14"/>
      <c r="S570" s="4">
        <f t="shared" si="258"/>
        <v>0</v>
      </c>
    </row>
    <row r="571" spans="1:21" x14ac:dyDescent="0.15">
      <c r="A571" s="6" t="s">
        <v>3</v>
      </c>
      <c r="B571" s="23"/>
      <c r="C571" s="24"/>
      <c r="D571" s="25"/>
      <c r="E571" s="7">
        <f t="shared" si="253"/>
        <v>0</v>
      </c>
      <c r="F571" s="23"/>
      <c r="G571" s="24"/>
      <c r="H571" s="25"/>
      <c r="I571" s="7">
        <f t="shared" si="254"/>
        <v>0</v>
      </c>
      <c r="K571" s="5" t="s">
        <v>3</v>
      </c>
      <c r="L571" s="25"/>
      <c r="M571" s="24"/>
      <c r="N571" s="25"/>
      <c r="O571" s="7">
        <f t="shared" si="256"/>
        <v>0</v>
      </c>
      <c r="P571" s="23"/>
      <c r="Q571" s="24"/>
      <c r="R571" s="25"/>
      <c r="S571" s="7">
        <f t="shared" si="258"/>
        <v>0</v>
      </c>
    </row>
    <row r="572" spans="1:21" x14ac:dyDescent="0.15">
      <c r="A572" s="6" t="s">
        <v>3</v>
      </c>
      <c r="B572" s="23"/>
      <c r="C572" s="24"/>
      <c r="D572" s="25"/>
      <c r="E572" s="7">
        <f t="shared" si="253"/>
        <v>0</v>
      </c>
      <c r="F572" s="23"/>
      <c r="G572" s="24"/>
      <c r="H572" s="25"/>
      <c r="I572" s="7">
        <f t="shared" si="254"/>
        <v>0</v>
      </c>
      <c r="K572" s="5" t="s">
        <v>3</v>
      </c>
      <c r="L572" s="25"/>
      <c r="M572" s="24"/>
      <c r="N572" s="25"/>
      <c r="O572" s="7">
        <f t="shared" si="256"/>
        <v>0</v>
      </c>
      <c r="P572" s="25"/>
      <c r="Q572" s="24"/>
      <c r="R572" s="25"/>
      <c r="S572" s="7">
        <f t="shared" si="258"/>
        <v>0</v>
      </c>
    </row>
    <row r="573" spans="1:21" ht="14.25" thickBot="1" x14ac:dyDescent="0.2">
      <c r="A573" s="6" t="s">
        <v>3</v>
      </c>
      <c r="B573" s="29"/>
      <c r="C573" s="30"/>
      <c r="D573" s="29"/>
      <c r="E573" s="16">
        <f t="shared" si="253"/>
        <v>0</v>
      </c>
      <c r="F573" s="29"/>
      <c r="G573" s="30"/>
      <c r="H573" s="29"/>
      <c r="I573" s="16">
        <f t="shared" si="254"/>
        <v>0</v>
      </c>
      <c r="K573" s="33" t="s">
        <v>3</v>
      </c>
      <c r="L573" s="29"/>
      <c r="M573" s="30"/>
      <c r="N573" s="29"/>
      <c r="O573" s="16">
        <f t="shared" si="256"/>
        <v>0</v>
      </c>
      <c r="P573" s="29"/>
      <c r="Q573" s="30"/>
      <c r="R573" s="29"/>
      <c r="S573" s="16">
        <f t="shared" si="258"/>
        <v>0</v>
      </c>
    </row>
    <row r="574" spans="1:21" ht="14.25" thickBot="1" x14ac:dyDescent="0.2">
      <c r="A574" s="17" t="s">
        <v>4</v>
      </c>
      <c r="B574" s="18">
        <f>SUM(B563:B573)</f>
        <v>11</v>
      </c>
      <c r="C574" s="18">
        <f>SUM(C563:C573)</f>
        <v>9</v>
      </c>
      <c r="D574" s="19">
        <f>SUM(D563:D573)</f>
        <v>8</v>
      </c>
      <c r="E574" s="20">
        <f t="shared" si="253"/>
        <v>28</v>
      </c>
      <c r="F574" s="18">
        <f>SUM(F563:F573)</f>
        <v>11</v>
      </c>
      <c r="G574" s="18">
        <f>SUM(G563:G573)</f>
        <v>9</v>
      </c>
      <c r="H574" s="19">
        <f>SUM(H563:H573)</f>
        <v>8</v>
      </c>
      <c r="I574" s="20">
        <f t="shared" si="254"/>
        <v>28</v>
      </c>
      <c r="K574" s="17" t="s">
        <v>4</v>
      </c>
      <c r="L574" s="18">
        <f>SUM(L563:L573)</f>
        <v>302</v>
      </c>
      <c r="M574" s="18">
        <f>SUM(M563:M573)</f>
        <v>324</v>
      </c>
      <c r="N574" s="18">
        <f>SUM(N563:N573)</f>
        <v>149</v>
      </c>
      <c r="O574" s="20">
        <f t="shared" si="256"/>
        <v>775</v>
      </c>
      <c r="P574" s="18">
        <f>SUM(P563:P573)</f>
        <v>302</v>
      </c>
      <c r="Q574" s="18">
        <f>SUM(Q563:Q573)</f>
        <v>324</v>
      </c>
      <c r="R574" s="19">
        <f>SUM(R563:R573)</f>
        <v>149</v>
      </c>
      <c r="S574" s="20">
        <f t="shared" si="258"/>
        <v>775</v>
      </c>
    </row>
    <row r="575" spans="1:21" x14ac:dyDescent="0.15">
      <c r="A575" s="112" t="s">
        <v>418</v>
      </c>
      <c r="B575" s="8">
        <v>1</v>
      </c>
      <c r="C575" s="9">
        <v>1</v>
      </c>
      <c r="D575" s="10"/>
      <c r="E575" s="4">
        <f t="shared" si="253"/>
        <v>2</v>
      </c>
      <c r="F575" s="8">
        <v>1</v>
      </c>
      <c r="G575" s="9">
        <v>1</v>
      </c>
      <c r="H575" s="10"/>
      <c r="I575" s="4">
        <f t="shared" si="254"/>
        <v>2</v>
      </c>
      <c r="J575" s="47">
        <v>45338</v>
      </c>
      <c r="K575" s="66" t="s">
        <v>420</v>
      </c>
      <c r="L575" s="9">
        <v>5</v>
      </c>
      <c r="M575" s="10"/>
      <c r="N575" s="9"/>
      <c r="O575" s="70">
        <f t="shared" si="256"/>
        <v>5</v>
      </c>
      <c r="P575" s="9">
        <v>5</v>
      </c>
      <c r="Q575" s="10"/>
      <c r="R575" s="9"/>
      <c r="S575" s="7">
        <f t="shared" si="258"/>
        <v>5</v>
      </c>
      <c r="T575" s="47">
        <v>45344</v>
      </c>
      <c r="U575" s="54"/>
    </row>
    <row r="576" spans="1:21" x14ac:dyDescent="0.15">
      <c r="A576" s="3" t="s">
        <v>419</v>
      </c>
      <c r="B576" s="8">
        <v>2</v>
      </c>
      <c r="C576" s="9"/>
      <c r="D576" s="10"/>
      <c r="E576" s="4">
        <f t="shared" si="253"/>
        <v>2</v>
      </c>
      <c r="F576" s="8">
        <v>2</v>
      </c>
      <c r="G576" s="9"/>
      <c r="H576" s="10"/>
      <c r="I576" s="4">
        <f t="shared" si="254"/>
        <v>2</v>
      </c>
      <c r="J576" s="47">
        <v>45343</v>
      </c>
      <c r="K576" s="66" t="s">
        <v>33</v>
      </c>
      <c r="L576" s="9">
        <v>3</v>
      </c>
      <c r="M576" s="10">
        <v>5</v>
      </c>
      <c r="N576" s="9">
        <v>3</v>
      </c>
      <c r="O576" s="70">
        <f t="shared" si="256"/>
        <v>11</v>
      </c>
      <c r="P576" s="9">
        <v>3</v>
      </c>
      <c r="Q576" s="10">
        <v>5</v>
      </c>
      <c r="R576" s="9">
        <v>3</v>
      </c>
      <c r="S576" s="7">
        <f t="shared" si="258"/>
        <v>11</v>
      </c>
      <c r="T576" s="47">
        <v>45362</v>
      </c>
    </row>
    <row r="577" spans="1:20" x14ac:dyDescent="0.15">
      <c r="A577" s="3" t="s">
        <v>424</v>
      </c>
      <c r="B577" s="8">
        <v>1</v>
      </c>
      <c r="C577" s="9">
        <v>1</v>
      </c>
      <c r="D577" s="10">
        <v>1</v>
      </c>
      <c r="E577" s="4">
        <f t="shared" si="253"/>
        <v>3</v>
      </c>
      <c r="F577" s="8">
        <v>1</v>
      </c>
      <c r="G577" s="9">
        <v>1</v>
      </c>
      <c r="H577" s="10">
        <v>1</v>
      </c>
      <c r="I577" s="4">
        <f t="shared" si="254"/>
        <v>3</v>
      </c>
      <c r="J577" s="47">
        <v>45362</v>
      </c>
      <c r="K577" s="66" t="s">
        <v>433</v>
      </c>
      <c r="L577" s="9">
        <v>3</v>
      </c>
      <c r="M577" s="10">
        <v>5</v>
      </c>
      <c r="N577" s="9">
        <v>4</v>
      </c>
      <c r="O577" s="70">
        <f t="shared" si="256"/>
        <v>12</v>
      </c>
      <c r="P577" s="9">
        <v>3</v>
      </c>
      <c r="Q577" s="10">
        <v>5</v>
      </c>
      <c r="R577" s="9">
        <v>4</v>
      </c>
      <c r="S577" s="7">
        <f t="shared" si="258"/>
        <v>12</v>
      </c>
      <c r="T577" s="47">
        <v>45379</v>
      </c>
    </row>
    <row r="578" spans="1:20" x14ac:dyDescent="0.15">
      <c r="A578" s="3" t="s">
        <v>425</v>
      </c>
      <c r="B578" s="8">
        <v>1</v>
      </c>
      <c r="C578" s="9">
        <v>1</v>
      </c>
      <c r="D578" s="10">
        <v>1</v>
      </c>
      <c r="E578" s="4">
        <f t="shared" si="253"/>
        <v>3</v>
      </c>
      <c r="F578" s="8">
        <v>1</v>
      </c>
      <c r="G578" s="9">
        <v>1</v>
      </c>
      <c r="H578" s="10">
        <v>1</v>
      </c>
      <c r="I578" s="4">
        <f t="shared" si="254"/>
        <v>3</v>
      </c>
      <c r="J578" s="47">
        <v>45362</v>
      </c>
      <c r="K578" s="66" t="s">
        <v>51</v>
      </c>
      <c r="L578" s="9">
        <v>2</v>
      </c>
      <c r="M578" s="10">
        <v>2</v>
      </c>
      <c r="N578" s="9"/>
      <c r="O578" s="70">
        <f t="shared" si="256"/>
        <v>4</v>
      </c>
      <c r="P578" s="9">
        <v>2</v>
      </c>
      <c r="Q578" s="10">
        <v>2</v>
      </c>
      <c r="R578" s="9"/>
      <c r="S578" s="7">
        <f t="shared" si="258"/>
        <v>4</v>
      </c>
      <c r="T578" s="47">
        <v>45387</v>
      </c>
    </row>
    <row r="579" spans="1:20" x14ac:dyDescent="0.15">
      <c r="A579" s="3" t="s">
        <v>426</v>
      </c>
      <c r="B579" s="8">
        <v>1</v>
      </c>
      <c r="C579" s="9"/>
      <c r="D579" s="10"/>
      <c r="E579" s="4">
        <f t="shared" si="253"/>
        <v>1</v>
      </c>
      <c r="F579" s="8">
        <v>1</v>
      </c>
      <c r="G579" s="9"/>
      <c r="H579" s="10"/>
      <c r="I579" s="4">
        <f t="shared" si="254"/>
        <v>1</v>
      </c>
      <c r="J579" s="56">
        <v>45363</v>
      </c>
      <c r="K579" s="66" t="s">
        <v>55</v>
      </c>
      <c r="L579" s="9">
        <v>1</v>
      </c>
      <c r="M579" s="10">
        <v>1</v>
      </c>
      <c r="N579" s="9"/>
      <c r="O579" s="70">
        <f t="shared" si="256"/>
        <v>2</v>
      </c>
      <c r="P579" s="9">
        <v>1</v>
      </c>
      <c r="Q579" s="10">
        <v>1</v>
      </c>
      <c r="R579" s="9"/>
      <c r="S579" s="7">
        <f t="shared" si="258"/>
        <v>2</v>
      </c>
      <c r="T579" s="47">
        <v>45392</v>
      </c>
    </row>
    <row r="580" spans="1:20" x14ac:dyDescent="0.15">
      <c r="A580" s="3" t="s">
        <v>429</v>
      </c>
      <c r="B580" s="8">
        <v>1</v>
      </c>
      <c r="C580" s="9"/>
      <c r="D580" s="10"/>
      <c r="E580" s="7">
        <f t="shared" si="253"/>
        <v>1</v>
      </c>
      <c r="F580" s="8">
        <v>1</v>
      </c>
      <c r="G580" s="9"/>
      <c r="H580" s="10"/>
      <c r="I580" s="7">
        <f t="shared" si="254"/>
        <v>1</v>
      </c>
      <c r="J580" s="56">
        <v>45369</v>
      </c>
      <c r="K580" s="3" t="s">
        <v>62</v>
      </c>
      <c r="L580" s="9">
        <v>7</v>
      </c>
      <c r="M580" s="10">
        <v>8</v>
      </c>
      <c r="N580" s="9">
        <v>11</v>
      </c>
      <c r="O580" s="70">
        <f t="shared" si="256"/>
        <v>26</v>
      </c>
      <c r="P580" s="9">
        <v>7</v>
      </c>
      <c r="Q580" s="10">
        <v>8</v>
      </c>
      <c r="R580" s="9">
        <v>11</v>
      </c>
      <c r="S580" s="7">
        <f t="shared" si="258"/>
        <v>26</v>
      </c>
      <c r="T580" s="47">
        <v>45398</v>
      </c>
    </row>
    <row r="581" spans="1:20" x14ac:dyDescent="0.15">
      <c r="A581" s="66" t="s">
        <v>52</v>
      </c>
      <c r="B581" s="8"/>
      <c r="C581" s="9">
        <v>1</v>
      </c>
      <c r="D581" s="10"/>
      <c r="E581" s="7">
        <f t="shared" si="253"/>
        <v>1</v>
      </c>
      <c r="F581" s="8"/>
      <c r="G581" s="9">
        <v>1</v>
      </c>
      <c r="H581" s="10"/>
      <c r="I581" s="7">
        <f t="shared" si="254"/>
        <v>1</v>
      </c>
      <c r="J581" s="47">
        <v>45387</v>
      </c>
      <c r="K581" s="66" t="s">
        <v>56</v>
      </c>
      <c r="L581" s="9">
        <v>2</v>
      </c>
      <c r="M581" s="10"/>
      <c r="N581" s="9"/>
      <c r="O581" s="70">
        <f t="shared" si="256"/>
        <v>2</v>
      </c>
      <c r="P581" s="9">
        <v>2</v>
      </c>
      <c r="Q581" s="10"/>
      <c r="R581" s="9"/>
      <c r="S581" s="7">
        <f t="shared" si="258"/>
        <v>2</v>
      </c>
      <c r="T581" s="47">
        <v>45397</v>
      </c>
    </row>
    <row r="582" spans="1:20" x14ac:dyDescent="0.15">
      <c r="A582" s="66" t="s">
        <v>54</v>
      </c>
      <c r="B582" s="8"/>
      <c r="C582" s="9">
        <v>1</v>
      </c>
      <c r="D582" s="10"/>
      <c r="E582" s="7">
        <f t="shared" si="253"/>
        <v>1</v>
      </c>
      <c r="F582" s="8"/>
      <c r="G582" s="9">
        <v>1</v>
      </c>
      <c r="H582" s="10"/>
      <c r="I582" s="7">
        <f t="shared" si="254"/>
        <v>1</v>
      </c>
      <c r="J582" s="47">
        <v>45390</v>
      </c>
      <c r="K582" s="66" t="s">
        <v>61</v>
      </c>
      <c r="L582" s="9">
        <v>3</v>
      </c>
      <c r="M582" s="10">
        <v>4</v>
      </c>
      <c r="N582" s="9">
        <v>1</v>
      </c>
      <c r="O582" s="70">
        <f t="shared" si="256"/>
        <v>8</v>
      </c>
      <c r="P582" s="9">
        <v>3</v>
      </c>
      <c r="Q582" s="10">
        <v>4</v>
      </c>
      <c r="R582" s="9">
        <v>1</v>
      </c>
      <c r="S582" s="7">
        <f t="shared" si="258"/>
        <v>8</v>
      </c>
      <c r="T582" s="47">
        <v>45407</v>
      </c>
    </row>
    <row r="583" spans="1:20" x14ac:dyDescent="0.15">
      <c r="A583" s="66" t="s">
        <v>57</v>
      </c>
      <c r="B583" s="8"/>
      <c r="C583" s="9">
        <v>1</v>
      </c>
      <c r="D583" s="10"/>
      <c r="E583" s="7">
        <f t="shared" si="253"/>
        <v>1</v>
      </c>
      <c r="F583" s="8"/>
      <c r="G583" s="9">
        <v>1</v>
      </c>
      <c r="H583" s="10"/>
      <c r="I583" s="7">
        <f t="shared" si="254"/>
        <v>1</v>
      </c>
      <c r="J583" s="47">
        <v>45401</v>
      </c>
      <c r="K583" s="66"/>
      <c r="L583" s="9"/>
      <c r="M583" s="10"/>
      <c r="N583" s="9"/>
      <c r="O583" s="70">
        <f t="shared" si="256"/>
        <v>0</v>
      </c>
      <c r="P583" s="9"/>
      <c r="Q583" s="10"/>
      <c r="R583" s="9"/>
      <c r="S583" s="7">
        <f t="shared" si="258"/>
        <v>0</v>
      </c>
    </row>
    <row r="584" spans="1:20" x14ac:dyDescent="0.15">
      <c r="A584" s="66" t="s">
        <v>58</v>
      </c>
      <c r="B584" s="8"/>
      <c r="C584" s="9">
        <v>1</v>
      </c>
      <c r="D584" s="10"/>
      <c r="E584" s="7">
        <f t="shared" si="253"/>
        <v>1</v>
      </c>
      <c r="F584" s="8"/>
      <c r="G584" s="9">
        <v>1</v>
      </c>
      <c r="H584" s="10"/>
      <c r="I584" s="7">
        <f t="shared" si="254"/>
        <v>1</v>
      </c>
      <c r="J584" s="47">
        <v>45401</v>
      </c>
      <c r="K584" s="66"/>
      <c r="L584" s="9"/>
      <c r="M584" s="10"/>
      <c r="N584" s="9"/>
      <c r="O584" s="70">
        <f t="shared" si="256"/>
        <v>0</v>
      </c>
      <c r="P584" s="9"/>
      <c r="Q584" s="10"/>
      <c r="R584" s="9"/>
      <c r="S584" s="7">
        <f t="shared" si="258"/>
        <v>0</v>
      </c>
    </row>
    <row r="585" spans="1:20" x14ac:dyDescent="0.15">
      <c r="A585" s="3"/>
      <c r="B585" s="8"/>
      <c r="C585" s="9"/>
      <c r="D585" s="10"/>
      <c r="E585" s="7">
        <f t="shared" si="253"/>
        <v>0</v>
      </c>
      <c r="F585" s="8"/>
      <c r="G585" s="9"/>
      <c r="H585" s="10"/>
      <c r="I585" s="7">
        <f t="shared" si="254"/>
        <v>0</v>
      </c>
      <c r="K585" s="66"/>
      <c r="L585" s="9"/>
      <c r="M585" s="10"/>
      <c r="N585" s="9"/>
      <c r="O585" s="70">
        <f t="shared" si="256"/>
        <v>0</v>
      </c>
      <c r="P585" s="9"/>
      <c r="Q585" s="10"/>
      <c r="R585" s="9"/>
      <c r="S585" s="7">
        <f t="shared" si="258"/>
        <v>0</v>
      </c>
    </row>
    <row r="586" spans="1:20" x14ac:dyDescent="0.15">
      <c r="A586" s="3"/>
      <c r="B586" s="8"/>
      <c r="C586" s="9"/>
      <c r="D586" s="10"/>
      <c r="E586" s="7">
        <f t="shared" si="253"/>
        <v>0</v>
      </c>
      <c r="F586" s="8"/>
      <c r="G586" s="9"/>
      <c r="H586" s="10"/>
      <c r="I586" s="7">
        <f t="shared" si="254"/>
        <v>0</v>
      </c>
      <c r="K586" s="66"/>
      <c r="L586" s="9"/>
      <c r="M586" s="10"/>
      <c r="N586" s="9"/>
      <c r="O586" s="70">
        <f t="shared" si="256"/>
        <v>0</v>
      </c>
      <c r="P586" s="9"/>
      <c r="Q586" s="10"/>
      <c r="R586" s="9"/>
      <c r="S586" s="7">
        <f t="shared" si="258"/>
        <v>0</v>
      </c>
    </row>
    <row r="587" spans="1:20" x14ac:dyDescent="0.15">
      <c r="A587" s="3"/>
      <c r="B587" s="8"/>
      <c r="C587" s="9"/>
      <c r="D587" s="10"/>
      <c r="E587" s="7">
        <f t="shared" si="253"/>
        <v>0</v>
      </c>
      <c r="F587" s="8"/>
      <c r="G587" s="9"/>
      <c r="H587" s="10"/>
      <c r="I587" s="7">
        <f t="shared" si="254"/>
        <v>0</v>
      </c>
      <c r="K587" s="66"/>
      <c r="L587" s="9"/>
      <c r="M587" s="10"/>
      <c r="N587" s="9"/>
      <c r="O587" s="70">
        <f t="shared" si="256"/>
        <v>0</v>
      </c>
      <c r="P587" s="9"/>
      <c r="Q587" s="10"/>
      <c r="R587" s="9"/>
      <c r="S587" s="7">
        <f t="shared" si="258"/>
        <v>0</v>
      </c>
    </row>
    <row r="588" spans="1:20" x14ac:dyDescent="0.15">
      <c r="A588" s="3"/>
      <c r="B588" s="8"/>
      <c r="C588" s="9"/>
      <c r="D588" s="10"/>
      <c r="E588" s="7">
        <f t="shared" si="253"/>
        <v>0</v>
      </c>
      <c r="F588" s="8"/>
      <c r="G588" s="9"/>
      <c r="H588" s="10"/>
      <c r="I588" s="7">
        <f t="shared" si="254"/>
        <v>0</v>
      </c>
      <c r="K588" s="66"/>
      <c r="L588" s="9"/>
      <c r="M588" s="10"/>
      <c r="N588" s="9"/>
      <c r="O588" s="70">
        <f t="shared" si="256"/>
        <v>0</v>
      </c>
      <c r="P588" s="9"/>
      <c r="Q588" s="10"/>
      <c r="R588" s="9"/>
      <c r="S588" s="7">
        <f t="shared" si="258"/>
        <v>0</v>
      </c>
    </row>
    <row r="589" spans="1:20" x14ac:dyDescent="0.15">
      <c r="A589" s="3"/>
      <c r="B589" s="8"/>
      <c r="C589" s="9"/>
      <c r="D589" s="10"/>
      <c r="E589" s="7">
        <f t="shared" si="253"/>
        <v>0</v>
      </c>
      <c r="F589" s="8"/>
      <c r="G589" s="9"/>
      <c r="H589" s="10"/>
      <c r="I589" s="7">
        <f t="shared" si="254"/>
        <v>0</v>
      </c>
      <c r="K589" s="66"/>
      <c r="L589" s="9"/>
      <c r="M589" s="10"/>
      <c r="N589" s="9"/>
      <c r="O589" s="70">
        <f t="shared" si="256"/>
        <v>0</v>
      </c>
      <c r="P589" s="9"/>
      <c r="Q589" s="9"/>
      <c r="R589" s="9"/>
      <c r="S589" s="7">
        <f t="shared" si="258"/>
        <v>0</v>
      </c>
    </row>
    <row r="590" spans="1:20" x14ac:dyDescent="0.15">
      <c r="A590" s="3"/>
      <c r="B590" s="8"/>
      <c r="C590" s="9"/>
      <c r="D590" s="10"/>
      <c r="E590" s="7">
        <f t="shared" si="253"/>
        <v>0</v>
      </c>
      <c r="F590" s="8"/>
      <c r="G590" s="9"/>
      <c r="H590" s="10"/>
      <c r="I590" s="7">
        <f t="shared" si="254"/>
        <v>0</v>
      </c>
      <c r="K590" s="3"/>
      <c r="L590" s="8"/>
      <c r="M590" s="9"/>
      <c r="N590" s="10"/>
      <c r="O590" s="7">
        <f t="shared" si="256"/>
        <v>0</v>
      </c>
      <c r="P590" s="8"/>
      <c r="Q590" s="9"/>
      <c r="R590" s="10"/>
      <c r="S590" s="7">
        <f t="shared" si="258"/>
        <v>0</v>
      </c>
    </row>
    <row r="591" spans="1:20" x14ac:dyDescent="0.15">
      <c r="A591" s="3"/>
      <c r="B591" s="8"/>
      <c r="C591" s="9"/>
      <c r="D591" s="10"/>
      <c r="E591" s="7">
        <f t="shared" si="253"/>
        <v>0</v>
      </c>
      <c r="F591" s="8"/>
      <c r="G591" s="9"/>
      <c r="H591" s="10"/>
      <c r="I591" s="7">
        <f t="shared" si="254"/>
        <v>0</v>
      </c>
      <c r="K591" s="3"/>
      <c r="L591" s="8"/>
      <c r="M591" s="9"/>
      <c r="N591" s="10"/>
      <c r="O591" s="7">
        <f t="shared" si="256"/>
        <v>0</v>
      </c>
      <c r="P591" s="8"/>
      <c r="Q591" s="9"/>
      <c r="R591" s="10"/>
      <c r="S591" s="7">
        <f t="shared" si="258"/>
        <v>0</v>
      </c>
    </row>
    <row r="592" spans="1:20" x14ac:dyDescent="0.15">
      <c r="A592" s="3"/>
      <c r="B592" s="8"/>
      <c r="C592" s="9"/>
      <c r="D592" s="10"/>
      <c r="E592" s="7">
        <f t="shared" si="253"/>
        <v>0</v>
      </c>
      <c r="F592" s="8"/>
      <c r="G592" s="9"/>
      <c r="H592" s="10"/>
      <c r="I592" s="7">
        <f t="shared" si="254"/>
        <v>0</v>
      </c>
      <c r="K592" s="3"/>
      <c r="L592" s="8"/>
      <c r="M592" s="9"/>
      <c r="N592" s="10"/>
      <c r="O592" s="7">
        <f t="shared" si="256"/>
        <v>0</v>
      </c>
      <c r="P592" s="8"/>
      <c r="Q592" s="9"/>
      <c r="R592" s="10"/>
      <c r="S592" s="7">
        <f t="shared" si="258"/>
        <v>0</v>
      </c>
    </row>
    <row r="593" spans="1:20" x14ac:dyDescent="0.15">
      <c r="A593" s="3"/>
      <c r="B593" s="8"/>
      <c r="C593" s="9"/>
      <c r="D593" s="10"/>
      <c r="E593" s="7">
        <f t="shared" si="253"/>
        <v>0</v>
      </c>
      <c r="F593" s="8"/>
      <c r="G593" s="9"/>
      <c r="H593" s="10"/>
      <c r="I593" s="7">
        <f t="shared" si="254"/>
        <v>0</v>
      </c>
      <c r="K593" s="3"/>
      <c r="L593" s="8"/>
      <c r="M593" s="9"/>
      <c r="N593" s="10"/>
      <c r="O593" s="7">
        <f t="shared" si="256"/>
        <v>0</v>
      </c>
      <c r="P593" s="8"/>
      <c r="Q593" s="9"/>
      <c r="R593" s="10"/>
      <c r="S593" s="7">
        <f t="shared" si="258"/>
        <v>0</v>
      </c>
    </row>
    <row r="594" spans="1:20" x14ac:dyDescent="0.15">
      <c r="A594" s="3"/>
      <c r="B594" s="8"/>
      <c r="C594" s="9"/>
      <c r="D594" s="10"/>
      <c r="E594" s="7">
        <f t="shared" si="253"/>
        <v>0</v>
      </c>
      <c r="F594" s="8"/>
      <c r="G594" s="9"/>
      <c r="H594" s="10"/>
      <c r="I594" s="7">
        <f t="shared" si="254"/>
        <v>0</v>
      </c>
      <c r="K594" s="3"/>
      <c r="L594" s="8"/>
      <c r="M594" s="9"/>
      <c r="N594" s="10"/>
      <c r="O594" s="7">
        <f t="shared" ref="O594:O598" si="261">SUM(L594:N594)</f>
        <v>0</v>
      </c>
      <c r="P594" s="8"/>
      <c r="Q594" s="9"/>
      <c r="R594" s="10"/>
      <c r="S594" s="7">
        <f t="shared" ref="S594:S598" si="262">SUM(P594:R594)</f>
        <v>0</v>
      </c>
    </row>
    <row r="595" spans="1:20" x14ac:dyDescent="0.15">
      <c r="A595" s="3"/>
      <c r="B595" s="8"/>
      <c r="C595" s="9"/>
      <c r="D595" s="10"/>
      <c r="E595" s="7">
        <f t="shared" si="253"/>
        <v>0</v>
      </c>
      <c r="F595" s="8"/>
      <c r="G595" s="9"/>
      <c r="H595" s="10"/>
      <c r="I595" s="7">
        <f t="shared" si="254"/>
        <v>0</v>
      </c>
      <c r="K595" s="3"/>
      <c r="L595" s="8"/>
      <c r="M595" s="9"/>
      <c r="N595" s="10"/>
      <c r="O595" s="7">
        <f t="shared" si="261"/>
        <v>0</v>
      </c>
      <c r="P595" s="8"/>
      <c r="Q595" s="9"/>
      <c r="R595" s="10"/>
      <c r="S595" s="7">
        <f t="shared" si="262"/>
        <v>0</v>
      </c>
    </row>
    <row r="596" spans="1:20" x14ac:dyDescent="0.15">
      <c r="A596" s="3"/>
      <c r="B596" s="8"/>
      <c r="C596" s="9"/>
      <c r="D596" s="10"/>
      <c r="E596" s="7">
        <f t="shared" si="253"/>
        <v>0</v>
      </c>
      <c r="F596" s="8"/>
      <c r="G596" s="9"/>
      <c r="H596" s="10"/>
      <c r="I596" s="7">
        <f t="shared" si="254"/>
        <v>0</v>
      </c>
      <c r="K596" s="3"/>
      <c r="L596" s="8"/>
      <c r="M596" s="9"/>
      <c r="N596" s="10"/>
      <c r="O596" s="7">
        <f t="shared" si="261"/>
        <v>0</v>
      </c>
      <c r="P596" s="8"/>
      <c r="Q596" s="9"/>
      <c r="R596" s="10"/>
      <c r="S596" s="7">
        <f t="shared" si="262"/>
        <v>0</v>
      </c>
      <c r="T596" s="55"/>
    </row>
    <row r="597" spans="1:20" x14ac:dyDescent="0.15">
      <c r="A597" s="3"/>
      <c r="B597" s="8"/>
      <c r="C597" s="9"/>
      <c r="D597" s="10"/>
      <c r="E597" s="7">
        <f t="shared" si="253"/>
        <v>0</v>
      </c>
      <c r="F597" s="8"/>
      <c r="G597" s="9"/>
      <c r="H597" s="10"/>
      <c r="I597" s="7">
        <f t="shared" si="254"/>
        <v>0</v>
      </c>
      <c r="K597" s="3" t="s">
        <v>417</v>
      </c>
      <c r="L597" s="8"/>
      <c r="M597" s="9"/>
      <c r="N597" s="10"/>
      <c r="O597" s="7">
        <f t="shared" si="261"/>
        <v>0</v>
      </c>
      <c r="P597" s="8"/>
      <c r="Q597" s="9"/>
      <c r="R597" s="10"/>
      <c r="S597" s="7">
        <f t="shared" si="262"/>
        <v>0</v>
      </c>
      <c r="T597" s="55" t="s">
        <v>179</v>
      </c>
    </row>
    <row r="598" spans="1:20" ht="14.25" thickBot="1" x14ac:dyDescent="0.2">
      <c r="A598" s="3"/>
      <c r="B598" s="8"/>
      <c r="C598" s="9"/>
      <c r="D598" s="10"/>
      <c r="E598" s="7">
        <f t="shared" si="253"/>
        <v>0</v>
      </c>
      <c r="F598" s="8"/>
      <c r="G598" s="9"/>
      <c r="H598" s="10"/>
      <c r="I598" s="7">
        <f t="shared" si="254"/>
        <v>0</v>
      </c>
      <c r="K598" s="125" t="s">
        <v>408</v>
      </c>
      <c r="L598" s="126"/>
      <c r="M598" s="127"/>
      <c r="N598" s="128"/>
      <c r="O598" s="129">
        <f t="shared" si="261"/>
        <v>0</v>
      </c>
      <c r="P598" s="126"/>
      <c r="Q598" s="127"/>
      <c r="R598" s="128"/>
      <c r="S598" s="129">
        <f t="shared" si="262"/>
        <v>0</v>
      </c>
      <c r="T598" s="55" t="s">
        <v>409</v>
      </c>
    </row>
    <row r="599" spans="1:20" ht="14.25" thickBot="1" x14ac:dyDescent="0.2">
      <c r="A599" s="2" t="s">
        <v>5</v>
      </c>
      <c r="B599" s="12">
        <f>SUM(B575:B598)</f>
        <v>7</v>
      </c>
      <c r="C599" s="12">
        <f>SUM(C575:C598)</f>
        <v>7</v>
      </c>
      <c r="D599" s="12">
        <f>SUM(D575:D598)</f>
        <v>2</v>
      </c>
      <c r="E599" s="13">
        <f t="shared" si="253"/>
        <v>16</v>
      </c>
      <c r="F599" s="12">
        <f>SUM(F575:F598)</f>
        <v>7</v>
      </c>
      <c r="G599" s="12">
        <f>SUM(G575:G598)</f>
        <v>7</v>
      </c>
      <c r="H599" s="12">
        <f>SUM(H575:H598)</f>
        <v>2</v>
      </c>
      <c r="I599" s="13">
        <f t="shared" si="254"/>
        <v>16</v>
      </c>
      <c r="K599" s="2" t="s">
        <v>5</v>
      </c>
      <c r="L599" s="12">
        <f>SUM(L575:L598)</f>
        <v>26</v>
      </c>
      <c r="M599" s="12">
        <f>SUM(M575:M598)</f>
        <v>25</v>
      </c>
      <c r="N599" s="12">
        <f>SUM(N575:N598)</f>
        <v>19</v>
      </c>
      <c r="O599" s="13">
        <f t="shared" si="256"/>
        <v>70</v>
      </c>
      <c r="P599" s="12">
        <f>SUM(P575:P598)</f>
        <v>26</v>
      </c>
      <c r="Q599" s="12">
        <f>SUM(Q575:Q598)</f>
        <v>25</v>
      </c>
      <c r="R599" s="12">
        <f>SUM(R575:R598)</f>
        <v>19</v>
      </c>
      <c r="S599" s="13">
        <f t="shared" si="258"/>
        <v>70</v>
      </c>
    </row>
    <row r="600" spans="1:20" ht="14.25" thickBot="1" x14ac:dyDescent="0.2">
      <c r="A600" s="21" t="s">
        <v>6</v>
      </c>
      <c r="B600" s="22">
        <f t="shared" ref="B600:I600" si="263">B574-B599</f>
        <v>4</v>
      </c>
      <c r="C600" s="22">
        <f t="shared" si="263"/>
        <v>2</v>
      </c>
      <c r="D600" s="22">
        <f t="shared" si="263"/>
        <v>6</v>
      </c>
      <c r="E600" s="22">
        <f t="shared" si="263"/>
        <v>12</v>
      </c>
      <c r="F600" s="22">
        <f t="shared" si="263"/>
        <v>4</v>
      </c>
      <c r="G600" s="22">
        <f t="shared" si="263"/>
        <v>2</v>
      </c>
      <c r="H600" s="22">
        <f t="shared" si="263"/>
        <v>6</v>
      </c>
      <c r="I600" s="20">
        <f t="shared" si="263"/>
        <v>12</v>
      </c>
      <c r="K600" s="21" t="s">
        <v>6</v>
      </c>
      <c r="L600" s="22">
        <f>L574-L599</f>
        <v>276</v>
      </c>
      <c r="M600" s="22">
        <f t="shared" ref="M600:O600" si="264">M574-M599</f>
        <v>299</v>
      </c>
      <c r="N600" s="22">
        <f t="shared" si="264"/>
        <v>130</v>
      </c>
      <c r="O600" s="22">
        <f t="shared" si="264"/>
        <v>705</v>
      </c>
      <c r="P600" s="22">
        <f>P574-P599</f>
        <v>276</v>
      </c>
      <c r="Q600" s="22">
        <f>Q574-Q599</f>
        <v>299</v>
      </c>
      <c r="R600" s="22">
        <f>R574-R599</f>
        <v>130</v>
      </c>
      <c r="S600" s="20">
        <f t="shared" ref="S600" si="265">S574-S599</f>
        <v>705</v>
      </c>
    </row>
    <row r="601" spans="1:20" x14ac:dyDescent="0.15">
      <c r="K601" s="110"/>
      <c r="L601" s="135"/>
      <c r="M601" s="135"/>
      <c r="N601" s="135"/>
      <c r="O601" s="135"/>
    </row>
    <row r="602" spans="1:20" x14ac:dyDescent="0.15">
      <c r="L602" s="136"/>
      <c r="M602" s="136"/>
      <c r="N602" s="136"/>
      <c r="O602" s="74"/>
      <c r="P602" s="134"/>
      <c r="Q602" s="134"/>
      <c r="R602" s="134"/>
      <c r="S602" s="134"/>
    </row>
    <row r="603" spans="1:20" ht="21.75" thickBot="1" x14ac:dyDescent="0.25">
      <c r="A603" s="26" t="s">
        <v>368</v>
      </c>
      <c r="B603" s="27"/>
      <c r="C603" s="27"/>
      <c r="D603" s="27"/>
      <c r="E603" s="27"/>
      <c r="F603" s="28"/>
      <c r="G603" s="28"/>
      <c r="H603" s="28"/>
      <c r="I603" s="28"/>
      <c r="K603" s="26" t="s">
        <v>367</v>
      </c>
      <c r="L603" s="27"/>
      <c r="M603" s="27"/>
      <c r="N603" s="27"/>
      <c r="O603" s="27"/>
      <c r="P603" s="28"/>
      <c r="Q603" s="28"/>
      <c r="R603" s="28"/>
      <c r="S603" s="28"/>
    </row>
    <row r="604" spans="1:20" ht="14.25" thickBot="1" x14ac:dyDescent="0.2">
      <c r="A604" s="1" t="s">
        <v>0</v>
      </c>
      <c r="B604" s="183" t="s">
        <v>12</v>
      </c>
      <c r="C604" s="183"/>
      <c r="D604" s="183"/>
      <c r="E604" s="184"/>
      <c r="F604" s="183" t="s">
        <v>10</v>
      </c>
      <c r="G604" s="183"/>
      <c r="H604" s="183"/>
      <c r="I604" s="184"/>
      <c r="K604" s="1" t="s">
        <v>0</v>
      </c>
      <c r="L604" s="183" t="s">
        <v>12</v>
      </c>
      <c r="M604" s="183"/>
      <c r="N604" s="183"/>
      <c r="O604" s="184"/>
      <c r="P604" s="183" t="s">
        <v>10</v>
      </c>
      <c r="Q604" s="183"/>
      <c r="R604" s="183"/>
      <c r="S604" s="184"/>
    </row>
    <row r="605" spans="1:20" ht="14.25" thickBot="1" x14ac:dyDescent="0.2">
      <c r="A605" s="1" t="s">
        <v>1</v>
      </c>
      <c r="B605" s="2" t="s">
        <v>7</v>
      </c>
      <c r="C605" s="1" t="s">
        <v>8</v>
      </c>
      <c r="D605" s="15" t="s">
        <v>9</v>
      </c>
      <c r="E605" s="1" t="s">
        <v>2</v>
      </c>
      <c r="F605" s="2" t="s">
        <v>7</v>
      </c>
      <c r="G605" s="1" t="s">
        <v>8</v>
      </c>
      <c r="H605" s="15" t="s">
        <v>9</v>
      </c>
      <c r="I605" s="1" t="s">
        <v>2</v>
      </c>
      <c r="K605" s="1" t="s">
        <v>1</v>
      </c>
      <c r="L605" s="2" t="s">
        <v>7</v>
      </c>
      <c r="M605" s="1" t="s">
        <v>8</v>
      </c>
      <c r="N605" s="15" t="s">
        <v>9</v>
      </c>
      <c r="O605" s="1" t="s">
        <v>2</v>
      </c>
      <c r="P605" s="2" t="s">
        <v>7</v>
      </c>
      <c r="Q605" s="1" t="s">
        <v>8</v>
      </c>
      <c r="R605" s="15" t="s">
        <v>9</v>
      </c>
      <c r="S605" s="1" t="s">
        <v>2</v>
      </c>
    </row>
    <row r="606" spans="1:20" ht="14.25" thickBot="1" x14ac:dyDescent="0.2">
      <c r="A606" s="41" t="s">
        <v>13</v>
      </c>
      <c r="B606" s="42">
        <f>B600</f>
        <v>4</v>
      </c>
      <c r="C606" s="43">
        <f>C600</f>
        <v>2</v>
      </c>
      <c r="D606" s="44">
        <f>D600</f>
        <v>6</v>
      </c>
      <c r="E606" s="45">
        <f t="shared" ref="E606:E642" si="266">SUM(B606:D606)</f>
        <v>12</v>
      </c>
      <c r="F606" s="42">
        <f>F600</f>
        <v>4</v>
      </c>
      <c r="G606" s="43">
        <f>G600</f>
        <v>2</v>
      </c>
      <c r="H606" s="44">
        <f>H600</f>
        <v>6</v>
      </c>
      <c r="I606" s="45">
        <f t="shared" ref="I606:I642" si="267">SUM(F606:H606)</f>
        <v>12</v>
      </c>
      <c r="K606" s="34" t="s">
        <v>13</v>
      </c>
      <c r="L606" s="35">
        <f>L600</f>
        <v>276</v>
      </c>
      <c r="M606" s="35">
        <f t="shared" ref="M606:N606" si="268">M600</f>
        <v>299</v>
      </c>
      <c r="N606" s="35">
        <f t="shared" si="268"/>
        <v>130</v>
      </c>
      <c r="O606" s="20">
        <f t="shared" ref="O606:O614" si="269">SUM(L606:N606)</f>
        <v>705</v>
      </c>
      <c r="P606" s="35">
        <f>P600</f>
        <v>276</v>
      </c>
      <c r="Q606" s="36">
        <f t="shared" ref="Q606:R606" si="270">Q600</f>
        <v>299</v>
      </c>
      <c r="R606" s="37">
        <f t="shared" si="270"/>
        <v>130</v>
      </c>
      <c r="S606" s="20">
        <f t="shared" ref="S606:S614" si="271">SUM(P606:R606)</f>
        <v>705</v>
      </c>
    </row>
    <row r="607" spans="1:20" x14ac:dyDescent="0.15">
      <c r="A607" s="6" t="s">
        <v>3</v>
      </c>
      <c r="B607" s="38">
        <v>3</v>
      </c>
      <c r="C607" s="39">
        <v>3</v>
      </c>
      <c r="D607" s="40">
        <v>3</v>
      </c>
      <c r="E607" s="4">
        <f t="shared" si="266"/>
        <v>9</v>
      </c>
      <c r="F607" s="38">
        <v>3</v>
      </c>
      <c r="G607" s="39">
        <v>3</v>
      </c>
      <c r="H607" s="40">
        <v>3</v>
      </c>
      <c r="I607" s="4">
        <f t="shared" si="267"/>
        <v>9</v>
      </c>
      <c r="J607" s="47">
        <v>45427</v>
      </c>
      <c r="K607" s="5" t="s">
        <v>3</v>
      </c>
      <c r="L607" s="46"/>
      <c r="M607" s="3"/>
      <c r="N607" s="46"/>
      <c r="O607" s="4">
        <f t="shared" si="269"/>
        <v>0</v>
      </c>
      <c r="P607" s="46"/>
      <c r="Q607" s="3"/>
      <c r="R607" s="46"/>
      <c r="S607" s="4">
        <f t="shared" si="271"/>
        <v>0</v>
      </c>
    </row>
    <row r="608" spans="1:20" x14ac:dyDescent="0.15">
      <c r="A608" s="6" t="s">
        <v>3</v>
      </c>
      <c r="B608" s="14">
        <v>5</v>
      </c>
      <c r="C608" s="11"/>
      <c r="D608" s="14"/>
      <c r="E608" s="4">
        <f t="shared" si="266"/>
        <v>5</v>
      </c>
      <c r="F608" s="14">
        <v>5</v>
      </c>
      <c r="G608" s="11"/>
      <c r="H608" s="14"/>
      <c r="I608" s="4">
        <f t="shared" si="267"/>
        <v>5</v>
      </c>
      <c r="J608" s="47">
        <v>45430</v>
      </c>
      <c r="K608" s="5" t="s">
        <v>413</v>
      </c>
      <c r="L608" s="14">
        <v>70</v>
      </c>
      <c r="M608" s="11">
        <v>140</v>
      </c>
      <c r="N608" s="14">
        <v>120</v>
      </c>
      <c r="O608" s="4">
        <f t="shared" si="269"/>
        <v>330</v>
      </c>
      <c r="P608" s="14">
        <v>70</v>
      </c>
      <c r="Q608" s="11">
        <v>140</v>
      </c>
      <c r="R608" s="14">
        <v>120</v>
      </c>
      <c r="S608" s="4">
        <f t="shared" si="271"/>
        <v>330</v>
      </c>
      <c r="T608" s="47" t="s">
        <v>442</v>
      </c>
    </row>
    <row r="609" spans="1:21" x14ac:dyDescent="0.15">
      <c r="A609" s="6" t="s">
        <v>3</v>
      </c>
      <c r="B609" s="14"/>
      <c r="C609" s="11"/>
      <c r="D609" s="14"/>
      <c r="E609" s="4">
        <f t="shared" si="266"/>
        <v>0</v>
      </c>
      <c r="F609" s="14"/>
      <c r="G609" s="11"/>
      <c r="H609" s="14"/>
      <c r="I609" s="4">
        <f t="shared" si="267"/>
        <v>0</v>
      </c>
      <c r="J609" s="55"/>
      <c r="K609" s="5" t="s">
        <v>3</v>
      </c>
      <c r="L609" s="14"/>
      <c r="M609" s="11"/>
      <c r="N609" s="14"/>
      <c r="O609" s="4">
        <f t="shared" si="269"/>
        <v>0</v>
      </c>
      <c r="P609" s="14"/>
      <c r="Q609" s="11"/>
      <c r="R609" s="14"/>
      <c r="S609" s="4">
        <f t="shared" si="271"/>
        <v>0</v>
      </c>
    </row>
    <row r="610" spans="1:21" x14ac:dyDescent="0.15">
      <c r="A610" s="6" t="s">
        <v>3</v>
      </c>
      <c r="B610" s="14"/>
      <c r="C610" s="11"/>
      <c r="D610" s="14"/>
      <c r="E610" s="4">
        <f t="shared" si="266"/>
        <v>0</v>
      </c>
      <c r="F610" s="14"/>
      <c r="G610" s="11"/>
      <c r="H610" s="14"/>
      <c r="I610" s="4">
        <f t="shared" si="267"/>
        <v>0</v>
      </c>
      <c r="K610" s="5" t="s">
        <v>3</v>
      </c>
      <c r="L610" s="14"/>
      <c r="M610" s="11"/>
      <c r="N610" s="14"/>
      <c r="O610" s="4">
        <f t="shared" ref="O610:O612" si="272">SUM(L610:N610)</f>
        <v>0</v>
      </c>
      <c r="P610" s="14"/>
      <c r="Q610" s="11"/>
      <c r="R610" s="14"/>
      <c r="S610" s="4">
        <f t="shared" ref="S610:S612" si="273">SUM(P610:R610)</f>
        <v>0</v>
      </c>
    </row>
    <row r="611" spans="1:21" x14ac:dyDescent="0.15">
      <c r="A611" s="6" t="s">
        <v>3</v>
      </c>
      <c r="B611" s="14"/>
      <c r="C611" s="11"/>
      <c r="D611" s="14"/>
      <c r="E611" s="4">
        <f t="shared" si="266"/>
        <v>0</v>
      </c>
      <c r="F611" s="14"/>
      <c r="G611" s="11"/>
      <c r="H611" s="14"/>
      <c r="I611" s="4">
        <f t="shared" si="267"/>
        <v>0</v>
      </c>
      <c r="K611" s="5" t="s">
        <v>3</v>
      </c>
      <c r="L611" s="14"/>
      <c r="M611" s="11"/>
      <c r="N611" s="14"/>
      <c r="O611" s="4">
        <f t="shared" si="272"/>
        <v>0</v>
      </c>
      <c r="P611" s="14"/>
      <c r="Q611" s="11"/>
      <c r="R611" s="14"/>
      <c r="S611" s="4">
        <f t="shared" si="273"/>
        <v>0</v>
      </c>
    </row>
    <row r="612" spans="1:21" x14ac:dyDescent="0.15">
      <c r="A612" s="6" t="s">
        <v>3</v>
      </c>
      <c r="B612" s="14"/>
      <c r="C612" s="11"/>
      <c r="D612" s="14"/>
      <c r="E612" s="4">
        <f t="shared" si="266"/>
        <v>0</v>
      </c>
      <c r="F612" s="14"/>
      <c r="G612" s="11"/>
      <c r="H612" s="14"/>
      <c r="I612" s="4">
        <f t="shared" si="267"/>
        <v>0</v>
      </c>
      <c r="K612" s="5" t="s">
        <v>3</v>
      </c>
      <c r="L612" s="14"/>
      <c r="M612" s="11"/>
      <c r="N612" s="14"/>
      <c r="O612" s="4">
        <f t="shared" si="272"/>
        <v>0</v>
      </c>
      <c r="P612" s="14"/>
      <c r="Q612" s="11"/>
      <c r="R612" s="14"/>
      <c r="S612" s="4">
        <f t="shared" si="273"/>
        <v>0</v>
      </c>
    </row>
    <row r="613" spans="1:21" x14ac:dyDescent="0.15">
      <c r="A613" s="6" t="s">
        <v>3</v>
      </c>
      <c r="B613" s="14"/>
      <c r="C613" s="11"/>
      <c r="D613" s="14"/>
      <c r="E613" s="4">
        <f t="shared" si="266"/>
        <v>0</v>
      </c>
      <c r="F613" s="14"/>
      <c r="G613" s="11"/>
      <c r="H613" s="14"/>
      <c r="I613" s="4">
        <f t="shared" si="267"/>
        <v>0</v>
      </c>
      <c r="K613" s="5" t="s">
        <v>3</v>
      </c>
      <c r="L613" s="14"/>
      <c r="M613" s="11"/>
      <c r="N613" s="14"/>
      <c r="O613" s="4">
        <f t="shared" si="269"/>
        <v>0</v>
      </c>
      <c r="P613" s="14"/>
      <c r="Q613" s="11"/>
      <c r="R613" s="14"/>
      <c r="S613" s="4">
        <f t="shared" si="271"/>
        <v>0</v>
      </c>
    </row>
    <row r="614" spans="1:21" x14ac:dyDescent="0.15">
      <c r="A614" s="6" t="s">
        <v>3</v>
      </c>
      <c r="B614" s="23"/>
      <c r="C614" s="24"/>
      <c r="D614" s="25"/>
      <c r="E614" s="7">
        <f t="shared" si="266"/>
        <v>0</v>
      </c>
      <c r="F614" s="23"/>
      <c r="G614" s="24"/>
      <c r="H614" s="25"/>
      <c r="I614" s="7">
        <f t="shared" si="267"/>
        <v>0</v>
      </c>
      <c r="K614" s="5" t="s">
        <v>3</v>
      </c>
      <c r="L614" s="25"/>
      <c r="M614" s="24"/>
      <c r="N614" s="25"/>
      <c r="O614" s="7">
        <f t="shared" si="269"/>
        <v>0</v>
      </c>
      <c r="P614" s="23"/>
      <c r="Q614" s="24"/>
      <c r="R614" s="25"/>
      <c r="S614" s="7">
        <f t="shared" si="271"/>
        <v>0</v>
      </c>
    </row>
    <row r="615" spans="1:21" x14ac:dyDescent="0.15">
      <c r="A615" s="6" t="s">
        <v>3</v>
      </c>
      <c r="B615" s="23"/>
      <c r="C615" s="24"/>
      <c r="D615" s="25"/>
      <c r="E615" s="7">
        <f t="shared" si="266"/>
        <v>0</v>
      </c>
      <c r="F615" s="23"/>
      <c r="G615" s="24"/>
      <c r="H615" s="25"/>
      <c r="I615" s="7">
        <f t="shared" si="267"/>
        <v>0</v>
      </c>
      <c r="K615" s="5" t="s">
        <v>3</v>
      </c>
      <c r="L615" s="25"/>
      <c r="M615" s="24"/>
      <c r="N615" s="25"/>
      <c r="O615" s="7">
        <f t="shared" ref="O615:O642" si="274">SUM(L615:N615)</f>
        <v>0</v>
      </c>
      <c r="P615" s="25"/>
      <c r="Q615" s="24"/>
      <c r="R615" s="25"/>
      <c r="S615" s="7">
        <f t="shared" ref="S615:S642" si="275">SUM(P615:R615)</f>
        <v>0</v>
      </c>
    </row>
    <row r="616" spans="1:21" ht="14.25" thickBot="1" x14ac:dyDescent="0.2">
      <c r="A616" s="6" t="s">
        <v>3</v>
      </c>
      <c r="B616" s="29"/>
      <c r="C616" s="30"/>
      <c r="D616" s="29"/>
      <c r="E616" s="16">
        <f t="shared" si="266"/>
        <v>0</v>
      </c>
      <c r="F616" s="29"/>
      <c r="G616" s="30"/>
      <c r="H616" s="29"/>
      <c r="I616" s="16">
        <f t="shared" si="267"/>
        <v>0</v>
      </c>
      <c r="K616" s="33" t="s">
        <v>3</v>
      </c>
      <c r="L616" s="29"/>
      <c r="M616" s="30"/>
      <c r="N616" s="29"/>
      <c r="O616" s="16">
        <f t="shared" si="274"/>
        <v>0</v>
      </c>
      <c r="P616" s="29"/>
      <c r="Q616" s="30"/>
      <c r="R616" s="29"/>
      <c r="S616" s="16">
        <f t="shared" si="275"/>
        <v>0</v>
      </c>
    </row>
    <row r="617" spans="1:21" ht="14.25" thickBot="1" x14ac:dyDescent="0.2">
      <c r="A617" s="17" t="s">
        <v>4</v>
      </c>
      <c r="B617" s="18">
        <f>SUM(B606:B616)</f>
        <v>12</v>
      </c>
      <c r="C617" s="18">
        <f>SUM(C606:C616)</f>
        <v>5</v>
      </c>
      <c r="D617" s="19">
        <f>SUM(D606:D616)</f>
        <v>9</v>
      </c>
      <c r="E617" s="20">
        <f t="shared" si="266"/>
        <v>26</v>
      </c>
      <c r="F617" s="18">
        <f>SUM(F606:F616)</f>
        <v>12</v>
      </c>
      <c r="G617" s="18">
        <f>SUM(G606:G616)</f>
        <v>5</v>
      </c>
      <c r="H617" s="19">
        <f>SUM(H606:H616)</f>
        <v>9</v>
      </c>
      <c r="I617" s="20">
        <f t="shared" si="267"/>
        <v>26</v>
      </c>
      <c r="K617" s="17" t="s">
        <v>4</v>
      </c>
      <c r="L617" s="18">
        <f>SUM(L606:L616)</f>
        <v>346</v>
      </c>
      <c r="M617" s="18">
        <f>SUM(M606:M616)</f>
        <v>439</v>
      </c>
      <c r="N617" s="18">
        <f>SUM(N606:N616)</f>
        <v>250</v>
      </c>
      <c r="O617" s="20">
        <f t="shared" si="274"/>
        <v>1035</v>
      </c>
      <c r="P617" s="18">
        <f>SUM(P606:P616)</f>
        <v>346</v>
      </c>
      <c r="Q617" s="18">
        <f>SUM(Q606:Q616)</f>
        <v>439</v>
      </c>
      <c r="R617" s="19">
        <f>SUM(R606:R616)</f>
        <v>250</v>
      </c>
      <c r="S617" s="20">
        <f t="shared" si="275"/>
        <v>1035</v>
      </c>
    </row>
    <row r="618" spans="1:21" x14ac:dyDescent="0.15">
      <c r="A618" s="66" t="s">
        <v>68</v>
      </c>
      <c r="B618" s="8"/>
      <c r="C618" s="9"/>
      <c r="D618" s="10">
        <v>3</v>
      </c>
      <c r="E618" s="4">
        <f t="shared" si="266"/>
        <v>3</v>
      </c>
      <c r="F618" s="8"/>
      <c r="G618" s="9"/>
      <c r="H618" s="10">
        <v>3</v>
      </c>
      <c r="I618" s="4">
        <f t="shared" si="267"/>
        <v>3</v>
      </c>
      <c r="J618" s="47">
        <v>45414</v>
      </c>
      <c r="K618" s="3" t="s">
        <v>63</v>
      </c>
      <c r="L618" s="9">
        <v>15</v>
      </c>
      <c r="M618" s="10">
        <v>24</v>
      </c>
      <c r="N618" s="9">
        <v>15</v>
      </c>
      <c r="O618" s="70">
        <f t="shared" ref="O618" si="276">SUM(L618:N618)</f>
        <v>54</v>
      </c>
      <c r="P618" s="9">
        <v>15</v>
      </c>
      <c r="Q618" s="10">
        <v>24</v>
      </c>
      <c r="R618" s="9">
        <v>15</v>
      </c>
      <c r="S618" s="7">
        <f t="shared" ref="S618" si="277">SUM(P618:R618)</f>
        <v>54</v>
      </c>
      <c r="T618" s="47">
        <v>45414</v>
      </c>
      <c r="U618" s="54"/>
    </row>
    <row r="619" spans="1:21" x14ac:dyDescent="0.15">
      <c r="A619" s="66" t="s">
        <v>80</v>
      </c>
      <c r="B619" s="8">
        <v>1</v>
      </c>
      <c r="C619" s="9"/>
      <c r="D619" s="10"/>
      <c r="E619" s="4">
        <f t="shared" si="266"/>
        <v>1</v>
      </c>
      <c r="F619" s="8">
        <v>1</v>
      </c>
      <c r="G619" s="9"/>
      <c r="H619" s="10"/>
      <c r="I619" s="4">
        <f t="shared" si="267"/>
        <v>1</v>
      </c>
      <c r="J619" s="47">
        <v>45425</v>
      </c>
      <c r="K619" s="66" t="s">
        <v>71</v>
      </c>
      <c r="L619" s="9"/>
      <c r="M619" s="10"/>
      <c r="N619" s="9">
        <v>3</v>
      </c>
      <c r="O619" s="70">
        <f t="shared" si="274"/>
        <v>3</v>
      </c>
      <c r="P619" s="9"/>
      <c r="Q619" s="10"/>
      <c r="R619" s="9">
        <v>3</v>
      </c>
      <c r="S619" s="7">
        <f t="shared" si="275"/>
        <v>3</v>
      </c>
      <c r="T619" s="47">
        <v>45419</v>
      </c>
      <c r="U619" s="54"/>
    </row>
    <row r="620" spans="1:21" x14ac:dyDescent="0.15">
      <c r="A620" s="66" t="s">
        <v>83</v>
      </c>
      <c r="B620" s="8">
        <v>1</v>
      </c>
      <c r="C620" s="9"/>
      <c r="D620" s="10"/>
      <c r="E620" s="4">
        <f t="shared" si="266"/>
        <v>1</v>
      </c>
      <c r="F620" s="8">
        <v>1</v>
      </c>
      <c r="G620" s="9"/>
      <c r="H620" s="10"/>
      <c r="I620" s="4">
        <f t="shared" si="267"/>
        <v>1</v>
      </c>
      <c r="J620" s="47">
        <v>45427</v>
      </c>
      <c r="K620" s="3" t="s">
        <v>64</v>
      </c>
      <c r="L620" s="9">
        <v>3</v>
      </c>
      <c r="M620" s="10">
        <v>5</v>
      </c>
      <c r="N620" s="9">
        <v>4</v>
      </c>
      <c r="O620" s="70">
        <f t="shared" si="274"/>
        <v>12</v>
      </c>
      <c r="P620" s="9">
        <v>3</v>
      </c>
      <c r="Q620" s="10">
        <v>5</v>
      </c>
      <c r="R620" s="9">
        <v>4</v>
      </c>
      <c r="S620" s="7">
        <f t="shared" si="275"/>
        <v>12</v>
      </c>
      <c r="T620" s="47">
        <v>45421</v>
      </c>
      <c r="U620" s="54"/>
    </row>
    <row r="621" spans="1:21" x14ac:dyDescent="0.15">
      <c r="A621" s="66" t="s">
        <v>84</v>
      </c>
      <c r="B621" s="8">
        <v>1</v>
      </c>
      <c r="C621" s="9"/>
      <c r="D621" s="10"/>
      <c r="E621" s="4">
        <f t="shared" si="266"/>
        <v>1</v>
      </c>
      <c r="F621" s="8">
        <v>1</v>
      </c>
      <c r="G621" s="9"/>
      <c r="H621" s="10"/>
      <c r="I621" s="4">
        <f t="shared" si="267"/>
        <v>1</v>
      </c>
      <c r="J621" s="47">
        <v>45429</v>
      </c>
      <c r="K621" s="66" t="s">
        <v>73</v>
      </c>
      <c r="L621" s="9">
        <v>2</v>
      </c>
      <c r="M621" s="10">
        <v>3</v>
      </c>
      <c r="N621" s="9">
        <v>1</v>
      </c>
      <c r="O621" s="70">
        <f t="shared" si="274"/>
        <v>6</v>
      </c>
      <c r="P621" s="9">
        <v>2</v>
      </c>
      <c r="Q621" s="10">
        <v>3</v>
      </c>
      <c r="R621" s="9">
        <v>1</v>
      </c>
      <c r="S621" s="7">
        <f t="shared" si="275"/>
        <v>6</v>
      </c>
      <c r="T621" s="47">
        <v>45421</v>
      </c>
    </row>
    <row r="622" spans="1:21" x14ac:dyDescent="0.15">
      <c r="A622" s="66" t="s">
        <v>85</v>
      </c>
      <c r="B622" s="8">
        <v>2</v>
      </c>
      <c r="C622" s="9"/>
      <c r="D622" s="10"/>
      <c r="E622" s="4">
        <f t="shared" si="266"/>
        <v>2</v>
      </c>
      <c r="F622" s="8">
        <v>2</v>
      </c>
      <c r="G622" s="9"/>
      <c r="H622" s="10"/>
      <c r="I622" s="4">
        <f t="shared" si="267"/>
        <v>2</v>
      </c>
      <c r="J622" s="47">
        <v>45429</v>
      </c>
      <c r="K622" s="66" t="s">
        <v>74</v>
      </c>
      <c r="L622" s="9">
        <v>2</v>
      </c>
      <c r="M622" s="10"/>
      <c r="N622" s="9"/>
      <c r="O622" s="70">
        <f t="shared" si="274"/>
        <v>2</v>
      </c>
      <c r="P622" s="9">
        <v>2</v>
      </c>
      <c r="Q622" s="10"/>
      <c r="R622" s="9"/>
      <c r="S622" s="7">
        <f t="shared" si="275"/>
        <v>2</v>
      </c>
      <c r="T622" s="47">
        <v>45422</v>
      </c>
    </row>
    <row r="623" spans="1:21" x14ac:dyDescent="0.15">
      <c r="A623" s="66" t="s">
        <v>90</v>
      </c>
      <c r="B623" s="8"/>
      <c r="C623" s="9">
        <v>1</v>
      </c>
      <c r="D623" s="10">
        <v>2</v>
      </c>
      <c r="E623" s="7">
        <f t="shared" si="266"/>
        <v>3</v>
      </c>
      <c r="F623" s="8"/>
      <c r="G623" s="9">
        <v>1</v>
      </c>
      <c r="H623" s="10">
        <v>2</v>
      </c>
      <c r="I623" s="7">
        <f t="shared" si="267"/>
        <v>3</v>
      </c>
      <c r="J623" s="47">
        <v>45436</v>
      </c>
      <c r="K623" s="3" t="s">
        <v>443</v>
      </c>
      <c r="L623" s="9">
        <v>2</v>
      </c>
      <c r="M623" s="10">
        <v>2</v>
      </c>
      <c r="N623" s="9">
        <v>2</v>
      </c>
      <c r="O623" s="70">
        <f t="shared" si="274"/>
        <v>6</v>
      </c>
      <c r="P623" s="9">
        <v>2</v>
      </c>
      <c r="Q623" s="10">
        <v>2</v>
      </c>
      <c r="R623" s="9">
        <v>2</v>
      </c>
      <c r="S623" s="7">
        <f t="shared" si="275"/>
        <v>6</v>
      </c>
      <c r="T623" s="47">
        <v>45429</v>
      </c>
    </row>
    <row r="624" spans="1:21" x14ac:dyDescent="0.15">
      <c r="A624" s="66" t="s">
        <v>93</v>
      </c>
      <c r="B624" s="8">
        <v>3</v>
      </c>
      <c r="C624" s="9">
        <v>2</v>
      </c>
      <c r="D624" s="10"/>
      <c r="E624" s="7">
        <f t="shared" si="266"/>
        <v>5</v>
      </c>
      <c r="F624" s="8">
        <v>3</v>
      </c>
      <c r="G624" s="9">
        <v>2</v>
      </c>
      <c r="H624" s="10"/>
      <c r="I624" s="7">
        <f t="shared" si="267"/>
        <v>5</v>
      </c>
      <c r="J624" s="47">
        <v>45436</v>
      </c>
      <c r="K624" s="66" t="s">
        <v>33</v>
      </c>
      <c r="L624" s="9">
        <v>3</v>
      </c>
      <c r="M624" s="10">
        <v>3</v>
      </c>
      <c r="N624" s="9">
        <v>3</v>
      </c>
      <c r="O624" s="70">
        <f t="shared" ref="O624:O625" si="278">SUM(L624:N624)</f>
        <v>9</v>
      </c>
      <c r="P624" s="9">
        <v>3</v>
      </c>
      <c r="Q624" s="10">
        <v>3</v>
      </c>
      <c r="R624" s="9">
        <v>3</v>
      </c>
      <c r="S624" s="7">
        <f t="shared" ref="S624:S625" si="279">SUM(P624:R624)</f>
        <v>9</v>
      </c>
      <c r="T624" s="47">
        <v>45427</v>
      </c>
    </row>
    <row r="625" spans="1:21" x14ac:dyDescent="0.15">
      <c r="A625" s="66" t="s">
        <v>98</v>
      </c>
      <c r="B625" s="8">
        <v>1</v>
      </c>
      <c r="C625" s="9"/>
      <c r="D625" s="10">
        <v>1</v>
      </c>
      <c r="E625" s="7">
        <f t="shared" si="266"/>
        <v>2</v>
      </c>
      <c r="F625" s="8">
        <v>1</v>
      </c>
      <c r="G625" s="9"/>
      <c r="H625" s="10">
        <v>1</v>
      </c>
      <c r="I625" s="7">
        <f t="shared" si="267"/>
        <v>2</v>
      </c>
      <c r="J625" s="47">
        <v>45439</v>
      </c>
      <c r="K625" s="66" t="s">
        <v>33</v>
      </c>
      <c r="L625" s="9">
        <v>5</v>
      </c>
      <c r="M625" s="10"/>
      <c r="N625" s="9"/>
      <c r="O625" s="70">
        <f t="shared" si="278"/>
        <v>5</v>
      </c>
      <c r="P625" s="9">
        <v>5</v>
      </c>
      <c r="Q625" s="10"/>
      <c r="R625" s="9"/>
      <c r="S625" s="7">
        <f t="shared" si="279"/>
        <v>5</v>
      </c>
      <c r="T625" s="47">
        <v>45430</v>
      </c>
      <c r="U625" s="54"/>
    </row>
    <row r="626" spans="1:21" x14ac:dyDescent="0.15">
      <c r="A626" s="66" t="s">
        <v>99</v>
      </c>
      <c r="B626" s="8"/>
      <c r="C626" s="9"/>
      <c r="D626" s="10">
        <v>1</v>
      </c>
      <c r="E626" s="7">
        <f t="shared" si="266"/>
        <v>1</v>
      </c>
      <c r="F626" s="8"/>
      <c r="G626" s="9"/>
      <c r="H626" s="10">
        <v>1</v>
      </c>
      <c r="I626" s="7">
        <f t="shared" si="267"/>
        <v>1</v>
      </c>
      <c r="J626" s="47">
        <v>45441</v>
      </c>
      <c r="K626" s="66" t="s">
        <v>86</v>
      </c>
      <c r="L626" s="9">
        <v>3</v>
      </c>
      <c r="M626" s="10">
        <v>3</v>
      </c>
      <c r="N626" s="9">
        <v>3</v>
      </c>
      <c r="O626" s="70">
        <f t="shared" si="274"/>
        <v>9</v>
      </c>
      <c r="P626" s="9">
        <v>3</v>
      </c>
      <c r="Q626" s="10">
        <v>3</v>
      </c>
      <c r="R626" s="9">
        <v>3</v>
      </c>
      <c r="S626" s="7">
        <f t="shared" si="275"/>
        <v>9</v>
      </c>
      <c r="T626" s="47">
        <v>45434</v>
      </c>
    </row>
    <row r="627" spans="1:21" x14ac:dyDescent="0.15">
      <c r="A627" s="3"/>
      <c r="B627" s="8"/>
      <c r="C627" s="9"/>
      <c r="D627" s="10"/>
      <c r="E627" s="7">
        <f t="shared" si="266"/>
        <v>0</v>
      </c>
      <c r="F627" s="8"/>
      <c r="G627" s="9"/>
      <c r="H627" s="10"/>
      <c r="I627" s="7">
        <f t="shared" si="267"/>
        <v>0</v>
      </c>
      <c r="J627" s="55"/>
      <c r="K627" s="3" t="s">
        <v>65</v>
      </c>
      <c r="L627" s="9">
        <v>6</v>
      </c>
      <c r="M627" s="10">
        <v>20</v>
      </c>
      <c r="N627" s="9"/>
      <c r="O627" s="70">
        <f t="shared" si="274"/>
        <v>26</v>
      </c>
      <c r="P627" s="9">
        <v>6</v>
      </c>
      <c r="Q627" s="10">
        <v>20</v>
      </c>
      <c r="R627" s="9"/>
      <c r="S627" s="7">
        <f t="shared" si="275"/>
        <v>26</v>
      </c>
      <c r="T627" s="47">
        <v>45435</v>
      </c>
    </row>
    <row r="628" spans="1:21" x14ac:dyDescent="0.15">
      <c r="A628" s="3"/>
      <c r="B628" s="8"/>
      <c r="C628" s="9"/>
      <c r="D628" s="10"/>
      <c r="E628" s="7">
        <f t="shared" si="266"/>
        <v>0</v>
      </c>
      <c r="F628" s="8"/>
      <c r="G628" s="9"/>
      <c r="H628" s="10"/>
      <c r="I628" s="7">
        <f t="shared" si="267"/>
        <v>0</v>
      </c>
      <c r="J628" s="55"/>
      <c r="K628" s="66" t="s">
        <v>87</v>
      </c>
      <c r="L628" s="9">
        <v>3</v>
      </c>
      <c r="M628" s="10">
        <v>1</v>
      </c>
      <c r="N628" s="9">
        <v>1</v>
      </c>
      <c r="O628" s="70">
        <f t="shared" si="274"/>
        <v>5</v>
      </c>
      <c r="P628" s="9">
        <v>3</v>
      </c>
      <c r="Q628" s="10">
        <v>1</v>
      </c>
      <c r="R628" s="9">
        <v>1</v>
      </c>
      <c r="S628" s="7">
        <f t="shared" si="275"/>
        <v>5</v>
      </c>
      <c r="T628" s="47">
        <v>45435</v>
      </c>
      <c r="U628" s="54"/>
    </row>
    <row r="629" spans="1:21" x14ac:dyDescent="0.15">
      <c r="A629" s="3"/>
      <c r="B629" s="8"/>
      <c r="C629" s="9"/>
      <c r="D629" s="10"/>
      <c r="E629" s="7">
        <f t="shared" si="266"/>
        <v>0</v>
      </c>
      <c r="F629" s="8"/>
      <c r="G629" s="9"/>
      <c r="H629" s="10"/>
      <c r="I629" s="7">
        <f t="shared" si="267"/>
        <v>0</v>
      </c>
      <c r="J629" s="55"/>
      <c r="K629" s="66" t="s">
        <v>100</v>
      </c>
      <c r="L629" s="9"/>
      <c r="M629" s="10">
        <v>3</v>
      </c>
      <c r="N629" s="9"/>
      <c r="O629" s="70">
        <f t="shared" si="274"/>
        <v>3</v>
      </c>
      <c r="P629" s="9"/>
      <c r="Q629" s="10">
        <v>3</v>
      </c>
      <c r="R629" s="9"/>
      <c r="S629" s="7">
        <f t="shared" si="275"/>
        <v>3</v>
      </c>
      <c r="T629" s="47">
        <v>45442</v>
      </c>
      <c r="U629" s="54"/>
    </row>
    <row r="630" spans="1:21" x14ac:dyDescent="0.15">
      <c r="A630" s="3"/>
      <c r="B630" s="8"/>
      <c r="C630" s="9"/>
      <c r="D630" s="10"/>
      <c r="E630" s="7">
        <f t="shared" si="266"/>
        <v>0</v>
      </c>
      <c r="F630" s="8"/>
      <c r="G630" s="9"/>
      <c r="H630" s="10"/>
      <c r="I630" s="7">
        <f t="shared" si="267"/>
        <v>0</v>
      </c>
      <c r="K630" s="66" t="s">
        <v>103</v>
      </c>
      <c r="L630" s="9">
        <v>1</v>
      </c>
      <c r="M630" s="10">
        <v>1</v>
      </c>
      <c r="N630" s="9">
        <v>2</v>
      </c>
      <c r="O630" s="70">
        <f t="shared" si="274"/>
        <v>4</v>
      </c>
      <c r="P630" s="9">
        <v>1</v>
      </c>
      <c r="Q630" s="10">
        <v>1</v>
      </c>
      <c r="R630" s="9">
        <v>2</v>
      </c>
      <c r="S630" s="7">
        <f t="shared" si="275"/>
        <v>4</v>
      </c>
      <c r="T630" s="47">
        <v>45443</v>
      </c>
      <c r="U630" s="54"/>
    </row>
    <row r="631" spans="1:21" x14ac:dyDescent="0.15">
      <c r="A631" s="3"/>
      <c r="B631" s="8"/>
      <c r="C631" s="9"/>
      <c r="D631" s="10"/>
      <c r="E631" s="7">
        <f t="shared" si="266"/>
        <v>0</v>
      </c>
      <c r="F631" s="8"/>
      <c r="G631" s="9"/>
      <c r="H631" s="10"/>
      <c r="I631" s="7">
        <f t="shared" si="267"/>
        <v>0</v>
      </c>
      <c r="K631" s="66" t="s">
        <v>105</v>
      </c>
      <c r="L631" s="9">
        <v>1</v>
      </c>
      <c r="M631" s="10">
        <v>1</v>
      </c>
      <c r="N631" s="9">
        <v>2</v>
      </c>
      <c r="O631" s="70">
        <f t="shared" si="274"/>
        <v>4</v>
      </c>
      <c r="P631" s="9">
        <v>1</v>
      </c>
      <c r="Q631" s="10">
        <v>1</v>
      </c>
      <c r="R631" s="9">
        <v>2</v>
      </c>
      <c r="S631" s="7">
        <f t="shared" si="275"/>
        <v>4</v>
      </c>
      <c r="T631" s="47">
        <v>45443</v>
      </c>
      <c r="U631" s="54"/>
    </row>
    <row r="632" spans="1:21" x14ac:dyDescent="0.15">
      <c r="A632" s="3"/>
      <c r="B632" s="8"/>
      <c r="C632" s="9"/>
      <c r="D632" s="10"/>
      <c r="E632" s="7">
        <f t="shared" si="266"/>
        <v>0</v>
      </c>
      <c r="F632" s="8"/>
      <c r="G632" s="9"/>
      <c r="H632" s="10"/>
      <c r="I632" s="7">
        <f t="shared" si="267"/>
        <v>0</v>
      </c>
      <c r="K632" s="66" t="s">
        <v>106</v>
      </c>
      <c r="L632" s="9">
        <v>2</v>
      </c>
      <c r="M632" s="10">
        <v>2</v>
      </c>
      <c r="N632" s="9">
        <v>4</v>
      </c>
      <c r="O632" s="70">
        <f t="shared" si="274"/>
        <v>8</v>
      </c>
      <c r="P632" s="9">
        <v>2</v>
      </c>
      <c r="Q632" s="9">
        <v>2</v>
      </c>
      <c r="R632" s="9">
        <v>4</v>
      </c>
      <c r="S632" s="7">
        <f t="shared" si="275"/>
        <v>8</v>
      </c>
      <c r="T632" s="47">
        <v>45446</v>
      </c>
      <c r="U632" s="54"/>
    </row>
    <row r="633" spans="1:21" x14ac:dyDescent="0.15">
      <c r="A633" s="3"/>
      <c r="B633" s="8"/>
      <c r="C633" s="9"/>
      <c r="D633" s="10"/>
      <c r="E633" s="7">
        <f t="shared" si="266"/>
        <v>0</v>
      </c>
      <c r="F633" s="8"/>
      <c r="G633" s="9"/>
      <c r="H633" s="10"/>
      <c r="I633" s="7">
        <f t="shared" si="267"/>
        <v>0</v>
      </c>
      <c r="K633" s="3" t="s">
        <v>66</v>
      </c>
      <c r="L633" s="9">
        <v>10</v>
      </c>
      <c r="M633" s="10">
        <v>10</v>
      </c>
      <c r="N633" s="9"/>
      <c r="O633" s="70">
        <f t="shared" si="274"/>
        <v>20</v>
      </c>
      <c r="P633" s="9">
        <v>10</v>
      </c>
      <c r="Q633" s="10">
        <v>10</v>
      </c>
      <c r="R633" s="9"/>
      <c r="S633" s="7">
        <f t="shared" si="275"/>
        <v>20</v>
      </c>
      <c r="T633" s="47">
        <v>45447</v>
      </c>
      <c r="U633" s="54"/>
    </row>
    <row r="634" spans="1:21" x14ac:dyDescent="0.15">
      <c r="A634" s="3"/>
      <c r="B634" s="8"/>
      <c r="C634" s="9"/>
      <c r="D634" s="10"/>
      <c r="E634" s="7">
        <f t="shared" si="266"/>
        <v>0</v>
      </c>
      <c r="F634" s="8"/>
      <c r="G634" s="9"/>
      <c r="H634" s="10"/>
      <c r="I634" s="7">
        <f t="shared" si="267"/>
        <v>0</v>
      </c>
      <c r="K634" s="3"/>
      <c r="L634" s="8"/>
      <c r="M634" s="9"/>
      <c r="N634" s="10"/>
      <c r="O634" s="7">
        <f t="shared" si="274"/>
        <v>0</v>
      </c>
      <c r="P634" s="8"/>
      <c r="Q634" s="9"/>
      <c r="R634" s="10"/>
      <c r="S634" s="7">
        <f t="shared" si="275"/>
        <v>0</v>
      </c>
    </row>
    <row r="635" spans="1:21" x14ac:dyDescent="0.15">
      <c r="A635" s="3"/>
      <c r="B635" s="8"/>
      <c r="C635" s="9"/>
      <c r="D635" s="10"/>
      <c r="E635" s="7">
        <f t="shared" si="266"/>
        <v>0</v>
      </c>
      <c r="F635" s="8"/>
      <c r="G635" s="9"/>
      <c r="H635" s="10"/>
      <c r="I635" s="7">
        <f t="shared" si="267"/>
        <v>0</v>
      </c>
      <c r="K635" s="3" t="s">
        <v>439</v>
      </c>
      <c r="L635" s="8"/>
      <c r="M635" s="9"/>
      <c r="N635" s="10"/>
      <c r="O635" s="7">
        <f t="shared" si="274"/>
        <v>0</v>
      </c>
      <c r="P635" s="8"/>
      <c r="Q635" s="9"/>
      <c r="R635" s="10"/>
      <c r="S635" s="7">
        <f t="shared" si="275"/>
        <v>0</v>
      </c>
      <c r="T635" s="55" t="s">
        <v>440</v>
      </c>
      <c r="U635" s="54"/>
    </row>
    <row r="636" spans="1:21" x14ac:dyDescent="0.15">
      <c r="A636" s="3"/>
      <c r="B636" s="8"/>
      <c r="C636" s="9"/>
      <c r="D636" s="10"/>
      <c r="E636" s="7">
        <f t="shared" si="266"/>
        <v>0</v>
      </c>
      <c r="F636" s="8"/>
      <c r="G636" s="9"/>
      <c r="H636" s="10"/>
      <c r="I636" s="7">
        <f t="shared" si="267"/>
        <v>0</v>
      </c>
      <c r="K636" s="3" t="s">
        <v>427</v>
      </c>
      <c r="L636" s="8"/>
      <c r="M636" s="9"/>
      <c r="N636" s="10"/>
      <c r="O636" s="7">
        <f t="shared" si="274"/>
        <v>0</v>
      </c>
      <c r="P636" s="8"/>
      <c r="Q636" s="9"/>
      <c r="R636" s="10"/>
      <c r="S636" s="7">
        <f t="shared" si="275"/>
        <v>0</v>
      </c>
      <c r="T636" s="55" t="s">
        <v>428</v>
      </c>
      <c r="U636" s="54"/>
    </row>
    <row r="637" spans="1:21" x14ac:dyDescent="0.15">
      <c r="A637" s="3"/>
      <c r="B637" s="8"/>
      <c r="C637" s="9"/>
      <c r="D637" s="10"/>
      <c r="E637" s="7">
        <f t="shared" si="266"/>
        <v>0</v>
      </c>
      <c r="F637" s="8"/>
      <c r="G637" s="9"/>
      <c r="H637" s="10"/>
      <c r="I637" s="7">
        <f t="shared" si="267"/>
        <v>0</v>
      </c>
      <c r="K637" s="3" t="s">
        <v>430</v>
      </c>
      <c r="L637" s="8"/>
      <c r="M637" s="9"/>
      <c r="N637" s="10"/>
      <c r="O637" s="7">
        <f t="shared" ref="O637" si="280">SUM(L637:N637)</f>
        <v>0</v>
      </c>
      <c r="P637" s="8"/>
      <c r="Q637" s="9"/>
      <c r="R637" s="10"/>
      <c r="S637" s="7">
        <f t="shared" ref="S637" si="281">SUM(P637:R637)</f>
        <v>0</v>
      </c>
      <c r="T637" s="55" t="s">
        <v>431</v>
      </c>
      <c r="U637" s="54"/>
    </row>
    <row r="638" spans="1:21" x14ac:dyDescent="0.15">
      <c r="A638" s="3"/>
      <c r="B638" s="8"/>
      <c r="C638" s="9"/>
      <c r="D638" s="10"/>
      <c r="E638" s="7">
        <f t="shared" si="266"/>
        <v>0</v>
      </c>
      <c r="F638" s="8"/>
      <c r="G638" s="9"/>
      <c r="H638" s="10"/>
      <c r="I638" s="7">
        <f t="shared" si="267"/>
        <v>0</v>
      </c>
      <c r="K638" s="3" t="s">
        <v>423</v>
      </c>
      <c r="L638" s="8"/>
      <c r="M638" s="9"/>
      <c r="N638" s="10"/>
      <c r="O638" s="7">
        <f t="shared" si="274"/>
        <v>0</v>
      </c>
      <c r="P638" s="8"/>
      <c r="Q638" s="9"/>
      <c r="R638" s="10"/>
      <c r="S638" s="7">
        <f t="shared" si="275"/>
        <v>0</v>
      </c>
      <c r="T638" s="55" t="s">
        <v>186</v>
      </c>
      <c r="U638" s="54"/>
    </row>
    <row r="639" spans="1:21" x14ac:dyDescent="0.15">
      <c r="A639" s="3"/>
      <c r="B639" s="8"/>
      <c r="C639" s="9"/>
      <c r="D639" s="10"/>
      <c r="E639" s="7">
        <f t="shared" si="266"/>
        <v>0</v>
      </c>
      <c r="F639" s="8"/>
      <c r="G639" s="9"/>
      <c r="H639" s="10"/>
      <c r="I639" s="7">
        <f t="shared" si="267"/>
        <v>0</v>
      </c>
      <c r="K639" s="3" t="s">
        <v>416</v>
      </c>
      <c r="L639" s="8"/>
      <c r="M639" s="9"/>
      <c r="N639" s="10"/>
      <c r="O639" s="7">
        <f t="shared" ref="O639:O640" si="282">SUM(L639:N639)</f>
        <v>0</v>
      </c>
      <c r="P639" s="8"/>
      <c r="Q639" s="9"/>
      <c r="R639" s="10"/>
      <c r="S639" s="7">
        <f t="shared" ref="S639:S640" si="283">SUM(P639:R639)</f>
        <v>0</v>
      </c>
      <c r="T639" s="55" t="s">
        <v>432</v>
      </c>
      <c r="U639" s="54"/>
    </row>
    <row r="640" spans="1:21" x14ac:dyDescent="0.15">
      <c r="A640" s="3"/>
      <c r="B640" s="8"/>
      <c r="C640" s="9"/>
      <c r="D640" s="10"/>
      <c r="E640" s="7">
        <f t="shared" si="266"/>
        <v>0</v>
      </c>
      <c r="F640" s="8"/>
      <c r="G640" s="9"/>
      <c r="H640" s="10"/>
      <c r="I640" s="7">
        <f t="shared" si="267"/>
        <v>0</v>
      </c>
      <c r="K640" s="11" t="s">
        <v>435</v>
      </c>
      <c r="L640" s="126"/>
      <c r="M640" s="127"/>
      <c r="N640" s="128"/>
      <c r="O640" s="129">
        <f t="shared" si="282"/>
        <v>0</v>
      </c>
      <c r="P640" s="126"/>
      <c r="Q640" s="127"/>
      <c r="R640" s="128"/>
      <c r="S640" s="129">
        <f t="shared" si="283"/>
        <v>0</v>
      </c>
      <c r="T640" s="55" t="s">
        <v>31</v>
      </c>
      <c r="U640" s="54"/>
    </row>
    <row r="641" spans="1:21" ht="14.25" thickBot="1" x14ac:dyDescent="0.2">
      <c r="A641" s="3"/>
      <c r="B641" s="8"/>
      <c r="C641" s="9"/>
      <c r="D641" s="10"/>
      <c r="E641" s="7">
        <f t="shared" si="266"/>
        <v>0</v>
      </c>
      <c r="F641" s="8"/>
      <c r="G641" s="9"/>
      <c r="H641" s="10"/>
      <c r="I641" s="7">
        <f t="shared" si="267"/>
        <v>0</v>
      </c>
      <c r="K641" s="125" t="s">
        <v>434</v>
      </c>
      <c r="L641" s="126"/>
      <c r="M641" s="127"/>
      <c r="N641" s="128"/>
      <c r="O641" s="129">
        <f t="shared" si="274"/>
        <v>0</v>
      </c>
      <c r="P641" s="126"/>
      <c r="Q641" s="127"/>
      <c r="R641" s="128"/>
      <c r="S641" s="129">
        <f t="shared" si="275"/>
        <v>0</v>
      </c>
      <c r="T641" s="47" t="s">
        <v>183</v>
      </c>
    </row>
    <row r="642" spans="1:21" ht="14.25" thickBot="1" x14ac:dyDescent="0.2">
      <c r="A642" s="2" t="s">
        <v>5</v>
      </c>
      <c r="B642" s="12">
        <f>SUM(B618:B641)</f>
        <v>9</v>
      </c>
      <c r="C642" s="12">
        <f>SUM(C618:C641)</f>
        <v>3</v>
      </c>
      <c r="D642" s="12">
        <f>SUM(D618:D641)</f>
        <v>7</v>
      </c>
      <c r="E642" s="13">
        <f t="shared" si="266"/>
        <v>19</v>
      </c>
      <c r="F642" s="12">
        <f>SUM(F618:F641)</f>
        <v>9</v>
      </c>
      <c r="G642" s="12">
        <f>SUM(G618:G641)</f>
        <v>3</v>
      </c>
      <c r="H642" s="12">
        <f>SUM(H618:H641)</f>
        <v>7</v>
      </c>
      <c r="I642" s="13">
        <f t="shared" si="267"/>
        <v>19</v>
      </c>
      <c r="K642" s="2" t="s">
        <v>5</v>
      </c>
      <c r="L642" s="12">
        <f>SUM(L618:L641)</f>
        <v>58</v>
      </c>
      <c r="M642" s="12">
        <f>SUM(M618:M641)</f>
        <v>78</v>
      </c>
      <c r="N642" s="12">
        <f>SUM(N618:N641)</f>
        <v>40</v>
      </c>
      <c r="O642" s="13">
        <f t="shared" si="274"/>
        <v>176</v>
      </c>
      <c r="P642" s="12">
        <f>SUM(P618:P641)</f>
        <v>58</v>
      </c>
      <c r="Q642" s="12">
        <f>SUM(Q618:Q641)</f>
        <v>78</v>
      </c>
      <c r="R642" s="12">
        <f>SUM(R618:R641)</f>
        <v>40</v>
      </c>
      <c r="S642" s="13">
        <f t="shared" si="275"/>
        <v>176</v>
      </c>
    </row>
    <row r="643" spans="1:21" ht="14.25" thickBot="1" x14ac:dyDescent="0.2">
      <c r="A643" s="21" t="s">
        <v>6</v>
      </c>
      <c r="B643" s="22">
        <f t="shared" ref="B643:I643" si="284">B617-B642</f>
        <v>3</v>
      </c>
      <c r="C643" s="22">
        <f t="shared" si="284"/>
        <v>2</v>
      </c>
      <c r="D643" s="22">
        <f t="shared" si="284"/>
        <v>2</v>
      </c>
      <c r="E643" s="22">
        <f t="shared" si="284"/>
        <v>7</v>
      </c>
      <c r="F643" s="22">
        <f t="shared" si="284"/>
        <v>3</v>
      </c>
      <c r="G643" s="22">
        <f t="shared" si="284"/>
        <v>2</v>
      </c>
      <c r="H643" s="22">
        <f t="shared" si="284"/>
        <v>2</v>
      </c>
      <c r="I643" s="20">
        <f t="shared" si="284"/>
        <v>7</v>
      </c>
      <c r="K643" s="21" t="s">
        <v>6</v>
      </c>
      <c r="L643" s="22">
        <f>L617-L642</f>
        <v>288</v>
      </c>
      <c r="M643" s="22">
        <f t="shared" ref="M643:O643" si="285">M617-M642</f>
        <v>361</v>
      </c>
      <c r="N643" s="22">
        <f t="shared" si="285"/>
        <v>210</v>
      </c>
      <c r="O643" s="22">
        <f t="shared" si="285"/>
        <v>859</v>
      </c>
      <c r="P643" s="22">
        <f>P617-P642</f>
        <v>288</v>
      </c>
      <c r="Q643" s="22">
        <f>Q617-Q642</f>
        <v>361</v>
      </c>
      <c r="R643" s="22">
        <f>R617-R642</f>
        <v>210</v>
      </c>
      <c r="S643" s="20">
        <f t="shared" ref="S643" si="286">S617-S642</f>
        <v>859</v>
      </c>
    </row>
    <row r="644" spans="1:21" x14ac:dyDescent="0.15">
      <c r="K644" s="110"/>
      <c r="L644" s="135"/>
      <c r="M644" s="135"/>
      <c r="N644" s="135"/>
      <c r="O644" s="135"/>
    </row>
    <row r="645" spans="1:21" x14ac:dyDescent="0.15">
      <c r="L645" s="136"/>
      <c r="M645" s="136"/>
      <c r="N645" s="136"/>
      <c r="O645" s="74"/>
      <c r="P645" s="134"/>
      <c r="Q645" s="134"/>
      <c r="R645" s="134"/>
      <c r="S645" s="134"/>
    </row>
    <row r="646" spans="1:21" ht="21.75" thickBot="1" x14ac:dyDescent="0.25">
      <c r="A646" s="26" t="s">
        <v>368</v>
      </c>
      <c r="B646" s="27"/>
      <c r="C646" s="27"/>
      <c r="D646" s="27"/>
      <c r="E646" s="27"/>
      <c r="F646" s="28"/>
      <c r="G646" s="28"/>
      <c r="H646" s="28"/>
      <c r="I646" s="28"/>
      <c r="K646" s="26" t="s">
        <v>367</v>
      </c>
      <c r="L646" s="27"/>
      <c r="M646" s="27"/>
      <c r="N646" s="27"/>
      <c r="O646" s="27"/>
      <c r="P646" s="28"/>
      <c r="Q646" s="28"/>
      <c r="R646" s="28"/>
      <c r="S646" s="28"/>
    </row>
    <row r="647" spans="1:21" ht="14.25" thickBot="1" x14ac:dyDescent="0.2">
      <c r="A647" s="1" t="s">
        <v>0</v>
      </c>
      <c r="B647" s="183" t="s">
        <v>12</v>
      </c>
      <c r="C647" s="183"/>
      <c r="D647" s="183"/>
      <c r="E647" s="184"/>
      <c r="F647" s="183" t="s">
        <v>10</v>
      </c>
      <c r="G647" s="183"/>
      <c r="H647" s="183"/>
      <c r="I647" s="184"/>
      <c r="K647" s="1" t="s">
        <v>0</v>
      </c>
      <c r="L647" s="140" t="s">
        <v>12</v>
      </c>
      <c r="M647" s="140"/>
      <c r="N647" s="140"/>
      <c r="O647" s="141"/>
      <c r="P647" s="140" t="s">
        <v>10</v>
      </c>
      <c r="Q647" s="140"/>
      <c r="R647" s="140"/>
      <c r="S647" s="141"/>
    </row>
    <row r="648" spans="1:21" ht="14.25" thickBot="1" x14ac:dyDescent="0.2">
      <c r="A648" s="1" t="s">
        <v>1</v>
      </c>
      <c r="B648" s="2" t="s">
        <v>7</v>
      </c>
      <c r="C648" s="1" t="s">
        <v>8</v>
      </c>
      <c r="D648" s="15" t="s">
        <v>9</v>
      </c>
      <c r="E648" s="1" t="s">
        <v>2</v>
      </c>
      <c r="F648" s="2" t="s">
        <v>7</v>
      </c>
      <c r="G648" s="1" t="s">
        <v>8</v>
      </c>
      <c r="H648" s="15" t="s">
        <v>9</v>
      </c>
      <c r="I648" s="1" t="s">
        <v>2</v>
      </c>
      <c r="K648" s="1" t="s">
        <v>1</v>
      </c>
      <c r="L648" s="2" t="s">
        <v>7</v>
      </c>
      <c r="M648" s="1" t="s">
        <v>8</v>
      </c>
      <c r="N648" s="15" t="s">
        <v>9</v>
      </c>
      <c r="O648" s="1" t="s">
        <v>2</v>
      </c>
      <c r="P648" s="2" t="s">
        <v>7</v>
      </c>
      <c r="Q648" s="1" t="s">
        <v>8</v>
      </c>
      <c r="R648" s="15" t="s">
        <v>9</v>
      </c>
      <c r="S648" s="1" t="s">
        <v>2</v>
      </c>
    </row>
    <row r="649" spans="1:21" ht="14.25" thickBot="1" x14ac:dyDescent="0.2">
      <c r="A649" s="41" t="s">
        <v>13</v>
      </c>
      <c r="B649" s="42">
        <f>B643</f>
        <v>3</v>
      </c>
      <c r="C649" s="43">
        <f>C643</f>
        <v>2</v>
      </c>
      <c r="D649" s="44">
        <f>D643</f>
        <v>2</v>
      </c>
      <c r="E649" s="45">
        <f t="shared" ref="E649:E685" si="287">SUM(B649:D649)</f>
        <v>7</v>
      </c>
      <c r="F649" s="42">
        <f>F643</f>
        <v>3</v>
      </c>
      <c r="G649" s="43">
        <f>G643</f>
        <v>2</v>
      </c>
      <c r="H649" s="44">
        <f>H643</f>
        <v>2</v>
      </c>
      <c r="I649" s="45">
        <f t="shared" ref="I649:I685" si="288">SUM(F649:H649)</f>
        <v>7</v>
      </c>
      <c r="K649" s="34" t="s">
        <v>13</v>
      </c>
      <c r="L649" s="35">
        <f>L643</f>
        <v>288</v>
      </c>
      <c r="M649" s="35">
        <f t="shared" ref="M649:N649" si="289">M643</f>
        <v>361</v>
      </c>
      <c r="N649" s="35">
        <f t="shared" si="289"/>
        <v>210</v>
      </c>
      <c r="O649" s="20">
        <f t="shared" ref="O649:O685" si="290">SUM(L649:N649)</f>
        <v>859</v>
      </c>
      <c r="P649" s="35">
        <f>P643</f>
        <v>288</v>
      </c>
      <c r="Q649" s="36">
        <f t="shared" ref="Q649:R649" si="291">Q643</f>
        <v>361</v>
      </c>
      <c r="R649" s="37">
        <f t="shared" si="291"/>
        <v>210</v>
      </c>
      <c r="S649" s="20">
        <f t="shared" ref="S649:S685" si="292">SUM(P649:R649)</f>
        <v>859</v>
      </c>
    </row>
    <row r="650" spans="1:21" x14ac:dyDescent="0.15">
      <c r="A650" s="6" t="s">
        <v>3</v>
      </c>
      <c r="B650" s="38">
        <v>3</v>
      </c>
      <c r="C650" s="39">
        <v>3</v>
      </c>
      <c r="D650" s="40">
        <v>3</v>
      </c>
      <c r="E650" s="4">
        <f t="shared" si="287"/>
        <v>9</v>
      </c>
      <c r="F650" s="38">
        <v>3</v>
      </c>
      <c r="G650" s="39">
        <v>3</v>
      </c>
      <c r="H650" s="40">
        <v>3</v>
      </c>
      <c r="I650" s="4">
        <f t="shared" si="288"/>
        <v>9</v>
      </c>
      <c r="J650" s="47">
        <v>45449</v>
      </c>
      <c r="K650" s="5" t="s">
        <v>3</v>
      </c>
      <c r="L650" s="46"/>
      <c r="M650" s="3"/>
      <c r="N650" s="46"/>
      <c r="O650" s="4">
        <f t="shared" si="290"/>
        <v>0</v>
      </c>
      <c r="P650" s="46"/>
      <c r="Q650" s="3"/>
      <c r="R650" s="46"/>
      <c r="S650" s="4">
        <f t="shared" si="292"/>
        <v>0</v>
      </c>
    </row>
    <row r="651" spans="1:21" x14ac:dyDescent="0.15">
      <c r="A651" s="6" t="s">
        <v>3</v>
      </c>
      <c r="B651" s="14"/>
      <c r="C651" s="11"/>
      <c r="D651" s="14">
        <v>3</v>
      </c>
      <c r="E651" s="4">
        <f t="shared" si="287"/>
        <v>3</v>
      </c>
      <c r="F651" s="14"/>
      <c r="G651" s="11"/>
      <c r="H651" s="14">
        <v>3</v>
      </c>
      <c r="I651" s="4">
        <f t="shared" si="288"/>
        <v>3</v>
      </c>
      <c r="J651" s="47">
        <v>45462</v>
      </c>
      <c r="K651" s="5" t="s">
        <v>3</v>
      </c>
      <c r="L651" s="14"/>
      <c r="M651" s="11"/>
      <c r="N651" s="14"/>
      <c r="O651" s="4">
        <f t="shared" si="290"/>
        <v>0</v>
      </c>
      <c r="P651" s="14"/>
      <c r="Q651" s="11"/>
      <c r="R651" s="14"/>
      <c r="S651" s="4">
        <f t="shared" si="292"/>
        <v>0</v>
      </c>
    </row>
    <row r="652" spans="1:21" x14ac:dyDescent="0.15">
      <c r="A652" s="6" t="s">
        <v>91</v>
      </c>
      <c r="B652" s="14"/>
      <c r="C652" s="11"/>
      <c r="D652" s="14">
        <v>2</v>
      </c>
      <c r="E652" s="4">
        <f t="shared" si="287"/>
        <v>2</v>
      </c>
      <c r="F652" s="14"/>
      <c r="G652" s="11"/>
      <c r="H652" s="14">
        <v>2</v>
      </c>
      <c r="I652" s="4">
        <f t="shared" si="288"/>
        <v>2</v>
      </c>
      <c r="J652" s="47">
        <v>45469</v>
      </c>
      <c r="K652" s="5" t="s">
        <v>3</v>
      </c>
      <c r="L652" s="14"/>
      <c r="M652" s="11"/>
      <c r="N652" s="14"/>
      <c r="O652" s="4">
        <f t="shared" si="290"/>
        <v>0</v>
      </c>
      <c r="P652" s="14"/>
      <c r="Q652" s="11"/>
      <c r="R652" s="14"/>
      <c r="S652" s="4">
        <f t="shared" si="292"/>
        <v>0</v>
      </c>
    </row>
    <row r="653" spans="1:21" x14ac:dyDescent="0.15">
      <c r="A653" s="6" t="s">
        <v>3</v>
      </c>
      <c r="B653" s="14"/>
      <c r="C653" s="11"/>
      <c r="D653" s="14"/>
      <c r="E653" s="4">
        <f t="shared" si="287"/>
        <v>0</v>
      </c>
      <c r="F653" s="14"/>
      <c r="G653" s="11"/>
      <c r="H653" s="14"/>
      <c r="I653" s="4">
        <f t="shared" si="288"/>
        <v>0</v>
      </c>
      <c r="J653" s="55"/>
      <c r="K653" s="5" t="s">
        <v>3</v>
      </c>
      <c r="L653" s="14"/>
      <c r="M653" s="11"/>
      <c r="N653" s="14"/>
      <c r="O653" s="4">
        <f t="shared" si="290"/>
        <v>0</v>
      </c>
      <c r="P653" s="14"/>
      <c r="Q653" s="11"/>
      <c r="R653" s="14"/>
      <c r="S653" s="4">
        <f t="shared" si="292"/>
        <v>0</v>
      </c>
      <c r="T653" s="55"/>
      <c r="U653" s="54"/>
    </row>
    <row r="654" spans="1:21" x14ac:dyDescent="0.15">
      <c r="A654" s="6" t="s">
        <v>3</v>
      </c>
      <c r="B654" s="14"/>
      <c r="C654" s="11"/>
      <c r="D654" s="14"/>
      <c r="E654" s="4">
        <f t="shared" si="287"/>
        <v>0</v>
      </c>
      <c r="F654" s="14"/>
      <c r="G654" s="11"/>
      <c r="H654" s="14"/>
      <c r="I654" s="4">
        <f t="shared" si="288"/>
        <v>0</v>
      </c>
      <c r="K654" s="5" t="s">
        <v>414</v>
      </c>
      <c r="L654" s="14">
        <v>100</v>
      </c>
      <c r="M654" s="11">
        <v>190</v>
      </c>
      <c r="N654" s="14">
        <v>160</v>
      </c>
      <c r="O654" s="4">
        <f t="shared" si="290"/>
        <v>450</v>
      </c>
      <c r="P654" s="14">
        <v>100</v>
      </c>
      <c r="Q654" s="11">
        <v>190</v>
      </c>
      <c r="R654" s="14">
        <v>160</v>
      </c>
      <c r="S654" s="4">
        <f t="shared" si="292"/>
        <v>450</v>
      </c>
      <c r="T654" s="47" t="s">
        <v>447</v>
      </c>
      <c r="U654" s="54"/>
    </row>
    <row r="655" spans="1:21" x14ac:dyDescent="0.15">
      <c r="A655" s="6" t="s">
        <v>3</v>
      </c>
      <c r="B655" s="14"/>
      <c r="C655" s="11"/>
      <c r="D655" s="14"/>
      <c r="E655" s="4">
        <f t="shared" si="287"/>
        <v>0</v>
      </c>
      <c r="F655" s="14"/>
      <c r="G655" s="11"/>
      <c r="H655" s="14"/>
      <c r="I655" s="4">
        <f t="shared" si="288"/>
        <v>0</v>
      </c>
      <c r="K655" s="5" t="s">
        <v>3</v>
      </c>
      <c r="L655" s="14"/>
      <c r="M655" s="11"/>
      <c r="N655" s="14"/>
      <c r="O655" s="4">
        <f t="shared" si="290"/>
        <v>0</v>
      </c>
      <c r="P655" s="14"/>
      <c r="Q655" s="11"/>
      <c r="R655" s="14"/>
      <c r="S655" s="4">
        <f t="shared" si="292"/>
        <v>0</v>
      </c>
      <c r="T655" s="55"/>
      <c r="U655" s="54"/>
    </row>
    <row r="656" spans="1:21" x14ac:dyDescent="0.15">
      <c r="A656" s="6" t="s">
        <v>3</v>
      </c>
      <c r="B656" s="14"/>
      <c r="C656" s="11"/>
      <c r="D656" s="14"/>
      <c r="E656" s="4">
        <f t="shared" si="287"/>
        <v>0</v>
      </c>
      <c r="F656" s="14"/>
      <c r="G656" s="11"/>
      <c r="H656" s="14"/>
      <c r="I656" s="4">
        <f t="shared" si="288"/>
        <v>0</v>
      </c>
      <c r="K656" s="5" t="s">
        <v>3</v>
      </c>
      <c r="L656" s="14"/>
      <c r="M656" s="11"/>
      <c r="N656" s="14"/>
      <c r="O656" s="4">
        <f t="shared" si="290"/>
        <v>0</v>
      </c>
      <c r="P656" s="14"/>
      <c r="Q656" s="11"/>
      <c r="R656" s="14"/>
      <c r="S656" s="4">
        <f t="shared" si="292"/>
        <v>0</v>
      </c>
    </row>
    <row r="657" spans="1:21" x14ac:dyDescent="0.15">
      <c r="A657" s="6" t="s">
        <v>3</v>
      </c>
      <c r="B657" s="23"/>
      <c r="C657" s="24"/>
      <c r="D657" s="25"/>
      <c r="E657" s="7">
        <f t="shared" si="287"/>
        <v>0</v>
      </c>
      <c r="F657" s="23"/>
      <c r="G657" s="24"/>
      <c r="H657" s="25"/>
      <c r="I657" s="7">
        <f t="shared" si="288"/>
        <v>0</v>
      </c>
      <c r="K657" s="5" t="s">
        <v>3</v>
      </c>
      <c r="L657" s="25"/>
      <c r="M657" s="24"/>
      <c r="N657" s="25"/>
      <c r="O657" s="7">
        <f t="shared" si="290"/>
        <v>0</v>
      </c>
      <c r="P657" s="23"/>
      <c r="Q657" s="24"/>
      <c r="R657" s="25"/>
      <c r="S657" s="7">
        <f t="shared" si="292"/>
        <v>0</v>
      </c>
    </row>
    <row r="658" spans="1:21" x14ac:dyDescent="0.15">
      <c r="A658" s="6" t="s">
        <v>3</v>
      </c>
      <c r="B658" s="23"/>
      <c r="C658" s="24"/>
      <c r="D658" s="25"/>
      <c r="E658" s="7">
        <f t="shared" si="287"/>
        <v>0</v>
      </c>
      <c r="F658" s="23"/>
      <c r="G658" s="24"/>
      <c r="H658" s="25"/>
      <c r="I658" s="7">
        <f t="shared" si="288"/>
        <v>0</v>
      </c>
      <c r="K658" s="5" t="s">
        <v>3</v>
      </c>
      <c r="L658" s="25"/>
      <c r="M658" s="24"/>
      <c r="N658" s="25"/>
      <c r="O658" s="7">
        <f t="shared" si="290"/>
        <v>0</v>
      </c>
      <c r="P658" s="25"/>
      <c r="Q658" s="24"/>
      <c r="R658" s="25"/>
      <c r="S658" s="7">
        <f t="shared" si="292"/>
        <v>0</v>
      </c>
    </row>
    <row r="659" spans="1:21" ht="14.25" thickBot="1" x14ac:dyDescent="0.2">
      <c r="A659" s="6" t="s">
        <v>3</v>
      </c>
      <c r="B659" s="29"/>
      <c r="C659" s="30"/>
      <c r="D659" s="29"/>
      <c r="E659" s="16">
        <f t="shared" si="287"/>
        <v>0</v>
      </c>
      <c r="F659" s="29"/>
      <c r="G659" s="30"/>
      <c r="H659" s="29"/>
      <c r="I659" s="16">
        <f t="shared" si="288"/>
        <v>0</v>
      </c>
      <c r="K659" s="33" t="s">
        <v>3</v>
      </c>
      <c r="L659" s="29"/>
      <c r="M659" s="30"/>
      <c r="N659" s="29"/>
      <c r="O659" s="16">
        <f t="shared" si="290"/>
        <v>0</v>
      </c>
      <c r="P659" s="29"/>
      <c r="Q659" s="30"/>
      <c r="R659" s="29"/>
      <c r="S659" s="16">
        <f t="shared" si="292"/>
        <v>0</v>
      </c>
    </row>
    <row r="660" spans="1:21" ht="14.25" thickBot="1" x14ac:dyDescent="0.2">
      <c r="A660" s="17" t="s">
        <v>4</v>
      </c>
      <c r="B660" s="18">
        <f>SUM(B649:B659)</f>
        <v>6</v>
      </c>
      <c r="C660" s="18">
        <f>SUM(C649:C659)</f>
        <v>5</v>
      </c>
      <c r="D660" s="19">
        <f>SUM(D649:D659)</f>
        <v>10</v>
      </c>
      <c r="E660" s="20">
        <f t="shared" si="287"/>
        <v>21</v>
      </c>
      <c r="F660" s="18">
        <f>SUM(F649:F659)</f>
        <v>6</v>
      </c>
      <c r="G660" s="18">
        <f>SUM(G649:G659)</f>
        <v>5</v>
      </c>
      <c r="H660" s="19">
        <f>SUM(H649:H659)</f>
        <v>10</v>
      </c>
      <c r="I660" s="20">
        <f t="shared" si="288"/>
        <v>21</v>
      </c>
      <c r="K660" s="17" t="s">
        <v>4</v>
      </c>
      <c r="L660" s="18">
        <f>SUM(L649:L659)</f>
        <v>388</v>
      </c>
      <c r="M660" s="18">
        <f>SUM(M649:M659)</f>
        <v>551</v>
      </c>
      <c r="N660" s="18">
        <f>SUM(N649:N659)</f>
        <v>370</v>
      </c>
      <c r="O660" s="20">
        <f t="shared" si="290"/>
        <v>1309</v>
      </c>
      <c r="P660" s="18">
        <f>SUM(P649:P659)</f>
        <v>388</v>
      </c>
      <c r="Q660" s="18">
        <f>SUM(Q649:Q659)</f>
        <v>551</v>
      </c>
      <c r="R660" s="19">
        <f>SUM(R649:R659)</f>
        <v>370</v>
      </c>
      <c r="S660" s="20">
        <f t="shared" si="292"/>
        <v>1309</v>
      </c>
    </row>
    <row r="661" spans="1:21" x14ac:dyDescent="0.15">
      <c r="A661" s="3" t="s">
        <v>69</v>
      </c>
      <c r="B661" s="9"/>
      <c r="C661" s="10"/>
      <c r="D661" s="9">
        <v>2</v>
      </c>
      <c r="E661" s="70">
        <f t="shared" si="287"/>
        <v>2</v>
      </c>
      <c r="F661" s="9"/>
      <c r="G661" s="10"/>
      <c r="H661" s="9">
        <v>2</v>
      </c>
      <c r="I661" s="7">
        <f t="shared" si="288"/>
        <v>2</v>
      </c>
      <c r="J661" s="47">
        <v>45455</v>
      </c>
      <c r="K661" s="3" t="s">
        <v>67</v>
      </c>
      <c r="L661" s="9">
        <v>12</v>
      </c>
      <c r="M661" s="10">
        <v>25</v>
      </c>
      <c r="N661" s="9">
        <v>8</v>
      </c>
      <c r="O661" s="70">
        <f t="shared" ref="O661:O680" si="293">SUM(L661:N661)</f>
        <v>45</v>
      </c>
      <c r="P661" s="9">
        <v>12</v>
      </c>
      <c r="Q661" s="10">
        <v>25</v>
      </c>
      <c r="R661" s="9">
        <v>8</v>
      </c>
      <c r="S661" s="7">
        <f t="shared" ref="S661:S680" si="294">SUM(P661:R661)</f>
        <v>45</v>
      </c>
      <c r="T661" s="47">
        <v>45448</v>
      </c>
    </row>
    <row r="662" spans="1:21" x14ac:dyDescent="0.15">
      <c r="A662" s="66" t="s">
        <v>116</v>
      </c>
      <c r="B662" s="8"/>
      <c r="C662" s="9"/>
      <c r="D662" s="10">
        <v>1</v>
      </c>
      <c r="E662" s="4">
        <f t="shared" si="287"/>
        <v>1</v>
      </c>
      <c r="F662" s="8"/>
      <c r="G662" s="9"/>
      <c r="H662" s="10">
        <v>1</v>
      </c>
      <c r="I662" s="4">
        <f t="shared" si="288"/>
        <v>1</v>
      </c>
      <c r="J662" s="47">
        <v>45462</v>
      </c>
      <c r="K662" s="3" t="s">
        <v>446</v>
      </c>
      <c r="L662" s="9">
        <v>3</v>
      </c>
      <c r="M662" s="10">
        <v>3</v>
      </c>
      <c r="N662" s="9">
        <v>3</v>
      </c>
      <c r="O662" s="70">
        <f t="shared" si="293"/>
        <v>9</v>
      </c>
      <c r="P662" s="9">
        <v>3</v>
      </c>
      <c r="Q662" s="10">
        <v>3</v>
      </c>
      <c r="R662" s="9">
        <v>3</v>
      </c>
      <c r="S662" s="7">
        <f t="shared" si="294"/>
        <v>9</v>
      </c>
      <c r="T662" s="47">
        <v>45446</v>
      </c>
      <c r="U662" s="54"/>
    </row>
    <row r="663" spans="1:21" x14ac:dyDescent="0.15">
      <c r="A663" s="66" t="s">
        <v>131</v>
      </c>
      <c r="B663" s="8"/>
      <c r="C663" s="9">
        <v>1</v>
      </c>
      <c r="D663" s="10"/>
      <c r="E663" s="4">
        <f t="shared" si="287"/>
        <v>1</v>
      </c>
      <c r="F663" s="8"/>
      <c r="G663" s="9">
        <v>1</v>
      </c>
      <c r="H663" s="10"/>
      <c r="I663" s="4">
        <f t="shared" si="288"/>
        <v>1</v>
      </c>
      <c r="J663" s="47">
        <v>45471</v>
      </c>
      <c r="K663" s="66" t="s">
        <v>107</v>
      </c>
      <c r="L663" s="9">
        <v>3</v>
      </c>
      <c r="M663" s="10">
        <v>2</v>
      </c>
      <c r="N663" s="9">
        <v>2</v>
      </c>
      <c r="O663" s="70">
        <f t="shared" si="293"/>
        <v>7</v>
      </c>
      <c r="P663" s="9">
        <v>3</v>
      </c>
      <c r="Q663" s="10">
        <v>2</v>
      </c>
      <c r="R663" s="9">
        <v>2</v>
      </c>
      <c r="S663" s="7">
        <f t="shared" si="294"/>
        <v>7</v>
      </c>
      <c r="T663" s="47">
        <v>45448</v>
      </c>
    </row>
    <row r="664" spans="1:21" x14ac:dyDescent="0.15">
      <c r="A664" s="66" t="s">
        <v>135</v>
      </c>
      <c r="B664" s="8"/>
      <c r="C664" s="9"/>
      <c r="D664" s="10">
        <v>1</v>
      </c>
      <c r="E664" s="4">
        <f t="shared" si="287"/>
        <v>1</v>
      </c>
      <c r="F664" s="8"/>
      <c r="G664" s="9"/>
      <c r="H664" s="10">
        <v>1</v>
      </c>
      <c r="I664" s="4">
        <f t="shared" si="288"/>
        <v>1</v>
      </c>
      <c r="J664" s="47">
        <v>45474</v>
      </c>
      <c r="K664" s="66" t="s">
        <v>109</v>
      </c>
      <c r="L664" s="9">
        <v>3</v>
      </c>
      <c r="M664" s="10">
        <v>1</v>
      </c>
      <c r="N664" s="9">
        <v>3</v>
      </c>
      <c r="O664" s="70">
        <f t="shared" si="293"/>
        <v>7</v>
      </c>
      <c r="P664" s="9">
        <v>3</v>
      </c>
      <c r="Q664" s="10">
        <v>1</v>
      </c>
      <c r="R664" s="9">
        <v>3</v>
      </c>
      <c r="S664" s="7">
        <f t="shared" si="294"/>
        <v>7</v>
      </c>
      <c r="T664" s="47">
        <v>45449</v>
      </c>
    </row>
    <row r="665" spans="1:21" x14ac:dyDescent="0.15">
      <c r="A665" s="3"/>
      <c r="B665" s="8"/>
      <c r="C665" s="9"/>
      <c r="D665" s="10"/>
      <c r="E665" s="4">
        <f t="shared" si="287"/>
        <v>0</v>
      </c>
      <c r="F665" s="8"/>
      <c r="G665" s="9"/>
      <c r="H665" s="10"/>
      <c r="I665" s="4">
        <f t="shared" si="288"/>
        <v>0</v>
      </c>
      <c r="J665" s="55"/>
      <c r="K665" s="66" t="s">
        <v>33</v>
      </c>
      <c r="L665" s="9">
        <v>3</v>
      </c>
      <c r="M665" s="10">
        <v>3</v>
      </c>
      <c r="N665" s="9">
        <v>3</v>
      </c>
      <c r="O665" s="70">
        <f t="shared" si="293"/>
        <v>9</v>
      </c>
      <c r="P665" s="9">
        <v>3</v>
      </c>
      <c r="Q665" s="10">
        <v>3</v>
      </c>
      <c r="R665" s="9">
        <v>3</v>
      </c>
      <c r="S665" s="7">
        <f t="shared" si="294"/>
        <v>9</v>
      </c>
      <c r="T665" s="47">
        <v>45449</v>
      </c>
    </row>
    <row r="666" spans="1:21" x14ac:dyDescent="0.15">
      <c r="A666" s="3"/>
      <c r="B666" s="8"/>
      <c r="C666" s="9"/>
      <c r="D666" s="10"/>
      <c r="E666" s="7">
        <f t="shared" si="287"/>
        <v>0</v>
      </c>
      <c r="F666" s="8"/>
      <c r="G666" s="9"/>
      <c r="H666" s="10"/>
      <c r="I666" s="7">
        <f t="shared" si="288"/>
        <v>0</v>
      </c>
      <c r="J666" s="55"/>
      <c r="K666" s="66" t="s">
        <v>110</v>
      </c>
      <c r="L666" s="9">
        <v>2</v>
      </c>
      <c r="M666" s="10"/>
      <c r="N666" s="9">
        <v>2</v>
      </c>
      <c r="O666" s="70">
        <f t="shared" si="293"/>
        <v>4</v>
      </c>
      <c r="P666" s="9">
        <v>2</v>
      </c>
      <c r="Q666" s="10"/>
      <c r="R666" s="9">
        <v>2</v>
      </c>
      <c r="S666" s="7">
        <f t="shared" si="294"/>
        <v>4</v>
      </c>
      <c r="T666" s="47">
        <v>45450</v>
      </c>
    </row>
    <row r="667" spans="1:21" x14ac:dyDescent="0.15">
      <c r="A667" s="3"/>
      <c r="B667" s="8"/>
      <c r="C667" s="9"/>
      <c r="D667" s="10"/>
      <c r="E667" s="7">
        <f t="shared" si="287"/>
        <v>0</v>
      </c>
      <c r="F667" s="8"/>
      <c r="G667" s="9"/>
      <c r="H667" s="10"/>
      <c r="I667" s="7">
        <f t="shared" si="288"/>
        <v>0</v>
      </c>
      <c r="K667" s="66" t="s">
        <v>111</v>
      </c>
      <c r="L667" s="9"/>
      <c r="M667" s="10">
        <v>2</v>
      </c>
      <c r="N667" s="9"/>
      <c r="O667" s="70">
        <f t="shared" si="293"/>
        <v>2</v>
      </c>
      <c r="P667" s="9"/>
      <c r="Q667" s="10">
        <v>2</v>
      </c>
      <c r="R667" s="9"/>
      <c r="S667" s="7">
        <f t="shared" si="294"/>
        <v>2</v>
      </c>
      <c r="T667" s="47">
        <v>45450</v>
      </c>
      <c r="U667" s="54"/>
    </row>
    <row r="668" spans="1:21" x14ac:dyDescent="0.15">
      <c r="A668" s="3"/>
      <c r="B668" s="8"/>
      <c r="C668" s="9"/>
      <c r="D668" s="10"/>
      <c r="E668" s="7">
        <f t="shared" si="287"/>
        <v>0</v>
      </c>
      <c r="F668" s="8"/>
      <c r="G668" s="9"/>
      <c r="H668" s="10"/>
      <c r="I668" s="7">
        <f t="shared" si="288"/>
        <v>0</v>
      </c>
      <c r="K668" s="66" t="s">
        <v>112</v>
      </c>
      <c r="L668" s="9">
        <v>3</v>
      </c>
      <c r="M668" s="10">
        <v>1</v>
      </c>
      <c r="N668" s="9">
        <v>1</v>
      </c>
      <c r="O668" s="70">
        <f t="shared" si="293"/>
        <v>5</v>
      </c>
      <c r="P668" s="9">
        <v>3</v>
      </c>
      <c r="Q668" s="10">
        <v>1</v>
      </c>
      <c r="R668" s="9">
        <v>1</v>
      </c>
      <c r="S668" s="7">
        <f t="shared" si="294"/>
        <v>5</v>
      </c>
      <c r="T668" s="47">
        <v>45453</v>
      </c>
      <c r="U668" s="54"/>
    </row>
    <row r="669" spans="1:21" x14ac:dyDescent="0.15">
      <c r="A669" s="3"/>
      <c r="B669" s="8"/>
      <c r="C669" s="9"/>
      <c r="D669" s="10"/>
      <c r="E669" s="7">
        <f t="shared" si="287"/>
        <v>0</v>
      </c>
      <c r="F669" s="8"/>
      <c r="G669" s="9"/>
      <c r="H669" s="10"/>
      <c r="I669" s="7">
        <f t="shared" si="288"/>
        <v>0</v>
      </c>
      <c r="K669" s="66" t="s">
        <v>115</v>
      </c>
      <c r="L669" s="9">
        <v>3</v>
      </c>
      <c r="M669" s="10">
        <v>3</v>
      </c>
      <c r="N669" s="9">
        <v>4</v>
      </c>
      <c r="O669" s="70">
        <f t="shared" si="293"/>
        <v>10</v>
      </c>
      <c r="P669" s="9">
        <v>3</v>
      </c>
      <c r="Q669" s="10">
        <v>3</v>
      </c>
      <c r="R669" s="9">
        <v>4</v>
      </c>
      <c r="S669" s="7">
        <f t="shared" si="294"/>
        <v>10</v>
      </c>
      <c r="T669" s="47">
        <v>45456</v>
      </c>
    </row>
    <row r="670" spans="1:21" x14ac:dyDescent="0.15">
      <c r="A670" s="3"/>
      <c r="B670" s="8"/>
      <c r="C670" s="9"/>
      <c r="D670" s="10"/>
      <c r="E670" s="7">
        <f t="shared" si="287"/>
        <v>0</v>
      </c>
      <c r="F670" s="8"/>
      <c r="G670" s="9"/>
      <c r="H670" s="10"/>
      <c r="I670" s="7">
        <f t="shared" si="288"/>
        <v>0</v>
      </c>
      <c r="K670" s="66" t="s">
        <v>117</v>
      </c>
      <c r="L670" s="9">
        <v>2</v>
      </c>
      <c r="M670" s="10"/>
      <c r="N670" s="9"/>
      <c r="O670" s="70">
        <f t="shared" si="293"/>
        <v>2</v>
      </c>
      <c r="P670" s="9">
        <v>2</v>
      </c>
      <c r="Q670" s="10"/>
      <c r="R670" s="9"/>
      <c r="S670" s="7">
        <f t="shared" si="294"/>
        <v>2</v>
      </c>
      <c r="T670" s="47">
        <v>45463</v>
      </c>
    </row>
    <row r="671" spans="1:21" x14ac:dyDescent="0.15">
      <c r="A671" s="3"/>
      <c r="B671" s="8"/>
      <c r="C671" s="9"/>
      <c r="D671" s="10"/>
      <c r="E671" s="7">
        <f t="shared" si="287"/>
        <v>0</v>
      </c>
      <c r="F671" s="8"/>
      <c r="G671" s="9"/>
      <c r="H671" s="10"/>
      <c r="I671" s="7">
        <f t="shared" si="288"/>
        <v>0</v>
      </c>
      <c r="K671" s="3" t="s">
        <v>76</v>
      </c>
      <c r="L671" s="9">
        <v>11</v>
      </c>
      <c r="M671" s="10"/>
      <c r="N671" s="9">
        <v>7</v>
      </c>
      <c r="O671" s="70">
        <f t="shared" si="293"/>
        <v>18</v>
      </c>
      <c r="P671" s="9">
        <v>11</v>
      </c>
      <c r="Q671" s="10"/>
      <c r="R671" s="9">
        <v>7</v>
      </c>
      <c r="S671" s="7">
        <f t="shared" si="294"/>
        <v>18</v>
      </c>
      <c r="T671" s="47">
        <v>45463</v>
      </c>
    </row>
    <row r="672" spans="1:21" x14ac:dyDescent="0.15">
      <c r="A672" s="3"/>
      <c r="B672" s="8"/>
      <c r="C672" s="9"/>
      <c r="D672" s="10"/>
      <c r="E672" s="7">
        <f t="shared" si="287"/>
        <v>0</v>
      </c>
      <c r="F672" s="8"/>
      <c r="G672" s="9"/>
      <c r="H672" s="10"/>
      <c r="I672" s="7">
        <f t="shared" si="288"/>
        <v>0</v>
      </c>
      <c r="K672" s="66" t="s">
        <v>33</v>
      </c>
      <c r="L672" s="9"/>
      <c r="M672" s="10"/>
      <c r="N672" s="9">
        <v>3</v>
      </c>
      <c r="O672" s="70">
        <f t="shared" si="293"/>
        <v>3</v>
      </c>
      <c r="P672" s="9"/>
      <c r="Q672" s="10"/>
      <c r="R672" s="9">
        <v>3</v>
      </c>
      <c r="S672" s="7">
        <f t="shared" si="294"/>
        <v>3</v>
      </c>
      <c r="T672" s="47">
        <v>45462</v>
      </c>
    </row>
    <row r="673" spans="1:21" x14ac:dyDescent="0.15">
      <c r="A673" s="3"/>
      <c r="B673" s="8"/>
      <c r="C673" s="9"/>
      <c r="D673" s="10"/>
      <c r="E673" s="7">
        <f t="shared" si="287"/>
        <v>0</v>
      </c>
      <c r="F673" s="8"/>
      <c r="G673" s="9"/>
      <c r="H673" s="10"/>
      <c r="I673" s="7">
        <f t="shared" si="288"/>
        <v>0</v>
      </c>
      <c r="K673" s="66" t="s">
        <v>118</v>
      </c>
      <c r="L673" s="9">
        <v>2</v>
      </c>
      <c r="M673" s="10">
        <v>5</v>
      </c>
      <c r="N673" s="9">
        <v>1</v>
      </c>
      <c r="O673" s="70">
        <f t="shared" si="293"/>
        <v>8</v>
      </c>
      <c r="P673" s="9">
        <v>2</v>
      </c>
      <c r="Q673" s="10">
        <v>5</v>
      </c>
      <c r="R673" s="9">
        <v>1</v>
      </c>
      <c r="S673" s="7">
        <f t="shared" si="294"/>
        <v>8</v>
      </c>
      <c r="T673" s="47">
        <v>45464</v>
      </c>
      <c r="U673" s="54"/>
    </row>
    <row r="674" spans="1:21" x14ac:dyDescent="0.15">
      <c r="A674" s="3"/>
      <c r="B674" s="8"/>
      <c r="C674" s="9"/>
      <c r="D674" s="10"/>
      <c r="E674" s="7">
        <f t="shared" si="287"/>
        <v>0</v>
      </c>
      <c r="F674" s="8"/>
      <c r="G674" s="9"/>
      <c r="H674" s="10"/>
      <c r="I674" s="7">
        <f t="shared" si="288"/>
        <v>0</v>
      </c>
      <c r="K674" s="66" t="s">
        <v>120</v>
      </c>
      <c r="L674" s="9"/>
      <c r="M674" s="10">
        <v>5</v>
      </c>
      <c r="N674" s="9">
        <v>1</v>
      </c>
      <c r="O674" s="70">
        <f t="shared" si="293"/>
        <v>6</v>
      </c>
      <c r="P674" s="9"/>
      <c r="Q674" s="9">
        <v>5</v>
      </c>
      <c r="R674" s="9">
        <v>1</v>
      </c>
      <c r="S674" s="7">
        <f t="shared" si="294"/>
        <v>6</v>
      </c>
      <c r="T674" s="47">
        <v>45464</v>
      </c>
    </row>
    <row r="675" spans="1:21" x14ac:dyDescent="0.15">
      <c r="A675" s="3"/>
      <c r="B675" s="8"/>
      <c r="C675" s="9"/>
      <c r="D675" s="10"/>
      <c r="E675" s="7">
        <f t="shared" si="287"/>
        <v>0</v>
      </c>
      <c r="F675" s="8"/>
      <c r="G675" s="9"/>
      <c r="H675" s="10"/>
      <c r="I675" s="7">
        <f t="shared" si="288"/>
        <v>0</v>
      </c>
      <c r="K675" s="3" t="s">
        <v>88</v>
      </c>
      <c r="L675" s="8">
        <v>8</v>
      </c>
      <c r="M675" s="9">
        <v>12</v>
      </c>
      <c r="N675" s="10">
        <v>8</v>
      </c>
      <c r="O675" s="7">
        <f t="shared" si="293"/>
        <v>28</v>
      </c>
      <c r="P675" s="8">
        <v>8</v>
      </c>
      <c r="Q675" s="9">
        <v>12</v>
      </c>
      <c r="R675" s="10">
        <v>8</v>
      </c>
      <c r="S675" s="7">
        <f t="shared" si="294"/>
        <v>28</v>
      </c>
      <c r="T675" s="47">
        <v>45467</v>
      </c>
      <c r="U675" s="54"/>
    </row>
    <row r="676" spans="1:21" x14ac:dyDescent="0.15">
      <c r="A676" s="3"/>
      <c r="B676" s="8"/>
      <c r="C676" s="9"/>
      <c r="D676" s="10"/>
      <c r="E676" s="7">
        <f t="shared" si="287"/>
        <v>0</v>
      </c>
      <c r="F676" s="8"/>
      <c r="G676" s="9"/>
      <c r="H676" s="10"/>
      <c r="I676" s="7">
        <f t="shared" si="288"/>
        <v>0</v>
      </c>
      <c r="K676" s="66" t="s">
        <v>124</v>
      </c>
      <c r="L676" s="8">
        <v>4</v>
      </c>
      <c r="M676" s="9">
        <v>1</v>
      </c>
      <c r="N676" s="10">
        <v>5</v>
      </c>
      <c r="O676" s="7">
        <f t="shared" si="293"/>
        <v>10</v>
      </c>
      <c r="P676" s="8">
        <v>4</v>
      </c>
      <c r="Q676" s="9">
        <v>1</v>
      </c>
      <c r="R676" s="10">
        <v>5</v>
      </c>
      <c r="S676" s="7">
        <f t="shared" si="294"/>
        <v>10</v>
      </c>
      <c r="T676" s="47">
        <v>45467</v>
      </c>
      <c r="U676" s="54"/>
    </row>
    <row r="677" spans="1:21" x14ac:dyDescent="0.15">
      <c r="A677" s="3"/>
      <c r="B677" s="8"/>
      <c r="C677" s="9"/>
      <c r="D677" s="10"/>
      <c r="E677" s="7">
        <f t="shared" si="287"/>
        <v>0</v>
      </c>
      <c r="F677" s="8"/>
      <c r="G677" s="9"/>
      <c r="H677" s="10"/>
      <c r="I677" s="7">
        <f t="shared" si="288"/>
        <v>0</v>
      </c>
      <c r="K677" s="66" t="s">
        <v>127</v>
      </c>
      <c r="L677" s="8">
        <v>3</v>
      </c>
      <c r="M677" s="9"/>
      <c r="N677" s="10">
        <v>1</v>
      </c>
      <c r="O677" s="7">
        <f t="shared" si="293"/>
        <v>4</v>
      </c>
      <c r="P677" s="8">
        <v>3</v>
      </c>
      <c r="Q677" s="9"/>
      <c r="R677" s="10">
        <v>1</v>
      </c>
      <c r="S677" s="7">
        <f t="shared" si="294"/>
        <v>4</v>
      </c>
      <c r="T677" s="47">
        <v>45469</v>
      </c>
      <c r="U677" s="54"/>
    </row>
    <row r="678" spans="1:21" x14ac:dyDescent="0.15">
      <c r="A678" s="3"/>
      <c r="B678" s="8"/>
      <c r="C678" s="9"/>
      <c r="D678" s="10"/>
      <c r="E678" s="7">
        <f t="shared" si="287"/>
        <v>0</v>
      </c>
      <c r="F678" s="8"/>
      <c r="G678" s="9"/>
      <c r="H678" s="10"/>
      <c r="I678" s="7">
        <f t="shared" si="288"/>
        <v>0</v>
      </c>
      <c r="K678" s="66" t="s">
        <v>130</v>
      </c>
      <c r="L678" s="8"/>
      <c r="M678" s="9">
        <v>2</v>
      </c>
      <c r="N678" s="10"/>
      <c r="O678" s="7">
        <f t="shared" si="293"/>
        <v>2</v>
      </c>
      <c r="P678" s="8"/>
      <c r="Q678" s="9">
        <v>2</v>
      </c>
      <c r="R678" s="10"/>
      <c r="S678" s="7">
        <f t="shared" si="294"/>
        <v>2</v>
      </c>
      <c r="T678" s="47">
        <v>45470</v>
      </c>
      <c r="U678" s="54"/>
    </row>
    <row r="679" spans="1:21" x14ac:dyDescent="0.15">
      <c r="A679" s="3"/>
      <c r="B679" s="8"/>
      <c r="C679" s="9"/>
      <c r="D679" s="10"/>
      <c r="E679" s="7">
        <f t="shared" si="287"/>
        <v>0</v>
      </c>
      <c r="F679" s="8"/>
      <c r="G679" s="9"/>
      <c r="H679" s="10"/>
      <c r="I679" s="7">
        <f t="shared" si="288"/>
        <v>0</v>
      </c>
      <c r="K679" s="66" t="s">
        <v>133</v>
      </c>
      <c r="L679" s="8"/>
      <c r="M679" s="9">
        <v>2</v>
      </c>
      <c r="N679" s="10">
        <v>1</v>
      </c>
      <c r="O679" s="7">
        <f t="shared" si="293"/>
        <v>3</v>
      </c>
      <c r="P679" s="8"/>
      <c r="Q679" s="9">
        <v>2</v>
      </c>
      <c r="R679" s="10">
        <v>1</v>
      </c>
      <c r="S679" s="7">
        <f t="shared" si="294"/>
        <v>3</v>
      </c>
      <c r="T679" s="47">
        <v>45471</v>
      </c>
    </row>
    <row r="680" spans="1:21" x14ac:dyDescent="0.15">
      <c r="A680" s="3"/>
      <c r="B680" s="8"/>
      <c r="C680" s="9"/>
      <c r="D680" s="10"/>
      <c r="E680" s="7">
        <f t="shared" si="287"/>
        <v>0</v>
      </c>
      <c r="F680" s="8"/>
      <c r="G680" s="9"/>
      <c r="H680" s="10"/>
      <c r="I680" s="7">
        <f t="shared" si="288"/>
        <v>0</v>
      </c>
      <c r="K680" s="66" t="s">
        <v>136</v>
      </c>
      <c r="L680" s="9">
        <v>1</v>
      </c>
      <c r="M680" s="10">
        <v>3</v>
      </c>
      <c r="N680" s="9">
        <v>1</v>
      </c>
      <c r="O680" s="70">
        <f t="shared" si="293"/>
        <v>5</v>
      </c>
      <c r="P680" s="9">
        <v>1</v>
      </c>
      <c r="Q680" s="10">
        <v>3</v>
      </c>
      <c r="R680" s="9">
        <v>1</v>
      </c>
      <c r="S680" s="7">
        <f t="shared" si="294"/>
        <v>5</v>
      </c>
      <c r="T680" s="47">
        <v>45476</v>
      </c>
    </row>
    <row r="681" spans="1:21" x14ac:dyDescent="0.15">
      <c r="A681" s="3"/>
      <c r="B681" s="8"/>
      <c r="C681" s="9"/>
      <c r="D681" s="10"/>
      <c r="E681" s="7">
        <f t="shared" si="287"/>
        <v>0</v>
      </c>
      <c r="F681" s="8"/>
      <c r="G681" s="9"/>
      <c r="H681" s="10"/>
      <c r="I681" s="7">
        <f t="shared" si="288"/>
        <v>0</v>
      </c>
      <c r="K681" s="3"/>
      <c r="L681" s="8"/>
      <c r="M681" s="9"/>
      <c r="N681" s="10"/>
      <c r="O681" s="7">
        <f t="shared" ref="O681" si="295">SUM(L681:N681)</f>
        <v>0</v>
      </c>
      <c r="P681" s="8"/>
      <c r="Q681" s="9"/>
      <c r="R681" s="10"/>
      <c r="S681" s="7">
        <f t="shared" ref="S681" si="296">SUM(P681:R681)</f>
        <v>0</v>
      </c>
    </row>
    <row r="682" spans="1:21" x14ac:dyDescent="0.15">
      <c r="A682" s="3"/>
      <c r="B682" s="8"/>
      <c r="C682" s="9"/>
      <c r="D682" s="10"/>
      <c r="E682" s="7">
        <f t="shared" si="287"/>
        <v>0</v>
      </c>
      <c r="F682" s="8"/>
      <c r="G682" s="9"/>
      <c r="H682" s="10"/>
      <c r="I682" s="7">
        <f t="shared" si="288"/>
        <v>0</v>
      </c>
      <c r="K682" s="3" t="s">
        <v>441</v>
      </c>
      <c r="L682" s="8"/>
      <c r="M682" s="9"/>
      <c r="N682" s="10"/>
      <c r="O682" s="7">
        <f t="shared" ref="O682:O683" si="297">SUM(L682:N682)</f>
        <v>0</v>
      </c>
      <c r="P682" s="8"/>
      <c r="Q682" s="9"/>
      <c r="R682" s="10"/>
      <c r="S682" s="7">
        <f t="shared" ref="S682:S683" si="298">SUM(P682:R682)</f>
        <v>0</v>
      </c>
      <c r="T682" s="55" t="s">
        <v>46</v>
      </c>
    </row>
    <row r="683" spans="1:21" x14ac:dyDescent="0.15">
      <c r="A683" s="3"/>
      <c r="B683" s="8"/>
      <c r="C683" s="9"/>
      <c r="D683" s="10"/>
      <c r="E683" s="7">
        <f t="shared" si="287"/>
        <v>0</v>
      </c>
      <c r="F683" s="8"/>
      <c r="G683" s="9"/>
      <c r="H683" s="10"/>
      <c r="I683" s="7">
        <f t="shared" si="288"/>
        <v>0</v>
      </c>
      <c r="K683" s="3" t="s">
        <v>436</v>
      </c>
      <c r="L683" s="8"/>
      <c r="M683" s="9"/>
      <c r="N683" s="10"/>
      <c r="O683" s="7">
        <f t="shared" si="297"/>
        <v>0</v>
      </c>
      <c r="P683" s="8"/>
      <c r="Q683" s="9"/>
      <c r="R683" s="10"/>
      <c r="S683" s="7">
        <f t="shared" si="298"/>
        <v>0</v>
      </c>
      <c r="T683" s="55" t="s">
        <v>183</v>
      </c>
    </row>
    <row r="684" spans="1:21" ht="14.25" thickBot="1" x14ac:dyDescent="0.2">
      <c r="A684" s="3"/>
      <c r="B684" s="8"/>
      <c r="C684" s="9"/>
      <c r="D684" s="10"/>
      <c r="E684" s="7">
        <f t="shared" si="287"/>
        <v>0</v>
      </c>
      <c r="F684" s="8"/>
      <c r="G684" s="9"/>
      <c r="H684" s="10"/>
      <c r="I684" s="7">
        <f t="shared" si="288"/>
        <v>0</v>
      </c>
      <c r="K684" s="3" t="s">
        <v>437</v>
      </c>
      <c r="L684" s="8"/>
      <c r="M684" s="9"/>
      <c r="N684" s="10"/>
      <c r="O684" s="7">
        <f t="shared" ref="O684" si="299">SUM(L684:N684)</f>
        <v>0</v>
      </c>
      <c r="P684" s="8"/>
      <c r="Q684" s="9"/>
      <c r="R684" s="10"/>
      <c r="S684" s="7">
        <f t="shared" ref="S684" si="300">SUM(P684:R684)</f>
        <v>0</v>
      </c>
      <c r="T684" s="55" t="s">
        <v>438</v>
      </c>
    </row>
    <row r="685" spans="1:21" ht="14.25" thickBot="1" x14ac:dyDescent="0.2">
      <c r="A685" s="2" t="s">
        <v>5</v>
      </c>
      <c r="B685" s="12">
        <f>SUM(B661:B684)</f>
        <v>0</v>
      </c>
      <c r="C685" s="12">
        <f>SUM(C661:C684)</f>
        <v>1</v>
      </c>
      <c r="D685" s="12">
        <f>SUM(D661:D684)</f>
        <v>4</v>
      </c>
      <c r="E685" s="13">
        <f t="shared" si="287"/>
        <v>5</v>
      </c>
      <c r="F685" s="12">
        <f>SUM(F661:F684)</f>
        <v>0</v>
      </c>
      <c r="G685" s="12">
        <f>SUM(G661:G684)</f>
        <v>1</v>
      </c>
      <c r="H685" s="12">
        <f>SUM(H661:H684)</f>
        <v>4</v>
      </c>
      <c r="I685" s="13">
        <f t="shared" si="288"/>
        <v>5</v>
      </c>
      <c r="K685" s="2" t="s">
        <v>5</v>
      </c>
      <c r="L685" s="12">
        <f>SUM(L661:L684)</f>
        <v>63</v>
      </c>
      <c r="M685" s="12">
        <f>SUM(M661:M684)</f>
        <v>70</v>
      </c>
      <c r="N685" s="12">
        <f>SUM(N661:N684)</f>
        <v>54</v>
      </c>
      <c r="O685" s="13">
        <f t="shared" si="290"/>
        <v>187</v>
      </c>
      <c r="P685" s="12">
        <f>SUM(P661:P684)</f>
        <v>63</v>
      </c>
      <c r="Q685" s="12">
        <f>SUM(Q661:Q684)</f>
        <v>70</v>
      </c>
      <c r="R685" s="12">
        <f>SUM(R661:R684)</f>
        <v>54</v>
      </c>
      <c r="S685" s="13">
        <f t="shared" si="292"/>
        <v>187</v>
      </c>
    </row>
    <row r="686" spans="1:21" ht="14.25" thickBot="1" x14ac:dyDescent="0.2">
      <c r="A686" s="21" t="s">
        <v>6</v>
      </c>
      <c r="B686" s="22">
        <f t="shared" ref="B686:I686" si="301">B660-B685</f>
        <v>6</v>
      </c>
      <c r="C686" s="22">
        <f t="shared" si="301"/>
        <v>4</v>
      </c>
      <c r="D686" s="22">
        <f t="shared" si="301"/>
        <v>6</v>
      </c>
      <c r="E686" s="22">
        <f t="shared" si="301"/>
        <v>16</v>
      </c>
      <c r="F686" s="22">
        <f t="shared" si="301"/>
        <v>6</v>
      </c>
      <c r="G686" s="22">
        <f t="shared" si="301"/>
        <v>4</v>
      </c>
      <c r="H686" s="22">
        <f t="shared" si="301"/>
        <v>6</v>
      </c>
      <c r="I686" s="20">
        <f t="shared" si="301"/>
        <v>16</v>
      </c>
      <c r="K686" s="21" t="s">
        <v>6</v>
      </c>
      <c r="L686" s="22">
        <f>L660-L685</f>
        <v>325</v>
      </c>
      <c r="M686" s="22">
        <f t="shared" ref="M686:O686" si="302">M660-M685</f>
        <v>481</v>
      </c>
      <c r="N686" s="22">
        <f t="shared" si="302"/>
        <v>316</v>
      </c>
      <c r="O686" s="22">
        <f t="shared" si="302"/>
        <v>1122</v>
      </c>
      <c r="P686" s="22">
        <f>P660-P685</f>
        <v>325</v>
      </c>
      <c r="Q686" s="22">
        <f>Q660-Q685</f>
        <v>481</v>
      </c>
      <c r="R686" s="22">
        <f>R660-R685</f>
        <v>316</v>
      </c>
      <c r="S686" s="20">
        <f t="shared" ref="S686" si="303">S660-S685</f>
        <v>1122</v>
      </c>
    </row>
    <row r="689" spans="1:21" ht="21.75" thickBot="1" x14ac:dyDescent="0.25">
      <c r="A689" s="26" t="s">
        <v>368</v>
      </c>
      <c r="B689" s="27"/>
      <c r="C689" s="27"/>
      <c r="D689" s="27"/>
      <c r="E689" s="27"/>
      <c r="F689" s="28"/>
      <c r="G689" s="28"/>
      <c r="H689" s="28"/>
      <c r="I689" s="28"/>
      <c r="K689" s="26" t="s">
        <v>367</v>
      </c>
      <c r="L689" s="27"/>
      <c r="M689" s="27"/>
      <c r="N689" s="27"/>
      <c r="O689" s="27"/>
      <c r="P689" s="28"/>
      <c r="Q689" s="28"/>
      <c r="R689" s="28"/>
      <c r="S689" s="28"/>
    </row>
    <row r="690" spans="1:21" ht="14.25" thickBot="1" x14ac:dyDescent="0.2">
      <c r="A690" s="1" t="s">
        <v>0</v>
      </c>
      <c r="B690" s="183" t="s">
        <v>12</v>
      </c>
      <c r="C690" s="183"/>
      <c r="D690" s="183"/>
      <c r="E690" s="184"/>
      <c r="F690" s="183" t="s">
        <v>10</v>
      </c>
      <c r="G690" s="183"/>
      <c r="H690" s="183"/>
      <c r="I690" s="184"/>
      <c r="K690" s="1" t="s">
        <v>0</v>
      </c>
      <c r="L690" s="140" t="s">
        <v>12</v>
      </c>
      <c r="M690" s="140"/>
      <c r="N690" s="140"/>
      <c r="O690" s="141"/>
      <c r="P690" s="140" t="s">
        <v>10</v>
      </c>
      <c r="Q690" s="140"/>
      <c r="R690" s="140"/>
      <c r="S690" s="141"/>
    </row>
    <row r="691" spans="1:21" ht="14.25" thickBot="1" x14ac:dyDescent="0.2">
      <c r="A691" s="1" t="s">
        <v>1</v>
      </c>
      <c r="B691" s="2" t="s">
        <v>7</v>
      </c>
      <c r="C691" s="1" t="s">
        <v>8</v>
      </c>
      <c r="D691" s="15" t="s">
        <v>9</v>
      </c>
      <c r="E691" s="1" t="s">
        <v>2</v>
      </c>
      <c r="F691" s="2" t="s">
        <v>7</v>
      </c>
      <c r="G691" s="1" t="s">
        <v>8</v>
      </c>
      <c r="H691" s="15" t="s">
        <v>9</v>
      </c>
      <c r="I691" s="1" t="s">
        <v>2</v>
      </c>
      <c r="K691" s="1" t="s">
        <v>1</v>
      </c>
      <c r="L691" s="2" t="s">
        <v>7</v>
      </c>
      <c r="M691" s="1" t="s">
        <v>8</v>
      </c>
      <c r="N691" s="15" t="s">
        <v>9</v>
      </c>
      <c r="O691" s="1" t="s">
        <v>2</v>
      </c>
      <c r="P691" s="2" t="s">
        <v>7</v>
      </c>
      <c r="Q691" s="1" t="s">
        <v>8</v>
      </c>
      <c r="R691" s="15" t="s">
        <v>9</v>
      </c>
      <c r="S691" s="1" t="s">
        <v>2</v>
      </c>
    </row>
    <row r="692" spans="1:21" ht="14.25" thickBot="1" x14ac:dyDescent="0.2">
      <c r="A692" s="41" t="s">
        <v>13</v>
      </c>
      <c r="B692" s="42">
        <f>B686</f>
        <v>6</v>
      </c>
      <c r="C692" s="43">
        <f>C686</f>
        <v>4</v>
      </c>
      <c r="D692" s="44">
        <f>D686</f>
        <v>6</v>
      </c>
      <c r="E692" s="45">
        <f t="shared" ref="E692:E728" si="304">SUM(B692:D692)</f>
        <v>16</v>
      </c>
      <c r="F692" s="42">
        <f>F686</f>
        <v>6</v>
      </c>
      <c r="G692" s="43">
        <f>G686</f>
        <v>4</v>
      </c>
      <c r="H692" s="44">
        <f>H686</f>
        <v>6</v>
      </c>
      <c r="I692" s="45">
        <f t="shared" ref="I692:I728" si="305">SUM(F692:H692)</f>
        <v>16</v>
      </c>
      <c r="K692" s="34" t="s">
        <v>13</v>
      </c>
      <c r="L692" s="35">
        <f>L686</f>
        <v>325</v>
      </c>
      <c r="M692" s="35">
        <f t="shared" ref="M692:N692" si="306">M686</f>
        <v>481</v>
      </c>
      <c r="N692" s="35">
        <f t="shared" si="306"/>
        <v>316</v>
      </c>
      <c r="O692" s="20">
        <f t="shared" ref="O692:O728" si="307">SUM(L692:N692)</f>
        <v>1122</v>
      </c>
      <c r="P692" s="35">
        <f>P686</f>
        <v>325</v>
      </c>
      <c r="Q692" s="36">
        <f t="shared" ref="Q692:R692" si="308">Q686</f>
        <v>481</v>
      </c>
      <c r="R692" s="37">
        <f t="shared" si="308"/>
        <v>316</v>
      </c>
      <c r="S692" s="20">
        <f t="shared" ref="S692:S728" si="309">SUM(P692:R692)</f>
        <v>1122</v>
      </c>
    </row>
    <row r="693" spans="1:21" x14ac:dyDescent="0.15">
      <c r="A693" s="6" t="s">
        <v>3</v>
      </c>
      <c r="B693" s="38"/>
      <c r="C693" s="39">
        <v>3</v>
      </c>
      <c r="D693" s="40">
        <v>3</v>
      </c>
      <c r="E693" s="4">
        <f t="shared" si="304"/>
        <v>6</v>
      </c>
      <c r="F693" s="38"/>
      <c r="G693" s="39">
        <v>3</v>
      </c>
      <c r="H693" s="40">
        <v>3</v>
      </c>
      <c r="I693" s="4">
        <f t="shared" si="305"/>
        <v>6</v>
      </c>
      <c r="J693" s="47">
        <v>45477</v>
      </c>
      <c r="K693" s="5" t="s">
        <v>3</v>
      </c>
      <c r="L693" s="46"/>
      <c r="M693" s="3"/>
      <c r="N693" s="46"/>
      <c r="O693" s="4">
        <f t="shared" si="307"/>
        <v>0</v>
      </c>
      <c r="P693" s="46"/>
      <c r="Q693" s="3"/>
      <c r="R693" s="46"/>
      <c r="S693" s="4">
        <f t="shared" si="309"/>
        <v>0</v>
      </c>
    </row>
    <row r="694" spans="1:21" x14ac:dyDescent="0.15">
      <c r="A694" s="5" t="s">
        <v>91</v>
      </c>
      <c r="B694" s="14"/>
      <c r="C694" s="24">
        <v>1</v>
      </c>
      <c r="D694" s="14"/>
      <c r="E694" s="4">
        <f t="shared" si="304"/>
        <v>1</v>
      </c>
      <c r="F694" s="14"/>
      <c r="G694" s="24">
        <v>1</v>
      </c>
      <c r="H694" s="14"/>
      <c r="I694" s="4">
        <f t="shared" si="305"/>
        <v>1</v>
      </c>
      <c r="J694" s="47">
        <v>45477</v>
      </c>
      <c r="K694" s="5" t="s">
        <v>3</v>
      </c>
      <c r="L694" s="14"/>
      <c r="M694" s="11"/>
      <c r="N694" s="14"/>
      <c r="O694" s="4">
        <f t="shared" si="307"/>
        <v>0</v>
      </c>
      <c r="P694" s="14"/>
      <c r="Q694" s="11"/>
      <c r="R694" s="14"/>
      <c r="S694" s="4">
        <f t="shared" si="309"/>
        <v>0</v>
      </c>
    </row>
    <row r="695" spans="1:21" x14ac:dyDescent="0.15">
      <c r="A695" s="3" t="s">
        <v>374</v>
      </c>
      <c r="B695" s="23">
        <v>1</v>
      </c>
      <c r="C695" s="9"/>
      <c r="D695" s="10"/>
      <c r="E695" s="4">
        <f t="shared" si="304"/>
        <v>1</v>
      </c>
      <c r="F695" s="23">
        <v>1</v>
      </c>
      <c r="G695" s="9"/>
      <c r="H695" s="10"/>
      <c r="I695" s="4">
        <f t="shared" si="305"/>
        <v>1</v>
      </c>
      <c r="J695" s="31">
        <v>45496</v>
      </c>
      <c r="K695" s="5" t="s">
        <v>3</v>
      </c>
      <c r="L695" s="14"/>
      <c r="M695" s="11"/>
      <c r="N695" s="14"/>
      <c r="O695" s="4">
        <f t="shared" si="307"/>
        <v>0</v>
      </c>
      <c r="P695" s="14"/>
      <c r="Q695" s="11"/>
      <c r="R695" s="14"/>
      <c r="S695" s="4">
        <f t="shared" si="309"/>
        <v>0</v>
      </c>
    </row>
    <row r="696" spans="1:21" x14ac:dyDescent="0.15">
      <c r="A696" s="5" t="s">
        <v>91</v>
      </c>
      <c r="B696" s="14"/>
      <c r="C696" s="11"/>
      <c r="D696" s="14">
        <v>1</v>
      </c>
      <c r="E696" s="4">
        <f t="shared" si="304"/>
        <v>1</v>
      </c>
      <c r="F696" s="14"/>
      <c r="G696" s="11"/>
      <c r="H696" s="14">
        <v>1</v>
      </c>
      <c r="I696" s="4">
        <f t="shared" si="305"/>
        <v>1</v>
      </c>
      <c r="J696" s="56">
        <v>45498</v>
      </c>
      <c r="K696" s="5" t="s">
        <v>415</v>
      </c>
      <c r="L696" s="14">
        <v>100</v>
      </c>
      <c r="M696" s="11">
        <v>190</v>
      </c>
      <c r="N696" s="14">
        <v>160</v>
      </c>
      <c r="O696" s="4">
        <f t="shared" si="307"/>
        <v>450</v>
      </c>
      <c r="P696" s="14">
        <v>100</v>
      </c>
      <c r="Q696" s="11">
        <v>190</v>
      </c>
      <c r="R696" s="14">
        <v>160</v>
      </c>
      <c r="S696" s="4">
        <f t="shared" si="309"/>
        <v>450</v>
      </c>
      <c r="T696" s="47" t="s">
        <v>455</v>
      </c>
      <c r="U696" s="54"/>
    </row>
    <row r="697" spans="1:21" x14ac:dyDescent="0.15">
      <c r="A697" s="6" t="s">
        <v>465</v>
      </c>
      <c r="B697" s="14">
        <v>4</v>
      </c>
      <c r="C697" s="11">
        <v>5</v>
      </c>
      <c r="D697" s="14">
        <v>4</v>
      </c>
      <c r="E697" s="4">
        <f t="shared" si="304"/>
        <v>13</v>
      </c>
      <c r="F697" s="14">
        <v>4</v>
      </c>
      <c r="G697" s="11">
        <v>5</v>
      </c>
      <c r="H697" s="14">
        <v>4</v>
      </c>
      <c r="I697" s="4">
        <f t="shared" si="305"/>
        <v>13</v>
      </c>
      <c r="J697" s="56">
        <v>45503</v>
      </c>
      <c r="K697" s="5" t="s">
        <v>3</v>
      </c>
      <c r="L697" s="14"/>
      <c r="M697" s="11"/>
      <c r="N697" s="14"/>
      <c r="O697" s="4">
        <f t="shared" si="307"/>
        <v>0</v>
      </c>
      <c r="P697" s="14"/>
      <c r="Q697" s="11"/>
      <c r="R697" s="14"/>
      <c r="S697" s="4">
        <f t="shared" si="309"/>
        <v>0</v>
      </c>
      <c r="T697" s="55"/>
      <c r="U697" s="54"/>
    </row>
    <row r="698" spans="1:21" x14ac:dyDescent="0.15">
      <c r="A698" s="6" t="s">
        <v>3</v>
      </c>
      <c r="B698" s="14"/>
      <c r="C698" s="11"/>
      <c r="D698" s="14"/>
      <c r="E698" s="4">
        <f t="shared" si="304"/>
        <v>0</v>
      </c>
      <c r="F698" s="14"/>
      <c r="G698" s="11"/>
      <c r="H698" s="14"/>
      <c r="I698" s="4">
        <f t="shared" si="305"/>
        <v>0</v>
      </c>
      <c r="K698" s="5" t="s">
        <v>3</v>
      </c>
      <c r="L698" s="14"/>
      <c r="M698" s="11"/>
      <c r="N698" s="14"/>
      <c r="O698" s="4">
        <f t="shared" si="307"/>
        <v>0</v>
      </c>
      <c r="P698" s="14"/>
      <c r="Q698" s="11"/>
      <c r="R698" s="14"/>
      <c r="S698" s="4">
        <f t="shared" si="309"/>
        <v>0</v>
      </c>
    </row>
    <row r="699" spans="1:21" x14ac:dyDescent="0.15">
      <c r="A699" s="6" t="s">
        <v>3</v>
      </c>
      <c r="B699" s="14"/>
      <c r="C699" s="11"/>
      <c r="D699" s="14"/>
      <c r="E699" s="4">
        <f t="shared" si="304"/>
        <v>0</v>
      </c>
      <c r="F699" s="14"/>
      <c r="G699" s="11"/>
      <c r="H699" s="14"/>
      <c r="I699" s="4">
        <f t="shared" si="305"/>
        <v>0</v>
      </c>
      <c r="K699" s="5" t="s">
        <v>3</v>
      </c>
      <c r="L699" s="14"/>
      <c r="M699" s="11"/>
      <c r="N699" s="14"/>
      <c r="O699" s="4">
        <f t="shared" si="307"/>
        <v>0</v>
      </c>
      <c r="P699" s="14"/>
      <c r="Q699" s="11"/>
      <c r="R699" s="14"/>
      <c r="S699" s="4">
        <f t="shared" si="309"/>
        <v>0</v>
      </c>
    </row>
    <row r="700" spans="1:21" x14ac:dyDescent="0.15">
      <c r="A700" s="6" t="s">
        <v>3</v>
      </c>
      <c r="B700" s="23"/>
      <c r="C700" s="24"/>
      <c r="D700" s="25"/>
      <c r="E700" s="7">
        <f t="shared" si="304"/>
        <v>0</v>
      </c>
      <c r="F700" s="23"/>
      <c r="G700" s="24"/>
      <c r="H700" s="25"/>
      <c r="I700" s="7">
        <f t="shared" si="305"/>
        <v>0</v>
      </c>
      <c r="K700" s="5" t="s">
        <v>3</v>
      </c>
      <c r="L700" s="25"/>
      <c r="M700" s="24"/>
      <c r="N700" s="25"/>
      <c r="O700" s="7">
        <f t="shared" si="307"/>
        <v>0</v>
      </c>
      <c r="P700" s="23"/>
      <c r="Q700" s="24"/>
      <c r="R700" s="25"/>
      <c r="S700" s="7">
        <f t="shared" si="309"/>
        <v>0</v>
      </c>
    </row>
    <row r="701" spans="1:21" x14ac:dyDescent="0.15">
      <c r="A701" s="6" t="s">
        <v>3</v>
      </c>
      <c r="B701" s="23"/>
      <c r="C701" s="24"/>
      <c r="D701" s="25"/>
      <c r="E701" s="7">
        <f t="shared" si="304"/>
        <v>0</v>
      </c>
      <c r="F701" s="23"/>
      <c r="G701" s="24"/>
      <c r="H701" s="25"/>
      <c r="I701" s="7">
        <f t="shared" si="305"/>
        <v>0</v>
      </c>
      <c r="K701" s="5" t="s">
        <v>3</v>
      </c>
      <c r="L701" s="25"/>
      <c r="M701" s="24"/>
      <c r="N701" s="25"/>
      <c r="O701" s="7">
        <f t="shared" si="307"/>
        <v>0</v>
      </c>
      <c r="P701" s="25"/>
      <c r="Q701" s="24"/>
      <c r="R701" s="25"/>
      <c r="S701" s="7">
        <f t="shared" si="309"/>
        <v>0</v>
      </c>
    </row>
    <row r="702" spans="1:21" ht="14.25" thickBot="1" x14ac:dyDescent="0.2">
      <c r="A702" s="6" t="s">
        <v>3</v>
      </c>
      <c r="B702" s="29"/>
      <c r="C702" s="30"/>
      <c r="D702" s="29"/>
      <c r="E702" s="16">
        <f t="shared" si="304"/>
        <v>0</v>
      </c>
      <c r="F702" s="29"/>
      <c r="G702" s="30"/>
      <c r="H702" s="29"/>
      <c r="I702" s="16">
        <f t="shared" si="305"/>
        <v>0</v>
      </c>
      <c r="K702" s="33" t="s">
        <v>3</v>
      </c>
      <c r="L702" s="29"/>
      <c r="M702" s="30"/>
      <c r="N702" s="29"/>
      <c r="O702" s="16">
        <f t="shared" si="307"/>
        <v>0</v>
      </c>
      <c r="P702" s="29"/>
      <c r="Q702" s="30"/>
      <c r="R702" s="29"/>
      <c r="S702" s="16">
        <f t="shared" si="309"/>
        <v>0</v>
      </c>
    </row>
    <row r="703" spans="1:21" ht="14.25" thickBot="1" x14ac:dyDescent="0.2">
      <c r="A703" s="17" t="s">
        <v>4</v>
      </c>
      <c r="B703" s="18">
        <f>SUM(B692:B702)</f>
        <v>11</v>
      </c>
      <c r="C703" s="18">
        <f>SUM(C692:C702)</f>
        <v>13</v>
      </c>
      <c r="D703" s="19">
        <f>SUM(D692:D702)</f>
        <v>14</v>
      </c>
      <c r="E703" s="20">
        <f t="shared" si="304"/>
        <v>38</v>
      </c>
      <c r="F703" s="18">
        <f>SUM(F692:F702)</f>
        <v>11</v>
      </c>
      <c r="G703" s="18">
        <f>SUM(G692:G702)</f>
        <v>13</v>
      </c>
      <c r="H703" s="19">
        <f>SUM(H692:H702)</f>
        <v>14</v>
      </c>
      <c r="I703" s="20">
        <f t="shared" si="305"/>
        <v>38</v>
      </c>
      <c r="K703" s="17" t="s">
        <v>4</v>
      </c>
      <c r="L703" s="18">
        <f>SUM(L692:L702)</f>
        <v>425</v>
      </c>
      <c r="M703" s="18">
        <f>SUM(M692:M702)</f>
        <v>671</v>
      </c>
      <c r="N703" s="18">
        <f>SUM(N692:N702)</f>
        <v>476</v>
      </c>
      <c r="O703" s="20">
        <f t="shared" si="307"/>
        <v>1572</v>
      </c>
      <c r="P703" s="18">
        <f>SUM(P692:P702)</f>
        <v>425</v>
      </c>
      <c r="Q703" s="18">
        <f>SUM(Q692:Q702)</f>
        <v>671</v>
      </c>
      <c r="R703" s="19">
        <f>SUM(R692:R702)</f>
        <v>476</v>
      </c>
      <c r="S703" s="20">
        <f t="shared" si="309"/>
        <v>1572</v>
      </c>
    </row>
    <row r="704" spans="1:21" x14ac:dyDescent="0.15">
      <c r="A704" s="66" t="s">
        <v>137</v>
      </c>
      <c r="B704" s="8"/>
      <c r="C704" s="9"/>
      <c r="D704" s="10">
        <v>2</v>
      </c>
      <c r="E704" s="4">
        <f t="shared" si="304"/>
        <v>2</v>
      </c>
      <c r="F704" s="8"/>
      <c r="G704" s="9"/>
      <c r="H704" s="10">
        <v>2</v>
      </c>
      <c r="I704" s="4">
        <f t="shared" si="305"/>
        <v>2</v>
      </c>
      <c r="J704" s="47">
        <v>45477</v>
      </c>
      <c r="K704" s="3" t="s">
        <v>456</v>
      </c>
      <c r="L704" s="9">
        <v>20</v>
      </c>
      <c r="M704" s="10">
        <v>30</v>
      </c>
      <c r="N704" s="9">
        <v>10</v>
      </c>
      <c r="O704" s="70">
        <f t="shared" ref="O704:O723" si="310">SUM(L704:N704)</f>
        <v>60</v>
      </c>
      <c r="P704" s="9">
        <v>20</v>
      </c>
      <c r="Q704" s="10">
        <v>30</v>
      </c>
      <c r="R704" s="9">
        <v>10</v>
      </c>
      <c r="S704" s="7">
        <f t="shared" ref="S704:S723" si="311">SUM(P704:R704)</f>
        <v>60</v>
      </c>
      <c r="T704" s="47">
        <v>45478</v>
      </c>
      <c r="U704" s="143"/>
    </row>
    <row r="705" spans="1:22" x14ac:dyDescent="0.15">
      <c r="A705" s="66" t="s">
        <v>141</v>
      </c>
      <c r="B705" s="8"/>
      <c r="C705" s="9">
        <v>1</v>
      </c>
      <c r="D705" s="10">
        <v>1</v>
      </c>
      <c r="E705" s="4">
        <f t="shared" si="304"/>
        <v>2</v>
      </c>
      <c r="F705" s="8"/>
      <c r="G705" s="9">
        <v>1</v>
      </c>
      <c r="H705" s="10">
        <v>1</v>
      </c>
      <c r="I705" s="4">
        <f t="shared" si="305"/>
        <v>2</v>
      </c>
      <c r="J705" s="47">
        <v>45478</v>
      </c>
      <c r="K705" s="66" t="s">
        <v>33</v>
      </c>
      <c r="L705" s="9"/>
      <c r="M705" s="10">
        <v>3</v>
      </c>
      <c r="N705" s="9">
        <v>3</v>
      </c>
      <c r="O705" s="70">
        <f t="shared" si="310"/>
        <v>6</v>
      </c>
      <c r="P705" s="9"/>
      <c r="Q705" s="10">
        <v>3</v>
      </c>
      <c r="R705" s="9">
        <v>3</v>
      </c>
      <c r="S705" s="7">
        <f t="shared" si="311"/>
        <v>6</v>
      </c>
      <c r="T705" s="47">
        <v>45477</v>
      </c>
      <c r="U705" s="54"/>
      <c r="V705" s="54"/>
    </row>
    <row r="706" spans="1:22" x14ac:dyDescent="0.15">
      <c r="A706" s="66" t="s">
        <v>146</v>
      </c>
      <c r="B706" s="8"/>
      <c r="C706" s="9"/>
      <c r="D706" s="10">
        <v>2</v>
      </c>
      <c r="E706" s="4">
        <f t="shared" si="304"/>
        <v>2</v>
      </c>
      <c r="F706" s="8"/>
      <c r="G706" s="9"/>
      <c r="H706" s="10">
        <v>2</v>
      </c>
      <c r="I706" s="4">
        <f t="shared" si="305"/>
        <v>2</v>
      </c>
      <c r="J706" s="47">
        <v>45483</v>
      </c>
      <c r="K706" s="66" t="s">
        <v>142</v>
      </c>
      <c r="L706" s="9">
        <v>1</v>
      </c>
      <c r="M706" s="10">
        <v>1</v>
      </c>
      <c r="N706" s="9"/>
      <c r="O706" s="70">
        <f t="shared" si="310"/>
        <v>2</v>
      </c>
      <c r="P706" s="9">
        <v>1</v>
      </c>
      <c r="Q706" s="10">
        <v>1</v>
      </c>
      <c r="R706" s="9"/>
      <c r="S706" s="7">
        <f t="shared" si="311"/>
        <v>2</v>
      </c>
      <c r="T706" s="47">
        <v>45478</v>
      </c>
      <c r="U706" s="54"/>
    </row>
    <row r="707" spans="1:22" x14ac:dyDescent="0.15">
      <c r="A707" s="66" t="s">
        <v>286</v>
      </c>
      <c r="B707" s="8"/>
      <c r="C707" s="9">
        <v>1</v>
      </c>
      <c r="D707" s="10"/>
      <c r="E707" s="4">
        <f t="shared" si="304"/>
        <v>1</v>
      </c>
      <c r="F707" s="8"/>
      <c r="G707" s="9">
        <v>1</v>
      </c>
      <c r="H707" s="10"/>
      <c r="I707" s="4">
        <f t="shared" si="305"/>
        <v>1</v>
      </c>
      <c r="J707" s="47">
        <v>45485</v>
      </c>
      <c r="K707" s="66" t="s">
        <v>143</v>
      </c>
      <c r="L707" s="9"/>
      <c r="M707" s="10">
        <v>2</v>
      </c>
      <c r="N707" s="9">
        <v>1</v>
      </c>
      <c r="O707" s="70">
        <f t="shared" si="310"/>
        <v>3</v>
      </c>
      <c r="P707" s="9"/>
      <c r="Q707" s="10">
        <v>2</v>
      </c>
      <c r="R707" s="9">
        <v>1</v>
      </c>
      <c r="S707" s="7">
        <f t="shared" si="311"/>
        <v>3</v>
      </c>
      <c r="T707" s="47">
        <v>45481</v>
      </c>
      <c r="U707" s="54"/>
    </row>
    <row r="708" spans="1:22" x14ac:dyDescent="0.15">
      <c r="A708" s="66" t="s">
        <v>292</v>
      </c>
      <c r="B708" s="8"/>
      <c r="C708" s="9">
        <v>2</v>
      </c>
      <c r="D708" s="10"/>
      <c r="E708" s="4">
        <f t="shared" si="304"/>
        <v>2</v>
      </c>
      <c r="F708" s="8"/>
      <c r="G708" s="9">
        <v>2</v>
      </c>
      <c r="H708" s="10"/>
      <c r="I708" s="4">
        <f t="shared" si="305"/>
        <v>2</v>
      </c>
      <c r="J708" s="47">
        <v>45495</v>
      </c>
      <c r="K708" s="3" t="s">
        <v>89</v>
      </c>
      <c r="L708" s="9">
        <v>8</v>
      </c>
      <c r="M708" s="10">
        <v>4</v>
      </c>
      <c r="N708" s="9">
        <v>15</v>
      </c>
      <c r="O708" s="70">
        <f t="shared" si="310"/>
        <v>27</v>
      </c>
      <c r="P708" s="9">
        <v>8</v>
      </c>
      <c r="Q708" s="10">
        <v>4</v>
      </c>
      <c r="R708" s="9">
        <v>15</v>
      </c>
      <c r="S708" s="7">
        <f t="shared" si="311"/>
        <v>27</v>
      </c>
      <c r="T708" s="47">
        <v>45482</v>
      </c>
      <c r="U708" s="54"/>
    </row>
    <row r="709" spans="1:22" x14ac:dyDescent="0.15">
      <c r="A709" s="66" t="s">
        <v>466</v>
      </c>
      <c r="B709" s="8"/>
      <c r="C709" s="9"/>
      <c r="D709" s="10">
        <v>1</v>
      </c>
      <c r="E709" s="7">
        <f t="shared" si="304"/>
        <v>1</v>
      </c>
      <c r="F709" s="8"/>
      <c r="G709" s="9"/>
      <c r="H709" s="10">
        <v>1</v>
      </c>
      <c r="I709" s="7">
        <f t="shared" si="305"/>
        <v>1</v>
      </c>
      <c r="J709" s="47">
        <v>45506</v>
      </c>
      <c r="K709" s="66" t="s">
        <v>285</v>
      </c>
      <c r="L709" s="9">
        <v>1</v>
      </c>
      <c r="M709" s="10">
        <v>3</v>
      </c>
      <c r="N709" s="9"/>
      <c r="O709" s="70">
        <f t="shared" si="310"/>
        <v>4</v>
      </c>
      <c r="P709" s="9">
        <v>1</v>
      </c>
      <c r="Q709" s="10">
        <v>3</v>
      </c>
      <c r="R709" s="9"/>
      <c r="S709" s="7">
        <f t="shared" si="311"/>
        <v>4</v>
      </c>
      <c r="T709" s="47">
        <v>45484</v>
      </c>
      <c r="U709" s="54"/>
    </row>
    <row r="710" spans="1:22" x14ac:dyDescent="0.15">
      <c r="A710" s="3"/>
      <c r="B710" s="8"/>
      <c r="C710" s="9"/>
      <c r="D710" s="10"/>
      <c r="E710" s="7">
        <f t="shared" si="304"/>
        <v>0</v>
      </c>
      <c r="F710" s="8"/>
      <c r="G710" s="9"/>
      <c r="H710" s="10"/>
      <c r="I710" s="7">
        <f t="shared" si="305"/>
        <v>0</v>
      </c>
      <c r="J710" s="55"/>
      <c r="K710" s="66" t="s">
        <v>291</v>
      </c>
      <c r="L710" s="9">
        <v>5</v>
      </c>
      <c r="M710" s="10">
        <v>8</v>
      </c>
      <c r="N710" s="9">
        <v>7</v>
      </c>
      <c r="O710" s="70">
        <f t="shared" si="310"/>
        <v>20</v>
      </c>
      <c r="P710" s="9">
        <v>5</v>
      </c>
      <c r="Q710" s="10">
        <v>8</v>
      </c>
      <c r="R710" s="9">
        <v>7</v>
      </c>
      <c r="S710" s="7">
        <f t="shared" si="311"/>
        <v>20</v>
      </c>
      <c r="T710" s="47">
        <v>45485</v>
      </c>
      <c r="U710" s="54"/>
    </row>
    <row r="711" spans="1:22" x14ac:dyDescent="0.15">
      <c r="A711" s="3"/>
      <c r="B711" s="8"/>
      <c r="C711" s="9"/>
      <c r="D711" s="10"/>
      <c r="E711" s="7">
        <f t="shared" si="304"/>
        <v>0</v>
      </c>
      <c r="F711" s="8"/>
      <c r="G711" s="9"/>
      <c r="H711" s="10"/>
      <c r="I711" s="7">
        <f t="shared" si="305"/>
        <v>0</v>
      </c>
      <c r="J711" s="55"/>
      <c r="K711" s="3" t="s">
        <v>94</v>
      </c>
      <c r="L711" s="9">
        <v>16</v>
      </c>
      <c r="M711" s="10">
        <v>20</v>
      </c>
      <c r="N711" s="9">
        <v>15</v>
      </c>
      <c r="O711" s="70">
        <f t="shared" si="310"/>
        <v>51</v>
      </c>
      <c r="P711" s="9">
        <v>16</v>
      </c>
      <c r="Q711" s="10">
        <v>20</v>
      </c>
      <c r="R711" s="9">
        <v>15</v>
      </c>
      <c r="S711" s="7">
        <f t="shared" si="311"/>
        <v>51</v>
      </c>
      <c r="T711" s="47">
        <v>45490</v>
      </c>
      <c r="U711" s="54"/>
    </row>
    <row r="712" spans="1:22" x14ac:dyDescent="0.15">
      <c r="A712" s="3"/>
      <c r="B712" s="8"/>
      <c r="C712" s="9"/>
      <c r="D712" s="10"/>
      <c r="E712" s="7">
        <f t="shared" si="304"/>
        <v>0</v>
      </c>
      <c r="F712" s="8"/>
      <c r="G712" s="9"/>
      <c r="H712" s="10"/>
      <c r="I712" s="7">
        <f t="shared" si="305"/>
        <v>0</v>
      </c>
      <c r="J712" s="55"/>
      <c r="K712" s="3" t="s">
        <v>459</v>
      </c>
      <c r="L712" s="9">
        <v>20</v>
      </c>
      <c r="M712" s="10">
        <v>30</v>
      </c>
      <c r="N712" s="9">
        <v>20</v>
      </c>
      <c r="O712" s="70">
        <f t="shared" si="310"/>
        <v>70</v>
      </c>
      <c r="P712" s="9">
        <v>20</v>
      </c>
      <c r="Q712" s="10">
        <v>30</v>
      </c>
      <c r="R712" s="9">
        <v>20</v>
      </c>
      <c r="S712" s="7">
        <f t="shared" si="311"/>
        <v>70</v>
      </c>
      <c r="T712" s="47">
        <v>45490</v>
      </c>
      <c r="U712" s="54"/>
    </row>
    <row r="713" spans="1:22" x14ac:dyDescent="0.15">
      <c r="A713" s="3"/>
      <c r="B713" s="8"/>
      <c r="C713" s="9"/>
      <c r="D713" s="10"/>
      <c r="E713" s="7">
        <f t="shared" si="304"/>
        <v>0</v>
      </c>
      <c r="F713" s="8"/>
      <c r="G713" s="9"/>
      <c r="H713" s="10"/>
      <c r="I713" s="7">
        <f t="shared" si="305"/>
        <v>0</v>
      </c>
      <c r="J713" s="55"/>
      <c r="K713" s="3" t="s">
        <v>460</v>
      </c>
      <c r="L713" s="9"/>
      <c r="M713" s="10">
        <v>12</v>
      </c>
      <c r="N713" s="9"/>
      <c r="O713" s="70">
        <f t="shared" si="310"/>
        <v>12</v>
      </c>
      <c r="P713" s="9"/>
      <c r="Q713" s="10">
        <v>12</v>
      </c>
      <c r="R713" s="9"/>
      <c r="S713" s="7">
        <f t="shared" si="311"/>
        <v>12</v>
      </c>
      <c r="T713" s="47">
        <v>45496</v>
      </c>
      <c r="U713" s="54"/>
    </row>
    <row r="714" spans="1:22" x14ac:dyDescent="0.15">
      <c r="A714" s="3"/>
      <c r="B714" s="8"/>
      <c r="C714" s="9"/>
      <c r="D714" s="10"/>
      <c r="E714" s="7">
        <f t="shared" si="304"/>
        <v>0</v>
      </c>
      <c r="F714" s="8"/>
      <c r="G714" s="9"/>
      <c r="H714" s="10"/>
      <c r="I714" s="7">
        <f t="shared" si="305"/>
        <v>0</v>
      </c>
      <c r="K714" s="66" t="s">
        <v>294</v>
      </c>
      <c r="L714" s="9">
        <v>7</v>
      </c>
      <c r="M714" s="10">
        <v>4</v>
      </c>
      <c r="N714" s="9"/>
      <c r="O714" s="70">
        <f t="shared" si="310"/>
        <v>11</v>
      </c>
      <c r="P714" s="9">
        <v>7</v>
      </c>
      <c r="Q714" s="10">
        <v>4</v>
      </c>
      <c r="R714" s="9"/>
      <c r="S714" s="7">
        <f t="shared" si="311"/>
        <v>11</v>
      </c>
      <c r="T714" s="47">
        <v>45497</v>
      </c>
    </row>
    <row r="715" spans="1:22" x14ac:dyDescent="0.15">
      <c r="A715" s="3"/>
      <c r="B715" s="8"/>
      <c r="C715" s="9"/>
      <c r="D715" s="10"/>
      <c r="E715" s="7">
        <f t="shared" si="304"/>
        <v>0</v>
      </c>
      <c r="F715" s="8"/>
      <c r="G715" s="9"/>
      <c r="H715" s="10"/>
      <c r="I715" s="7">
        <f t="shared" si="305"/>
        <v>0</v>
      </c>
      <c r="K715" s="3" t="s">
        <v>461</v>
      </c>
      <c r="L715" s="9"/>
      <c r="M715" s="10">
        <v>12</v>
      </c>
      <c r="N715" s="9"/>
      <c r="O715" s="70">
        <f t="shared" si="310"/>
        <v>12</v>
      </c>
      <c r="P715" s="9"/>
      <c r="Q715" s="10">
        <v>12</v>
      </c>
      <c r="R715" s="9"/>
      <c r="S715" s="7">
        <f t="shared" si="311"/>
        <v>12</v>
      </c>
      <c r="T715" s="47">
        <v>45498</v>
      </c>
    </row>
    <row r="716" spans="1:22" x14ac:dyDescent="0.15">
      <c r="A716" s="3"/>
      <c r="B716" s="8"/>
      <c r="C716" s="9"/>
      <c r="D716" s="10"/>
      <c r="E716" s="7">
        <f t="shared" si="304"/>
        <v>0</v>
      </c>
      <c r="F716" s="8"/>
      <c r="G716" s="9"/>
      <c r="H716" s="10"/>
      <c r="I716" s="7">
        <f t="shared" si="305"/>
        <v>0</v>
      </c>
      <c r="K716" s="66" t="s">
        <v>297</v>
      </c>
      <c r="L716" s="9">
        <v>2</v>
      </c>
      <c r="M716" s="10">
        <v>2</v>
      </c>
      <c r="N716" s="9">
        <v>2</v>
      </c>
      <c r="O716" s="70">
        <f t="shared" si="310"/>
        <v>6</v>
      </c>
      <c r="P716" s="9">
        <v>2</v>
      </c>
      <c r="Q716" s="10">
        <v>2</v>
      </c>
      <c r="R716" s="9">
        <v>2</v>
      </c>
      <c r="S716" s="7">
        <f t="shared" si="311"/>
        <v>6</v>
      </c>
      <c r="T716" s="47">
        <v>45498</v>
      </c>
      <c r="U716" s="54"/>
    </row>
    <row r="717" spans="1:22" x14ac:dyDescent="0.15">
      <c r="A717" s="3"/>
      <c r="B717" s="8"/>
      <c r="C717" s="9"/>
      <c r="D717" s="10"/>
      <c r="E717" s="7">
        <f t="shared" si="304"/>
        <v>0</v>
      </c>
      <c r="F717" s="8"/>
      <c r="G717" s="9"/>
      <c r="H717" s="10"/>
      <c r="I717" s="7">
        <f t="shared" si="305"/>
        <v>0</v>
      </c>
      <c r="K717" s="66" t="s">
        <v>298</v>
      </c>
      <c r="L717" s="9">
        <v>1</v>
      </c>
      <c r="M717" s="10">
        <v>2</v>
      </c>
      <c r="N717" s="9">
        <v>2</v>
      </c>
      <c r="O717" s="70">
        <f t="shared" si="310"/>
        <v>5</v>
      </c>
      <c r="P717" s="9">
        <v>1</v>
      </c>
      <c r="Q717" s="9">
        <v>2</v>
      </c>
      <c r="R717" s="9">
        <v>2</v>
      </c>
      <c r="S717" s="7">
        <f t="shared" si="311"/>
        <v>5</v>
      </c>
      <c r="T717" s="47">
        <v>45499</v>
      </c>
      <c r="U717" s="54"/>
    </row>
    <row r="718" spans="1:22" x14ac:dyDescent="0.15">
      <c r="A718" s="3"/>
      <c r="B718" s="8"/>
      <c r="C718" s="9"/>
      <c r="D718" s="10"/>
      <c r="E718" s="7">
        <f t="shared" si="304"/>
        <v>0</v>
      </c>
      <c r="F718" s="8"/>
      <c r="G718" s="9"/>
      <c r="H718" s="10"/>
      <c r="I718" s="7">
        <f t="shared" si="305"/>
        <v>0</v>
      </c>
      <c r="K718" s="66" t="s">
        <v>462</v>
      </c>
      <c r="L718" s="8">
        <v>2</v>
      </c>
      <c r="M718" s="9"/>
      <c r="N718" s="10">
        <v>3</v>
      </c>
      <c r="O718" s="7">
        <f t="shared" si="310"/>
        <v>5</v>
      </c>
      <c r="P718" s="8">
        <v>2</v>
      </c>
      <c r="Q718" s="9"/>
      <c r="R718" s="10">
        <v>3</v>
      </c>
      <c r="S718" s="7">
        <f t="shared" si="311"/>
        <v>5</v>
      </c>
      <c r="T718" s="47">
        <v>45499</v>
      </c>
      <c r="U718" s="54"/>
    </row>
    <row r="719" spans="1:22" x14ac:dyDescent="0.15">
      <c r="A719" s="3"/>
      <c r="B719" s="8"/>
      <c r="C719" s="9"/>
      <c r="D719" s="10"/>
      <c r="E719" s="7">
        <f t="shared" si="304"/>
        <v>0</v>
      </c>
      <c r="F719" s="8"/>
      <c r="G719" s="9"/>
      <c r="H719" s="10"/>
      <c r="I719" s="7">
        <f t="shared" si="305"/>
        <v>0</v>
      </c>
      <c r="K719" s="3" t="s">
        <v>463</v>
      </c>
      <c r="L719" s="8">
        <v>7</v>
      </c>
      <c r="M719" s="9">
        <v>5</v>
      </c>
      <c r="N719" s="10">
        <v>8</v>
      </c>
      <c r="O719" s="7">
        <f t="shared" si="310"/>
        <v>20</v>
      </c>
      <c r="P719" s="8">
        <v>7</v>
      </c>
      <c r="Q719" s="9">
        <v>5</v>
      </c>
      <c r="R719" s="10">
        <v>8</v>
      </c>
      <c r="S719" s="7">
        <f t="shared" si="311"/>
        <v>20</v>
      </c>
      <c r="T719" s="47">
        <v>45506</v>
      </c>
      <c r="U719" s="54"/>
    </row>
    <row r="720" spans="1:22" x14ac:dyDescent="0.15">
      <c r="A720" s="3"/>
      <c r="B720" s="8"/>
      <c r="C720" s="9"/>
      <c r="D720" s="10"/>
      <c r="E720" s="7">
        <f t="shared" si="304"/>
        <v>0</v>
      </c>
      <c r="F720" s="8"/>
      <c r="G720" s="9"/>
      <c r="H720" s="10"/>
      <c r="I720" s="7">
        <f t="shared" si="305"/>
        <v>0</v>
      </c>
      <c r="K720" s="66" t="s">
        <v>305</v>
      </c>
      <c r="L720" s="8"/>
      <c r="M720" s="9">
        <v>2</v>
      </c>
      <c r="N720" s="10">
        <v>2</v>
      </c>
      <c r="O720" s="7">
        <f t="shared" si="310"/>
        <v>4</v>
      </c>
      <c r="P720" s="8"/>
      <c r="Q720" s="9">
        <v>2</v>
      </c>
      <c r="R720" s="10">
        <v>2</v>
      </c>
      <c r="S720" s="7">
        <f t="shared" si="311"/>
        <v>4</v>
      </c>
      <c r="T720" s="47">
        <v>45502</v>
      </c>
    </row>
    <row r="721" spans="1:21" x14ac:dyDescent="0.15">
      <c r="A721" s="3"/>
      <c r="B721" s="8"/>
      <c r="C721" s="9"/>
      <c r="D721" s="10"/>
      <c r="E721" s="7">
        <f t="shared" si="304"/>
        <v>0</v>
      </c>
      <c r="F721" s="8"/>
      <c r="G721" s="9"/>
      <c r="H721" s="10"/>
      <c r="I721" s="7">
        <f t="shared" si="305"/>
        <v>0</v>
      </c>
      <c r="K721" s="3" t="s">
        <v>464</v>
      </c>
      <c r="L721" s="8">
        <v>1</v>
      </c>
      <c r="M721" s="9">
        <v>2</v>
      </c>
      <c r="N721" s="10">
        <v>1</v>
      </c>
      <c r="O721" s="7">
        <f t="shared" si="310"/>
        <v>4</v>
      </c>
      <c r="P721" s="8">
        <v>1</v>
      </c>
      <c r="Q721" s="9">
        <v>2</v>
      </c>
      <c r="R721" s="10">
        <v>1</v>
      </c>
      <c r="S721" s="7">
        <f t="shared" si="311"/>
        <v>4</v>
      </c>
      <c r="T721" s="47">
        <v>45503</v>
      </c>
      <c r="U721" s="54"/>
    </row>
    <row r="722" spans="1:21" x14ac:dyDescent="0.15">
      <c r="A722" s="3"/>
      <c r="B722" s="8"/>
      <c r="C722" s="9"/>
      <c r="D722" s="10"/>
      <c r="E722" s="7">
        <f t="shared" si="304"/>
        <v>0</v>
      </c>
      <c r="F722" s="8"/>
      <c r="G722" s="9"/>
      <c r="H722" s="10"/>
      <c r="I722" s="7">
        <f t="shared" si="305"/>
        <v>0</v>
      </c>
      <c r="K722" s="66" t="s">
        <v>311</v>
      </c>
      <c r="L722" s="8"/>
      <c r="M722" s="9">
        <v>2</v>
      </c>
      <c r="N722" s="10">
        <v>6</v>
      </c>
      <c r="O722" s="7">
        <f t="shared" si="310"/>
        <v>8</v>
      </c>
      <c r="P722" s="8"/>
      <c r="Q722" s="9">
        <v>2</v>
      </c>
      <c r="R722" s="10">
        <v>6</v>
      </c>
      <c r="S722" s="7">
        <f t="shared" si="311"/>
        <v>8</v>
      </c>
      <c r="T722" s="47">
        <v>45504</v>
      </c>
      <c r="U722" s="54"/>
    </row>
    <row r="723" spans="1:21" x14ac:dyDescent="0.15">
      <c r="A723" s="3"/>
      <c r="B723" s="8"/>
      <c r="C723" s="9"/>
      <c r="D723" s="10"/>
      <c r="E723" s="7">
        <f t="shared" si="304"/>
        <v>0</v>
      </c>
      <c r="F723" s="8"/>
      <c r="G723" s="9"/>
      <c r="H723" s="10"/>
      <c r="I723" s="7">
        <f t="shared" si="305"/>
        <v>0</v>
      </c>
      <c r="K723" s="66" t="s">
        <v>316</v>
      </c>
      <c r="L723" s="8">
        <v>1</v>
      </c>
      <c r="M723" s="9">
        <v>7</v>
      </c>
      <c r="N723" s="10">
        <v>2</v>
      </c>
      <c r="O723" s="7">
        <f t="shared" si="310"/>
        <v>10</v>
      </c>
      <c r="P723" s="8">
        <v>1</v>
      </c>
      <c r="Q723" s="9">
        <v>7</v>
      </c>
      <c r="R723" s="10">
        <v>2</v>
      </c>
      <c r="S723" s="7">
        <f t="shared" si="311"/>
        <v>10</v>
      </c>
      <c r="T723" s="47">
        <v>45505</v>
      </c>
    </row>
    <row r="724" spans="1:21" x14ac:dyDescent="0.15">
      <c r="A724" s="3"/>
      <c r="B724" s="8"/>
      <c r="C724" s="9"/>
      <c r="D724" s="10"/>
      <c r="E724" s="7">
        <f t="shared" si="304"/>
        <v>0</v>
      </c>
      <c r="F724" s="8"/>
      <c r="G724" s="9"/>
      <c r="H724" s="10"/>
      <c r="I724" s="7">
        <f t="shared" si="305"/>
        <v>0</v>
      </c>
      <c r="K724" s="3"/>
      <c r="L724" s="8"/>
      <c r="M724" s="9"/>
      <c r="N724" s="10"/>
      <c r="O724" s="7">
        <f t="shared" ref="O724" si="312">SUM(L724:N724)</f>
        <v>0</v>
      </c>
      <c r="P724" s="8"/>
      <c r="Q724" s="9"/>
      <c r="R724" s="10"/>
      <c r="S724" s="7">
        <f t="shared" ref="S724" si="313">SUM(P724:R724)</f>
        <v>0</v>
      </c>
      <c r="T724" s="55"/>
    </row>
    <row r="725" spans="1:21" x14ac:dyDescent="0.15">
      <c r="A725" s="3"/>
      <c r="B725" s="8"/>
      <c r="C725" s="9"/>
      <c r="D725" s="10"/>
      <c r="E725" s="7">
        <f t="shared" si="304"/>
        <v>0</v>
      </c>
      <c r="F725" s="8"/>
      <c r="G725" s="9"/>
      <c r="H725" s="10"/>
      <c r="I725" s="7">
        <f t="shared" si="305"/>
        <v>0</v>
      </c>
      <c r="K725" s="3" t="s">
        <v>448</v>
      </c>
      <c r="L725" s="8"/>
      <c r="M725" s="9"/>
      <c r="N725" s="10"/>
      <c r="O725" s="7">
        <f t="shared" ref="O725" si="314">SUM(L725:N725)</f>
        <v>0</v>
      </c>
      <c r="P725" s="8"/>
      <c r="Q725" s="9"/>
      <c r="R725" s="10"/>
      <c r="S725" s="7">
        <f t="shared" ref="S725" si="315">SUM(P725:R725)</f>
        <v>0</v>
      </c>
      <c r="T725" s="55" t="s">
        <v>288</v>
      </c>
    </row>
    <row r="726" spans="1:21" x14ac:dyDescent="0.15">
      <c r="A726" s="3"/>
      <c r="B726" s="8"/>
      <c r="C726" s="9"/>
      <c r="D726" s="10"/>
      <c r="E726" s="7">
        <f t="shared" si="304"/>
        <v>0</v>
      </c>
      <c r="F726" s="8"/>
      <c r="G726" s="9"/>
      <c r="H726" s="10"/>
      <c r="I726" s="7">
        <f t="shared" si="305"/>
        <v>0</v>
      </c>
      <c r="K726" s="3" t="s">
        <v>444</v>
      </c>
      <c r="L726" s="8"/>
      <c r="M726" s="9"/>
      <c r="N726" s="10"/>
      <c r="O726" s="7">
        <f t="shared" ref="O726" si="316">SUM(L726:N726)</f>
        <v>0</v>
      </c>
      <c r="P726" s="8"/>
      <c r="Q726" s="9"/>
      <c r="R726" s="10"/>
      <c r="S726" s="7">
        <f t="shared" ref="S726" si="317">SUM(P726:R726)</f>
        <v>0</v>
      </c>
      <c r="T726" s="55" t="s">
        <v>445</v>
      </c>
    </row>
    <row r="727" spans="1:21" ht="14.25" thickBot="1" x14ac:dyDescent="0.2">
      <c r="A727" s="3"/>
      <c r="B727" s="8"/>
      <c r="C727" s="9"/>
      <c r="D727" s="10"/>
      <c r="E727" s="7">
        <f t="shared" si="304"/>
        <v>0</v>
      </c>
      <c r="F727" s="8"/>
      <c r="G727" s="9"/>
      <c r="H727" s="10"/>
      <c r="I727" s="7">
        <f t="shared" si="305"/>
        <v>0</v>
      </c>
      <c r="K727" s="11" t="s">
        <v>450</v>
      </c>
      <c r="L727" s="8">
        <f>40-8-8-16-8</f>
        <v>0</v>
      </c>
      <c r="M727" s="9">
        <f>63-9-4-20-30</f>
        <v>0</v>
      </c>
      <c r="N727" s="10">
        <f>43-15-15-13</f>
        <v>0</v>
      </c>
      <c r="O727" s="7">
        <f t="shared" ref="O727" si="318">SUM(L727:N727)</f>
        <v>0</v>
      </c>
      <c r="P727" s="8">
        <f>40-8-8-16-8</f>
        <v>0</v>
      </c>
      <c r="Q727" s="9">
        <f>63-9-4-20-30</f>
        <v>0</v>
      </c>
      <c r="R727" s="10">
        <f>43-15-15-13</f>
        <v>0</v>
      </c>
      <c r="S727" s="7">
        <f t="shared" ref="S727" si="319">SUM(P727:R727)</f>
        <v>0</v>
      </c>
      <c r="T727" s="55" t="s">
        <v>449</v>
      </c>
    </row>
    <row r="728" spans="1:21" ht="14.25" thickBot="1" x14ac:dyDescent="0.2">
      <c r="A728" s="2" t="s">
        <v>5</v>
      </c>
      <c r="B728" s="12">
        <f>SUM(B704:B727)</f>
        <v>0</v>
      </c>
      <c r="C728" s="12">
        <f>SUM(C704:C727)</f>
        <v>4</v>
      </c>
      <c r="D728" s="12">
        <f>SUM(D704:D727)</f>
        <v>6</v>
      </c>
      <c r="E728" s="13">
        <f t="shared" si="304"/>
        <v>10</v>
      </c>
      <c r="F728" s="12">
        <f>SUM(F704:F727)</f>
        <v>0</v>
      </c>
      <c r="G728" s="12">
        <f>SUM(G704:G727)</f>
        <v>4</v>
      </c>
      <c r="H728" s="12">
        <f>SUM(H704:H727)</f>
        <v>6</v>
      </c>
      <c r="I728" s="13">
        <f t="shared" si="305"/>
        <v>10</v>
      </c>
      <c r="K728" s="2" t="s">
        <v>5</v>
      </c>
      <c r="L728" s="12">
        <f>SUM(L704:L727)</f>
        <v>92</v>
      </c>
      <c r="M728" s="12">
        <f>SUM(M704:M727)</f>
        <v>151</v>
      </c>
      <c r="N728" s="12">
        <f>SUM(N704:N727)</f>
        <v>97</v>
      </c>
      <c r="O728" s="13">
        <f t="shared" si="307"/>
        <v>340</v>
      </c>
      <c r="P728" s="12">
        <f>SUM(P704:P727)</f>
        <v>92</v>
      </c>
      <c r="Q728" s="12">
        <f>SUM(Q704:Q727)</f>
        <v>151</v>
      </c>
      <c r="R728" s="12">
        <f>SUM(R704:R727)</f>
        <v>97</v>
      </c>
      <c r="S728" s="13">
        <f t="shared" si="309"/>
        <v>340</v>
      </c>
    </row>
    <row r="729" spans="1:21" ht="14.25" thickBot="1" x14ac:dyDescent="0.2">
      <c r="A729" s="21" t="s">
        <v>6</v>
      </c>
      <c r="B729" s="22">
        <f t="shared" ref="B729:I729" si="320">B703-B728</f>
        <v>11</v>
      </c>
      <c r="C729" s="22">
        <f t="shared" si="320"/>
        <v>9</v>
      </c>
      <c r="D729" s="22">
        <f t="shared" si="320"/>
        <v>8</v>
      </c>
      <c r="E729" s="22">
        <f t="shared" si="320"/>
        <v>28</v>
      </c>
      <c r="F729" s="22">
        <f t="shared" si="320"/>
        <v>11</v>
      </c>
      <c r="G729" s="22">
        <f t="shared" si="320"/>
        <v>9</v>
      </c>
      <c r="H729" s="22">
        <f t="shared" si="320"/>
        <v>8</v>
      </c>
      <c r="I729" s="20">
        <f t="shared" si="320"/>
        <v>28</v>
      </c>
      <c r="K729" s="21" t="s">
        <v>6</v>
      </c>
      <c r="L729" s="22">
        <f>L703-L728</f>
        <v>333</v>
      </c>
      <c r="M729" s="22">
        <f t="shared" ref="M729:O729" si="321">M703-M728</f>
        <v>520</v>
      </c>
      <c r="N729" s="22">
        <f t="shared" si="321"/>
        <v>379</v>
      </c>
      <c r="O729" s="22">
        <f t="shared" si="321"/>
        <v>1232</v>
      </c>
      <c r="P729" s="22">
        <f>P703-P728</f>
        <v>333</v>
      </c>
      <c r="Q729" s="22">
        <f>Q703-Q728</f>
        <v>520</v>
      </c>
      <c r="R729" s="22">
        <f>R703-R728</f>
        <v>379</v>
      </c>
      <c r="S729" s="20">
        <f t="shared" ref="S729" si="322">S703-S728</f>
        <v>1232</v>
      </c>
    </row>
    <row r="732" spans="1:21" ht="21.75" thickBot="1" x14ac:dyDescent="0.25">
      <c r="A732" s="26" t="s">
        <v>368</v>
      </c>
      <c r="B732" s="27"/>
      <c r="C732" s="27"/>
      <c r="D732" s="27"/>
      <c r="E732" s="27"/>
      <c r="F732" s="28"/>
      <c r="G732" s="28"/>
      <c r="H732" s="28"/>
      <c r="I732" s="28"/>
      <c r="K732" s="26" t="s">
        <v>367</v>
      </c>
      <c r="L732" s="27"/>
      <c r="M732" s="27"/>
      <c r="N732" s="27"/>
      <c r="O732" s="27"/>
      <c r="P732" s="28"/>
      <c r="Q732" s="28"/>
      <c r="R732" s="28"/>
      <c r="S732" s="28"/>
    </row>
    <row r="733" spans="1:21" ht="14.25" thickBot="1" x14ac:dyDescent="0.2">
      <c r="A733" s="1" t="s">
        <v>0</v>
      </c>
      <c r="B733" s="183" t="s">
        <v>12</v>
      </c>
      <c r="C733" s="183"/>
      <c r="D733" s="183"/>
      <c r="E733" s="184"/>
      <c r="F733" s="183" t="s">
        <v>10</v>
      </c>
      <c r="G733" s="183"/>
      <c r="H733" s="183"/>
      <c r="I733" s="184"/>
      <c r="K733" s="1" t="s">
        <v>0</v>
      </c>
      <c r="L733" s="140" t="s">
        <v>12</v>
      </c>
      <c r="M733" s="140"/>
      <c r="N733" s="140"/>
      <c r="O733" s="141"/>
      <c r="P733" s="140" t="s">
        <v>10</v>
      </c>
      <c r="Q733" s="140"/>
      <c r="R733" s="140"/>
      <c r="S733" s="141"/>
    </row>
    <row r="734" spans="1:21" ht="14.25" thickBot="1" x14ac:dyDescent="0.2">
      <c r="A734" s="1" t="s">
        <v>1</v>
      </c>
      <c r="B734" s="2" t="s">
        <v>7</v>
      </c>
      <c r="C734" s="1" t="s">
        <v>8</v>
      </c>
      <c r="D734" s="15" t="s">
        <v>9</v>
      </c>
      <c r="E734" s="1" t="s">
        <v>2</v>
      </c>
      <c r="F734" s="2" t="s">
        <v>7</v>
      </c>
      <c r="G734" s="1" t="s">
        <v>8</v>
      </c>
      <c r="H734" s="15" t="s">
        <v>9</v>
      </c>
      <c r="I734" s="1" t="s">
        <v>2</v>
      </c>
      <c r="K734" s="1" t="s">
        <v>1</v>
      </c>
      <c r="L734" s="2" t="s">
        <v>7</v>
      </c>
      <c r="M734" s="1" t="s">
        <v>8</v>
      </c>
      <c r="N734" s="15" t="s">
        <v>9</v>
      </c>
      <c r="O734" s="1" t="s">
        <v>2</v>
      </c>
      <c r="P734" s="2" t="s">
        <v>7</v>
      </c>
      <c r="Q734" s="1" t="s">
        <v>8</v>
      </c>
      <c r="R734" s="15" t="s">
        <v>9</v>
      </c>
      <c r="S734" s="1" t="s">
        <v>2</v>
      </c>
    </row>
    <row r="735" spans="1:21" ht="14.25" thickBot="1" x14ac:dyDescent="0.2">
      <c r="A735" s="41" t="s">
        <v>13</v>
      </c>
      <c r="B735" s="42">
        <f>B729</f>
        <v>11</v>
      </c>
      <c r="C735" s="43">
        <f>C729</f>
        <v>9</v>
      </c>
      <c r="D735" s="44">
        <f>D729</f>
        <v>8</v>
      </c>
      <c r="E735" s="45">
        <f t="shared" ref="E735:E771" si="323">SUM(B735:D735)</f>
        <v>28</v>
      </c>
      <c r="F735" s="42">
        <f>F729</f>
        <v>11</v>
      </c>
      <c r="G735" s="43">
        <f>G729</f>
        <v>9</v>
      </c>
      <c r="H735" s="44">
        <f>H729</f>
        <v>8</v>
      </c>
      <c r="I735" s="45">
        <f t="shared" ref="I735:I771" si="324">SUM(F735:H735)</f>
        <v>28</v>
      </c>
      <c r="K735" s="34" t="s">
        <v>13</v>
      </c>
      <c r="L735" s="35">
        <f>L729</f>
        <v>333</v>
      </c>
      <c r="M735" s="35">
        <f t="shared" ref="M735:N735" si="325">M729</f>
        <v>520</v>
      </c>
      <c r="N735" s="35">
        <f t="shared" si="325"/>
        <v>379</v>
      </c>
      <c r="O735" s="20">
        <f t="shared" ref="O735:O771" si="326">SUM(L735:N735)</f>
        <v>1232</v>
      </c>
      <c r="P735" s="35">
        <f>P729</f>
        <v>333</v>
      </c>
      <c r="Q735" s="36">
        <f t="shared" ref="Q735:R735" si="327">Q729</f>
        <v>520</v>
      </c>
      <c r="R735" s="37">
        <f t="shared" si="327"/>
        <v>379</v>
      </c>
      <c r="S735" s="20">
        <f t="shared" ref="S735:S771" si="328">SUM(P735:R735)</f>
        <v>1232</v>
      </c>
    </row>
    <row r="736" spans="1:21" x14ac:dyDescent="0.15">
      <c r="A736" s="6" t="s">
        <v>152</v>
      </c>
      <c r="B736" s="14"/>
      <c r="C736" s="11"/>
      <c r="D736" s="14">
        <v>1</v>
      </c>
      <c r="E736" s="4">
        <f t="shared" ref="E736:E738" si="329">SUM(B736:D736)</f>
        <v>1</v>
      </c>
      <c r="F736" s="14"/>
      <c r="G736" s="11"/>
      <c r="H736" s="14">
        <v>1</v>
      </c>
      <c r="I736" s="4">
        <f t="shared" ref="I736:I738" si="330">SUM(F736:H736)</f>
        <v>1</v>
      </c>
      <c r="J736" s="56">
        <v>45527</v>
      </c>
      <c r="K736" s="5" t="s">
        <v>3</v>
      </c>
      <c r="L736" s="46"/>
      <c r="M736" s="3"/>
      <c r="N736" s="46"/>
      <c r="O736" s="4">
        <f t="shared" si="326"/>
        <v>0</v>
      </c>
      <c r="P736" s="46"/>
      <c r="Q736" s="3"/>
      <c r="R736" s="46"/>
      <c r="S736" s="4">
        <f t="shared" si="328"/>
        <v>0</v>
      </c>
    </row>
    <row r="737" spans="1:21" x14ac:dyDescent="0.15">
      <c r="A737" s="6" t="s">
        <v>3</v>
      </c>
      <c r="B737" s="14"/>
      <c r="C737" s="11"/>
      <c r="D737" s="14"/>
      <c r="E737" s="4">
        <f t="shared" si="329"/>
        <v>0</v>
      </c>
      <c r="F737" s="14"/>
      <c r="G737" s="11"/>
      <c r="H737" s="14"/>
      <c r="I737" s="4">
        <f t="shared" si="330"/>
        <v>0</v>
      </c>
      <c r="K737" s="5" t="s">
        <v>3</v>
      </c>
      <c r="L737" s="14"/>
      <c r="M737" s="11"/>
      <c r="N737" s="14"/>
      <c r="O737" s="4">
        <f t="shared" si="326"/>
        <v>0</v>
      </c>
      <c r="P737" s="14"/>
      <c r="Q737" s="11"/>
      <c r="R737" s="14"/>
      <c r="S737" s="4">
        <f t="shared" si="328"/>
        <v>0</v>
      </c>
    </row>
    <row r="738" spans="1:21" x14ac:dyDescent="0.15">
      <c r="A738" s="6" t="s">
        <v>3</v>
      </c>
      <c r="B738" s="14"/>
      <c r="C738" s="11"/>
      <c r="D738" s="14"/>
      <c r="E738" s="4">
        <f t="shared" si="329"/>
        <v>0</v>
      </c>
      <c r="F738" s="14"/>
      <c r="G738" s="11"/>
      <c r="H738" s="14"/>
      <c r="I738" s="4">
        <f t="shared" si="330"/>
        <v>0</v>
      </c>
      <c r="K738" s="5" t="s">
        <v>3</v>
      </c>
      <c r="L738" s="14"/>
      <c r="M738" s="11"/>
      <c r="N738" s="14"/>
      <c r="O738" s="4">
        <f t="shared" si="326"/>
        <v>0</v>
      </c>
      <c r="P738" s="14"/>
      <c r="Q738" s="11"/>
      <c r="R738" s="14"/>
      <c r="S738" s="4">
        <f t="shared" si="328"/>
        <v>0</v>
      </c>
    </row>
    <row r="739" spans="1:21" x14ac:dyDescent="0.15">
      <c r="A739" s="6" t="s">
        <v>3</v>
      </c>
      <c r="B739" s="14"/>
      <c r="C739" s="11"/>
      <c r="D739" s="14"/>
      <c r="E739" s="4">
        <f t="shared" si="323"/>
        <v>0</v>
      </c>
      <c r="F739" s="14"/>
      <c r="G739" s="11"/>
      <c r="H739" s="14"/>
      <c r="I739" s="4">
        <f t="shared" si="324"/>
        <v>0</v>
      </c>
      <c r="K739" s="5" t="s">
        <v>3</v>
      </c>
      <c r="L739" s="14"/>
      <c r="M739" s="11"/>
      <c r="N739" s="14"/>
      <c r="O739" s="4">
        <f t="shared" ref="O739:O740" si="331">SUM(L739:N739)</f>
        <v>0</v>
      </c>
      <c r="P739" s="14"/>
      <c r="Q739" s="11"/>
      <c r="R739" s="14"/>
      <c r="S739" s="4">
        <f t="shared" ref="S739:S740" si="332">SUM(P739:R739)</f>
        <v>0</v>
      </c>
    </row>
    <row r="740" spans="1:21" x14ac:dyDescent="0.15">
      <c r="A740" s="6" t="s">
        <v>3</v>
      </c>
      <c r="B740" s="14"/>
      <c r="C740" s="11"/>
      <c r="D740" s="14"/>
      <c r="E740" s="4">
        <f t="shared" si="323"/>
        <v>0</v>
      </c>
      <c r="F740" s="14"/>
      <c r="G740" s="11"/>
      <c r="H740" s="14"/>
      <c r="I740" s="4">
        <f t="shared" si="324"/>
        <v>0</v>
      </c>
      <c r="K740" s="5" t="s">
        <v>3</v>
      </c>
      <c r="L740" s="14"/>
      <c r="M740" s="11"/>
      <c r="N740" s="14"/>
      <c r="O740" s="4">
        <f t="shared" si="331"/>
        <v>0</v>
      </c>
      <c r="P740" s="14"/>
      <c r="Q740" s="11"/>
      <c r="R740" s="14"/>
      <c r="S740" s="4">
        <f t="shared" si="332"/>
        <v>0</v>
      </c>
    </row>
    <row r="741" spans="1:21" x14ac:dyDescent="0.15">
      <c r="A741" s="6" t="s">
        <v>3</v>
      </c>
      <c r="B741" s="14"/>
      <c r="C741" s="11"/>
      <c r="D741" s="14"/>
      <c r="E741" s="4">
        <f t="shared" si="323"/>
        <v>0</v>
      </c>
      <c r="F741" s="14"/>
      <c r="G741" s="11"/>
      <c r="H741" s="14"/>
      <c r="I741" s="4">
        <f t="shared" si="324"/>
        <v>0</v>
      </c>
      <c r="K741" s="5" t="s">
        <v>3</v>
      </c>
      <c r="L741" s="14"/>
      <c r="M741" s="11"/>
      <c r="N741" s="14"/>
      <c r="O741" s="4">
        <f t="shared" si="326"/>
        <v>0</v>
      </c>
      <c r="P741" s="14"/>
      <c r="Q741" s="11"/>
      <c r="R741" s="14"/>
      <c r="S741" s="4">
        <f t="shared" si="328"/>
        <v>0</v>
      </c>
    </row>
    <row r="742" spans="1:21" x14ac:dyDescent="0.15">
      <c r="A742" s="6" t="s">
        <v>3</v>
      </c>
      <c r="B742" s="14"/>
      <c r="C742" s="11"/>
      <c r="D742" s="14"/>
      <c r="E742" s="4">
        <f t="shared" si="323"/>
        <v>0</v>
      </c>
      <c r="F742" s="14"/>
      <c r="G742" s="11"/>
      <c r="H742" s="14"/>
      <c r="I742" s="4">
        <f t="shared" si="324"/>
        <v>0</v>
      </c>
      <c r="K742" s="5" t="s">
        <v>3</v>
      </c>
      <c r="L742" s="14"/>
      <c r="M742" s="11"/>
      <c r="N742" s="14"/>
      <c r="O742" s="4">
        <f t="shared" si="326"/>
        <v>0</v>
      </c>
      <c r="P742" s="14"/>
      <c r="Q742" s="11"/>
      <c r="R742" s="14"/>
      <c r="S742" s="4">
        <f t="shared" si="328"/>
        <v>0</v>
      </c>
    </row>
    <row r="743" spans="1:21" x14ac:dyDescent="0.15">
      <c r="A743" s="6" t="s">
        <v>3</v>
      </c>
      <c r="B743" s="23"/>
      <c r="C743" s="24"/>
      <c r="D743" s="25"/>
      <c r="E743" s="7">
        <f t="shared" si="323"/>
        <v>0</v>
      </c>
      <c r="F743" s="23"/>
      <c r="G743" s="24"/>
      <c r="H743" s="25"/>
      <c r="I743" s="7">
        <f t="shared" si="324"/>
        <v>0</v>
      </c>
      <c r="K743" s="5" t="s">
        <v>3</v>
      </c>
      <c r="L743" s="25"/>
      <c r="M743" s="24"/>
      <c r="N743" s="25"/>
      <c r="O743" s="7">
        <f t="shared" si="326"/>
        <v>0</v>
      </c>
      <c r="P743" s="23"/>
      <c r="Q743" s="24"/>
      <c r="R743" s="25"/>
      <c r="S743" s="7">
        <f t="shared" si="328"/>
        <v>0</v>
      </c>
    </row>
    <row r="744" spans="1:21" x14ac:dyDescent="0.15">
      <c r="A744" s="6" t="s">
        <v>3</v>
      </c>
      <c r="B744" s="23"/>
      <c r="C744" s="24"/>
      <c r="D744" s="25"/>
      <c r="E744" s="7">
        <f t="shared" si="323"/>
        <v>0</v>
      </c>
      <c r="F744" s="23"/>
      <c r="G744" s="24"/>
      <c r="H744" s="25"/>
      <c r="I744" s="7">
        <f t="shared" si="324"/>
        <v>0</v>
      </c>
      <c r="K744" s="5" t="s">
        <v>3</v>
      </c>
      <c r="L744" s="25"/>
      <c r="M744" s="24"/>
      <c r="N744" s="25"/>
      <c r="O744" s="7">
        <f t="shared" si="326"/>
        <v>0</v>
      </c>
      <c r="P744" s="25"/>
      <c r="Q744" s="24"/>
      <c r="R744" s="25"/>
      <c r="S744" s="7">
        <f t="shared" si="328"/>
        <v>0</v>
      </c>
    </row>
    <row r="745" spans="1:21" ht="14.25" thickBot="1" x14ac:dyDescent="0.2">
      <c r="A745" s="6" t="s">
        <v>3</v>
      </c>
      <c r="B745" s="29"/>
      <c r="C745" s="30"/>
      <c r="D745" s="29"/>
      <c r="E745" s="16">
        <f t="shared" si="323"/>
        <v>0</v>
      </c>
      <c r="F745" s="29"/>
      <c r="G745" s="30"/>
      <c r="H745" s="29"/>
      <c r="I745" s="16">
        <f t="shared" si="324"/>
        <v>0</v>
      </c>
      <c r="K745" s="33" t="s">
        <v>3</v>
      </c>
      <c r="L745" s="29"/>
      <c r="M745" s="30"/>
      <c r="N745" s="29"/>
      <c r="O745" s="16">
        <f t="shared" si="326"/>
        <v>0</v>
      </c>
      <c r="P745" s="29"/>
      <c r="Q745" s="30"/>
      <c r="R745" s="29"/>
      <c r="S745" s="16">
        <f t="shared" si="328"/>
        <v>0</v>
      </c>
    </row>
    <row r="746" spans="1:21" ht="14.25" thickBot="1" x14ac:dyDescent="0.2">
      <c r="A746" s="17" t="s">
        <v>4</v>
      </c>
      <c r="B746" s="18">
        <f>SUM(B735:B745)</f>
        <v>11</v>
      </c>
      <c r="C746" s="18">
        <f>SUM(C735:C745)</f>
        <v>9</v>
      </c>
      <c r="D746" s="19">
        <f>SUM(D735:D745)</f>
        <v>9</v>
      </c>
      <c r="E746" s="20">
        <f t="shared" si="323"/>
        <v>29</v>
      </c>
      <c r="F746" s="18">
        <f>SUM(F735:F745)</f>
        <v>11</v>
      </c>
      <c r="G746" s="18">
        <f>SUM(G735:G745)</f>
        <v>9</v>
      </c>
      <c r="H746" s="19">
        <f>SUM(H735:H745)</f>
        <v>9</v>
      </c>
      <c r="I746" s="20">
        <f t="shared" si="324"/>
        <v>29</v>
      </c>
      <c r="K746" s="17" t="s">
        <v>4</v>
      </c>
      <c r="L746" s="18">
        <f>SUM(L735:L745)</f>
        <v>333</v>
      </c>
      <c r="M746" s="18">
        <f>SUM(M735:M745)</f>
        <v>520</v>
      </c>
      <c r="N746" s="18">
        <f>SUM(N735:N745)</f>
        <v>379</v>
      </c>
      <c r="O746" s="20">
        <f t="shared" si="326"/>
        <v>1232</v>
      </c>
      <c r="P746" s="18">
        <f>SUM(P735:P745)</f>
        <v>333</v>
      </c>
      <c r="Q746" s="18">
        <f>SUM(Q735:Q745)</f>
        <v>520</v>
      </c>
      <c r="R746" s="19">
        <f>SUM(R735:R745)</f>
        <v>379</v>
      </c>
      <c r="S746" s="20">
        <f t="shared" si="328"/>
        <v>1232</v>
      </c>
    </row>
    <row r="747" spans="1:21" x14ac:dyDescent="0.15">
      <c r="A747" s="66" t="s">
        <v>468</v>
      </c>
      <c r="B747" s="8">
        <v>2</v>
      </c>
      <c r="C747" s="9"/>
      <c r="D747" s="10"/>
      <c r="E747" s="7">
        <f t="shared" ref="E747:E751" si="333">SUM(B747:D747)</f>
        <v>2</v>
      </c>
      <c r="F747" s="8">
        <v>2</v>
      </c>
      <c r="G747" s="9"/>
      <c r="H747" s="10"/>
      <c r="I747" s="7">
        <f t="shared" ref="I747:I751" si="334">SUM(F747:H747)</f>
        <v>2</v>
      </c>
      <c r="J747" s="47">
        <v>45509</v>
      </c>
      <c r="K747" s="66" t="s">
        <v>314</v>
      </c>
      <c r="L747" s="8">
        <v>9</v>
      </c>
      <c r="M747" s="9">
        <v>2</v>
      </c>
      <c r="N747" s="10"/>
      <c r="O747" s="7">
        <f t="shared" si="326"/>
        <v>11</v>
      </c>
      <c r="P747" s="8">
        <v>9</v>
      </c>
      <c r="Q747" s="9">
        <v>2</v>
      </c>
      <c r="R747" s="10"/>
      <c r="S747" s="7">
        <f t="shared" si="328"/>
        <v>11</v>
      </c>
      <c r="T747" s="47">
        <v>45506</v>
      </c>
      <c r="U747" s="54"/>
    </row>
    <row r="748" spans="1:21" x14ac:dyDescent="0.15">
      <c r="A748" s="66" t="s">
        <v>326</v>
      </c>
      <c r="B748" s="8">
        <v>1</v>
      </c>
      <c r="C748" s="9"/>
      <c r="D748" s="10"/>
      <c r="E748" s="7">
        <f t="shared" si="333"/>
        <v>1</v>
      </c>
      <c r="F748" s="8">
        <v>1</v>
      </c>
      <c r="G748" s="9"/>
      <c r="H748" s="10"/>
      <c r="I748" s="7">
        <f t="shared" si="334"/>
        <v>1</v>
      </c>
      <c r="J748" s="47">
        <v>45512</v>
      </c>
      <c r="K748" s="66" t="s">
        <v>320</v>
      </c>
      <c r="L748" s="8">
        <v>1</v>
      </c>
      <c r="M748" s="9">
        <v>4</v>
      </c>
      <c r="N748" s="10">
        <v>3</v>
      </c>
      <c r="O748" s="7">
        <f t="shared" si="326"/>
        <v>8</v>
      </c>
      <c r="P748" s="8">
        <v>1</v>
      </c>
      <c r="Q748" s="9">
        <v>4</v>
      </c>
      <c r="R748" s="10">
        <v>3</v>
      </c>
      <c r="S748" s="7">
        <f t="shared" si="328"/>
        <v>8</v>
      </c>
      <c r="T748" s="47">
        <v>45506</v>
      </c>
      <c r="U748" s="54"/>
    </row>
    <row r="749" spans="1:21" x14ac:dyDescent="0.15">
      <c r="A749" s="66" t="s">
        <v>470</v>
      </c>
      <c r="B749" s="8">
        <v>1</v>
      </c>
      <c r="C749" s="9">
        <v>1</v>
      </c>
      <c r="D749" s="10">
        <v>1</v>
      </c>
      <c r="E749" s="7">
        <f t="shared" si="333"/>
        <v>3</v>
      </c>
      <c r="F749" s="8">
        <v>1</v>
      </c>
      <c r="G749" s="9">
        <v>1</v>
      </c>
      <c r="H749" s="10">
        <v>1</v>
      </c>
      <c r="I749" s="7">
        <f t="shared" si="334"/>
        <v>3</v>
      </c>
      <c r="J749" s="47">
        <v>45513</v>
      </c>
      <c r="K749" s="3" t="s">
        <v>467</v>
      </c>
      <c r="L749" s="8">
        <v>20</v>
      </c>
      <c r="M749" s="9">
        <v>32</v>
      </c>
      <c r="N749" s="10">
        <v>22</v>
      </c>
      <c r="O749" s="7">
        <f t="shared" si="326"/>
        <v>74</v>
      </c>
      <c r="P749" s="8">
        <v>20</v>
      </c>
      <c r="Q749" s="9">
        <v>32</v>
      </c>
      <c r="R749" s="10">
        <v>22</v>
      </c>
      <c r="S749" s="7">
        <f t="shared" si="328"/>
        <v>74</v>
      </c>
      <c r="T749" s="47">
        <v>45511</v>
      </c>
    </row>
    <row r="750" spans="1:21" x14ac:dyDescent="0.15">
      <c r="A750" s="66" t="s">
        <v>479</v>
      </c>
      <c r="B750" s="8">
        <v>1</v>
      </c>
      <c r="C750" s="9">
        <v>3</v>
      </c>
      <c r="D750" s="10">
        <v>1</v>
      </c>
      <c r="E750" s="7">
        <f t="shared" si="333"/>
        <v>5</v>
      </c>
      <c r="F750" s="8">
        <v>1</v>
      </c>
      <c r="G750" s="9">
        <v>3</v>
      </c>
      <c r="H750" s="10">
        <v>1</v>
      </c>
      <c r="I750" s="7">
        <f t="shared" si="334"/>
        <v>5</v>
      </c>
      <c r="J750" s="47">
        <v>45539</v>
      </c>
      <c r="K750" s="66" t="s">
        <v>469</v>
      </c>
      <c r="L750" s="8"/>
      <c r="M750" s="9">
        <v>1</v>
      </c>
      <c r="N750" s="10">
        <v>2</v>
      </c>
      <c r="O750" s="7">
        <f t="shared" si="326"/>
        <v>3</v>
      </c>
      <c r="P750" s="8"/>
      <c r="Q750" s="9">
        <v>1</v>
      </c>
      <c r="R750" s="10">
        <v>2</v>
      </c>
      <c r="S750" s="7">
        <f t="shared" si="328"/>
        <v>3</v>
      </c>
      <c r="T750" s="47">
        <v>45511</v>
      </c>
    </row>
    <row r="751" spans="1:21" x14ac:dyDescent="0.15">
      <c r="A751" s="3"/>
      <c r="B751" s="8"/>
      <c r="C751" s="9"/>
      <c r="D751" s="10"/>
      <c r="E751" s="7">
        <f t="shared" si="333"/>
        <v>0</v>
      </c>
      <c r="F751" s="8"/>
      <c r="G751" s="9"/>
      <c r="H751" s="10"/>
      <c r="I751" s="7">
        <f t="shared" si="334"/>
        <v>0</v>
      </c>
      <c r="J751" s="55"/>
      <c r="K751" s="66" t="s">
        <v>471</v>
      </c>
      <c r="L751" s="8"/>
      <c r="M751" s="9">
        <v>5</v>
      </c>
      <c r="N751" s="10">
        <v>3</v>
      </c>
      <c r="O751" s="7">
        <f t="shared" si="326"/>
        <v>8</v>
      </c>
      <c r="P751" s="8"/>
      <c r="Q751" s="9">
        <v>5</v>
      </c>
      <c r="R751" s="10">
        <v>3</v>
      </c>
      <c r="S751" s="7">
        <f t="shared" si="328"/>
        <v>8</v>
      </c>
      <c r="T751" s="47">
        <v>45513</v>
      </c>
    </row>
    <row r="752" spans="1:21" x14ac:dyDescent="0.15">
      <c r="A752" s="3"/>
      <c r="B752" s="8"/>
      <c r="C752" s="9"/>
      <c r="D752" s="10"/>
      <c r="E752" s="7">
        <f t="shared" si="323"/>
        <v>0</v>
      </c>
      <c r="F752" s="8"/>
      <c r="G752" s="9"/>
      <c r="H752" s="10"/>
      <c r="I752" s="7">
        <f t="shared" si="324"/>
        <v>0</v>
      </c>
      <c r="J752" s="55"/>
      <c r="K752" s="66" t="s">
        <v>333</v>
      </c>
      <c r="L752" s="8">
        <v>7</v>
      </c>
      <c r="M752" s="9">
        <v>4</v>
      </c>
      <c r="N752" s="10">
        <v>5</v>
      </c>
      <c r="O752" s="7">
        <f t="shared" si="326"/>
        <v>16</v>
      </c>
      <c r="P752" s="8">
        <v>7</v>
      </c>
      <c r="Q752" s="9">
        <v>4</v>
      </c>
      <c r="R752" s="10">
        <v>5</v>
      </c>
      <c r="S752" s="7">
        <f t="shared" si="328"/>
        <v>16</v>
      </c>
      <c r="T752" s="47">
        <v>45520</v>
      </c>
    </row>
    <row r="753" spans="1:22" x14ac:dyDescent="0.15">
      <c r="A753" s="3"/>
      <c r="B753" s="8"/>
      <c r="C753" s="9"/>
      <c r="D753" s="10"/>
      <c r="E753" s="7">
        <f t="shared" si="323"/>
        <v>0</v>
      </c>
      <c r="F753" s="8"/>
      <c r="G753" s="9"/>
      <c r="H753" s="10"/>
      <c r="I753" s="7">
        <f t="shared" si="324"/>
        <v>0</v>
      </c>
      <c r="J753" s="55"/>
      <c r="K753" s="3" t="s">
        <v>472</v>
      </c>
      <c r="L753" s="8">
        <v>60</v>
      </c>
      <c r="M753" s="9">
        <v>70</v>
      </c>
      <c r="N753" s="10">
        <v>50</v>
      </c>
      <c r="O753" s="7">
        <f t="shared" si="326"/>
        <v>180</v>
      </c>
      <c r="P753" s="8">
        <v>60</v>
      </c>
      <c r="Q753" s="9">
        <v>70</v>
      </c>
      <c r="R753" s="10">
        <v>50</v>
      </c>
      <c r="S753" s="7">
        <f t="shared" si="328"/>
        <v>180</v>
      </c>
      <c r="T753" s="47">
        <v>45524</v>
      </c>
      <c r="U753" s="54"/>
    </row>
    <row r="754" spans="1:22" x14ac:dyDescent="0.15">
      <c r="A754" s="3"/>
      <c r="B754" s="8"/>
      <c r="C754" s="9"/>
      <c r="D754" s="10"/>
      <c r="E754" s="7">
        <f t="shared" si="323"/>
        <v>0</v>
      </c>
      <c r="F754" s="8"/>
      <c r="G754" s="9"/>
      <c r="H754" s="10"/>
      <c r="I754" s="7">
        <f t="shared" si="324"/>
        <v>0</v>
      </c>
      <c r="J754" s="55"/>
      <c r="K754" s="66" t="s">
        <v>473</v>
      </c>
      <c r="L754" s="8">
        <v>2</v>
      </c>
      <c r="M754" s="9">
        <v>4</v>
      </c>
      <c r="N754" s="10">
        <v>3</v>
      </c>
      <c r="O754" s="7">
        <f t="shared" si="326"/>
        <v>9</v>
      </c>
      <c r="P754" s="8">
        <v>2</v>
      </c>
      <c r="Q754" s="9">
        <v>4</v>
      </c>
      <c r="R754" s="10">
        <v>3</v>
      </c>
      <c r="S754" s="7">
        <f t="shared" si="328"/>
        <v>9</v>
      </c>
      <c r="T754" s="47">
        <v>45523</v>
      </c>
    </row>
    <row r="755" spans="1:22" x14ac:dyDescent="0.15">
      <c r="A755" s="3"/>
      <c r="B755" s="8"/>
      <c r="C755" s="9"/>
      <c r="D755" s="10"/>
      <c r="E755" s="7">
        <f t="shared" si="323"/>
        <v>0</v>
      </c>
      <c r="F755" s="8"/>
      <c r="G755" s="9"/>
      <c r="H755" s="10"/>
      <c r="I755" s="7">
        <f t="shared" si="324"/>
        <v>0</v>
      </c>
      <c r="J755" s="55"/>
      <c r="K755" s="66" t="s">
        <v>474</v>
      </c>
      <c r="L755" s="8">
        <v>6</v>
      </c>
      <c r="M755" s="9">
        <v>7</v>
      </c>
      <c r="N755" s="10">
        <v>7</v>
      </c>
      <c r="O755" s="7">
        <f t="shared" si="326"/>
        <v>20</v>
      </c>
      <c r="P755" s="8">
        <v>6</v>
      </c>
      <c r="Q755" s="9">
        <v>7</v>
      </c>
      <c r="R755" s="10">
        <v>7</v>
      </c>
      <c r="S755" s="7">
        <f t="shared" si="328"/>
        <v>20</v>
      </c>
      <c r="T755" s="47">
        <v>45525</v>
      </c>
      <c r="U755" s="54"/>
    </row>
    <row r="756" spans="1:22" x14ac:dyDescent="0.15">
      <c r="A756" s="3"/>
      <c r="B756" s="8"/>
      <c r="C756" s="9"/>
      <c r="D756" s="10"/>
      <c r="E756" s="7">
        <f t="shared" si="323"/>
        <v>0</v>
      </c>
      <c r="F756" s="8"/>
      <c r="G756" s="9"/>
      <c r="H756" s="10"/>
      <c r="I756" s="7">
        <f t="shared" si="324"/>
        <v>0</v>
      </c>
      <c r="J756" s="55"/>
      <c r="K756" s="66" t="s">
        <v>339</v>
      </c>
      <c r="L756" s="8">
        <v>4</v>
      </c>
      <c r="M756" s="9"/>
      <c r="N756" s="10">
        <v>3</v>
      </c>
      <c r="O756" s="7">
        <f t="shared" si="326"/>
        <v>7</v>
      </c>
      <c r="P756" s="8">
        <v>4</v>
      </c>
      <c r="Q756" s="9"/>
      <c r="R756" s="10">
        <v>3</v>
      </c>
      <c r="S756" s="7">
        <f t="shared" si="328"/>
        <v>7</v>
      </c>
      <c r="T756" s="47">
        <v>45526</v>
      </c>
      <c r="U756" s="54"/>
    </row>
    <row r="757" spans="1:22" x14ac:dyDescent="0.15">
      <c r="A757" s="3"/>
      <c r="B757" s="8"/>
      <c r="C757" s="9"/>
      <c r="D757" s="10"/>
      <c r="E757" s="7">
        <f t="shared" si="323"/>
        <v>0</v>
      </c>
      <c r="F757" s="8"/>
      <c r="G757" s="9"/>
      <c r="H757" s="10"/>
      <c r="I757" s="7">
        <f t="shared" si="324"/>
        <v>0</v>
      </c>
      <c r="K757" s="66" t="s">
        <v>475</v>
      </c>
      <c r="L757" s="8">
        <v>2</v>
      </c>
      <c r="M757" s="9"/>
      <c r="N757" s="10"/>
      <c r="O757" s="7">
        <f t="shared" si="326"/>
        <v>2</v>
      </c>
      <c r="P757" s="8">
        <v>2</v>
      </c>
      <c r="Q757" s="9"/>
      <c r="R757" s="10"/>
      <c r="S757" s="7">
        <f t="shared" si="328"/>
        <v>2</v>
      </c>
      <c r="T757" s="47">
        <v>45527</v>
      </c>
      <c r="U757" s="54"/>
    </row>
    <row r="758" spans="1:22" x14ac:dyDescent="0.15">
      <c r="A758" s="3"/>
      <c r="B758" s="8"/>
      <c r="C758" s="9"/>
      <c r="D758" s="10"/>
      <c r="E758" s="7">
        <f t="shared" si="323"/>
        <v>0</v>
      </c>
      <c r="F758" s="8"/>
      <c r="G758" s="9"/>
      <c r="H758" s="10"/>
      <c r="I758" s="7">
        <f t="shared" si="324"/>
        <v>0</v>
      </c>
      <c r="K758" s="66" t="s">
        <v>342</v>
      </c>
      <c r="L758" s="8">
        <v>1</v>
      </c>
      <c r="M758" s="9">
        <v>2</v>
      </c>
      <c r="N758" s="10">
        <v>1</v>
      </c>
      <c r="O758" s="7">
        <f t="shared" si="326"/>
        <v>4</v>
      </c>
      <c r="P758" s="8">
        <v>1</v>
      </c>
      <c r="Q758" s="9">
        <v>2</v>
      </c>
      <c r="R758" s="10">
        <v>1</v>
      </c>
      <c r="S758" s="7">
        <f t="shared" si="328"/>
        <v>4</v>
      </c>
      <c r="T758" s="47">
        <v>45527</v>
      </c>
      <c r="U758" s="54"/>
      <c r="V758" s="54"/>
    </row>
    <row r="759" spans="1:22" x14ac:dyDescent="0.15">
      <c r="A759" s="3"/>
      <c r="B759" s="8"/>
      <c r="C759" s="9"/>
      <c r="D759" s="10"/>
      <c r="E759" s="7">
        <f t="shared" si="323"/>
        <v>0</v>
      </c>
      <c r="F759" s="8"/>
      <c r="G759" s="9"/>
      <c r="H759" s="10"/>
      <c r="I759" s="7">
        <f t="shared" si="324"/>
        <v>0</v>
      </c>
      <c r="K759" s="3" t="s">
        <v>476</v>
      </c>
      <c r="L759" s="8">
        <v>28</v>
      </c>
      <c r="M759" s="9">
        <v>36</v>
      </c>
      <c r="N759" s="10">
        <v>34</v>
      </c>
      <c r="O759" s="7">
        <f t="shared" si="326"/>
        <v>98</v>
      </c>
      <c r="P759" s="8">
        <v>28</v>
      </c>
      <c r="Q759" s="9">
        <v>36</v>
      </c>
      <c r="R759" s="10">
        <v>34</v>
      </c>
      <c r="S759" s="7">
        <f t="shared" si="328"/>
        <v>98</v>
      </c>
      <c r="T759" s="47">
        <v>45531</v>
      </c>
      <c r="U759" s="54"/>
      <c r="V759" s="54"/>
    </row>
    <row r="760" spans="1:22" x14ac:dyDescent="0.15">
      <c r="A760" s="3"/>
      <c r="B760" s="8"/>
      <c r="C760" s="9"/>
      <c r="D760" s="10"/>
      <c r="E760" s="7">
        <f t="shared" si="323"/>
        <v>0</v>
      </c>
      <c r="F760" s="8"/>
      <c r="G760" s="9"/>
      <c r="H760" s="10"/>
      <c r="I760" s="7">
        <f t="shared" si="324"/>
        <v>0</v>
      </c>
      <c r="K760" s="66" t="s">
        <v>344</v>
      </c>
      <c r="L760" s="8">
        <v>1</v>
      </c>
      <c r="M760" s="9"/>
      <c r="N760" s="10">
        <v>1</v>
      </c>
      <c r="O760" s="7">
        <f t="shared" si="326"/>
        <v>2</v>
      </c>
      <c r="P760" s="8">
        <v>1</v>
      </c>
      <c r="Q760" s="9"/>
      <c r="R760" s="10">
        <v>1</v>
      </c>
      <c r="S760" s="7">
        <f t="shared" si="328"/>
        <v>2</v>
      </c>
      <c r="T760" s="47">
        <v>45530</v>
      </c>
      <c r="U760" s="54"/>
      <c r="V760" s="54"/>
    </row>
    <row r="761" spans="1:22" x14ac:dyDescent="0.15">
      <c r="A761" s="3"/>
      <c r="B761" s="8"/>
      <c r="C761" s="9"/>
      <c r="D761" s="10"/>
      <c r="E761" s="7">
        <f t="shared" si="323"/>
        <v>0</v>
      </c>
      <c r="F761" s="8"/>
      <c r="G761" s="9"/>
      <c r="H761" s="10"/>
      <c r="I761" s="7">
        <f t="shared" si="324"/>
        <v>0</v>
      </c>
      <c r="K761" s="66" t="s">
        <v>345</v>
      </c>
      <c r="L761" s="8">
        <v>6</v>
      </c>
      <c r="M761" s="9">
        <v>8</v>
      </c>
      <c r="N761" s="10">
        <v>1</v>
      </c>
      <c r="O761" s="7">
        <f t="shared" si="326"/>
        <v>15</v>
      </c>
      <c r="P761" s="8">
        <v>6</v>
      </c>
      <c r="Q761" s="9">
        <v>8</v>
      </c>
      <c r="R761" s="10">
        <v>1</v>
      </c>
      <c r="S761" s="7">
        <f t="shared" si="328"/>
        <v>15</v>
      </c>
      <c r="T761" s="47">
        <v>45532</v>
      </c>
      <c r="U761" s="54"/>
      <c r="V761" s="54"/>
    </row>
    <row r="762" spans="1:22" x14ac:dyDescent="0.15">
      <c r="A762" s="3"/>
      <c r="B762" s="8"/>
      <c r="C762" s="9"/>
      <c r="D762" s="10"/>
      <c r="E762" s="7">
        <f t="shared" si="323"/>
        <v>0</v>
      </c>
      <c r="F762" s="8"/>
      <c r="G762" s="9"/>
      <c r="H762" s="10"/>
      <c r="I762" s="7">
        <f t="shared" si="324"/>
        <v>0</v>
      </c>
      <c r="K762" s="66" t="s">
        <v>477</v>
      </c>
      <c r="L762" s="8"/>
      <c r="M762" s="9">
        <v>5</v>
      </c>
      <c r="N762" s="10"/>
      <c r="O762" s="7">
        <f t="shared" ref="O762:O764" si="335">SUM(L762:N762)</f>
        <v>5</v>
      </c>
      <c r="P762" s="8"/>
      <c r="Q762" s="9">
        <v>5</v>
      </c>
      <c r="R762" s="10"/>
      <c r="S762" s="7">
        <f t="shared" ref="S762:S764" si="336">SUM(P762:R762)</f>
        <v>5</v>
      </c>
      <c r="T762" s="47">
        <v>45534</v>
      </c>
      <c r="U762" s="54"/>
      <c r="V762" s="54"/>
    </row>
    <row r="763" spans="1:22" x14ac:dyDescent="0.15">
      <c r="A763" s="3"/>
      <c r="B763" s="8"/>
      <c r="C763" s="9"/>
      <c r="D763" s="10"/>
      <c r="E763" s="7">
        <f t="shared" si="323"/>
        <v>0</v>
      </c>
      <c r="F763" s="8"/>
      <c r="G763" s="9"/>
      <c r="H763" s="10"/>
      <c r="I763" s="7">
        <f t="shared" si="324"/>
        <v>0</v>
      </c>
      <c r="K763" s="66" t="s">
        <v>478</v>
      </c>
      <c r="L763" s="8"/>
      <c r="M763" s="9">
        <v>1</v>
      </c>
      <c r="N763" s="10">
        <v>2</v>
      </c>
      <c r="O763" s="7">
        <f t="shared" si="335"/>
        <v>3</v>
      </c>
      <c r="P763" s="8"/>
      <c r="Q763" s="9">
        <v>1</v>
      </c>
      <c r="R763" s="10">
        <v>2</v>
      </c>
      <c r="S763" s="7">
        <f t="shared" si="336"/>
        <v>3</v>
      </c>
      <c r="T763" s="47">
        <v>45537</v>
      </c>
      <c r="U763" s="54"/>
      <c r="V763" s="54"/>
    </row>
    <row r="764" spans="1:22" x14ac:dyDescent="0.15">
      <c r="A764" s="3"/>
      <c r="B764" s="8"/>
      <c r="C764" s="9"/>
      <c r="D764" s="10"/>
      <c r="E764" s="7">
        <f t="shared" si="323"/>
        <v>0</v>
      </c>
      <c r="F764" s="8"/>
      <c r="G764" s="9"/>
      <c r="H764" s="10"/>
      <c r="I764" s="7">
        <f t="shared" si="324"/>
        <v>0</v>
      </c>
      <c r="K764" s="66" t="s">
        <v>353</v>
      </c>
      <c r="L764" s="8"/>
      <c r="M764" s="9"/>
      <c r="N764" s="10">
        <v>2</v>
      </c>
      <c r="O764" s="7">
        <f t="shared" si="335"/>
        <v>2</v>
      </c>
      <c r="P764" s="8"/>
      <c r="Q764" s="9"/>
      <c r="R764" s="10">
        <v>2</v>
      </c>
      <c r="S764" s="7">
        <f t="shared" si="336"/>
        <v>2</v>
      </c>
      <c r="T764" s="47">
        <v>45540</v>
      </c>
      <c r="U764" s="54"/>
    </row>
    <row r="765" spans="1:22" x14ac:dyDescent="0.15">
      <c r="A765" s="3"/>
      <c r="B765" s="8"/>
      <c r="C765" s="9"/>
      <c r="D765" s="10"/>
      <c r="E765" s="7">
        <f t="shared" si="323"/>
        <v>0</v>
      </c>
      <c r="F765" s="8"/>
      <c r="G765" s="9"/>
      <c r="H765" s="10"/>
      <c r="I765" s="7">
        <f t="shared" si="324"/>
        <v>0</v>
      </c>
      <c r="K765" s="66" t="s">
        <v>480</v>
      </c>
      <c r="L765" s="8"/>
      <c r="M765" s="9">
        <v>1</v>
      </c>
      <c r="N765" s="10">
        <v>2</v>
      </c>
      <c r="O765" s="7">
        <f t="shared" ref="O765" si="337">SUM(L765:N765)</f>
        <v>3</v>
      </c>
      <c r="P765" s="8"/>
      <c r="Q765" s="9">
        <v>1</v>
      </c>
      <c r="R765" s="10">
        <v>2</v>
      </c>
      <c r="S765" s="7">
        <f t="shared" ref="S765" si="338">SUM(P765:R765)</f>
        <v>3</v>
      </c>
      <c r="T765" s="47">
        <v>45541</v>
      </c>
      <c r="U765" s="54"/>
    </row>
    <row r="766" spans="1:22" x14ac:dyDescent="0.15">
      <c r="A766" s="3"/>
      <c r="B766" s="8"/>
      <c r="C766" s="9"/>
      <c r="D766" s="10"/>
      <c r="E766" s="7">
        <f t="shared" si="323"/>
        <v>0</v>
      </c>
      <c r="F766" s="8"/>
      <c r="G766" s="9"/>
      <c r="H766" s="10"/>
      <c r="I766" s="7">
        <f t="shared" si="324"/>
        <v>0</v>
      </c>
      <c r="K766" s="66" t="s">
        <v>481</v>
      </c>
      <c r="L766" s="8"/>
      <c r="M766" s="9">
        <v>2</v>
      </c>
      <c r="N766" s="10">
        <v>1</v>
      </c>
      <c r="O766" s="7">
        <f t="shared" si="326"/>
        <v>3</v>
      </c>
      <c r="P766" s="8"/>
      <c r="Q766" s="9">
        <v>2</v>
      </c>
      <c r="R766" s="10">
        <v>1</v>
      </c>
      <c r="S766" s="7">
        <f t="shared" si="328"/>
        <v>3</v>
      </c>
      <c r="T766" s="47">
        <v>45541</v>
      </c>
      <c r="U766" s="54"/>
      <c r="V766" s="54"/>
    </row>
    <row r="767" spans="1:22" x14ac:dyDescent="0.15">
      <c r="A767" s="3"/>
      <c r="B767" s="8"/>
      <c r="C767" s="9"/>
      <c r="D767" s="10"/>
      <c r="E767" s="7">
        <f t="shared" si="323"/>
        <v>0</v>
      </c>
      <c r="F767" s="8"/>
      <c r="G767" s="9"/>
      <c r="H767" s="10"/>
      <c r="I767" s="7">
        <f t="shared" si="324"/>
        <v>0</v>
      </c>
      <c r="K767" s="66" t="s">
        <v>482</v>
      </c>
      <c r="L767" s="8"/>
      <c r="M767" s="9">
        <v>2</v>
      </c>
      <c r="N767" s="10">
        <v>2</v>
      </c>
      <c r="O767" s="7">
        <f t="shared" ref="O767:O768" si="339">SUM(L767:N767)</f>
        <v>4</v>
      </c>
      <c r="P767" s="8"/>
      <c r="Q767" s="9">
        <v>2</v>
      </c>
      <c r="R767" s="10">
        <v>2</v>
      </c>
      <c r="S767" s="7">
        <f t="shared" ref="S767:S768" si="340">SUM(P767:R767)</f>
        <v>4</v>
      </c>
      <c r="T767" s="47">
        <v>45547</v>
      </c>
    </row>
    <row r="768" spans="1:22" x14ac:dyDescent="0.15">
      <c r="A768" s="3"/>
      <c r="B768" s="8"/>
      <c r="C768" s="9"/>
      <c r="D768" s="10"/>
      <c r="E768" s="7">
        <f t="shared" si="323"/>
        <v>0</v>
      </c>
      <c r="F768" s="8"/>
      <c r="G768" s="9"/>
      <c r="H768" s="10"/>
      <c r="I768" s="7">
        <f t="shared" si="324"/>
        <v>0</v>
      </c>
      <c r="K768" s="3"/>
      <c r="L768" s="8"/>
      <c r="M768" s="9"/>
      <c r="N768" s="10"/>
      <c r="O768" s="7">
        <f t="shared" si="339"/>
        <v>0</v>
      </c>
      <c r="P768" s="8"/>
      <c r="Q768" s="9"/>
      <c r="R768" s="10"/>
      <c r="S768" s="7">
        <f t="shared" si="340"/>
        <v>0</v>
      </c>
      <c r="T768" s="55"/>
    </row>
    <row r="769" spans="1:20" x14ac:dyDescent="0.15">
      <c r="A769" s="3"/>
      <c r="B769" s="8"/>
      <c r="C769" s="9"/>
      <c r="D769" s="10"/>
      <c r="E769" s="7">
        <f t="shared" si="323"/>
        <v>0</v>
      </c>
      <c r="F769" s="8"/>
      <c r="G769" s="9"/>
      <c r="H769" s="10"/>
      <c r="I769" s="7">
        <f t="shared" si="324"/>
        <v>0</v>
      </c>
      <c r="K769" s="3" t="s">
        <v>453</v>
      </c>
      <c r="L769" s="8"/>
      <c r="M769" s="9"/>
      <c r="N769" s="10"/>
      <c r="O769" s="7">
        <f t="shared" ref="O769" si="341">SUM(L769:N769)</f>
        <v>0</v>
      </c>
      <c r="P769" s="8"/>
      <c r="Q769" s="9"/>
      <c r="R769" s="10"/>
      <c r="S769" s="7">
        <f t="shared" ref="S769" si="342">SUM(P769:R769)</f>
        <v>0</v>
      </c>
      <c r="T769" s="55" t="s">
        <v>454</v>
      </c>
    </row>
    <row r="770" spans="1:20" ht="14.25" thickBot="1" x14ac:dyDescent="0.2">
      <c r="A770" s="3"/>
      <c r="B770" s="8"/>
      <c r="C770" s="9"/>
      <c r="D770" s="10"/>
      <c r="E770" s="7">
        <f t="shared" si="323"/>
        <v>0</v>
      </c>
      <c r="F770" s="8"/>
      <c r="G770" s="9"/>
      <c r="H770" s="10"/>
      <c r="I770" s="7">
        <f t="shared" si="324"/>
        <v>0</v>
      </c>
      <c r="K770" s="3" t="s">
        <v>451</v>
      </c>
      <c r="L770" s="8"/>
      <c r="M770" s="9"/>
      <c r="N770" s="10"/>
      <c r="O770" s="7">
        <f t="shared" ref="O770" si="343">SUM(L770:N770)</f>
        <v>0</v>
      </c>
      <c r="P770" s="8"/>
      <c r="Q770" s="9"/>
      <c r="R770" s="10"/>
      <c r="S770" s="7">
        <f t="shared" ref="S770" si="344">SUM(P770:R770)</f>
        <v>0</v>
      </c>
      <c r="T770" s="55" t="s">
        <v>452</v>
      </c>
    </row>
    <row r="771" spans="1:20" ht="14.25" thickBot="1" x14ac:dyDescent="0.2">
      <c r="A771" s="2" t="s">
        <v>5</v>
      </c>
      <c r="B771" s="12">
        <f>SUM(B747:B770)</f>
        <v>5</v>
      </c>
      <c r="C771" s="12">
        <f>SUM(C747:C770)</f>
        <v>4</v>
      </c>
      <c r="D771" s="12">
        <f>SUM(D747:D770)</f>
        <v>2</v>
      </c>
      <c r="E771" s="13">
        <f t="shared" si="323"/>
        <v>11</v>
      </c>
      <c r="F771" s="12">
        <f>SUM(F747:F770)</f>
        <v>5</v>
      </c>
      <c r="G771" s="12">
        <f>SUM(G747:G770)</f>
        <v>4</v>
      </c>
      <c r="H771" s="12">
        <f>SUM(H747:H770)</f>
        <v>2</v>
      </c>
      <c r="I771" s="13">
        <f t="shared" si="324"/>
        <v>11</v>
      </c>
      <c r="K771" s="2" t="s">
        <v>5</v>
      </c>
      <c r="L771" s="12">
        <f>SUM(L747:L770)</f>
        <v>147</v>
      </c>
      <c r="M771" s="12">
        <f>SUM(M747:M770)</f>
        <v>186</v>
      </c>
      <c r="N771" s="12">
        <f>SUM(N747:N770)</f>
        <v>144</v>
      </c>
      <c r="O771" s="13">
        <f t="shared" si="326"/>
        <v>477</v>
      </c>
      <c r="P771" s="12">
        <f>SUM(P747:P770)</f>
        <v>147</v>
      </c>
      <c r="Q771" s="12">
        <f>SUM(Q747:Q770)</f>
        <v>186</v>
      </c>
      <c r="R771" s="12">
        <f>SUM(R747:R770)</f>
        <v>144</v>
      </c>
      <c r="S771" s="13">
        <f t="shared" si="328"/>
        <v>477</v>
      </c>
    </row>
    <row r="772" spans="1:20" ht="14.25" thickBot="1" x14ac:dyDescent="0.2">
      <c r="A772" s="21" t="s">
        <v>6</v>
      </c>
      <c r="B772" s="22">
        <f t="shared" ref="B772:I772" si="345">B746-B771</f>
        <v>6</v>
      </c>
      <c r="C772" s="22">
        <f t="shared" si="345"/>
        <v>5</v>
      </c>
      <c r="D772" s="22">
        <f t="shared" si="345"/>
        <v>7</v>
      </c>
      <c r="E772" s="22">
        <f t="shared" si="345"/>
        <v>18</v>
      </c>
      <c r="F772" s="22">
        <f t="shared" si="345"/>
        <v>6</v>
      </c>
      <c r="G772" s="22">
        <f t="shared" si="345"/>
        <v>5</v>
      </c>
      <c r="H772" s="22">
        <f t="shared" si="345"/>
        <v>7</v>
      </c>
      <c r="I772" s="20">
        <f t="shared" si="345"/>
        <v>18</v>
      </c>
      <c r="K772" s="21" t="s">
        <v>6</v>
      </c>
      <c r="L772" s="22">
        <f>L746-L771</f>
        <v>186</v>
      </c>
      <c r="M772" s="22">
        <f t="shared" ref="M772:O772" si="346">M746-M771</f>
        <v>334</v>
      </c>
      <c r="N772" s="22">
        <f t="shared" si="346"/>
        <v>235</v>
      </c>
      <c r="O772" s="22">
        <f t="shared" si="346"/>
        <v>755</v>
      </c>
      <c r="P772" s="22">
        <f>P746-P771</f>
        <v>186</v>
      </c>
      <c r="Q772" s="22">
        <f>Q746-Q771</f>
        <v>334</v>
      </c>
      <c r="R772" s="22">
        <f>R746-R771</f>
        <v>235</v>
      </c>
      <c r="S772" s="20">
        <f t="shared" ref="S772" si="347">S746-S771</f>
        <v>755</v>
      </c>
    </row>
    <row r="775" spans="1:20" ht="21.75" thickBot="1" x14ac:dyDescent="0.25">
      <c r="A775" s="26" t="s">
        <v>368</v>
      </c>
      <c r="B775" s="27"/>
      <c r="C775" s="27"/>
      <c r="D775" s="27"/>
      <c r="E775" s="27"/>
      <c r="F775" s="28"/>
      <c r="G775" s="28"/>
      <c r="H775" s="28"/>
      <c r="I775" s="28"/>
      <c r="K775" s="26" t="s">
        <v>367</v>
      </c>
      <c r="L775" s="27"/>
      <c r="M775" s="27"/>
      <c r="N775" s="27"/>
      <c r="O775" s="27"/>
      <c r="P775" s="28"/>
      <c r="Q775" s="28"/>
      <c r="R775" s="28"/>
      <c r="S775" s="28"/>
    </row>
    <row r="776" spans="1:20" ht="14.25" thickBot="1" x14ac:dyDescent="0.2">
      <c r="A776" s="1" t="s">
        <v>0</v>
      </c>
      <c r="B776" s="183" t="s">
        <v>12</v>
      </c>
      <c r="C776" s="183"/>
      <c r="D776" s="183"/>
      <c r="E776" s="184"/>
      <c r="F776" s="183" t="s">
        <v>10</v>
      </c>
      <c r="G776" s="183"/>
      <c r="H776" s="183"/>
      <c r="I776" s="184"/>
      <c r="K776" s="1" t="s">
        <v>0</v>
      </c>
      <c r="L776" s="140" t="s">
        <v>12</v>
      </c>
      <c r="M776" s="140"/>
      <c r="N776" s="140"/>
      <c r="O776" s="141"/>
      <c r="P776" s="140" t="s">
        <v>10</v>
      </c>
      <c r="Q776" s="140"/>
      <c r="R776" s="140"/>
      <c r="S776" s="141"/>
    </row>
    <row r="777" spans="1:20" ht="14.25" thickBot="1" x14ac:dyDescent="0.2">
      <c r="A777" s="1" t="s">
        <v>1</v>
      </c>
      <c r="B777" s="2" t="s">
        <v>7</v>
      </c>
      <c r="C777" s="1" t="s">
        <v>8</v>
      </c>
      <c r="D777" s="15" t="s">
        <v>9</v>
      </c>
      <c r="E777" s="1" t="s">
        <v>2</v>
      </c>
      <c r="F777" s="2" t="s">
        <v>7</v>
      </c>
      <c r="G777" s="1" t="s">
        <v>8</v>
      </c>
      <c r="H777" s="15" t="s">
        <v>9</v>
      </c>
      <c r="I777" s="1" t="s">
        <v>2</v>
      </c>
      <c r="K777" s="1" t="s">
        <v>1</v>
      </c>
      <c r="L777" s="2" t="s">
        <v>7</v>
      </c>
      <c r="M777" s="1" t="s">
        <v>8</v>
      </c>
      <c r="N777" s="15" t="s">
        <v>9</v>
      </c>
      <c r="O777" s="1" t="s">
        <v>2</v>
      </c>
      <c r="P777" s="2" t="s">
        <v>7</v>
      </c>
      <c r="Q777" s="1" t="s">
        <v>8</v>
      </c>
      <c r="R777" s="15" t="s">
        <v>9</v>
      </c>
      <c r="S777" s="1" t="s">
        <v>2</v>
      </c>
    </row>
    <row r="778" spans="1:20" ht="14.25" thickBot="1" x14ac:dyDescent="0.2">
      <c r="A778" s="41" t="s">
        <v>13</v>
      </c>
      <c r="B778" s="42">
        <f>B772</f>
        <v>6</v>
      </c>
      <c r="C778" s="43">
        <f>C772</f>
        <v>5</v>
      </c>
      <c r="D778" s="44">
        <f>D772</f>
        <v>7</v>
      </c>
      <c r="E778" s="45">
        <f t="shared" ref="E778:E814" si="348">SUM(B778:D778)</f>
        <v>18</v>
      </c>
      <c r="F778" s="42">
        <f>F772</f>
        <v>6</v>
      </c>
      <c r="G778" s="43">
        <f>G772</f>
        <v>5</v>
      </c>
      <c r="H778" s="44">
        <f>H772</f>
        <v>7</v>
      </c>
      <c r="I778" s="45">
        <f t="shared" ref="I778:I814" si="349">SUM(F778:H778)</f>
        <v>18</v>
      </c>
      <c r="K778" s="34" t="s">
        <v>13</v>
      </c>
      <c r="L778" s="35">
        <f>L772</f>
        <v>186</v>
      </c>
      <c r="M778" s="35">
        <f t="shared" ref="M778:N778" si="350">M772</f>
        <v>334</v>
      </c>
      <c r="N778" s="35">
        <f t="shared" si="350"/>
        <v>235</v>
      </c>
      <c r="O778" s="20">
        <f t="shared" ref="O778:O814" si="351">SUM(L778:N778)</f>
        <v>755</v>
      </c>
      <c r="P778" s="35">
        <f>P772</f>
        <v>186</v>
      </c>
      <c r="Q778" s="36">
        <f t="shared" ref="Q778:R778" si="352">Q772</f>
        <v>334</v>
      </c>
      <c r="R778" s="37">
        <f t="shared" si="352"/>
        <v>235</v>
      </c>
      <c r="S778" s="20">
        <f t="shared" ref="S778:S814" si="353">SUM(P778:R778)</f>
        <v>755</v>
      </c>
    </row>
    <row r="779" spans="1:20" x14ac:dyDescent="0.15">
      <c r="A779" s="6" t="s">
        <v>91</v>
      </c>
      <c r="B779" s="14"/>
      <c r="C779" s="11"/>
      <c r="D779" s="14">
        <v>2</v>
      </c>
      <c r="E779" s="4">
        <f t="shared" ref="E779" si="354">SUM(B779:D779)</f>
        <v>2</v>
      </c>
      <c r="F779" s="14"/>
      <c r="G779" s="11"/>
      <c r="H779" s="14">
        <v>2</v>
      </c>
      <c r="I779" s="4">
        <f t="shared" ref="I779" si="355">SUM(F779:H779)</f>
        <v>2</v>
      </c>
      <c r="J779" s="56">
        <v>45547</v>
      </c>
      <c r="K779" s="5" t="s">
        <v>3</v>
      </c>
      <c r="L779" s="46"/>
      <c r="M779" s="3"/>
      <c r="N779" s="46"/>
      <c r="O779" s="4">
        <f t="shared" si="351"/>
        <v>0</v>
      </c>
      <c r="P779" s="46"/>
      <c r="Q779" s="3"/>
      <c r="R779" s="46"/>
      <c r="S779" s="4">
        <f t="shared" si="353"/>
        <v>0</v>
      </c>
    </row>
    <row r="780" spans="1:20" x14ac:dyDescent="0.15">
      <c r="A780" s="6" t="s">
        <v>3</v>
      </c>
      <c r="B780" s="14"/>
      <c r="C780" s="11"/>
      <c r="D780" s="14">
        <v>3</v>
      </c>
      <c r="E780" s="4">
        <f t="shared" si="348"/>
        <v>3</v>
      </c>
      <c r="F780" s="14"/>
      <c r="G780" s="11"/>
      <c r="H780" s="14">
        <v>3</v>
      </c>
      <c r="I780" s="4">
        <f t="shared" si="349"/>
        <v>3</v>
      </c>
      <c r="J780" s="47">
        <v>45565</v>
      </c>
      <c r="K780" s="5" t="s">
        <v>3</v>
      </c>
      <c r="L780" s="14"/>
      <c r="M780" s="11"/>
      <c r="N780" s="14"/>
      <c r="O780" s="4">
        <f t="shared" si="351"/>
        <v>0</v>
      </c>
      <c r="P780" s="14"/>
      <c r="Q780" s="11"/>
      <c r="R780" s="14"/>
      <c r="S780" s="4">
        <f t="shared" si="353"/>
        <v>0</v>
      </c>
    </row>
    <row r="781" spans="1:20" x14ac:dyDescent="0.15">
      <c r="A781" s="6" t="s">
        <v>3</v>
      </c>
      <c r="B781" s="14">
        <v>5</v>
      </c>
      <c r="C781" s="11">
        <v>5</v>
      </c>
      <c r="D781" s="14">
        <v>5</v>
      </c>
      <c r="E781" s="4">
        <f t="shared" si="348"/>
        <v>15</v>
      </c>
      <c r="F781" s="14">
        <v>5</v>
      </c>
      <c r="G781" s="11">
        <v>5</v>
      </c>
      <c r="H781" s="14">
        <v>5</v>
      </c>
      <c r="I781" s="4">
        <f t="shared" si="349"/>
        <v>15</v>
      </c>
      <c r="J781" s="47">
        <v>45569</v>
      </c>
      <c r="K781" s="5" t="s">
        <v>3</v>
      </c>
      <c r="L781" s="14"/>
      <c r="M781" s="11"/>
      <c r="N781" s="14"/>
      <c r="O781" s="4">
        <f t="shared" si="351"/>
        <v>0</v>
      </c>
      <c r="P781" s="14"/>
      <c r="Q781" s="11"/>
      <c r="R781" s="14"/>
      <c r="S781" s="4">
        <f t="shared" si="353"/>
        <v>0</v>
      </c>
    </row>
    <row r="782" spans="1:20" x14ac:dyDescent="0.15">
      <c r="A782" s="6" t="s">
        <v>3</v>
      </c>
      <c r="B782" s="14">
        <v>5</v>
      </c>
      <c r="C782" s="11">
        <v>5</v>
      </c>
      <c r="D782" s="14">
        <v>5</v>
      </c>
      <c r="E782" s="4">
        <f t="shared" si="348"/>
        <v>15</v>
      </c>
      <c r="F782" s="14">
        <v>5</v>
      </c>
      <c r="G782" s="11">
        <v>5</v>
      </c>
      <c r="H782" s="14">
        <v>5</v>
      </c>
      <c r="I782" s="4">
        <f t="shared" si="349"/>
        <v>15</v>
      </c>
      <c r="J782" s="47">
        <v>45582</v>
      </c>
      <c r="K782" s="5" t="s">
        <v>3</v>
      </c>
      <c r="L782" s="14"/>
      <c r="M782" s="11"/>
      <c r="N782" s="14"/>
      <c r="O782" s="4">
        <f t="shared" si="351"/>
        <v>0</v>
      </c>
      <c r="P782" s="14"/>
      <c r="Q782" s="11"/>
      <c r="R782" s="14"/>
      <c r="S782" s="4">
        <f t="shared" si="353"/>
        <v>0</v>
      </c>
    </row>
    <row r="783" spans="1:20" x14ac:dyDescent="0.15">
      <c r="A783" s="6" t="s">
        <v>3</v>
      </c>
      <c r="B783" s="14">
        <v>3</v>
      </c>
      <c r="C783" s="11"/>
      <c r="D783" s="14">
        <v>3</v>
      </c>
      <c r="E783" s="4">
        <f t="shared" si="348"/>
        <v>6</v>
      </c>
      <c r="F783" s="14">
        <v>3</v>
      </c>
      <c r="G783" s="11"/>
      <c r="H783" s="14">
        <v>3</v>
      </c>
      <c r="I783" s="4">
        <f t="shared" si="349"/>
        <v>6</v>
      </c>
      <c r="J783" s="47">
        <v>45588</v>
      </c>
      <c r="K783" s="5" t="s">
        <v>3</v>
      </c>
      <c r="L783" s="14"/>
      <c r="M783" s="11"/>
      <c r="N783" s="14"/>
      <c r="O783" s="4">
        <f t="shared" si="351"/>
        <v>0</v>
      </c>
      <c r="P783" s="14"/>
      <c r="Q783" s="11"/>
      <c r="R783" s="14"/>
      <c r="S783" s="4">
        <f t="shared" si="353"/>
        <v>0</v>
      </c>
    </row>
    <row r="784" spans="1:20" x14ac:dyDescent="0.15">
      <c r="A784" s="6" t="s">
        <v>511</v>
      </c>
      <c r="B784" s="14">
        <v>1</v>
      </c>
      <c r="C784" s="11"/>
      <c r="D784" s="14"/>
      <c r="E784" s="4">
        <f t="shared" si="348"/>
        <v>1</v>
      </c>
      <c r="F784" s="14">
        <v>1</v>
      </c>
      <c r="G784" s="11"/>
      <c r="H784" s="14"/>
      <c r="I784" s="4">
        <f t="shared" si="349"/>
        <v>1</v>
      </c>
      <c r="J784" s="47">
        <v>45631</v>
      </c>
      <c r="K784" s="5" t="s">
        <v>3</v>
      </c>
      <c r="L784" s="14"/>
      <c r="M784" s="11"/>
      <c r="N784" s="14"/>
      <c r="O784" s="4">
        <f t="shared" si="351"/>
        <v>0</v>
      </c>
      <c r="P784" s="14"/>
      <c r="Q784" s="11"/>
      <c r="R784" s="14"/>
      <c r="S784" s="4">
        <f t="shared" si="353"/>
        <v>0</v>
      </c>
    </row>
    <row r="785" spans="1:21" x14ac:dyDescent="0.15">
      <c r="A785" s="6" t="s">
        <v>403</v>
      </c>
      <c r="B785" s="14">
        <v>3</v>
      </c>
      <c r="C785" s="11">
        <v>4</v>
      </c>
      <c r="D785" s="14">
        <v>2</v>
      </c>
      <c r="E785" s="4">
        <f t="shared" ref="E785" si="356">SUM(B785:D785)</f>
        <v>9</v>
      </c>
      <c r="F785" s="14">
        <v>3</v>
      </c>
      <c r="G785" s="11">
        <v>4</v>
      </c>
      <c r="H785" s="14">
        <v>2</v>
      </c>
      <c r="I785" s="4">
        <f t="shared" ref="I785" si="357">SUM(F785:H785)</f>
        <v>9</v>
      </c>
      <c r="J785" s="47">
        <v>45645</v>
      </c>
      <c r="K785" s="5" t="s">
        <v>3</v>
      </c>
      <c r="L785" s="14"/>
      <c r="M785" s="11"/>
      <c r="N785" s="14"/>
      <c r="O785" s="4">
        <f t="shared" si="351"/>
        <v>0</v>
      </c>
      <c r="P785" s="14"/>
      <c r="Q785" s="11"/>
      <c r="R785" s="14"/>
      <c r="S785" s="4">
        <f t="shared" si="353"/>
        <v>0</v>
      </c>
    </row>
    <row r="786" spans="1:21" x14ac:dyDescent="0.15">
      <c r="A786" s="6" t="s">
        <v>91</v>
      </c>
      <c r="B786" s="23"/>
      <c r="C786" s="24">
        <v>1</v>
      </c>
      <c r="D786" s="25"/>
      <c r="E786" s="7">
        <f t="shared" si="348"/>
        <v>1</v>
      </c>
      <c r="F786" s="23"/>
      <c r="G786" s="24">
        <v>1</v>
      </c>
      <c r="H786" s="25"/>
      <c r="I786" s="7">
        <f t="shared" si="349"/>
        <v>1</v>
      </c>
      <c r="J786" s="47">
        <v>45667</v>
      </c>
      <c r="K786" s="5" t="s">
        <v>3</v>
      </c>
      <c r="L786" s="25"/>
      <c r="M786" s="24"/>
      <c r="N786" s="25"/>
      <c r="O786" s="7">
        <f t="shared" si="351"/>
        <v>0</v>
      </c>
      <c r="P786" s="23"/>
      <c r="Q786" s="24"/>
      <c r="R786" s="25"/>
      <c r="S786" s="7">
        <f t="shared" si="353"/>
        <v>0</v>
      </c>
    </row>
    <row r="787" spans="1:21" x14ac:dyDescent="0.15">
      <c r="A787" s="6" t="s">
        <v>3</v>
      </c>
      <c r="B787" s="23"/>
      <c r="C787" s="24"/>
      <c r="D787" s="25"/>
      <c r="E787" s="7">
        <f t="shared" si="348"/>
        <v>0</v>
      </c>
      <c r="F787" s="23"/>
      <c r="G787" s="24"/>
      <c r="H787" s="25"/>
      <c r="I787" s="7">
        <f t="shared" si="349"/>
        <v>0</v>
      </c>
      <c r="K787" s="5" t="s">
        <v>3</v>
      </c>
      <c r="L787" s="25"/>
      <c r="M787" s="24"/>
      <c r="N787" s="25"/>
      <c r="O787" s="7">
        <f t="shared" si="351"/>
        <v>0</v>
      </c>
      <c r="P787" s="25"/>
      <c r="Q787" s="24"/>
      <c r="R787" s="25"/>
      <c r="S787" s="7">
        <f t="shared" si="353"/>
        <v>0</v>
      </c>
    </row>
    <row r="788" spans="1:21" ht="14.25" thickBot="1" x14ac:dyDescent="0.2">
      <c r="A788" s="6" t="s">
        <v>3</v>
      </c>
      <c r="B788" s="29"/>
      <c r="C788" s="30"/>
      <c r="D788" s="29"/>
      <c r="E788" s="16">
        <f t="shared" si="348"/>
        <v>0</v>
      </c>
      <c r="F788" s="29"/>
      <c r="G788" s="30"/>
      <c r="H788" s="29"/>
      <c r="I788" s="16">
        <f t="shared" si="349"/>
        <v>0</v>
      </c>
      <c r="K788" s="33" t="s">
        <v>3</v>
      </c>
      <c r="L788" s="29"/>
      <c r="M788" s="30"/>
      <c r="N788" s="29"/>
      <c r="O788" s="16">
        <f t="shared" si="351"/>
        <v>0</v>
      </c>
      <c r="P788" s="29"/>
      <c r="Q788" s="30"/>
      <c r="R788" s="29"/>
      <c r="S788" s="16">
        <f t="shared" si="353"/>
        <v>0</v>
      </c>
    </row>
    <row r="789" spans="1:21" ht="14.25" thickBot="1" x14ac:dyDescent="0.2">
      <c r="A789" s="17" t="s">
        <v>4</v>
      </c>
      <c r="B789" s="18">
        <f>SUM(B778:B788)</f>
        <v>23</v>
      </c>
      <c r="C789" s="18">
        <f>SUM(C778:C788)</f>
        <v>20</v>
      </c>
      <c r="D789" s="19">
        <f>SUM(D778:D788)</f>
        <v>27</v>
      </c>
      <c r="E789" s="20">
        <f t="shared" si="348"/>
        <v>70</v>
      </c>
      <c r="F789" s="18">
        <f>SUM(F778:F788)</f>
        <v>23</v>
      </c>
      <c r="G789" s="18">
        <f>SUM(G778:G788)</f>
        <v>20</v>
      </c>
      <c r="H789" s="19">
        <f>SUM(H778:H788)</f>
        <v>27</v>
      </c>
      <c r="I789" s="20">
        <f t="shared" si="349"/>
        <v>70</v>
      </c>
      <c r="K789" s="17" t="s">
        <v>4</v>
      </c>
      <c r="L789" s="18">
        <f>SUM(L778:L788)</f>
        <v>186</v>
      </c>
      <c r="M789" s="18">
        <f>SUM(M778:M788)</f>
        <v>334</v>
      </c>
      <c r="N789" s="18">
        <f>SUM(N778:N788)</f>
        <v>235</v>
      </c>
      <c r="O789" s="20">
        <f t="shared" si="351"/>
        <v>755</v>
      </c>
      <c r="P789" s="18">
        <f>SUM(P778:P788)</f>
        <v>186</v>
      </c>
      <c r="Q789" s="18">
        <f>SUM(Q778:Q788)</f>
        <v>334</v>
      </c>
      <c r="R789" s="19">
        <f>SUM(R778:R788)</f>
        <v>235</v>
      </c>
      <c r="S789" s="20">
        <f t="shared" si="353"/>
        <v>755</v>
      </c>
    </row>
    <row r="790" spans="1:21" x14ac:dyDescent="0.15">
      <c r="A790" s="66" t="s">
        <v>363</v>
      </c>
      <c r="B790" s="8"/>
      <c r="C790" s="9"/>
      <c r="D790" s="10">
        <v>2</v>
      </c>
      <c r="E790" s="7">
        <f t="shared" ref="E790:E793" si="358">SUM(B790:D790)</f>
        <v>2</v>
      </c>
      <c r="F790" s="8"/>
      <c r="G790" s="9"/>
      <c r="H790" s="10">
        <v>2</v>
      </c>
      <c r="I790" s="7">
        <f t="shared" ref="I790:I793" si="359">SUM(F790:H790)</f>
        <v>2</v>
      </c>
      <c r="J790" s="47">
        <v>45548</v>
      </c>
      <c r="K790" s="66" t="s">
        <v>483</v>
      </c>
      <c r="L790" s="8"/>
      <c r="M790" s="9"/>
      <c r="N790" s="10">
        <v>3</v>
      </c>
      <c r="O790" s="7">
        <f t="shared" ref="O790:O808" si="360">SUM(L790:N790)</f>
        <v>3</v>
      </c>
      <c r="P790" s="8"/>
      <c r="Q790" s="9"/>
      <c r="R790" s="10">
        <v>3</v>
      </c>
      <c r="S790" s="7">
        <f t="shared" ref="S790:S808" si="361">SUM(P790:R790)</f>
        <v>3</v>
      </c>
      <c r="T790" s="47">
        <v>45548</v>
      </c>
    </row>
    <row r="791" spans="1:21" x14ac:dyDescent="0.15">
      <c r="A791" s="66" t="s">
        <v>365</v>
      </c>
      <c r="B791" s="8"/>
      <c r="C791" s="9"/>
      <c r="D791" s="10">
        <v>1</v>
      </c>
      <c r="E791" s="7">
        <f t="shared" si="358"/>
        <v>1</v>
      </c>
      <c r="F791" s="8"/>
      <c r="G791" s="9"/>
      <c r="H791" s="10">
        <v>1</v>
      </c>
      <c r="I791" s="7">
        <f t="shared" si="359"/>
        <v>1</v>
      </c>
      <c r="J791" s="47">
        <v>45552</v>
      </c>
      <c r="K791" s="3" t="s">
        <v>485</v>
      </c>
      <c r="L791" s="8">
        <v>10</v>
      </c>
      <c r="M791" s="9">
        <v>5</v>
      </c>
      <c r="N791" s="10">
        <v>10</v>
      </c>
      <c r="O791" s="7">
        <f t="shared" ref="O791:O792" si="362">SUM(L791:N791)</f>
        <v>25</v>
      </c>
      <c r="P791" s="8">
        <v>10</v>
      </c>
      <c r="Q791" s="9">
        <v>5</v>
      </c>
      <c r="R791" s="10">
        <v>10</v>
      </c>
      <c r="S791" s="7">
        <f t="shared" ref="S791:S792" si="363">SUM(P791:R791)</f>
        <v>25</v>
      </c>
      <c r="T791" s="47">
        <v>45559</v>
      </c>
    </row>
    <row r="792" spans="1:21" x14ac:dyDescent="0.15">
      <c r="A792" s="3" t="s">
        <v>484</v>
      </c>
      <c r="B792" s="8"/>
      <c r="C792" s="9"/>
      <c r="D792" s="10">
        <v>4</v>
      </c>
      <c r="E792" s="7">
        <f t="shared" si="358"/>
        <v>4</v>
      </c>
      <c r="F792" s="8"/>
      <c r="G792" s="9"/>
      <c r="H792" s="10">
        <v>4</v>
      </c>
      <c r="I792" s="7">
        <f t="shared" si="359"/>
        <v>4</v>
      </c>
      <c r="J792" s="47">
        <v>45553</v>
      </c>
      <c r="K792" s="66" t="s">
        <v>33</v>
      </c>
      <c r="L792" s="8"/>
      <c r="M792" s="9"/>
      <c r="N792" s="10">
        <v>3</v>
      </c>
      <c r="O792" s="7">
        <f t="shared" si="362"/>
        <v>3</v>
      </c>
      <c r="P792" s="8"/>
      <c r="Q792" s="9"/>
      <c r="R792" s="10">
        <v>3</v>
      </c>
      <c r="S792" s="7">
        <f t="shared" si="363"/>
        <v>3</v>
      </c>
      <c r="T792" s="47">
        <v>45565</v>
      </c>
      <c r="U792" s="54"/>
    </row>
    <row r="793" spans="1:21" x14ac:dyDescent="0.15">
      <c r="A793" s="66" t="s">
        <v>370</v>
      </c>
      <c r="B793" s="8"/>
      <c r="C793" s="9">
        <v>1</v>
      </c>
      <c r="D793" s="10"/>
      <c r="E793" s="7">
        <f t="shared" si="358"/>
        <v>1</v>
      </c>
      <c r="F793" s="8"/>
      <c r="G793" s="9">
        <v>1</v>
      </c>
      <c r="H793" s="10"/>
      <c r="I793" s="7">
        <f t="shared" si="359"/>
        <v>1</v>
      </c>
      <c r="J793" s="47">
        <v>45562</v>
      </c>
      <c r="K793" s="3" t="s">
        <v>488</v>
      </c>
      <c r="L793" s="8">
        <v>5</v>
      </c>
      <c r="M793" s="9">
        <v>2</v>
      </c>
      <c r="N793" s="10">
        <v>3</v>
      </c>
      <c r="O793" s="7">
        <f t="shared" si="360"/>
        <v>10</v>
      </c>
      <c r="P793" s="8">
        <v>5</v>
      </c>
      <c r="Q793" s="9">
        <v>2</v>
      </c>
      <c r="R793" s="10">
        <v>3</v>
      </c>
      <c r="S793" s="7">
        <f t="shared" si="361"/>
        <v>10</v>
      </c>
      <c r="T793" s="47">
        <v>45568</v>
      </c>
      <c r="U793" s="54"/>
    </row>
    <row r="794" spans="1:21" x14ac:dyDescent="0.15">
      <c r="A794" s="3" t="s">
        <v>486</v>
      </c>
      <c r="B794" s="8">
        <v>2</v>
      </c>
      <c r="C794" s="9"/>
      <c r="D794" s="10">
        <v>1</v>
      </c>
      <c r="E794" s="7">
        <f t="shared" si="348"/>
        <v>3</v>
      </c>
      <c r="F794" s="8">
        <v>2</v>
      </c>
      <c r="G794" s="9"/>
      <c r="H794" s="10">
        <v>1</v>
      </c>
      <c r="I794" s="7">
        <f t="shared" si="349"/>
        <v>3</v>
      </c>
      <c r="J794" s="47">
        <v>45562</v>
      </c>
      <c r="K794" s="66" t="s">
        <v>33</v>
      </c>
      <c r="L794" s="8">
        <v>5</v>
      </c>
      <c r="M794" s="9">
        <v>5</v>
      </c>
      <c r="N794" s="10">
        <v>5</v>
      </c>
      <c r="O794" s="7">
        <f t="shared" si="360"/>
        <v>15</v>
      </c>
      <c r="P794" s="8">
        <v>5</v>
      </c>
      <c r="Q794" s="9">
        <v>5</v>
      </c>
      <c r="R794" s="10">
        <v>5</v>
      </c>
      <c r="S794" s="7">
        <f t="shared" si="361"/>
        <v>15</v>
      </c>
      <c r="T794" s="47">
        <v>45569</v>
      </c>
      <c r="U794" s="54"/>
    </row>
    <row r="795" spans="1:21" x14ac:dyDescent="0.15">
      <c r="A795" s="3" t="s">
        <v>489</v>
      </c>
      <c r="B795" s="8"/>
      <c r="C795" s="9">
        <v>2</v>
      </c>
      <c r="D795" s="10"/>
      <c r="E795" s="7">
        <f t="shared" si="348"/>
        <v>2</v>
      </c>
      <c r="F795" s="8"/>
      <c r="G795" s="9">
        <v>2</v>
      </c>
      <c r="H795" s="10"/>
      <c r="I795" s="7">
        <f t="shared" si="349"/>
        <v>2</v>
      </c>
      <c r="J795" s="47">
        <v>45566</v>
      </c>
      <c r="K795" s="3" t="s">
        <v>491</v>
      </c>
      <c r="L795" s="8"/>
      <c r="M795" s="9">
        <v>4</v>
      </c>
      <c r="N795" s="10">
        <v>2</v>
      </c>
      <c r="O795" s="7">
        <f t="shared" si="360"/>
        <v>6</v>
      </c>
      <c r="P795" s="8"/>
      <c r="Q795" s="9">
        <v>4</v>
      </c>
      <c r="R795" s="10">
        <v>2</v>
      </c>
      <c r="S795" s="7">
        <f t="shared" si="361"/>
        <v>6</v>
      </c>
      <c r="T795" s="47">
        <v>45573</v>
      </c>
      <c r="U795" s="54"/>
    </row>
    <row r="796" spans="1:21" x14ac:dyDescent="0.15">
      <c r="A796" s="66" t="s">
        <v>373</v>
      </c>
      <c r="B796" s="8">
        <v>1</v>
      </c>
      <c r="C796" s="9"/>
      <c r="D796" s="10">
        <v>1</v>
      </c>
      <c r="E796" s="7">
        <f t="shared" si="348"/>
        <v>2</v>
      </c>
      <c r="F796" s="8">
        <v>1</v>
      </c>
      <c r="G796" s="9"/>
      <c r="H796" s="10">
        <v>1</v>
      </c>
      <c r="I796" s="7">
        <f t="shared" si="349"/>
        <v>2</v>
      </c>
      <c r="J796" s="47">
        <v>45569</v>
      </c>
      <c r="K796" s="66" t="s">
        <v>495</v>
      </c>
      <c r="L796" s="8"/>
      <c r="M796" s="9"/>
      <c r="N796" s="10">
        <v>2</v>
      </c>
      <c r="O796" s="7">
        <f t="shared" si="360"/>
        <v>2</v>
      </c>
      <c r="P796" s="8"/>
      <c r="Q796" s="9"/>
      <c r="R796" s="10">
        <v>2</v>
      </c>
      <c r="S796" s="7">
        <f t="shared" si="361"/>
        <v>2</v>
      </c>
      <c r="T796" s="47">
        <v>45576</v>
      </c>
      <c r="U796" s="54"/>
    </row>
    <row r="797" spans="1:21" x14ac:dyDescent="0.15">
      <c r="A797" s="3" t="s">
        <v>490</v>
      </c>
      <c r="B797" s="8">
        <v>5</v>
      </c>
      <c r="C797" s="9">
        <v>5</v>
      </c>
      <c r="D797" s="10">
        <v>5</v>
      </c>
      <c r="E797" s="7">
        <f t="shared" si="348"/>
        <v>15</v>
      </c>
      <c r="F797" s="8">
        <v>5</v>
      </c>
      <c r="G797" s="9">
        <v>5</v>
      </c>
      <c r="H797" s="10">
        <v>5</v>
      </c>
      <c r="I797" s="7">
        <f t="shared" si="349"/>
        <v>15</v>
      </c>
      <c r="J797" s="47">
        <v>45572</v>
      </c>
      <c r="K797" s="3" t="s">
        <v>496</v>
      </c>
      <c r="L797" s="8">
        <v>8</v>
      </c>
      <c r="M797" s="9">
        <v>8</v>
      </c>
      <c r="N797" s="10">
        <v>4</v>
      </c>
      <c r="O797" s="7">
        <f t="shared" si="360"/>
        <v>20</v>
      </c>
      <c r="P797" s="8">
        <v>8</v>
      </c>
      <c r="Q797" s="9">
        <v>8</v>
      </c>
      <c r="R797" s="10">
        <v>4</v>
      </c>
      <c r="S797" s="7">
        <f t="shared" si="361"/>
        <v>20</v>
      </c>
      <c r="T797" s="47">
        <v>45581</v>
      </c>
    </row>
    <row r="798" spans="1:21" x14ac:dyDescent="0.15">
      <c r="A798" s="66" t="s">
        <v>375</v>
      </c>
      <c r="B798" s="8"/>
      <c r="C798" s="9"/>
      <c r="D798" s="10">
        <v>1</v>
      </c>
      <c r="E798" s="7">
        <f t="shared" si="348"/>
        <v>1</v>
      </c>
      <c r="F798" s="8"/>
      <c r="G798" s="9"/>
      <c r="H798" s="10">
        <v>1</v>
      </c>
      <c r="I798" s="7">
        <f t="shared" si="349"/>
        <v>1</v>
      </c>
      <c r="J798" s="47">
        <v>45574</v>
      </c>
      <c r="K798" s="66" t="s">
        <v>33</v>
      </c>
      <c r="L798" s="8">
        <v>5</v>
      </c>
      <c r="M798" s="9">
        <v>5</v>
      </c>
      <c r="N798" s="10">
        <v>5</v>
      </c>
      <c r="O798" s="7">
        <f t="shared" si="360"/>
        <v>15</v>
      </c>
      <c r="P798" s="8">
        <v>5</v>
      </c>
      <c r="Q798" s="9">
        <v>5</v>
      </c>
      <c r="R798" s="10">
        <v>5</v>
      </c>
      <c r="S798" s="7">
        <f t="shared" si="361"/>
        <v>15</v>
      </c>
      <c r="T798" s="47">
        <v>45582</v>
      </c>
    </row>
    <row r="799" spans="1:21" x14ac:dyDescent="0.15">
      <c r="A799" s="66" t="s">
        <v>494</v>
      </c>
      <c r="B799" s="8">
        <v>1</v>
      </c>
      <c r="C799" s="9"/>
      <c r="D799" s="10">
        <v>1</v>
      </c>
      <c r="E799" s="7">
        <f t="shared" si="348"/>
        <v>2</v>
      </c>
      <c r="F799" s="8">
        <v>1</v>
      </c>
      <c r="G799" s="9"/>
      <c r="H799" s="10">
        <v>1</v>
      </c>
      <c r="I799" s="7">
        <f t="shared" si="349"/>
        <v>2</v>
      </c>
      <c r="J799" s="47">
        <v>45576</v>
      </c>
      <c r="K799" s="66" t="s">
        <v>33</v>
      </c>
      <c r="L799" s="8">
        <v>3</v>
      </c>
      <c r="M799" s="9"/>
      <c r="N799" s="10">
        <v>3</v>
      </c>
      <c r="O799" s="7">
        <f t="shared" si="360"/>
        <v>6</v>
      </c>
      <c r="P799" s="8">
        <v>3</v>
      </c>
      <c r="Q799" s="9"/>
      <c r="R799" s="10">
        <v>3</v>
      </c>
      <c r="S799" s="7">
        <f t="shared" si="361"/>
        <v>6</v>
      </c>
      <c r="T799" s="47">
        <v>45588</v>
      </c>
    </row>
    <row r="800" spans="1:21" x14ac:dyDescent="0.15">
      <c r="A800" s="66" t="s">
        <v>498</v>
      </c>
      <c r="B800" s="8">
        <v>1</v>
      </c>
      <c r="C800" s="9"/>
      <c r="D800" s="10"/>
      <c r="E800" s="7">
        <f t="shared" si="348"/>
        <v>1</v>
      </c>
      <c r="F800" s="8">
        <v>1</v>
      </c>
      <c r="G800" s="9"/>
      <c r="H800" s="10"/>
      <c r="I800" s="7">
        <f t="shared" si="349"/>
        <v>1</v>
      </c>
      <c r="J800" s="47">
        <v>45583</v>
      </c>
      <c r="K800" s="3" t="s">
        <v>512</v>
      </c>
      <c r="L800" s="8">
        <v>1</v>
      </c>
      <c r="M800" s="9"/>
      <c r="N800" s="10"/>
      <c r="O800" s="7">
        <f t="shared" si="360"/>
        <v>1</v>
      </c>
      <c r="P800" s="8">
        <v>1</v>
      </c>
      <c r="Q800" s="9"/>
      <c r="R800" s="10"/>
      <c r="S800" s="7">
        <f t="shared" si="361"/>
        <v>1</v>
      </c>
      <c r="T800" s="47">
        <v>45636</v>
      </c>
    </row>
    <row r="801" spans="1:20" x14ac:dyDescent="0.15">
      <c r="A801" s="3" t="s">
        <v>497</v>
      </c>
      <c r="B801" s="8">
        <v>2</v>
      </c>
      <c r="C801" s="9"/>
      <c r="D801" s="10">
        <v>3</v>
      </c>
      <c r="E801" s="7">
        <f t="shared" si="348"/>
        <v>5</v>
      </c>
      <c r="F801" s="8">
        <v>2</v>
      </c>
      <c r="G801" s="9"/>
      <c r="H801" s="10">
        <v>3</v>
      </c>
      <c r="I801" s="7">
        <f t="shared" si="349"/>
        <v>5</v>
      </c>
      <c r="J801" s="47">
        <v>45589</v>
      </c>
      <c r="K801" s="3"/>
      <c r="L801" s="8"/>
      <c r="M801" s="9"/>
      <c r="N801" s="10"/>
      <c r="O801" s="7">
        <f t="shared" si="360"/>
        <v>0</v>
      </c>
      <c r="P801" s="8"/>
      <c r="Q801" s="9"/>
      <c r="R801" s="10"/>
      <c r="S801" s="7">
        <f t="shared" si="361"/>
        <v>0</v>
      </c>
      <c r="T801" s="55"/>
    </row>
    <row r="802" spans="1:20" x14ac:dyDescent="0.15">
      <c r="A802" s="66" t="s">
        <v>499</v>
      </c>
      <c r="B802" s="8">
        <v>1</v>
      </c>
      <c r="C802" s="9"/>
      <c r="D802" s="10"/>
      <c r="E802" s="7">
        <f t="shared" si="348"/>
        <v>1</v>
      </c>
      <c r="F802" s="8">
        <v>1</v>
      </c>
      <c r="G802" s="9"/>
      <c r="H802" s="10"/>
      <c r="I802" s="7">
        <f t="shared" si="349"/>
        <v>1</v>
      </c>
      <c r="J802" s="47">
        <v>45589</v>
      </c>
      <c r="K802" s="3"/>
      <c r="L802" s="8"/>
      <c r="M802" s="9"/>
      <c r="N802" s="10"/>
      <c r="O802" s="7">
        <f t="shared" si="360"/>
        <v>0</v>
      </c>
      <c r="P802" s="8"/>
      <c r="Q802" s="9"/>
      <c r="R802" s="10"/>
      <c r="S802" s="7">
        <f t="shared" si="361"/>
        <v>0</v>
      </c>
      <c r="T802" s="55"/>
    </row>
    <row r="803" spans="1:20" x14ac:dyDescent="0.15">
      <c r="A803" s="66" t="s">
        <v>500</v>
      </c>
      <c r="B803" s="8"/>
      <c r="C803" s="9">
        <v>1</v>
      </c>
      <c r="D803" s="10"/>
      <c r="E803" s="7">
        <f t="shared" si="348"/>
        <v>1</v>
      </c>
      <c r="F803" s="8"/>
      <c r="G803" s="9">
        <v>1</v>
      </c>
      <c r="H803" s="10"/>
      <c r="I803" s="7">
        <f t="shared" si="349"/>
        <v>1</v>
      </c>
      <c r="J803" s="47">
        <v>45596</v>
      </c>
      <c r="K803" s="3"/>
      <c r="L803" s="8"/>
      <c r="M803" s="9"/>
      <c r="N803" s="10"/>
      <c r="O803" s="7">
        <f t="shared" si="360"/>
        <v>0</v>
      </c>
      <c r="P803" s="8"/>
      <c r="Q803" s="9"/>
      <c r="R803" s="10"/>
      <c r="S803" s="7">
        <f t="shared" si="361"/>
        <v>0</v>
      </c>
      <c r="T803" s="55"/>
    </row>
    <row r="804" spans="1:20" x14ac:dyDescent="0.15">
      <c r="A804" s="66" t="s">
        <v>501</v>
      </c>
      <c r="B804" s="8"/>
      <c r="C804" s="9">
        <v>1</v>
      </c>
      <c r="D804" s="10"/>
      <c r="E804" s="7">
        <f t="shared" si="348"/>
        <v>1</v>
      </c>
      <c r="F804" s="8"/>
      <c r="G804" s="9">
        <v>1</v>
      </c>
      <c r="H804" s="10"/>
      <c r="I804" s="7">
        <f t="shared" si="349"/>
        <v>1</v>
      </c>
      <c r="J804" s="47">
        <v>45597</v>
      </c>
      <c r="K804" s="3"/>
      <c r="L804" s="8"/>
      <c r="M804" s="9"/>
      <c r="N804" s="10"/>
      <c r="O804" s="7">
        <f t="shared" si="360"/>
        <v>0</v>
      </c>
      <c r="P804" s="8"/>
      <c r="Q804" s="9"/>
      <c r="R804" s="10"/>
      <c r="S804" s="7">
        <f t="shared" si="361"/>
        <v>0</v>
      </c>
      <c r="T804" s="55"/>
    </row>
    <row r="805" spans="1:20" x14ac:dyDescent="0.15">
      <c r="A805" s="3" t="s">
        <v>502</v>
      </c>
      <c r="B805" s="8">
        <v>1</v>
      </c>
      <c r="C805" s="9"/>
      <c r="D805" s="10"/>
      <c r="E805" s="7">
        <f t="shared" si="348"/>
        <v>1</v>
      </c>
      <c r="F805" s="8">
        <v>1</v>
      </c>
      <c r="G805" s="9"/>
      <c r="H805" s="10"/>
      <c r="I805" s="7">
        <f t="shared" si="349"/>
        <v>1</v>
      </c>
      <c r="J805" s="47">
        <v>45608</v>
      </c>
      <c r="K805" s="3"/>
      <c r="L805" s="8"/>
      <c r="M805" s="9"/>
      <c r="N805" s="10"/>
      <c r="O805" s="7">
        <f t="shared" si="360"/>
        <v>0</v>
      </c>
      <c r="P805" s="8"/>
      <c r="Q805" s="9"/>
      <c r="R805" s="10"/>
      <c r="S805" s="7">
        <f t="shared" si="361"/>
        <v>0</v>
      </c>
      <c r="T805" s="55"/>
    </row>
    <row r="806" spans="1:20" x14ac:dyDescent="0.15">
      <c r="A806" s="3" t="s">
        <v>503</v>
      </c>
      <c r="B806" s="8"/>
      <c r="C806" s="9">
        <v>1</v>
      </c>
      <c r="D806" s="10"/>
      <c r="E806" s="7">
        <f t="shared" si="348"/>
        <v>1</v>
      </c>
      <c r="F806" s="8"/>
      <c r="G806" s="9">
        <v>1</v>
      </c>
      <c r="H806" s="10"/>
      <c r="I806" s="7">
        <f t="shared" si="349"/>
        <v>1</v>
      </c>
      <c r="J806" s="47">
        <v>45609</v>
      </c>
      <c r="K806" s="3"/>
      <c r="L806" s="8"/>
      <c r="M806" s="9"/>
      <c r="N806" s="10"/>
      <c r="O806" s="7">
        <f t="shared" si="360"/>
        <v>0</v>
      </c>
      <c r="P806" s="8"/>
      <c r="Q806" s="9"/>
      <c r="R806" s="10"/>
      <c r="S806" s="7">
        <f t="shared" si="361"/>
        <v>0</v>
      </c>
      <c r="T806" s="55"/>
    </row>
    <row r="807" spans="1:20" x14ac:dyDescent="0.15">
      <c r="A807" s="66" t="s">
        <v>504</v>
      </c>
      <c r="B807" s="8">
        <v>1</v>
      </c>
      <c r="C807" s="9"/>
      <c r="D807" s="10"/>
      <c r="E807" s="7">
        <f t="shared" si="348"/>
        <v>1</v>
      </c>
      <c r="F807" s="8">
        <v>1</v>
      </c>
      <c r="G807" s="9"/>
      <c r="H807" s="10"/>
      <c r="I807" s="7">
        <f t="shared" si="349"/>
        <v>1</v>
      </c>
      <c r="J807" s="47">
        <v>45611</v>
      </c>
      <c r="K807" s="3"/>
      <c r="L807" s="8"/>
      <c r="M807" s="9"/>
      <c r="N807" s="10"/>
      <c r="O807" s="7">
        <f t="shared" si="360"/>
        <v>0</v>
      </c>
      <c r="P807" s="8"/>
      <c r="Q807" s="9"/>
      <c r="R807" s="10"/>
      <c r="S807" s="7">
        <f t="shared" si="361"/>
        <v>0</v>
      </c>
      <c r="T807" s="55"/>
    </row>
    <row r="808" spans="1:20" x14ac:dyDescent="0.15">
      <c r="A808" s="66" t="s">
        <v>393</v>
      </c>
      <c r="B808" s="8">
        <v>1</v>
      </c>
      <c r="C808" s="9"/>
      <c r="D808" s="10"/>
      <c r="E808" s="7">
        <f t="shared" si="348"/>
        <v>1</v>
      </c>
      <c r="F808" s="8">
        <v>1</v>
      </c>
      <c r="G808" s="9"/>
      <c r="H808" s="10"/>
      <c r="I808" s="7">
        <f t="shared" si="349"/>
        <v>1</v>
      </c>
      <c r="J808" s="47">
        <v>45623</v>
      </c>
      <c r="K808" s="3"/>
      <c r="L808" s="8"/>
      <c r="M808" s="9"/>
      <c r="N808" s="10"/>
      <c r="O808" s="7">
        <f t="shared" si="360"/>
        <v>0</v>
      </c>
      <c r="P808" s="8"/>
      <c r="Q808" s="9"/>
      <c r="R808" s="10"/>
      <c r="S808" s="7">
        <f t="shared" si="361"/>
        <v>0</v>
      </c>
      <c r="T808" s="55"/>
    </row>
    <row r="809" spans="1:20" x14ac:dyDescent="0.15">
      <c r="A809" s="66" t="s">
        <v>395</v>
      </c>
      <c r="B809" s="8"/>
      <c r="C809" s="9">
        <v>1</v>
      </c>
      <c r="D809" s="10"/>
      <c r="E809" s="7">
        <f t="shared" si="348"/>
        <v>1</v>
      </c>
      <c r="F809" s="8"/>
      <c r="G809" s="9">
        <v>1</v>
      </c>
      <c r="H809" s="10"/>
      <c r="I809" s="7">
        <f t="shared" si="349"/>
        <v>1</v>
      </c>
      <c r="J809" s="47">
        <v>45639</v>
      </c>
      <c r="K809" s="3"/>
      <c r="L809" s="8"/>
      <c r="M809" s="9"/>
      <c r="N809" s="10"/>
      <c r="O809" s="7">
        <f t="shared" si="351"/>
        <v>0</v>
      </c>
      <c r="P809" s="8"/>
      <c r="Q809" s="9"/>
      <c r="R809" s="10"/>
      <c r="S809" s="7">
        <f t="shared" si="353"/>
        <v>0</v>
      </c>
      <c r="T809" s="55"/>
    </row>
    <row r="810" spans="1:20" x14ac:dyDescent="0.15">
      <c r="A810" s="3"/>
      <c r="B810" s="8"/>
      <c r="C810" s="9"/>
      <c r="D810" s="10"/>
      <c r="E810" s="7">
        <f t="shared" si="348"/>
        <v>0</v>
      </c>
      <c r="F810" s="8"/>
      <c r="G810" s="9"/>
      <c r="H810" s="10"/>
      <c r="I810" s="7">
        <f t="shared" si="349"/>
        <v>0</v>
      </c>
      <c r="J810" s="55"/>
      <c r="K810" s="3"/>
      <c r="L810" s="8"/>
      <c r="M810" s="9"/>
      <c r="N810" s="10"/>
      <c r="O810" s="7">
        <f t="shared" ref="O810:O811" si="364">SUM(L810:N810)</f>
        <v>0</v>
      </c>
      <c r="P810" s="8"/>
      <c r="Q810" s="9"/>
      <c r="R810" s="10"/>
      <c r="S810" s="7">
        <f t="shared" ref="S810:S811" si="365">SUM(P810:R810)</f>
        <v>0</v>
      </c>
      <c r="T810" s="55"/>
    </row>
    <row r="811" spans="1:20" x14ac:dyDescent="0.15">
      <c r="A811" s="3"/>
      <c r="B811" s="8"/>
      <c r="C811" s="9"/>
      <c r="D811" s="10"/>
      <c r="E811" s="7">
        <f t="shared" si="348"/>
        <v>0</v>
      </c>
      <c r="F811" s="8"/>
      <c r="G811" s="9"/>
      <c r="H811" s="10"/>
      <c r="I811" s="7">
        <f t="shared" si="349"/>
        <v>0</v>
      </c>
      <c r="K811" s="3"/>
      <c r="L811" s="8"/>
      <c r="M811" s="9"/>
      <c r="N811" s="10"/>
      <c r="O811" s="7">
        <f t="shared" si="364"/>
        <v>0</v>
      </c>
      <c r="P811" s="8"/>
      <c r="Q811" s="9"/>
      <c r="R811" s="10"/>
      <c r="S811" s="7">
        <f t="shared" si="365"/>
        <v>0</v>
      </c>
      <c r="T811" s="55"/>
    </row>
    <row r="812" spans="1:20" x14ac:dyDescent="0.15">
      <c r="A812" s="3"/>
      <c r="B812" s="8"/>
      <c r="C812" s="9"/>
      <c r="D812" s="10"/>
      <c r="E812" s="7">
        <f t="shared" si="348"/>
        <v>0</v>
      </c>
      <c r="F812" s="8"/>
      <c r="G812" s="9"/>
      <c r="H812" s="10"/>
      <c r="I812" s="7">
        <f t="shared" si="349"/>
        <v>0</v>
      </c>
      <c r="K812" s="3" t="s">
        <v>421</v>
      </c>
      <c r="L812" s="8"/>
      <c r="M812" s="9"/>
      <c r="N812" s="10"/>
      <c r="O812" s="7">
        <f t="shared" si="351"/>
        <v>0</v>
      </c>
      <c r="P812" s="8"/>
      <c r="Q812" s="9"/>
      <c r="R812" s="10"/>
      <c r="S812" s="7">
        <f t="shared" si="353"/>
        <v>0</v>
      </c>
      <c r="T812" s="55" t="s">
        <v>422</v>
      </c>
    </row>
    <row r="813" spans="1:20" ht="14.25" thickBot="1" x14ac:dyDescent="0.2">
      <c r="A813" s="3"/>
      <c r="B813" s="8"/>
      <c r="C813" s="9"/>
      <c r="D813" s="10"/>
      <c r="E813" s="7">
        <f t="shared" si="348"/>
        <v>0</v>
      </c>
      <c r="F813" s="8"/>
      <c r="G813" s="9"/>
      <c r="H813" s="10"/>
      <c r="I813" s="7">
        <f t="shared" si="349"/>
        <v>0</v>
      </c>
      <c r="K813" s="11" t="s">
        <v>457</v>
      </c>
      <c r="L813" s="126"/>
      <c r="M813" s="127"/>
      <c r="N813" s="128"/>
      <c r="O813" s="129">
        <f t="shared" si="351"/>
        <v>0</v>
      </c>
      <c r="P813" s="126"/>
      <c r="Q813" s="127"/>
      <c r="R813" s="128"/>
      <c r="S813" s="129">
        <f t="shared" si="353"/>
        <v>0</v>
      </c>
      <c r="T813" s="55" t="s">
        <v>458</v>
      </c>
    </row>
    <row r="814" spans="1:20" ht="14.25" thickBot="1" x14ac:dyDescent="0.2">
      <c r="A814" s="2" t="s">
        <v>5</v>
      </c>
      <c r="B814" s="12">
        <f>SUM(B790:B813)</f>
        <v>16</v>
      </c>
      <c r="C814" s="12">
        <f>SUM(C790:C813)</f>
        <v>12</v>
      </c>
      <c r="D814" s="12">
        <f>SUM(D790:D813)</f>
        <v>19</v>
      </c>
      <c r="E814" s="13">
        <f t="shared" si="348"/>
        <v>47</v>
      </c>
      <c r="F814" s="12">
        <f>SUM(F790:F813)</f>
        <v>16</v>
      </c>
      <c r="G814" s="12">
        <f>SUM(G790:G813)</f>
        <v>12</v>
      </c>
      <c r="H814" s="12">
        <f>SUM(H790:H813)</f>
        <v>19</v>
      </c>
      <c r="I814" s="13">
        <f t="shared" si="349"/>
        <v>47</v>
      </c>
      <c r="K814" s="2" t="s">
        <v>5</v>
      </c>
      <c r="L814" s="12">
        <f>SUM(L790:L813)</f>
        <v>37</v>
      </c>
      <c r="M814" s="12">
        <f>SUM(M790:M813)</f>
        <v>29</v>
      </c>
      <c r="N814" s="12">
        <f>SUM(N790:N813)</f>
        <v>40</v>
      </c>
      <c r="O814" s="13">
        <f t="shared" si="351"/>
        <v>106</v>
      </c>
      <c r="P814" s="12">
        <f>SUM(P790:P813)</f>
        <v>37</v>
      </c>
      <c r="Q814" s="12">
        <f>SUM(Q790:Q813)</f>
        <v>29</v>
      </c>
      <c r="R814" s="12">
        <f>SUM(R790:R813)</f>
        <v>40</v>
      </c>
      <c r="S814" s="13">
        <f t="shared" si="353"/>
        <v>106</v>
      </c>
    </row>
    <row r="815" spans="1:20" ht="14.25" thickBot="1" x14ac:dyDescent="0.2">
      <c r="A815" s="21" t="s">
        <v>6</v>
      </c>
      <c r="B815" s="22">
        <f t="shared" ref="B815:I815" si="366">B789-B814</f>
        <v>7</v>
      </c>
      <c r="C815" s="22">
        <f t="shared" si="366"/>
        <v>8</v>
      </c>
      <c r="D815" s="22">
        <f t="shared" si="366"/>
        <v>8</v>
      </c>
      <c r="E815" s="22">
        <f t="shared" si="366"/>
        <v>23</v>
      </c>
      <c r="F815" s="22">
        <f t="shared" si="366"/>
        <v>7</v>
      </c>
      <c r="G815" s="22">
        <f t="shared" si="366"/>
        <v>8</v>
      </c>
      <c r="H815" s="22">
        <f t="shared" si="366"/>
        <v>8</v>
      </c>
      <c r="I815" s="20">
        <f t="shared" si="366"/>
        <v>23</v>
      </c>
      <c r="K815" s="21" t="s">
        <v>6</v>
      </c>
      <c r="L815" s="22">
        <f>L789-L814</f>
        <v>149</v>
      </c>
      <c r="M815" s="22">
        <f t="shared" ref="M815:O815" si="367">M789-M814</f>
        <v>305</v>
      </c>
      <c r="N815" s="22">
        <f t="shared" si="367"/>
        <v>195</v>
      </c>
      <c r="O815" s="22">
        <f t="shared" si="367"/>
        <v>649</v>
      </c>
      <c r="P815" s="22">
        <f>P789-P814</f>
        <v>149</v>
      </c>
      <c r="Q815" s="22">
        <f>Q789-Q814</f>
        <v>305</v>
      </c>
      <c r="R815" s="22">
        <f>R789-R814</f>
        <v>195</v>
      </c>
      <c r="S815" s="20">
        <f t="shared" ref="S815" si="368">S789-S814</f>
        <v>649</v>
      </c>
    </row>
    <row r="816" spans="1:20" ht="24" customHeight="1" x14ac:dyDescent="0.15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6"/>
      <c r="L816" s="146">
        <f>L814+L771+L728+L685+L642+L599</f>
        <v>423</v>
      </c>
      <c r="M816" s="146">
        <f t="shared" ref="M816:S816" si="369">M814+M771+M728+M685+M642+M599</f>
        <v>539</v>
      </c>
      <c r="N816" s="146">
        <f t="shared" si="369"/>
        <v>394</v>
      </c>
      <c r="O816" s="146">
        <f t="shared" si="369"/>
        <v>1356</v>
      </c>
      <c r="P816" s="146">
        <f t="shared" si="369"/>
        <v>423</v>
      </c>
      <c r="Q816" s="146">
        <f t="shared" si="369"/>
        <v>539</v>
      </c>
      <c r="R816" s="146">
        <f t="shared" si="369"/>
        <v>394</v>
      </c>
      <c r="S816" s="146">
        <f t="shared" si="369"/>
        <v>1356</v>
      </c>
    </row>
    <row r="817" spans="1:21" ht="28.5" customHeight="1" x14ac:dyDescent="0.15">
      <c r="A817" s="186" t="s">
        <v>487</v>
      </c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</row>
    <row r="818" spans="1:21" ht="21.75" thickBot="1" x14ac:dyDescent="0.25">
      <c r="A818" s="26" t="s">
        <v>509</v>
      </c>
      <c r="B818" s="27"/>
      <c r="C818" s="27"/>
      <c r="D818" s="27"/>
      <c r="E818" s="27"/>
      <c r="F818" s="28"/>
      <c r="G818" s="28"/>
      <c r="H818" s="28"/>
      <c r="I818" s="28"/>
      <c r="K818" s="26" t="s">
        <v>505</v>
      </c>
      <c r="L818" s="27"/>
      <c r="M818" s="27"/>
      <c r="N818" s="27"/>
      <c r="O818" s="27"/>
      <c r="P818" s="28"/>
      <c r="Q818" s="28"/>
      <c r="R818" s="28"/>
      <c r="S818" s="28"/>
    </row>
    <row r="819" spans="1:21" ht="14.25" thickBot="1" x14ac:dyDescent="0.2">
      <c r="A819" s="1" t="s">
        <v>0</v>
      </c>
      <c r="B819" s="183" t="s">
        <v>12</v>
      </c>
      <c r="C819" s="183"/>
      <c r="D819" s="183"/>
      <c r="E819" s="184"/>
      <c r="F819" s="183" t="s">
        <v>10</v>
      </c>
      <c r="G819" s="183"/>
      <c r="H819" s="183"/>
      <c r="I819" s="184"/>
      <c r="K819" s="1" t="s">
        <v>0</v>
      </c>
      <c r="L819" s="140" t="s">
        <v>12</v>
      </c>
      <c r="M819" s="140"/>
      <c r="N819" s="140"/>
      <c r="O819" s="141"/>
      <c r="P819" s="140" t="s">
        <v>10</v>
      </c>
      <c r="Q819" s="140"/>
      <c r="R819" s="140"/>
      <c r="S819" s="141"/>
    </row>
    <row r="820" spans="1:21" ht="14.25" thickBot="1" x14ac:dyDescent="0.2">
      <c r="A820" s="1" t="s">
        <v>1</v>
      </c>
      <c r="B820" s="2" t="s">
        <v>7</v>
      </c>
      <c r="C820" s="1" t="s">
        <v>8</v>
      </c>
      <c r="D820" s="15" t="s">
        <v>9</v>
      </c>
      <c r="E820" s="1" t="s">
        <v>2</v>
      </c>
      <c r="F820" s="2" t="s">
        <v>7</v>
      </c>
      <c r="G820" s="1" t="s">
        <v>8</v>
      </c>
      <c r="H820" s="15" t="s">
        <v>9</v>
      </c>
      <c r="I820" s="1" t="s">
        <v>2</v>
      </c>
      <c r="K820" s="1" t="s">
        <v>1</v>
      </c>
      <c r="L820" s="2" t="s">
        <v>7</v>
      </c>
      <c r="M820" s="1" t="s">
        <v>8</v>
      </c>
      <c r="N820" s="15" t="s">
        <v>9</v>
      </c>
      <c r="O820" s="1" t="s">
        <v>2</v>
      </c>
      <c r="P820" s="2" t="s">
        <v>7</v>
      </c>
      <c r="Q820" s="1" t="s">
        <v>8</v>
      </c>
      <c r="R820" s="15" t="s">
        <v>9</v>
      </c>
      <c r="S820" s="1" t="s">
        <v>2</v>
      </c>
    </row>
    <row r="821" spans="1:21" ht="14.25" thickBot="1" x14ac:dyDescent="0.2">
      <c r="A821" s="41" t="s">
        <v>13</v>
      </c>
      <c r="B821" s="42">
        <f>B815</f>
        <v>7</v>
      </c>
      <c r="C821" s="43">
        <f>C815</f>
        <v>8</v>
      </c>
      <c r="D821" s="44">
        <f>D815</f>
        <v>8</v>
      </c>
      <c r="E821" s="45">
        <f t="shared" ref="E821:E857" si="370">SUM(B821:D821)</f>
        <v>23</v>
      </c>
      <c r="F821" s="42">
        <f>F815</f>
        <v>7</v>
      </c>
      <c r="G821" s="43">
        <f>G815</f>
        <v>8</v>
      </c>
      <c r="H821" s="44">
        <f>H815</f>
        <v>8</v>
      </c>
      <c r="I821" s="45">
        <f t="shared" ref="I821:I857" si="371">SUM(F821:H821)</f>
        <v>23</v>
      </c>
      <c r="K821" s="34" t="s">
        <v>13</v>
      </c>
      <c r="L821" s="35">
        <f>L815</f>
        <v>149</v>
      </c>
      <c r="M821" s="35">
        <f t="shared" ref="M821:N821" si="372">M815</f>
        <v>305</v>
      </c>
      <c r="N821" s="35">
        <f t="shared" si="372"/>
        <v>195</v>
      </c>
      <c r="O821" s="20">
        <f t="shared" ref="O821:O857" si="373">SUM(L821:N821)</f>
        <v>649</v>
      </c>
      <c r="P821" s="35">
        <f>P815</f>
        <v>149</v>
      </c>
      <c r="Q821" s="36">
        <f t="shared" ref="Q821:R821" si="374">Q815</f>
        <v>305</v>
      </c>
      <c r="R821" s="37">
        <f t="shared" si="374"/>
        <v>195</v>
      </c>
      <c r="S821" s="20">
        <f t="shared" ref="S821:S857" si="375">SUM(P821:R821)</f>
        <v>649</v>
      </c>
    </row>
    <row r="822" spans="1:21" x14ac:dyDescent="0.15">
      <c r="A822" s="6" t="s">
        <v>403</v>
      </c>
      <c r="B822" s="14"/>
      <c r="C822" s="11">
        <v>1</v>
      </c>
      <c r="D822" s="14">
        <v>1</v>
      </c>
      <c r="E822" s="4">
        <f t="shared" ref="E822" si="376">SUM(B822:D822)</f>
        <v>2</v>
      </c>
      <c r="F822" s="14"/>
      <c r="G822" s="11">
        <v>1</v>
      </c>
      <c r="H822" s="14">
        <v>1</v>
      </c>
      <c r="I822" s="4">
        <f t="shared" ref="I822" si="377">SUM(F822:H822)</f>
        <v>2</v>
      </c>
      <c r="J822" s="56">
        <v>45729</v>
      </c>
      <c r="K822" s="5" t="s">
        <v>3</v>
      </c>
      <c r="L822" s="46"/>
      <c r="M822" s="3"/>
      <c r="N822" s="46"/>
      <c r="O822" s="4">
        <f t="shared" si="373"/>
        <v>0</v>
      </c>
      <c r="P822" s="46"/>
      <c r="Q822" s="3"/>
      <c r="R822" s="46"/>
      <c r="S822" s="4">
        <f t="shared" si="375"/>
        <v>0</v>
      </c>
    </row>
    <row r="823" spans="1:21" x14ac:dyDescent="0.15">
      <c r="A823" s="6" t="s">
        <v>3</v>
      </c>
      <c r="B823" s="14"/>
      <c r="C823" s="11"/>
      <c r="D823" s="14"/>
      <c r="E823" s="4">
        <f t="shared" si="370"/>
        <v>0</v>
      </c>
      <c r="F823" s="14"/>
      <c r="G823" s="11"/>
      <c r="H823" s="14"/>
      <c r="I823" s="4">
        <f t="shared" si="371"/>
        <v>0</v>
      </c>
      <c r="K823" s="5" t="s">
        <v>3</v>
      </c>
      <c r="L823" s="14"/>
      <c r="M823" s="11"/>
      <c r="N823" s="14"/>
      <c r="O823" s="4">
        <f t="shared" si="373"/>
        <v>0</v>
      </c>
      <c r="P823" s="14"/>
      <c r="Q823" s="11"/>
      <c r="R823" s="14"/>
      <c r="S823" s="4">
        <f t="shared" si="375"/>
        <v>0</v>
      </c>
    </row>
    <row r="824" spans="1:21" x14ac:dyDescent="0.15">
      <c r="A824" s="5" t="s">
        <v>3</v>
      </c>
      <c r="B824" s="14">
        <v>1</v>
      </c>
      <c r="C824" s="11">
        <v>1</v>
      </c>
      <c r="D824" s="14">
        <v>1</v>
      </c>
      <c r="E824" s="4">
        <f t="shared" si="370"/>
        <v>3</v>
      </c>
      <c r="F824" s="14">
        <v>1</v>
      </c>
      <c r="G824" s="11">
        <v>1</v>
      </c>
      <c r="H824" s="14">
        <v>1</v>
      </c>
      <c r="I824" s="4">
        <f t="shared" si="371"/>
        <v>3</v>
      </c>
      <c r="J824" s="56">
        <v>45741</v>
      </c>
      <c r="K824" s="5" t="s">
        <v>3</v>
      </c>
      <c r="L824" s="14"/>
      <c r="M824" s="11"/>
      <c r="N824" s="14"/>
      <c r="O824" s="4">
        <f t="shared" ref="O824" si="378">SUM(L824:N824)</f>
        <v>0</v>
      </c>
      <c r="P824" s="14"/>
      <c r="Q824" s="11"/>
      <c r="R824" s="14"/>
      <c r="S824" s="4">
        <f t="shared" ref="S824" si="379">SUM(P824:R824)</f>
        <v>0</v>
      </c>
      <c r="U824" s="148"/>
    </row>
    <row r="825" spans="1:21" x14ac:dyDescent="0.15">
      <c r="A825" s="3" t="s">
        <v>565</v>
      </c>
      <c r="B825" s="94">
        <v>1</v>
      </c>
      <c r="C825" s="9"/>
      <c r="D825" s="10"/>
      <c r="E825" s="7">
        <f t="shared" ref="E825" si="380">SUM(B825:D825)</f>
        <v>1</v>
      </c>
      <c r="F825" s="94">
        <v>1</v>
      </c>
      <c r="G825" s="9"/>
      <c r="H825" s="10"/>
      <c r="I825" s="7">
        <f t="shared" ref="I825" si="381">SUM(F825:H825)</f>
        <v>1</v>
      </c>
      <c r="J825" s="47">
        <v>45826</v>
      </c>
      <c r="K825" s="5" t="s">
        <v>3</v>
      </c>
      <c r="L825" s="14"/>
      <c r="M825" s="11"/>
      <c r="N825" s="14"/>
      <c r="O825" s="4">
        <f t="shared" si="373"/>
        <v>0</v>
      </c>
      <c r="P825" s="14"/>
      <c r="Q825" s="11"/>
      <c r="R825" s="14"/>
      <c r="S825" s="4">
        <f t="shared" si="375"/>
        <v>0</v>
      </c>
    </row>
    <row r="826" spans="1:21" x14ac:dyDescent="0.15">
      <c r="A826" s="6" t="s">
        <v>3</v>
      </c>
      <c r="B826" s="14"/>
      <c r="C826" s="11"/>
      <c r="D826" s="14"/>
      <c r="E826" s="4">
        <f t="shared" si="370"/>
        <v>0</v>
      </c>
      <c r="F826" s="14"/>
      <c r="G826" s="11"/>
      <c r="H826" s="14"/>
      <c r="I826" s="4">
        <f t="shared" si="371"/>
        <v>0</v>
      </c>
      <c r="K826" s="5" t="s">
        <v>3</v>
      </c>
      <c r="L826" s="14"/>
      <c r="M826" s="11"/>
      <c r="N826" s="14"/>
      <c r="O826" s="4">
        <f t="shared" ref="O826:O831" si="382">SUM(L826:N826)</f>
        <v>0</v>
      </c>
      <c r="P826" s="14"/>
      <c r="Q826" s="11"/>
      <c r="R826" s="14"/>
      <c r="S826" s="4">
        <f t="shared" ref="S826:S831" si="383">SUM(P826:R826)</f>
        <v>0</v>
      </c>
    </row>
    <row r="827" spans="1:21" x14ac:dyDescent="0.15">
      <c r="A827" s="6" t="s">
        <v>3</v>
      </c>
      <c r="B827" s="14"/>
      <c r="C827" s="11"/>
      <c r="D827" s="14"/>
      <c r="E827" s="4">
        <f t="shared" si="370"/>
        <v>0</v>
      </c>
      <c r="F827" s="14"/>
      <c r="G827" s="11"/>
      <c r="H827" s="14"/>
      <c r="I827" s="4">
        <f t="shared" si="371"/>
        <v>0</v>
      </c>
      <c r="K827" s="5" t="s">
        <v>3</v>
      </c>
      <c r="L827" s="14"/>
      <c r="M827" s="11"/>
      <c r="N827" s="14"/>
      <c r="O827" s="4">
        <f t="shared" si="382"/>
        <v>0</v>
      </c>
      <c r="P827" s="14"/>
      <c r="Q827" s="11"/>
      <c r="R827" s="14"/>
      <c r="S827" s="4">
        <f t="shared" si="383"/>
        <v>0</v>
      </c>
    </row>
    <row r="828" spans="1:21" x14ac:dyDescent="0.15">
      <c r="A828" s="6" t="s">
        <v>3</v>
      </c>
      <c r="B828" s="14"/>
      <c r="C828" s="11"/>
      <c r="D828" s="14"/>
      <c r="E828" s="4">
        <f t="shared" si="370"/>
        <v>0</v>
      </c>
      <c r="F828" s="14"/>
      <c r="G828" s="11"/>
      <c r="H828" s="14"/>
      <c r="I828" s="4">
        <f t="shared" si="371"/>
        <v>0</v>
      </c>
      <c r="K828" s="5" t="s">
        <v>3</v>
      </c>
      <c r="L828" s="14"/>
      <c r="M828" s="11"/>
      <c r="N828" s="14"/>
      <c r="O828" s="4">
        <f t="shared" si="382"/>
        <v>0</v>
      </c>
      <c r="P828" s="14"/>
      <c r="Q828" s="11"/>
      <c r="R828" s="14"/>
      <c r="S828" s="4">
        <f t="shared" si="383"/>
        <v>0</v>
      </c>
    </row>
    <row r="829" spans="1:21" x14ac:dyDescent="0.15">
      <c r="A829" s="6" t="s">
        <v>3</v>
      </c>
      <c r="B829" s="23"/>
      <c r="C829" s="24"/>
      <c r="D829" s="25"/>
      <c r="E829" s="7">
        <f t="shared" si="370"/>
        <v>0</v>
      </c>
      <c r="F829" s="23"/>
      <c r="G829" s="24"/>
      <c r="H829" s="25"/>
      <c r="I829" s="7">
        <f t="shared" si="371"/>
        <v>0</v>
      </c>
      <c r="K829" s="5" t="s">
        <v>3</v>
      </c>
      <c r="L829" s="14"/>
      <c r="M829" s="11"/>
      <c r="N829" s="14"/>
      <c r="O829" s="4">
        <f t="shared" si="382"/>
        <v>0</v>
      </c>
      <c r="P829" s="14"/>
      <c r="Q829" s="11"/>
      <c r="R829" s="14"/>
      <c r="S829" s="4">
        <f t="shared" si="383"/>
        <v>0</v>
      </c>
    </row>
    <row r="830" spans="1:21" x14ac:dyDescent="0.15">
      <c r="A830" s="6" t="s">
        <v>3</v>
      </c>
      <c r="B830" s="23"/>
      <c r="C830" s="24"/>
      <c r="D830" s="25"/>
      <c r="E830" s="7">
        <f t="shared" si="370"/>
        <v>0</v>
      </c>
      <c r="F830" s="23"/>
      <c r="G830" s="24"/>
      <c r="H830" s="25"/>
      <c r="I830" s="7">
        <f t="shared" si="371"/>
        <v>0</v>
      </c>
      <c r="K830" s="5" t="s">
        <v>3</v>
      </c>
      <c r="L830" s="14"/>
      <c r="M830" s="11"/>
      <c r="N830" s="14"/>
      <c r="O830" s="4">
        <f t="shared" si="382"/>
        <v>0</v>
      </c>
      <c r="P830" s="14"/>
      <c r="Q830" s="11"/>
      <c r="R830" s="14"/>
      <c r="S830" s="4">
        <f t="shared" si="383"/>
        <v>0</v>
      </c>
    </row>
    <row r="831" spans="1:21" ht="14.25" thickBot="1" x14ac:dyDescent="0.2">
      <c r="A831" s="6" t="s">
        <v>152</v>
      </c>
      <c r="B831" s="29">
        <v>1</v>
      </c>
      <c r="C831" s="30"/>
      <c r="D831" s="29"/>
      <c r="E831" s="16">
        <f t="shared" ref="E831" si="384">SUM(B831:D831)</f>
        <v>1</v>
      </c>
      <c r="F831" s="29">
        <v>1</v>
      </c>
      <c r="G831" s="30"/>
      <c r="H831" s="29"/>
      <c r="I831" s="16">
        <f t="shared" ref="I831" si="385">SUM(F831:H831)</f>
        <v>1</v>
      </c>
      <c r="K831" s="5" t="s">
        <v>3</v>
      </c>
      <c r="L831" s="14"/>
      <c r="M831" s="11"/>
      <c r="N831" s="14"/>
      <c r="O831" s="4">
        <f t="shared" si="382"/>
        <v>0</v>
      </c>
      <c r="P831" s="14"/>
      <c r="Q831" s="11"/>
      <c r="R831" s="14"/>
      <c r="S831" s="4">
        <f t="shared" si="383"/>
        <v>0</v>
      </c>
    </row>
    <row r="832" spans="1:21" ht="14.25" thickBot="1" x14ac:dyDescent="0.2">
      <c r="A832" s="17" t="s">
        <v>4</v>
      </c>
      <c r="B832" s="18">
        <f>SUM(B821:B831)</f>
        <v>10</v>
      </c>
      <c r="C832" s="18">
        <f>SUM(C821:C831)</f>
        <v>10</v>
      </c>
      <c r="D832" s="19">
        <f>SUM(D821:D831)</f>
        <v>10</v>
      </c>
      <c r="E832" s="20">
        <f t="shared" si="370"/>
        <v>30</v>
      </c>
      <c r="F832" s="18">
        <f>SUM(F821:F831)</f>
        <v>10</v>
      </c>
      <c r="G832" s="18">
        <f>SUM(G821:G831)</f>
        <v>10</v>
      </c>
      <c r="H832" s="19">
        <f>SUM(H821:H831)</f>
        <v>10</v>
      </c>
      <c r="I832" s="20">
        <f t="shared" si="371"/>
        <v>30</v>
      </c>
      <c r="K832" s="17" t="s">
        <v>4</v>
      </c>
      <c r="L832" s="18">
        <f>SUM(L821:L831)</f>
        <v>149</v>
      </c>
      <c r="M832" s="18">
        <f>SUM(M821:M831)</f>
        <v>305</v>
      </c>
      <c r="N832" s="18">
        <f>SUM(N821:N831)</f>
        <v>195</v>
      </c>
      <c r="O832" s="20">
        <f t="shared" si="373"/>
        <v>649</v>
      </c>
      <c r="P832" s="18">
        <f>SUM(P821:P831)</f>
        <v>149</v>
      </c>
      <c r="Q832" s="18">
        <f>SUM(Q821:Q831)</f>
        <v>305</v>
      </c>
      <c r="R832" s="19">
        <f>SUM(R821:R831)</f>
        <v>195</v>
      </c>
      <c r="S832" s="20">
        <f t="shared" si="375"/>
        <v>649</v>
      </c>
      <c r="T832" s="150">
        <v>1.2529999999999999</v>
      </c>
    </row>
    <row r="833" spans="1:20" x14ac:dyDescent="0.15">
      <c r="A833" s="3" t="s">
        <v>538</v>
      </c>
      <c r="B833" s="8">
        <v>1</v>
      </c>
      <c r="C833" s="9">
        <v>1</v>
      </c>
      <c r="D833" s="10">
        <v>1</v>
      </c>
      <c r="E833" s="7">
        <f t="shared" ref="E833:E837" si="386">SUM(B833:D833)</f>
        <v>3</v>
      </c>
      <c r="F833" s="8">
        <v>1</v>
      </c>
      <c r="G833" s="9">
        <v>1</v>
      </c>
      <c r="H833" s="10">
        <v>1</v>
      </c>
      <c r="I833" s="7">
        <f t="shared" ref="I833:I837" si="387">SUM(F833:H833)</f>
        <v>3</v>
      </c>
      <c r="J833" s="47">
        <v>45722</v>
      </c>
      <c r="K833" s="3" t="s">
        <v>520</v>
      </c>
      <c r="L833" s="8">
        <v>3</v>
      </c>
      <c r="M833" s="9">
        <v>3</v>
      </c>
      <c r="N833" s="10">
        <v>3</v>
      </c>
      <c r="O833" s="7">
        <f t="shared" ref="O833:O834" si="388">SUM(L833:N833)</f>
        <v>9</v>
      </c>
      <c r="P833" s="8">
        <v>3</v>
      </c>
      <c r="Q833" s="9">
        <v>3</v>
      </c>
      <c r="R833" s="10">
        <v>3</v>
      </c>
      <c r="S833" s="7">
        <f t="shared" ref="S833:S834" si="389">SUM(P833:R833)</f>
        <v>9</v>
      </c>
      <c r="T833" s="47">
        <v>45698</v>
      </c>
    </row>
    <row r="834" spans="1:20" x14ac:dyDescent="0.15">
      <c r="A834" s="3"/>
      <c r="B834" s="8"/>
      <c r="C834" s="9"/>
      <c r="D834" s="10"/>
      <c r="E834" s="7">
        <f t="shared" si="386"/>
        <v>0</v>
      </c>
      <c r="F834" s="8"/>
      <c r="G834" s="9"/>
      <c r="H834" s="10"/>
      <c r="I834" s="7">
        <f t="shared" si="387"/>
        <v>0</v>
      </c>
      <c r="J834" s="55"/>
      <c r="K834" s="3" t="s">
        <v>525</v>
      </c>
      <c r="L834" s="8">
        <v>15</v>
      </c>
      <c r="M834" s="9">
        <v>15</v>
      </c>
      <c r="N834" s="10">
        <v>15</v>
      </c>
      <c r="O834" s="7">
        <f t="shared" si="388"/>
        <v>45</v>
      </c>
      <c r="P834" s="8">
        <v>15</v>
      </c>
      <c r="Q834" s="9">
        <v>15</v>
      </c>
      <c r="R834" s="10">
        <v>15</v>
      </c>
      <c r="S834" s="7">
        <f t="shared" si="389"/>
        <v>45</v>
      </c>
      <c r="T834" s="47">
        <v>45721</v>
      </c>
    </row>
    <row r="835" spans="1:20" x14ac:dyDescent="0.15">
      <c r="A835" s="3"/>
      <c r="B835" s="8"/>
      <c r="C835" s="9"/>
      <c r="D835" s="10"/>
      <c r="E835" s="7">
        <f t="shared" si="386"/>
        <v>0</v>
      </c>
      <c r="F835" s="8"/>
      <c r="G835" s="9"/>
      <c r="H835" s="10"/>
      <c r="I835" s="7">
        <f t="shared" si="387"/>
        <v>0</v>
      </c>
      <c r="J835" s="55"/>
      <c r="K835" s="3" t="s">
        <v>541</v>
      </c>
      <c r="L835" s="8">
        <v>1</v>
      </c>
      <c r="M835" s="9">
        <v>1</v>
      </c>
      <c r="N835" s="10">
        <v>1</v>
      </c>
      <c r="O835" s="7">
        <f t="shared" si="373"/>
        <v>3</v>
      </c>
      <c r="P835" s="8">
        <v>1</v>
      </c>
      <c r="Q835" s="9">
        <v>1</v>
      </c>
      <c r="R835" s="10">
        <v>1</v>
      </c>
      <c r="S835" s="7">
        <f t="shared" si="375"/>
        <v>3</v>
      </c>
      <c r="T835" s="47">
        <v>45741</v>
      </c>
    </row>
    <row r="836" spans="1:20" x14ac:dyDescent="0.15">
      <c r="A836" s="3"/>
      <c r="B836" s="8"/>
      <c r="C836" s="9"/>
      <c r="D836" s="10"/>
      <c r="E836" s="7">
        <f t="shared" si="386"/>
        <v>0</v>
      </c>
      <c r="F836" s="8"/>
      <c r="G836" s="9"/>
      <c r="H836" s="10"/>
      <c r="I836" s="7">
        <f t="shared" si="387"/>
        <v>0</v>
      </c>
      <c r="J836" s="55"/>
      <c r="K836" s="3"/>
      <c r="L836" s="8"/>
      <c r="M836" s="9"/>
      <c r="N836" s="10"/>
      <c r="O836" s="7">
        <f t="shared" ref="O836:O837" si="390">SUM(L836:N836)</f>
        <v>0</v>
      </c>
      <c r="P836" s="8"/>
      <c r="Q836" s="9"/>
      <c r="R836" s="10"/>
      <c r="S836" s="7">
        <f t="shared" ref="S836:S837" si="391">SUM(P836:R836)</f>
        <v>0</v>
      </c>
      <c r="T836" s="55"/>
    </row>
    <row r="837" spans="1:20" x14ac:dyDescent="0.15">
      <c r="A837" s="3"/>
      <c r="B837" s="8"/>
      <c r="C837" s="9"/>
      <c r="D837" s="10"/>
      <c r="E837" s="7">
        <f t="shared" si="386"/>
        <v>0</v>
      </c>
      <c r="F837" s="8"/>
      <c r="G837" s="9"/>
      <c r="H837" s="10"/>
      <c r="I837" s="7">
        <f t="shared" si="387"/>
        <v>0</v>
      </c>
      <c r="J837" s="55"/>
      <c r="K837" s="3"/>
      <c r="L837" s="8"/>
      <c r="M837" s="9"/>
      <c r="N837" s="10"/>
      <c r="O837" s="7">
        <f t="shared" si="390"/>
        <v>0</v>
      </c>
      <c r="P837" s="8"/>
      <c r="Q837" s="9"/>
      <c r="R837" s="10"/>
      <c r="S837" s="7">
        <f t="shared" si="391"/>
        <v>0</v>
      </c>
      <c r="T837" s="55"/>
    </row>
    <row r="838" spans="1:20" x14ac:dyDescent="0.15">
      <c r="A838" s="3"/>
      <c r="B838" s="8"/>
      <c r="C838" s="9"/>
      <c r="D838" s="10"/>
      <c r="E838" s="7">
        <f t="shared" si="370"/>
        <v>0</v>
      </c>
      <c r="F838" s="8"/>
      <c r="G838" s="9"/>
      <c r="H838" s="10"/>
      <c r="I838" s="7">
        <f t="shared" si="371"/>
        <v>0</v>
      </c>
      <c r="J838" s="55"/>
      <c r="K838" s="3"/>
      <c r="L838" s="8"/>
      <c r="M838" s="9"/>
      <c r="N838" s="10"/>
      <c r="O838" s="7">
        <f t="shared" ref="O838:O852" si="392">SUM(L838:N838)</f>
        <v>0</v>
      </c>
      <c r="P838" s="8"/>
      <c r="Q838" s="9"/>
      <c r="R838" s="10"/>
      <c r="S838" s="7">
        <f t="shared" ref="S838:S852" si="393">SUM(P838:R838)</f>
        <v>0</v>
      </c>
    </row>
    <row r="839" spans="1:20" x14ac:dyDescent="0.15">
      <c r="A839" s="3"/>
      <c r="B839" s="8"/>
      <c r="C839" s="9"/>
      <c r="D839" s="10"/>
      <c r="E839" s="7">
        <f t="shared" si="370"/>
        <v>0</v>
      </c>
      <c r="F839" s="8"/>
      <c r="G839" s="9"/>
      <c r="H839" s="10"/>
      <c r="I839" s="7">
        <f t="shared" si="371"/>
        <v>0</v>
      </c>
      <c r="J839" s="55"/>
      <c r="K839" s="3"/>
      <c r="L839" s="8"/>
      <c r="M839" s="9"/>
      <c r="N839" s="10"/>
      <c r="O839" s="7">
        <f t="shared" si="392"/>
        <v>0</v>
      </c>
      <c r="P839" s="8"/>
      <c r="Q839" s="9"/>
      <c r="R839" s="10"/>
      <c r="S839" s="7">
        <f t="shared" si="393"/>
        <v>0</v>
      </c>
      <c r="T839" s="144"/>
    </row>
    <row r="840" spans="1:20" x14ac:dyDescent="0.15">
      <c r="A840" s="3"/>
      <c r="B840" s="8"/>
      <c r="C840" s="9"/>
      <c r="D840" s="10"/>
      <c r="E840" s="7">
        <f t="shared" si="370"/>
        <v>0</v>
      </c>
      <c r="F840" s="8"/>
      <c r="G840" s="9"/>
      <c r="H840" s="10"/>
      <c r="I840" s="7">
        <f t="shared" si="371"/>
        <v>0</v>
      </c>
      <c r="J840" s="55"/>
      <c r="K840" s="3"/>
      <c r="L840" s="8"/>
      <c r="M840" s="9"/>
      <c r="N840" s="10"/>
      <c r="O840" s="7">
        <f t="shared" si="392"/>
        <v>0</v>
      </c>
      <c r="P840" s="8"/>
      <c r="Q840" s="9"/>
      <c r="R840" s="10"/>
      <c r="S840" s="7">
        <f t="shared" si="393"/>
        <v>0</v>
      </c>
      <c r="T840" s="144"/>
    </row>
    <row r="841" spans="1:20" x14ac:dyDescent="0.15">
      <c r="A841" s="3"/>
      <c r="B841" s="8"/>
      <c r="C841" s="9"/>
      <c r="D841" s="10"/>
      <c r="E841" s="7">
        <f t="shared" si="370"/>
        <v>0</v>
      </c>
      <c r="F841" s="8"/>
      <c r="G841" s="9"/>
      <c r="H841" s="10"/>
      <c r="I841" s="7">
        <f t="shared" si="371"/>
        <v>0</v>
      </c>
      <c r="J841" s="55"/>
      <c r="K841" s="3"/>
      <c r="L841" s="8"/>
      <c r="M841" s="9"/>
      <c r="N841" s="10"/>
      <c r="O841" s="7">
        <f t="shared" si="392"/>
        <v>0</v>
      </c>
      <c r="P841" s="8"/>
      <c r="Q841" s="9"/>
      <c r="R841" s="10"/>
      <c r="S841" s="7">
        <f t="shared" si="393"/>
        <v>0</v>
      </c>
      <c r="T841" s="144"/>
    </row>
    <row r="842" spans="1:20" x14ac:dyDescent="0.15">
      <c r="A842" s="3"/>
      <c r="B842" s="8"/>
      <c r="C842" s="9"/>
      <c r="D842" s="10"/>
      <c r="E842" s="7">
        <f t="shared" si="370"/>
        <v>0</v>
      </c>
      <c r="F842" s="8"/>
      <c r="G842" s="9"/>
      <c r="H842" s="10"/>
      <c r="I842" s="7">
        <f t="shared" si="371"/>
        <v>0</v>
      </c>
      <c r="J842" s="55"/>
      <c r="K842" s="3"/>
      <c r="L842" s="8"/>
      <c r="M842" s="9"/>
      <c r="N842" s="10"/>
      <c r="O842" s="7">
        <f t="shared" si="392"/>
        <v>0</v>
      </c>
      <c r="P842" s="8"/>
      <c r="Q842" s="9"/>
      <c r="R842" s="10"/>
      <c r="S842" s="7">
        <f t="shared" si="393"/>
        <v>0</v>
      </c>
      <c r="T842" s="144"/>
    </row>
    <row r="843" spans="1:20" x14ac:dyDescent="0.15">
      <c r="A843" s="3"/>
      <c r="B843" s="8"/>
      <c r="C843" s="9"/>
      <c r="D843" s="10"/>
      <c r="E843" s="7">
        <f t="shared" si="370"/>
        <v>0</v>
      </c>
      <c r="F843" s="8"/>
      <c r="G843" s="9"/>
      <c r="H843" s="10"/>
      <c r="I843" s="7">
        <f t="shared" si="371"/>
        <v>0</v>
      </c>
      <c r="K843" s="3"/>
      <c r="L843" s="8"/>
      <c r="M843" s="9"/>
      <c r="N843" s="10"/>
      <c r="O843" s="7">
        <f t="shared" si="392"/>
        <v>0</v>
      </c>
      <c r="P843" s="8"/>
      <c r="Q843" s="9"/>
      <c r="R843" s="10"/>
      <c r="S843" s="7">
        <f t="shared" si="393"/>
        <v>0</v>
      </c>
      <c r="T843" s="144"/>
    </row>
    <row r="844" spans="1:20" x14ac:dyDescent="0.15">
      <c r="A844" s="3"/>
      <c r="B844" s="8"/>
      <c r="C844" s="9"/>
      <c r="D844" s="10"/>
      <c r="E844" s="7">
        <f t="shared" si="370"/>
        <v>0</v>
      </c>
      <c r="F844" s="8"/>
      <c r="G844" s="9"/>
      <c r="H844" s="10"/>
      <c r="I844" s="7">
        <f t="shared" si="371"/>
        <v>0</v>
      </c>
      <c r="K844" s="3"/>
      <c r="L844" s="8"/>
      <c r="M844" s="9"/>
      <c r="N844" s="10"/>
      <c r="O844" s="7">
        <f t="shared" si="392"/>
        <v>0</v>
      </c>
      <c r="P844" s="8"/>
      <c r="Q844" s="9"/>
      <c r="R844" s="10"/>
      <c r="S844" s="7">
        <f t="shared" si="393"/>
        <v>0</v>
      </c>
      <c r="T844" s="144"/>
    </row>
    <row r="845" spans="1:20" x14ac:dyDescent="0.15">
      <c r="A845" s="3"/>
      <c r="B845" s="8"/>
      <c r="C845" s="9"/>
      <c r="D845" s="10"/>
      <c r="E845" s="7">
        <f t="shared" si="370"/>
        <v>0</v>
      </c>
      <c r="F845" s="8"/>
      <c r="G845" s="9"/>
      <c r="H845" s="10"/>
      <c r="I845" s="7">
        <f t="shared" si="371"/>
        <v>0</v>
      </c>
      <c r="K845" s="3"/>
      <c r="L845" s="8"/>
      <c r="M845" s="9"/>
      <c r="N845" s="10"/>
      <c r="O845" s="7">
        <f t="shared" si="392"/>
        <v>0</v>
      </c>
      <c r="P845" s="8"/>
      <c r="Q845" s="9"/>
      <c r="R845" s="10"/>
      <c r="S845" s="7">
        <f t="shared" si="393"/>
        <v>0</v>
      </c>
      <c r="T845" s="144"/>
    </row>
    <row r="846" spans="1:20" x14ac:dyDescent="0.15">
      <c r="A846" s="3"/>
      <c r="B846" s="8"/>
      <c r="C846" s="9"/>
      <c r="D846" s="10"/>
      <c r="E846" s="7">
        <f t="shared" si="370"/>
        <v>0</v>
      </c>
      <c r="F846" s="8"/>
      <c r="G846" s="9"/>
      <c r="H846" s="10"/>
      <c r="I846" s="7">
        <f t="shared" si="371"/>
        <v>0</v>
      </c>
      <c r="K846" s="3"/>
      <c r="L846" s="8"/>
      <c r="M846" s="9"/>
      <c r="N846" s="10"/>
      <c r="O846" s="7">
        <f t="shared" si="392"/>
        <v>0</v>
      </c>
      <c r="P846" s="8"/>
      <c r="Q846" s="9"/>
      <c r="R846" s="10"/>
      <c r="S846" s="7">
        <f t="shared" si="393"/>
        <v>0</v>
      </c>
      <c r="T846" s="144"/>
    </row>
    <row r="847" spans="1:20" x14ac:dyDescent="0.15">
      <c r="A847" s="3"/>
      <c r="B847" s="8"/>
      <c r="C847" s="9"/>
      <c r="D847" s="10"/>
      <c r="E847" s="7">
        <f t="shared" si="370"/>
        <v>0</v>
      </c>
      <c r="F847" s="8"/>
      <c r="G847" s="9"/>
      <c r="H847" s="10"/>
      <c r="I847" s="7">
        <f t="shared" si="371"/>
        <v>0</v>
      </c>
      <c r="K847" s="3"/>
      <c r="L847" s="8"/>
      <c r="M847" s="9"/>
      <c r="N847" s="10"/>
      <c r="O847" s="7">
        <f t="shared" si="392"/>
        <v>0</v>
      </c>
      <c r="P847" s="8"/>
      <c r="Q847" s="9"/>
      <c r="R847" s="10"/>
      <c r="S847" s="7">
        <f t="shared" si="393"/>
        <v>0</v>
      </c>
      <c r="T847" s="144"/>
    </row>
    <row r="848" spans="1:20" x14ac:dyDescent="0.15">
      <c r="A848" s="3"/>
      <c r="B848" s="8"/>
      <c r="C848" s="9"/>
      <c r="D848" s="10"/>
      <c r="E848" s="7">
        <f t="shared" si="370"/>
        <v>0</v>
      </c>
      <c r="F848" s="8"/>
      <c r="G848" s="9"/>
      <c r="H848" s="10"/>
      <c r="I848" s="7">
        <f t="shared" si="371"/>
        <v>0</v>
      </c>
      <c r="K848" s="3"/>
      <c r="L848" s="8"/>
      <c r="M848" s="9"/>
      <c r="N848" s="10"/>
      <c r="O848" s="7">
        <f t="shared" si="392"/>
        <v>0</v>
      </c>
      <c r="P848" s="8"/>
      <c r="Q848" s="9"/>
      <c r="R848" s="10"/>
      <c r="S848" s="7">
        <f t="shared" si="393"/>
        <v>0</v>
      </c>
      <c r="T848" s="144"/>
    </row>
    <row r="849" spans="1:20" x14ac:dyDescent="0.15">
      <c r="A849" s="3"/>
      <c r="B849" s="8"/>
      <c r="C849" s="9"/>
      <c r="D849" s="10"/>
      <c r="E849" s="7">
        <f t="shared" si="370"/>
        <v>0</v>
      </c>
      <c r="F849" s="8"/>
      <c r="G849" s="9"/>
      <c r="H849" s="10"/>
      <c r="I849" s="7">
        <f t="shared" si="371"/>
        <v>0</v>
      </c>
      <c r="K849" s="3"/>
      <c r="L849" s="8"/>
      <c r="M849" s="9"/>
      <c r="N849" s="10"/>
      <c r="O849" s="7">
        <f t="shared" si="392"/>
        <v>0</v>
      </c>
      <c r="P849" s="8"/>
      <c r="Q849" s="9"/>
      <c r="R849" s="10"/>
      <c r="S849" s="7">
        <f t="shared" si="393"/>
        <v>0</v>
      </c>
      <c r="T849" s="144"/>
    </row>
    <row r="850" spans="1:20" x14ac:dyDescent="0.15">
      <c r="A850" s="3"/>
      <c r="B850" s="8"/>
      <c r="C850" s="9"/>
      <c r="D850" s="10"/>
      <c r="E850" s="7">
        <f t="shared" si="370"/>
        <v>0</v>
      </c>
      <c r="F850" s="8"/>
      <c r="G850" s="9"/>
      <c r="H850" s="10"/>
      <c r="I850" s="7">
        <f t="shared" si="371"/>
        <v>0</v>
      </c>
      <c r="K850" s="3"/>
      <c r="L850" s="8"/>
      <c r="M850" s="9"/>
      <c r="N850" s="10"/>
      <c r="O850" s="7">
        <f t="shared" si="392"/>
        <v>0</v>
      </c>
      <c r="P850" s="8"/>
      <c r="Q850" s="9"/>
      <c r="R850" s="10"/>
      <c r="S850" s="7">
        <f t="shared" si="393"/>
        <v>0</v>
      </c>
      <c r="T850" s="144"/>
    </row>
    <row r="851" spans="1:20" x14ac:dyDescent="0.15">
      <c r="A851" s="3"/>
      <c r="B851" s="8"/>
      <c r="C851" s="9"/>
      <c r="D851" s="10"/>
      <c r="E851" s="7">
        <f t="shared" si="370"/>
        <v>0</v>
      </c>
      <c r="F851" s="8"/>
      <c r="G851" s="9"/>
      <c r="H851" s="10"/>
      <c r="I851" s="7">
        <f t="shared" si="371"/>
        <v>0</v>
      </c>
      <c r="K851" s="3"/>
      <c r="L851" s="8"/>
      <c r="M851" s="9"/>
      <c r="N851" s="10"/>
      <c r="O851" s="7">
        <f t="shared" si="392"/>
        <v>0</v>
      </c>
      <c r="P851" s="8"/>
      <c r="Q851" s="9"/>
      <c r="R851" s="10"/>
      <c r="S851" s="7">
        <f t="shared" si="393"/>
        <v>0</v>
      </c>
      <c r="T851" s="144"/>
    </row>
    <row r="852" spans="1:20" x14ac:dyDescent="0.15">
      <c r="A852" s="3"/>
      <c r="B852" s="8"/>
      <c r="C852" s="9"/>
      <c r="D852" s="10"/>
      <c r="E852" s="7">
        <f t="shared" si="370"/>
        <v>0</v>
      </c>
      <c r="F852" s="8"/>
      <c r="G852" s="9"/>
      <c r="H852" s="10"/>
      <c r="I852" s="7">
        <f t="shared" si="371"/>
        <v>0</v>
      </c>
      <c r="K852" s="3"/>
      <c r="L852" s="8"/>
      <c r="M852" s="9"/>
      <c r="N852" s="10"/>
      <c r="O852" s="7">
        <f t="shared" si="392"/>
        <v>0</v>
      </c>
      <c r="P852" s="8"/>
      <c r="Q852" s="9"/>
      <c r="R852" s="10"/>
      <c r="S852" s="7">
        <f t="shared" si="393"/>
        <v>0</v>
      </c>
      <c r="T852" s="144"/>
    </row>
    <row r="853" spans="1:20" x14ac:dyDescent="0.15">
      <c r="A853" s="3"/>
      <c r="B853" s="8"/>
      <c r="C853" s="9"/>
      <c r="D853" s="10"/>
      <c r="E853" s="7">
        <f t="shared" si="370"/>
        <v>0</v>
      </c>
      <c r="F853" s="8"/>
      <c r="G853" s="9"/>
      <c r="H853" s="10"/>
      <c r="I853" s="7">
        <f t="shared" si="371"/>
        <v>0</v>
      </c>
      <c r="K853" s="3"/>
      <c r="L853" s="8"/>
      <c r="M853" s="9"/>
      <c r="N853" s="10"/>
      <c r="O853" s="7">
        <f t="shared" ref="O853" si="394">SUM(L853:N853)</f>
        <v>0</v>
      </c>
      <c r="P853" s="8"/>
      <c r="Q853" s="9"/>
      <c r="R853" s="10"/>
      <c r="S853" s="7">
        <f t="shared" ref="S853" si="395">SUM(P853:R853)</f>
        <v>0</v>
      </c>
      <c r="T853" s="151"/>
    </row>
    <row r="854" spans="1:20" x14ac:dyDescent="0.15">
      <c r="A854" s="3"/>
      <c r="B854" s="8"/>
      <c r="C854" s="9"/>
      <c r="D854" s="10"/>
      <c r="E854" s="7">
        <f t="shared" si="370"/>
        <v>0</v>
      </c>
      <c r="F854" s="8"/>
      <c r="G854" s="9"/>
      <c r="H854" s="10"/>
      <c r="I854" s="7">
        <f t="shared" si="371"/>
        <v>0</v>
      </c>
      <c r="K854" s="3" t="s">
        <v>522</v>
      </c>
      <c r="L854" s="8"/>
      <c r="M854" s="9"/>
      <c r="N854" s="10"/>
      <c r="O854" s="7">
        <f t="shared" ref="O854" si="396">SUM(L854:N854)</f>
        <v>0</v>
      </c>
      <c r="P854" s="8"/>
      <c r="Q854" s="9"/>
      <c r="R854" s="10"/>
      <c r="S854" s="7">
        <f t="shared" ref="S854" si="397">SUM(P854:R854)</f>
        <v>0</v>
      </c>
      <c r="T854" s="55" t="s">
        <v>510</v>
      </c>
    </row>
    <row r="855" spans="1:20" x14ac:dyDescent="0.15">
      <c r="A855" s="3"/>
      <c r="B855" s="8"/>
      <c r="C855" s="9"/>
      <c r="D855" s="10"/>
      <c r="E855" s="7">
        <f t="shared" si="370"/>
        <v>0</v>
      </c>
      <c r="F855" s="8"/>
      <c r="G855" s="9"/>
      <c r="H855" s="10"/>
      <c r="I855" s="7">
        <f t="shared" si="371"/>
        <v>0</v>
      </c>
      <c r="K855" s="32" t="s">
        <v>518</v>
      </c>
      <c r="L855" s="58"/>
      <c r="M855" s="59"/>
      <c r="N855" s="60"/>
      <c r="O855" s="61">
        <f t="shared" ref="O855:O856" si="398">SUM(L855:N855)</f>
        <v>0</v>
      </c>
      <c r="P855" s="58"/>
      <c r="Q855" s="59"/>
      <c r="R855" s="60"/>
      <c r="S855" s="61">
        <f t="shared" ref="S855:S856" si="399">SUM(P855:R855)</f>
        <v>0</v>
      </c>
      <c r="T855" s="62"/>
    </row>
    <row r="856" spans="1:20" ht="14.25" thickBot="1" x14ac:dyDescent="0.2">
      <c r="A856" s="3"/>
      <c r="B856" s="8"/>
      <c r="C856" s="9"/>
      <c r="D856" s="10"/>
      <c r="E856" s="7">
        <f t="shared" si="370"/>
        <v>0</v>
      </c>
      <c r="F856" s="8"/>
      <c r="G856" s="9"/>
      <c r="H856" s="10"/>
      <c r="I856" s="7">
        <f t="shared" si="371"/>
        <v>0</v>
      </c>
      <c r="K856" s="3" t="s">
        <v>493</v>
      </c>
      <c r="L856" s="8"/>
      <c r="M856" s="9"/>
      <c r="N856" s="10"/>
      <c r="O856" s="7">
        <f t="shared" si="398"/>
        <v>0</v>
      </c>
      <c r="P856" s="8"/>
      <c r="Q856" s="9"/>
      <c r="R856" s="10"/>
      <c r="S856" s="7">
        <f t="shared" si="399"/>
        <v>0</v>
      </c>
      <c r="T856" s="55" t="s">
        <v>492</v>
      </c>
    </row>
    <row r="857" spans="1:20" ht="14.25" thickBot="1" x14ac:dyDescent="0.2">
      <c r="A857" s="2" t="s">
        <v>5</v>
      </c>
      <c r="B857" s="12">
        <f>SUM(B833:B856)</f>
        <v>1</v>
      </c>
      <c r="C857" s="12">
        <f>SUM(C833:C856)</f>
        <v>1</v>
      </c>
      <c r="D857" s="12">
        <f>SUM(D833:D856)</f>
        <v>1</v>
      </c>
      <c r="E857" s="13">
        <f t="shared" si="370"/>
        <v>3</v>
      </c>
      <c r="F857" s="12">
        <f>SUM(F833:F856)</f>
        <v>1</v>
      </c>
      <c r="G857" s="12">
        <f>SUM(G833:G856)</f>
        <v>1</v>
      </c>
      <c r="H857" s="12">
        <f>SUM(H833:H856)</f>
        <v>1</v>
      </c>
      <c r="I857" s="13">
        <f t="shared" si="371"/>
        <v>3</v>
      </c>
      <c r="K857" s="2" t="s">
        <v>5</v>
      </c>
      <c r="L857" s="12">
        <f>SUM(L833:L856)</f>
        <v>19</v>
      </c>
      <c r="M857" s="12">
        <f>SUM(M833:M856)</f>
        <v>19</v>
      </c>
      <c r="N857" s="12">
        <f>SUM(N833:N856)</f>
        <v>19</v>
      </c>
      <c r="O857" s="13">
        <f t="shared" si="373"/>
        <v>57</v>
      </c>
      <c r="P857" s="12">
        <f>SUM(P833:P856)</f>
        <v>19</v>
      </c>
      <c r="Q857" s="12">
        <f>SUM(Q833:Q856)</f>
        <v>19</v>
      </c>
      <c r="R857" s="12">
        <f>SUM(R833:R856)</f>
        <v>19</v>
      </c>
      <c r="S857" s="13">
        <f t="shared" si="375"/>
        <v>57</v>
      </c>
    </row>
    <row r="858" spans="1:20" ht="14.25" thickBot="1" x14ac:dyDescent="0.2">
      <c r="A858" s="21" t="s">
        <v>6</v>
      </c>
      <c r="B858" s="22">
        <f t="shared" ref="B858:I858" si="400">B832-B857</f>
        <v>9</v>
      </c>
      <c r="C858" s="22">
        <f t="shared" si="400"/>
        <v>9</v>
      </c>
      <c r="D858" s="22">
        <f t="shared" si="400"/>
        <v>9</v>
      </c>
      <c r="E858" s="22">
        <f t="shared" si="400"/>
        <v>27</v>
      </c>
      <c r="F858" s="22">
        <f t="shared" si="400"/>
        <v>9</v>
      </c>
      <c r="G858" s="22">
        <f t="shared" si="400"/>
        <v>9</v>
      </c>
      <c r="H858" s="22">
        <f t="shared" si="400"/>
        <v>9</v>
      </c>
      <c r="I858" s="20">
        <f t="shared" si="400"/>
        <v>27</v>
      </c>
      <c r="K858" s="21" t="s">
        <v>6</v>
      </c>
      <c r="L858" s="22">
        <f>L832-L857</f>
        <v>130</v>
      </c>
      <c r="M858" s="22">
        <f t="shared" ref="M858:O858" si="401">M832-M857</f>
        <v>286</v>
      </c>
      <c r="N858" s="22">
        <f t="shared" si="401"/>
        <v>176</v>
      </c>
      <c r="O858" s="22">
        <f t="shared" si="401"/>
        <v>592</v>
      </c>
      <c r="P858" s="22">
        <f>P832-P857</f>
        <v>130</v>
      </c>
      <c r="Q858" s="22">
        <f>Q832-Q857</f>
        <v>286</v>
      </c>
      <c r="R858" s="22">
        <f>R832-R857</f>
        <v>176</v>
      </c>
      <c r="S858" s="20">
        <f t="shared" ref="S858" si="402">S832-S857</f>
        <v>592</v>
      </c>
    </row>
    <row r="859" spans="1:20" x14ac:dyDescent="0.15">
      <c r="L859" s="147">
        <f>L858/$O$858*100</f>
        <v>21.95945945945946</v>
      </c>
      <c r="M859" s="147">
        <f t="shared" ref="M859:O859" si="403">M858/$O$858*100</f>
        <v>48.310810810810814</v>
      </c>
      <c r="N859" s="147">
        <f t="shared" si="403"/>
        <v>29.72972972972973</v>
      </c>
      <c r="O859" s="147">
        <f t="shared" si="403"/>
        <v>100</v>
      </c>
    </row>
    <row r="860" spans="1:20" x14ac:dyDescent="0.15">
      <c r="L860" s="149">
        <f>L816/$O$816*100</f>
        <v>31.194690265486724</v>
      </c>
      <c r="M860" s="149">
        <f t="shared" ref="M860:O860" si="404">M816/$O$816*100</f>
        <v>39.749262536873161</v>
      </c>
      <c r="N860" s="149">
        <f t="shared" si="404"/>
        <v>29.056047197640115</v>
      </c>
      <c r="O860" s="149">
        <f t="shared" si="404"/>
        <v>100</v>
      </c>
    </row>
    <row r="861" spans="1:20" ht="21.75" thickBot="1" x14ac:dyDescent="0.25">
      <c r="A861" s="26" t="s">
        <v>509</v>
      </c>
      <c r="B861" s="27"/>
      <c r="C861" s="27"/>
      <c r="D861" s="27"/>
      <c r="E861" s="27"/>
      <c r="F861" s="28"/>
      <c r="G861" s="28"/>
      <c r="H861" s="28"/>
      <c r="I861" s="28"/>
      <c r="K861" s="26" t="s">
        <v>505</v>
      </c>
      <c r="L861" s="27"/>
      <c r="M861" s="27"/>
      <c r="N861" s="27"/>
      <c r="O861" s="27"/>
      <c r="P861" s="28"/>
      <c r="Q861" s="28"/>
      <c r="R861" s="28"/>
      <c r="S861" s="28"/>
    </row>
    <row r="862" spans="1:20" ht="14.25" thickBot="1" x14ac:dyDescent="0.2">
      <c r="A862" s="1" t="s">
        <v>0</v>
      </c>
      <c r="B862" s="183" t="s">
        <v>12</v>
      </c>
      <c r="C862" s="183"/>
      <c r="D862" s="183"/>
      <c r="E862" s="184"/>
      <c r="F862" s="183" t="s">
        <v>10</v>
      </c>
      <c r="G862" s="183"/>
      <c r="H862" s="183"/>
      <c r="I862" s="184"/>
      <c r="K862" s="1" t="s">
        <v>0</v>
      </c>
      <c r="L862" s="140" t="s">
        <v>12</v>
      </c>
      <c r="M862" s="140"/>
      <c r="N862" s="140"/>
      <c r="O862" s="141"/>
      <c r="P862" s="140" t="s">
        <v>10</v>
      </c>
      <c r="Q862" s="140"/>
      <c r="R862" s="140"/>
      <c r="S862" s="141"/>
    </row>
    <row r="863" spans="1:20" ht="14.25" thickBot="1" x14ac:dyDescent="0.2">
      <c r="A863" s="1" t="s">
        <v>1</v>
      </c>
      <c r="B863" s="2" t="s">
        <v>7</v>
      </c>
      <c r="C863" s="1" t="s">
        <v>8</v>
      </c>
      <c r="D863" s="15" t="s">
        <v>9</v>
      </c>
      <c r="E863" s="1" t="s">
        <v>2</v>
      </c>
      <c r="F863" s="2" t="s">
        <v>7</v>
      </c>
      <c r="G863" s="1" t="s">
        <v>8</v>
      </c>
      <c r="H863" s="15" t="s">
        <v>9</v>
      </c>
      <c r="I863" s="1" t="s">
        <v>2</v>
      </c>
      <c r="K863" s="1" t="s">
        <v>1</v>
      </c>
      <c r="L863" s="2" t="s">
        <v>7</v>
      </c>
      <c r="M863" s="1" t="s">
        <v>8</v>
      </c>
      <c r="N863" s="15" t="s">
        <v>9</v>
      </c>
      <c r="O863" s="1" t="s">
        <v>2</v>
      </c>
      <c r="P863" s="2" t="s">
        <v>7</v>
      </c>
      <c r="Q863" s="1" t="s">
        <v>8</v>
      </c>
      <c r="R863" s="15" t="s">
        <v>9</v>
      </c>
      <c r="S863" s="1" t="s">
        <v>2</v>
      </c>
    </row>
    <row r="864" spans="1:20" ht="14.25" thickBot="1" x14ac:dyDescent="0.2">
      <c r="A864" s="41" t="s">
        <v>13</v>
      </c>
      <c r="B864" s="42">
        <f>B858</f>
        <v>9</v>
      </c>
      <c r="C864" s="43">
        <f>C858</f>
        <v>9</v>
      </c>
      <c r="D864" s="44">
        <f>D858</f>
        <v>9</v>
      </c>
      <c r="E864" s="45">
        <f t="shared" ref="E864" si="405">SUM(B864:D864)</f>
        <v>27</v>
      </c>
      <c r="F864" s="42">
        <f>F858</f>
        <v>9</v>
      </c>
      <c r="G864" s="43">
        <f>G858</f>
        <v>9</v>
      </c>
      <c r="H864" s="44">
        <f>H858</f>
        <v>9</v>
      </c>
      <c r="I864" s="45">
        <f t="shared" ref="I864:I900" si="406">SUM(F864:H864)</f>
        <v>27</v>
      </c>
      <c r="K864" s="34" t="s">
        <v>13</v>
      </c>
      <c r="L864" s="35">
        <f>L858</f>
        <v>130</v>
      </c>
      <c r="M864" s="35">
        <f t="shared" ref="M864:N864" si="407">M858</f>
        <v>286</v>
      </c>
      <c r="N864" s="35">
        <f t="shared" si="407"/>
        <v>176</v>
      </c>
      <c r="O864" s="20">
        <f t="shared" ref="O864:O900" si="408">SUM(L864:N864)</f>
        <v>592</v>
      </c>
      <c r="P864" s="35">
        <f>P858</f>
        <v>130</v>
      </c>
      <c r="Q864" s="36">
        <f t="shared" ref="Q864:R864" si="409">Q858</f>
        <v>286</v>
      </c>
      <c r="R864" s="37">
        <f t="shared" si="409"/>
        <v>176</v>
      </c>
      <c r="S864" s="20">
        <f t="shared" ref="S864:S900" si="410">SUM(P864:R864)</f>
        <v>592</v>
      </c>
    </row>
    <row r="865" spans="1:22" x14ac:dyDescent="0.15">
      <c r="A865" s="6" t="s">
        <v>3</v>
      </c>
      <c r="B865" s="14"/>
      <c r="C865" s="11"/>
      <c r="D865" s="14"/>
      <c r="E865" s="4">
        <f t="shared" ref="E865" si="411">SUM(B865:D865)</f>
        <v>0</v>
      </c>
      <c r="F865" s="14"/>
      <c r="G865" s="11"/>
      <c r="H865" s="14"/>
      <c r="I865" s="4">
        <f t="shared" si="406"/>
        <v>0</v>
      </c>
      <c r="K865" s="5" t="s">
        <v>3</v>
      </c>
      <c r="L865" s="14"/>
      <c r="M865" s="11"/>
      <c r="N865" s="14"/>
      <c r="O865" s="4">
        <f t="shared" si="408"/>
        <v>0</v>
      </c>
      <c r="P865" s="14"/>
      <c r="Q865" s="11"/>
      <c r="R865" s="14"/>
      <c r="S865" s="4">
        <f t="shared" si="410"/>
        <v>0</v>
      </c>
    </row>
    <row r="866" spans="1:22" x14ac:dyDescent="0.15">
      <c r="A866" s="6" t="s">
        <v>3</v>
      </c>
      <c r="B866" s="14"/>
      <c r="C866" s="11"/>
      <c r="D866" s="14"/>
      <c r="E866" s="4">
        <f t="shared" ref="E866:E875" si="412">SUM(B866:D866)</f>
        <v>0</v>
      </c>
      <c r="F866" s="14"/>
      <c r="G866" s="11"/>
      <c r="H866" s="14"/>
      <c r="I866" s="4">
        <f t="shared" si="406"/>
        <v>0</v>
      </c>
      <c r="K866" s="5" t="s">
        <v>3</v>
      </c>
      <c r="L866" s="14"/>
      <c r="M866" s="11"/>
      <c r="N866" s="14"/>
      <c r="O866" s="4">
        <f t="shared" ref="O866:O874" si="413">SUM(L866:N866)</f>
        <v>0</v>
      </c>
      <c r="P866" s="14"/>
      <c r="Q866" s="11"/>
      <c r="R866" s="14"/>
      <c r="S866" s="4">
        <f t="shared" si="410"/>
        <v>0</v>
      </c>
    </row>
    <row r="867" spans="1:22" x14ac:dyDescent="0.15">
      <c r="A867" s="6" t="s">
        <v>3</v>
      </c>
      <c r="B867" s="14"/>
      <c r="C867" s="11"/>
      <c r="D867" s="14"/>
      <c r="E867" s="4">
        <f t="shared" si="412"/>
        <v>0</v>
      </c>
      <c r="F867" s="14"/>
      <c r="G867" s="11"/>
      <c r="H867" s="14"/>
      <c r="I867" s="4">
        <f t="shared" si="406"/>
        <v>0</v>
      </c>
      <c r="K867" s="5" t="s">
        <v>3</v>
      </c>
      <c r="L867" s="14"/>
      <c r="M867" s="11"/>
      <c r="N867" s="14"/>
      <c r="O867" s="4">
        <f t="shared" si="413"/>
        <v>0</v>
      </c>
      <c r="P867" s="14"/>
      <c r="Q867" s="11"/>
      <c r="R867" s="14"/>
      <c r="S867" s="4">
        <f t="shared" si="410"/>
        <v>0</v>
      </c>
    </row>
    <row r="868" spans="1:22" x14ac:dyDescent="0.15">
      <c r="A868" s="6" t="s">
        <v>3</v>
      </c>
      <c r="B868" s="14"/>
      <c r="C868" s="11"/>
      <c r="D868" s="14"/>
      <c r="E868" s="4">
        <f t="shared" si="412"/>
        <v>0</v>
      </c>
      <c r="F868" s="14"/>
      <c r="G868" s="11"/>
      <c r="H868" s="14"/>
      <c r="I868" s="4">
        <f t="shared" si="406"/>
        <v>0</v>
      </c>
      <c r="K868" s="5" t="s">
        <v>3</v>
      </c>
      <c r="L868" s="14"/>
      <c r="M868" s="11"/>
      <c r="N868" s="14"/>
      <c r="O868" s="4">
        <f t="shared" si="413"/>
        <v>0</v>
      </c>
      <c r="P868" s="14"/>
      <c r="Q868" s="11"/>
      <c r="R868" s="14"/>
      <c r="S868" s="4">
        <f t="shared" si="410"/>
        <v>0</v>
      </c>
    </row>
    <row r="869" spans="1:22" x14ac:dyDescent="0.15">
      <c r="A869" s="6" t="s">
        <v>3</v>
      </c>
      <c r="B869" s="14"/>
      <c r="C869" s="11"/>
      <c r="D869" s="14"/>
      <c r="E869" s="4">
        <f t="shared" si="412"/>
        <v>0</v>
      </c>
      <c r="F869" s="14"/>
      <c r="G869" s="11"/>
      <c r="H869" s="14"/>
      <c r="I869" s="4">
        <f t="shared" si="406"/>
        <v>0</v>
      </c>
      <c r="K869" s="5" t="s">
        <v>3</v>
      </c>
      <c r="L869" s="14"/>
      <c r="M869" s="11"/>
      <c r="N869" s="14"/>
      <c r="O869" s="4">
        <f t="shared" si="413"/>
        <v>0</v>
      </c>
      <c r="P869" s="14"/>
      <c r="Q869" s="11"/>
      <c r="R869" s="14"/>
      <c r="S869" s="4">
        <f t="shared" si="410"/>
        <v>0</v>
      </c>
    </row>
    <row r="870" spans="1:22" x14ac:dyDescent="0.15">
      <c r="A870" s="6" t="s">
        <v>3</v>
      </c>
      <c r="B870" s="14"/>
      <c r="C870" s="11"/>
      <c r="D870" s="14"/>
      <c r="E870" s="4">
        <f t="shared" si="412"/>
        <v>0</v>
      </c>
      <c r="F870" s="14"/>
      <c r="G870" s="11"/>
      <c r="H870" s="14"/>
      <c r="I870" s="4">
        <f t="shared" si="406"/>
        <v>0</v>
      </c>
      <c r="K870" s="5" t="s">
        <v>3</v>
      </c>
      <c r="L870" s="14"/>
      <c r="M870" s="11"/>
      <c r="N870" s="14"/>
      <c r="O870" s="4">
        <f t="shared" si="413"/>
        <v>0</v>
      </c>
      <c r="P870" s="14"/>
      <c r="Q870" s="11"/>
      <c r="R870" s="14"/>
      <c r="S870" s="4">
        <f t="shared" si="410"/>
        <v>0</v>
      </c>
    </row>
    <row r="871" spans="1:22" x14ac:dyDescent="0.15">
      <c r="A871" s="6" t="s">
        <v>3</v>
      </c>
      <c r="B871" s="14"/>
      <c r="C871" s="11"/>
      <c r="D871" s="14"/>
      <c r="E871" s="4">
        <f t="shared" si="412"/>
        <v>0</v>
      </c>
      <c r="F871" s="14"/>
      <c r="G871" s="11"/>
      <c r="H871" s="14"/>
      <c r="I871" s="4">
        <f t="shared" si="406"/>
        <v>0</v>
      </c>
      <c r="K871" s="5" t="s">
        <v>3</v>
      </c>
      <c r="L871" s="14"/>
      <c r="M871" s="11"/>
      <c r="N871" s="14"/>
      <c r="O871" s="4">
        <f t="shared" si="413"/>
        <v>0</v>
      </c>
      <c r="P871" s="14"/>
      <c r="Q871" s="11"/>
      <c r="R871" s="14"/>
      <c r="S871" s="4">
        <f t="shared" si="410"/>
        <v>0</v>
      </c>
    </row>
    <row r="872" spans="1:22" x14ac:dyDescent="0.15">
      <c r="A872" s="6" t="s">
        <v>3</v>
      </c>
      <c r="B872" s="23"/>
      <c r="C872" s="24"/>
      <c r="D872" s="25"/>
      <c r="E872" s="7">
        <f t="shared" si="412"/>
        <v>0</v>
      </c>
      <c r="F872" s="23"/>
      <c r="G872" s="24"/>
      <c r="H872" s="25"/>
      <c r="I872" s="7">
        <f t="shared" si="406"/>
        <v>0</v>
      </c>
      <c r="K872" s="5" t="s">
        <v>3</v>
      </c>
      <c r="L872" s="23"/>
      <c r="M872" s="24"/>
      <c r="N872" s="25"/>
      <c r="O872" s="7">
        <f t="shared" si="413"/>
        <v>0</v>
      </c>
      <c r="P872" s="23"/>
      <c r="Q872" s="24"/>
      <c r="R872" s="25"/>
      <c r="S872" s="7">
        <f t="shared" si="410"/>
        <v>0</v>
      </c>
    </row>
    <row r="873" spans="1:22" x14ac:dyDescent="0.15">
      <c r="A873" s="6" t="s">
        <v>3</v>
      </c>
      <c r="B873" s="23"/>
      <c r="C873" s="24"/>
      <c r="D873" s="25"/>
      <c r="E873" s="7">
        <f t="shared" si="412"/>
        <v>0</v>
      </c>
      <c r="F873" s="23"/>
      <c r="G873" s="24"/>
      <c r="H873" s="25"/>
      <c r="I873" s="7">
        <f t="shared" si="406"/>
        <v>0</v>
      </c>
      <c r="K873" s="5" t="s">
        <v>3</v>
      </c>
      <c r="L873" s="23"/>
      <c r="M873" s="24"/>
      <c r="N873" s="25"/>
      <c r="O873" s="7">
        <f t="shared" si="413"/>
        <v>0</v>
      </c>
      <c r="P873" s="23"/>
      <c r="Q873" s="24"/>
      <c r="R873" s="25"/>
      <c r="S873" s="7">
        <f t="shared" si="410"/>
        <v>0</v>
      </c>
    </row>
    <row r="874" spans="1:22" ht="14.25" thickBot="1" x14ac:dyDescent="0.2">
      <c r="A874" s="6" t="s">
        <v>3</v>
      </c>
      <c r="B874" s="29"/>
      <c r="C874" s="30"/>
      <c r="D874" s="29"/>
      <c r="E874" s="16">
        <f t="shared" si="412"/>
        <v>0</v>
      </c>
      <c r="F874" s="29"/>
      <c r="G874" s="30"/>
      <c r="H874" s="29"/>
      <c r="I874" s="16">
        <f t="shared" si="406"/>
        <v>0</v>
      </c>
      <c r="K874" s="33" t="s">
        <v>3</v>
      </c>
      <c r="L874" s="29"/>
      <c r="M874" s="30"/>
      <c r="N874" s="29"/>
      <c r="O874" s="16">
        <f t="shared" si="413"/>
        <v>0</v>
      </c>
      <c r="P874" s="29"/>
      <c r="Q874" s="30"/>
      <c r="R874" s="29"/>
      <c r="S874" s="16">
        <f t="shared" si="410"/>
        <v>0</v>
      </c>
    </row>
    <row r="875" spans="1:22" ht="14.25" thickBot="1" x14ac:dyDescent="0.2">
      <c r="A875" s="17" t="s">
        <v>4</v>
      </c>
      <c r="B875" s="18">
        <f>SUM(B864:B874)</f>
        <v>9</v>
      </c>
      <c r="C875" s="18">
        <f>SUM(C864:C874)</f>
        <v>9</v>
      </c>
      <c r="D875" s="19">
        <f>SUM(D864:D874)</f>
        <v>9</v>
      </c>
      <c r="E875" s="20">
        <f t="shared" si="412"/>
        <v>27</v>
      </c>
      <c r="F875" s="18">
        <f>SUM(F864:F874)</f>
        <v>9</v>
      </c>
      <c r="G875" s="18">
        <f>SUM(G864:G874)</f>
        <v>9</v>
      </c>
      <c r="H875" s="19">
        <f>SUM(H864:H874)</f>
        <v>9</v>
      </c>
      <c r="I875" s="20">
        <f t="shared" si="406"/>
        <v>27</v>
      </c>
      <c r="K875" s="17" t="s">
        <v>4</v>
      </c>
      <c r="L875" s="18">
        <f>SUM(L864:L874)</f>
        <v>130</v>
      </c>
      <c r="M875" s="18">
        <f>SUM(M864:M874)</f>
        <v>286</v>
      </c>
      <c r="N875" s="18">
        <f>SUM(N864:N874)</f>
        <v>176</v>
      </c>
      <c r="O875" s="20">
        <f t="shared" si="408"/>
        <v>592</v>
      </c>
      <c r="P875" s="18">
        <f>SUM(P864:P874)</f>
        <v>130</v>
      </c>
      <c r="Q875" s="18">
        <f>SUM(Q864:Q874)</f>
        <v>286</v>
      </c>
      <c r="R875" s="19">
        <f>SUM(R864:R874)</f>
        <v>176</v>
      </c>
      <c r="S875" s="20">
        <f t="shared" si="410"/>
        <v>592</v>
      </c>
    </row>
    <row r="876" spans="1:22" x14ac:dyDescent="0.15">
      <c r="A876" s="3"/>
      <c r="B876" s="8"/>
      <c r="C876" s="9"/>
      <c r="D876" s="10"/>
      <c r="E876" s="7">
        <f t="shared" ref="E876:E880" si="414">SUM(B876:D876)</f>
        <v>0</v>
      </c>
      <c r="F876" s="8"/>
      <c r="G876" s="9"/>
      <c r="H876" s="10"/>
      <c r="I876" s="7">
        <f t="shared" si="406"/>
        <v>0</v>
      </c>
      <c r="J876" s="55"/>
      <c r="K876" s="3" t="s">
        <v>545</v>
      </c>
      <c r="L876" s="8">
        <v>5</v>
      </c>
      <c r="M876" s="9">
        <v>5</v>
      </c>
      <c r="N876" s="10">
        <v>5</v>
      </c>
      <c r="O876" s="7">
        <f t="shared" ref="O876:O878" si="415">SUM(L876:N876)</f>
        <v>15</v>
      </c>
      <c r="P876" s="8">
        <v>5</v>
      </c>
      <c r="Q876" s="9">
        <v>5</v>
      </c>
      <c r="R876" s="10">
        <v>5</v>
      </c>
      <c r="S876" s="7">
        <f t="shared" ref="S876:S878" si="416">SUM(P876:R876)</f>
        <v>15</v>
      </c>
      <c r="T876" s="47">
        <v>45761</v>
      </c>
      <c r="U876" s="54"/>
    </row>
    <row r="877" spans="1:22" x14ac:dyDescent="0.15">
      <c r="A877" s="3"/>
      <c r="B877" s="8"/>
      <c r="C877" s="9"/>
      <c r="D877" s="10"/>
      <c r="E877" s="7">
        <f t="shared" si="414"/>
        <v>0</v>
      </c>
      <c r="F877" s="8"/>
      <c r="G877" s="9"/>
      <c r="H877" s="10"/>
      <c r="I877" s="7">
        <f t="shared" si="406"/>
        <v>0</v>
      </c>
      <c r="J877" s="55"/>
      <c r="K877" s="3" t="s">
        <v>573</v>
      </c>
      <c r="L877" s="8">
        <v>19</v>
      </c>
      <c r="M877" s="9">
        <v>30</v>
      </c>
      <c r="N877" s="10">
        <v>20</v>
      </c>
      <c r="O877" s="7">
        <f t="shared" si="415"/>
        <v>69</v>
      </c>
      <c r="P877" s="8">
        <v>19</v>
      </c>
      <c r="Q877" s="9">
        <v>30</v>
      </c>
      <c r="R877" s="10">
        <v>20</v>
      </c>
      <c r="S877" s="7">
        <f t="shared" si="416"/>
        <v>69</v>
      </c>
      <c r="T877" s="47">
        <v>45765</v>
      </c>
    </row>
    <row r="878" spans="1:22" x14ac:dyDescent="0.15">
      <c r="A878" s="3"/>
      <c r="B878" s="8"/>
      <c r="C878" s="9"/>
      <c r="D878" s="10"/>
      <c r="E878" s="7">
        <f t="shared" si="414"/>
        <v>0</v>
      </c>
      <c r="F878" s="8"/>
      <c r="G878" s="9"/>
      <c r="H878" s="10"/>
      <c r="I878" s="7">
        <f t="shared" si="406"/>
        <v>0</v>
      </c>
      <c r="J878" s="55"/>
      <c r="K878" s="3" t="s">
        <v>546</v>
      </c>
      <c r="L878" s="8">
        <v>15</v>
      </c>
      <c r="M878" s="9">
        <v>20</v>
      </c>
      <c r="N878" s="10">
        <v>10</v>
      </c>
      <c r="O878" s="7">
        <f t="shared" si="415"/>
        <v>45</v>
      </c>
      <c r="P878" s="8">
        <v>15</v>
      </c>
      <c r="Q878" s="9">
        <v>20</v>
      </c>
      <c r="R878" s="10">
        <v>10</v>
      </c>
      <c r="S878" s="7">
        <f t="shared" si="416"/>
        <v>45</v>
      </c>
      <c r="T878" s="47">
        <v>45768</v>
      </c>
      <c r="U878" s="54"/>
      <c r="V878" s="54"/>
    </row>
    <row r="879" spans="1:22" x14ac:dyDescent="0.15">
      <c r="A879" s="3"/>
      <c r="B879" s="8"/>
      <c r="C879" s="9"/>
      <c r="D879" s="10"/>
      <c r="E879" s="7">
        <f t="shared" si="414"/>
        <v>0</v>
      </c>
      <c r="F879" s="8"/>
      <c r="G879" s="9"/>
      <c r="H879" s="10"/>
      <c r="I879" s="7">
        <f t="shared" si="406"/>
        <v>0</v>
      </c>
      <c r="J879" s="55"/>
      <c r="K879" s="3" t="s">
        <v>547</v>
      </c>
      <c r="L879" s="8">
        <v>30</v>
      </c>
      <c r="M879" s="9">
        <v>20</v>
      </c>
      <c r="N879" s="10">
        <v>5</v>
      </c>
      <c r="O879" s="7">
        <f t="shared" si="408"/>
        <v>55</v>
      </c>
      <c r="P879" s="8">
        <v>30</v>
      </c>
      <c r="Q879" s="9">
        <v>20</v>
      </c>
      <c r="R879" s="10">
        <v>5</v>
      </c>
      <c r="S879" s="7">
        <f t="shared" si="410"/>
        <v>55</v>
      </c>
      <c r="T879" s="47">
        <v>45775</v>
      </c>
      <c r="U879" s="54"/>
      <c r="V879" s="54"/>
    </row>
    <row r="880" spans="1:22" x14ac:dyDescent="0.15">
      <c r="A880" s="3"/>
      <c r="B880" s="8"/>
      <c r="C880" s="9"/>
      <c r="D880" s="10"/>
      <c r="E880" s="7">
        <f t="shared" si="414"/>
        <v>0</v>
      </c>
      <c r="F880" s="8"/>
      <c r="G880" s="9"/>
      <c r="H880" s="10"/>
      <c r="I880" s="7">
        <f t="shared" si="406"/>
        <v>0</v>
      </c>
      <c r="J880" s="55"/>
      <c r="K880" s="3" t="s">
        <v>548</v>
      </c>
      <c r="L880" s="8">
        <v>8</v>
      </c>
      <c r="M880" s="9">
        <v>15</v>
      </c>
      <c r="N880" s="10">
        <v>6</v>
      </c>
      <c r="O880" s="7">
        <f t="shared" ref="O880:O896" si="417">SUM(L880:N880)</f>
        <v>29</v>
      </c>
      <c r="P880" s="8">
        <v>8</v>
      </c>
      <c r="Q880" s="9">
        <v>15</v>
      </c>
      <c r="R880" s="10">
        <v>6</v>
      </c>
      <c r="S880" s="7">
        <f t="shared" ref="S880:S896" si="418">SUM(P880:R880)</f>
        <v>29</v>
      </c>
      <c r="T880" s="47">
        <v>45776</v>
      </c>
    </row>
    <row r="881" spans="1:19" x14ac:dyDescent="0.15">
      <c r="A881" s="3"/>
      <c r="B881" s="8"/>
      <c r="C881" s="9"/>
      <c r="D881" s="10"/>
      <c r="E881" s="7">
        <f t="shared" ref="E881:E900" si="419">SUM(B881:D881)</f>
        <v>0</v>
      </c>
      <c r="F881" s="8"/>
      <c r="G881" s="9"/>
      <c r="H881" s="10"/>
      <c r="I881" s="7">
        <f t="shared" si="406"/>
        <v>0</v>
      </c>
      <c r="J881" s="55"/>
      <c r="K881" s="3"/>
      <c r="L881" s="8"/>
      <c r="M881" s="9"/>
      <c r="N881" s="10"/>
      <c r="O881" s="7">
        <f t="shared" ref="O881:O882" si="420">SUM(L881:N881)</f>
        <v>0</v>
      </c>
      <c r="P881" s="8"/>
      <c r="Q881" s="9"/>
      <c r="R881" s="10"/>
      <c r="S881" s="7">
        <f t="shared" ref="S881:S882" si="421">SUM(P881:R881)</f>
        <v>0</v>
      </c>
    </row>
    <row r="882" spans="1:19" x14ac:dyDescent="0.15">
      <c r="A882" s="3"/>
      <c r="B882" s="8"/>
      <c r="C882" s="9"/>
      <c r="D882" s="10"/>
      <c r="E882" s="7">
        <f t="shared" si="419"/>
        <v>0</v>
      </c>
      <c r="F882" s="8"/>
      <c r="G882" s="9"/>
      <c r="H882" s="10"/>
      <c r="I882" s="7">
        <f t="shared" si="406"/>
        <v>0</v>
      </c>
      <c r="J882" s="55"/>
      <c r="K882" s="3"/>
      <c r="L882" s="8"/>
      <c r="M882" s="9"/>
      <c r="N882" s="10"/>
      <c r="O882" s="7">
        <f t="shared" si="420"/>
        <v>0</v>
      </c>
      <c r="P882" s="8"/>
      <c r="Q882" s="9"/>
      <c r="R882" s="10"/>
      <c r="S882" s="7">
        <f t="shared" si="421"/>
        <v>0</v>
      </c>
    </row>
    <row r="883" spans="1:19" x14ac:dyDescent="0.15">
      <c r="A883" s="3"/>
      <c r="B883" s="8"/>
      <c r="C883" s="9"/>
      <c r="D883" s="10"/>
      <c r="E883" s="7">
        <f t="shared" si="419"/>
        <v>0</v>
      </c>
      <c r="F883" s="8"/>
      <c r="G883" s="9"/>
      <c r="H883" s="10"/>
      <c r="I883" s="7">
        <f t="shared" si="406"/>
        <v>0</v>
      </c>
      <c r="J883" s="55"/>
      <c r="K883" s="3"/>
      <c r="L883" s="8"/>
      <c r="M883" s="9"/>
      <c r="N883" s="10"/>
      <c r="O883" s="7">
        <f t="shared" si="417"/>
        <v>0</v>
      </c>
      <c r="P883" s="8"/>
      <c r="Q883" s="9"/>
      <c r="R883" s="10"/>
      <c r="S883" s="7">
        <f t="shared" si="418"/>
        <v>0</v>
      </c>
    </row>
    <row r="884" spans="1:19" x14ac:dyDescent="0.15">
      <c r="A884" s="3"/>
      <c r="B884" s="8"/>
      <c r="C884" s="9"/>
      <c r="D884" s="10"/>
      <c r="E884" s="7">
        <f t="shared" si="419"/>
        <v>0</v>
      </c>
      <c r="F884" s="8"/>
      <c r="G884" s="9"/>
      <c r="H884" s="10"/>
      <c r="I884" s="7">
        <f t="shared" si="406"/>
        <v>0</v>
      </c>
      <c r="J884" s="55"/>
      <c r="K884" s="3"/>
      <c r="L884" s="8"/>
      <c r="M884" s="9"/>
      <c r="N884" s="10"/>
      <c r="O884" s="7">
        <f t="shared" si="417"/>
        <v>0</v>
      </c>
      <c r="P884" s="8"/>
      <c r="Q884" s="9"/>
      <c r="R884" s="10"/>
      <c r="S884" s="7">
        <f t="shared" si="418"/>
        <v>0</v>
      </c>
    </row>
    <row r="885" spans="1:19" x14ac:dyDescent="0.15">
      <c r="A885" s="3"/>
      <c r="B885" s="8"/>
      <c r="C885" s="9"/>
      <c r="D885" s="10"/>
      <c r="E885" s="7">
        <f t="shared" si="419"/>
        <v>0</v>
      </c>
      <c r="F885" s="8"/>
      <c r="G885" s="9"/>
      <c r="H885" s="10"/>
      <c r="I885" s="7">
        <f t="shared" si="406"/>
        <v>0</v>
      </c>
      <c r="J885" s="55"/>
      <c r="K885" s="3"/>
      <c r="L885" s="8"/>
      <c r="M885" s="9"/>
      <c r="N885" s="10"/>
      <c r="O885" s="7">
        <f t="shared" si="417"/>
        <v>0</v>
      </c>
      <c r="P885" s="8"/>
      <c r="Q885" s="9"/>
      <c r="R885" s="10"/>
      <c r="S885" s="7">
        <f t="shared" si="418"/>
        <v>0</v>
      </c>
    </row>
    <row r="886" spans="1:19" x14ac:dyDescent="0.15">
      <c r="A886" s="3"/>
      <c r="B886" s="8"/>
      <c r="C886" s="9"/>
      <c r="D886" s="10"/>
      <c r="E886" s="7">
        <f t="shared" si="419"/>
        <v>0</v>
      </c>
      <c r="F886" s="8"/>
      <c r="G886" s="9"/>
      <c r="H886" s="10"/>
      <c r="I886" s="7">
        <f t="shared" si="406"/>
        <v>0</v>
      </c>
      <c r="K886" s="3"/>
      <c r="L886" s="8"/>
      <c r="M886" s="9"/>
      <c r="N886" s="10"/>
      <c r="O886" s="7">
        <f t="shared" si="417"/>
        <v>0</v>
      </c>
      <c r="P886" s="8"/>
      <c r="Q886" s="9"/>
      <c r="R886" s="10"/>
      <c r="S886" s="7">
        <f t="shared" si="418"/>
        <v>0</v>
      </c>
    </row>
    <row r="887" spans="1:19" x14ac:dyDescent="0.15">
      <c r="A887" s="3"/>
      <c r="B887" s="8"/>
      <c r="C887" s="9"/>
      <c r="D887" s="10"/>
      <c r="E887" s="7">
        <f t="shared" si="419"/>
        <v>0</v>
      </c>
      <c r="F887" s="8"/>
      <c r="G887" s="9"/>
      <c r="H887" s="10"/>
      <c r="I887" s="7">
        <f t="shared" si="406"/>
        <v>0</v>
      </c>
      <c r="K887" s="3"/>
      <c r="L887" s="8"/>
      <c r="M887" s="9"/>
      <c r="N887" s="10"/>
      <c r="O887" s="7">
        <f t="shared" si="417"/>
        <v>0</v>
      </c>
      <c r="P887" s="8"/>
      <c r="Q887" s="9"/>
      <c r="R887" s="10"/>
      <c r="S887" s="7">
        <f t="shared" si="418"/>
        <v>0</v>
      </c>
    </row>
    <row r="888" spans="1:19" x14ac:dyDescent="0.15">
      <c r="A888" s="3"/>
      <c r="B888" s="8"/>
      <c r="C888" s="9"/>
      <c r="D888" s="10"/>
      <c r="E888" s="7">
        <f t="shared" si="419"/>
        <v>0</v>
      </c>
      <c r="F888" s="8"/>
      <c r="G888" s="9"/>
      <c r="H888" s="10"/>
      <c r="I888" s="7">
        <f t="shared" si="406"/>
        <v>0</v>
      </c>
      <c r="K888" s="3"/>
      <c r="L888" s="8"/>
      <c r="M888" s="9"/>
      <c r="N888" s="10"/>
      <c r="O888" s="7">
        <f t="shared" si="417"/>
        <v>0</v>
      </c>
      <c r="P888" s="8"/>
      <c r="Q888" s="9"/>
      <c r="R888" s="10"/>
      <c r="S888" s="7">
        <f t="shared" si="418"/>
        <v>0</v>
      </c>
    </row>
    <row r="889" spans="1:19" x14ac:dyDescent="0.15">
      <c r="A889" s="3"/>
      <c r="B889" s="8"/>
      <c r="C889" s="9"/>
      <c r="D889" s="10"/>
      <c r="E889" s="7">
        <f t="shared" si="419"/>
        <v>0</v>
      </c>
      <c r="F889" s="8"/>
      <c r="G889" s="9"/>
      <c r="H889" s="10"/>
      <c r="I889" s="7">
        <f t="shared" si="406"/>
        <v>0</v>
      </c>
      <c r="K889" s="3"/>
      <c r="L889" s="8"/>
      <c r="M889" s="9"/>
      <c r="N889" s="10"/>
      <c r="O889" s="7">
        <f t="shared" si="417"/>
        <v>0</v>
      </c>
      <c r="P889" s="8"/>
      <c r="Q889" s="9"/>
      <c r="R889" s="10"/>
      <c r="S889" s="7">
        <f t="shared" si="418"/>
        <v>0</v>
      </c>
    </row>
    <row r="890" spans="1:19" x14ac:dyDescent="0.15">
      <c r="A890" s="3"/>
      <c r="B890" s="8"/>
      <c r="C890" s="9"/>
      <c r="D890" s="10"/>
      <c r="E890" s="7">
        <f t="shared" si="419"/>
        <v>0</v>
      </c>
      <c r="F890" s="8"/>
      <c r="G890" s="9"/>
      <c r="H890" s="10"/>
      <c r="I890" s="7">
        <f t="shared" si="406"/>
        <v>0</v>
      </c>
      <c r="K890" s="3"/>
      <c r="L890" s="8"/>
      <c r="M890" s="9"/>
      <c r="N890" s="10"/>
      <c r="O890" s="7">
        <f t="shared" si="417"/>
        <v>0</v>
      </c>
      <c r="P890" s="8"/>
      <c r="Q890" s="9"/>
      <c r="R890" s="10"/>
      <c r="S890" s="7">
        <f t="shared" si="418"/>
        <v>0</v>
      </c>
    </row>
    <row r="891" spans="1:19" x14ac:dyDescent="0.15">
      <c r="A891" s="3"/>
      <c r="B891" s="8"/>
      <c r="C891" s="9"/>
      <c r="D891" s="10"/>
      <c r="E891" s="7">
        <f t="shared" si="419"/>
        <v>0</v>
      </c>
      <c r="F891" s="8"/>
      <c r="G891" s="9"/>
      <c r="H891" s="10"/>
      <c r="I891" s="7">
        <f t="shared" si="406"/>
        <v>0</v>
      </c>
      <c r="K891" s="3"/>
      <c r="L891" s="8"/>
      <c r="M891" s="9"/>
      <c r="N891" s="10"/>
      <c r="O891" s="7">
        <f t="shared" si="417"/>
        <v>0</v>
      </c>
      <c r="P891" s="8"/>
      <c r="Q891" s="9"/>
      <c r="R891" s="10"/>
      <c r="S891" s="7">
        <f t="shared" si="418"/>
        <v>0</v>
      </c>
    </row>
    <row r="892" spans="1:19" x14ac:dyDescent="0.15">
      <c r="A892" s="3"/>
      <c r="B892" s="8"/>
      <c r="C892" s="9"/>
      <c r="D892" s="10"/>
      <c r="E892" s="7">
        <f t="shared" si="419"/>
        <v>0</v>
      </c>
      <c r="F892" s="8"/>
      <c r="G892" s="9"/>
      <c r="H892" s="10"/>
      <c r="I892" s="7">
        <f t="shared" si="406"/>
        <v>0</v>
      </c>
      <c r="K892" s="3"/>
      <c r="L892" s="8"/>
      <c r="M892" s="9"/>
      <c r="N892" s="10"/>
      <c r="O892" s="7">
        <f t="shared" si="417"/>
        <v>0</v>
      </c>
      <c r="P892" s="8"/>
      <c r="Q892" s="9"/>
      <c r="R892" s="10"/>
      <c r="S892" s="7">
        <f t="shared" si="418"/>
        <v>0</v>
      </c>
    </row>
    <row r="893" spans="1:19" x14ac:dyDescent="0.15">
      <c r="A893" s="3"/>
      <c r="B893" s="8"/>
      <c r="C893" s="9"/>
      <c r="D893" s="10"/>
      <c r="E893" s="7">
        <f t="shared" si="419"/>
        <v>0</v>
      </c>
      <c r="F893" s="8"/>
      <c r="G893" s="9"/>
      <c r="H893" s="10"/>
      <c r="I893" s="7">
        <f t="shared" si="406"/>
        <v>0</v>
      </c>
      <c r="K893" s="3"/>
      <c r="L893" s="8"/>
      <c r="M893" s="9"/>
      <c r="N893" s="10"/>
      <c r="O893" s="7">
        <f t="shared" si="417"/>
        <v>0</v>
      </c>
      <c r="P893" s="8"/>
      <c r="Q893" s="9"/>
      <c r="R893" s="10"/>
      <c r="S893" s="7">
        <f t="shared" si="418"/>
        <v>0</v>
      </c>
    </row>
    <row r="894" spans="1:19" x14ac:dyDescent="0.15">
      <c r="A894" s="3"/>
      <c r="B894" s="8"/>
      <c r="C894" s="9"/>
      <c r="D894" s="10"/>
      <c r="E894" s="7">
        <f t="shared" si="419"/>
        <v>0</v>
      </c>
      <c r="F894" s="8"/>
      <c r="G894" s="9"/>
      <c r="H894" s="10"/>
      <c r="I894" s="7">
        <f t="shared" si="406"/>
        <v>0</v>
      </c>
      <c r="K894" s="3"/>
      <c r="L894" s="8"/>
      <c r="M894" s="9"/>
      <c r="N894" s="10"/>
      <c r="O894" s="7">
        <f t="shared" si="417"/>
        <v>0</v>
      </c>
      <c r="P894" s="8"/>
      <c r="Q894" s="9"/>
      <c r="R894" s="10"/>
      <c r="S894" s="7">
        <f t="shared" si="418"/>
        <v>0</v>
      </c>
    </row>
    <row r="895" spans="1:19" x14ac:dyDescent="0.15">
      <c r="A895" s="3"/>
      <c r="B895" s="8"/>
      <c r="C895" s="9"/>
      <c r="D895" s="10"/>
      <c r="E895" s="7">
        <f t="shared" si="419"/>
        <v>0</v>
      </c>
      <c r="F895" s="8"/>
      <c r="G895" s="9"/>
      <c r="H895" s="10"/>
      <c r="I895" s="7">
        <f t="shared" si="406"/>
        <v>0</v>
      </c>
      <c r="K895" s="3"/>
      <c r="L895" s="8"/>
      <c r="M895" s="9"/>
      <c r="N895" s="10"/>
      <c r="O895" s="7">
        <f t="shared" si="417"/>
        <v>0</v>
      </c>
      <c r="P895" s="8"/>
      <c r="Q895" s="9"/>
      <c r="R895" s="10"/>
      <c r="S895" s="7">
        <f t="shared" si="418"/>
        <v>0</v>
      </c>
    </row>
    <row r="896" spans="1:19" x14ac:dyDescent="0.15">
      <c r="A896" s="3"/>
      <c r="B896" s="8"/>
      <c r="C896" s="9"/>
      <c r="D896" s="10"/>
      <c r="E896" s="7">
        <f t="shared" si="419"/>
        <v>0</v>
      </c>
      <c r="F896" s="8"/>
      <c r="G896" s="9"/>
      <c r="H896" s="10"/>
      <c r="I896" s="7">
        <f t="shared" si="406"/>
        <v>0</v>
      </c>
      <c r="K896" s="3"/>
      <c r="L896" s="8"/>
      <c r="M896" s="9"/>
      <c r="N896" s="10"/>
      <c r="O896" s="7">
        <f t="shared" si="417"/>
        <v>0</v>
      </c>
      <c r="P896" s="8"/>
      <c r="Q896" s="9"/>
      <c r="R896" s="10"/>
      <c r="S896" s="7">
        <f t="shared" si="418"/>
        <v>0</v>
      </c>
    </row>
    <row r="897" spans="1:21" x14ac:dyDescent="0.15">
      <c r="A897" s="3"/>
      <c r="B897" s="8"/>
      <c r="C897" s="9"/>
      <c r="D897" s="10"/>
      <c r="E897" s="7">
        <f t="shared" si="419"/>
        <v>0</v>
      </c>
      <c r="F897" s="8"/>
      <c r="G897" s="9"/>
      <c r="H897" s="10"/>
      <c r="I897" s="7">
        <f t="shared" si="406"/>
        <v>0</v>
      </c>
      <c r="K897" s="3" t="s">
        <v>523</v>
      </c>
      <c r="L897" s="8"/>
      <c r="M897" s="9"/>
      <c r="N897" s="10"/>
      <c r="O897" s="7">
        <f t="shared" ref="O897" si="422">SUM(L897:N897)</f>
        <v>0</v>
      </c>
      <c r="P897" s="8"/>
      <c r="Q897" s="9"/>
      <c r="R897" s="10"/>
      <c r="S897" s="7">
        <f t="shared" ref="S897" si="423">SUM(P897:R897)</f>
        <v>0</v>
      </c>
      <c r="T897" s="55" t="s">
        <v>31</v>
      </c>
    </row>
    <row r="898" spans="1:21" x14ac:dyDescent="0.15">
      <c r="A898" s="3"/>
      <c r="B898" s="8"/>
      <c r="C898" s="9"/>
      <c r="D898" s="10"/>
      <c r="E898" s="7">
        <f t="shared" si="419"/>
        <v>0</v>
      </c>
      <c r="F898" s="8"/>
      <c r="G898" s="9"/>
      <c r="H898" s="10"/>
      <c r="I898" s="7">
        <f t="shared" si="406"/>
        <v>0</v>
      </c>
      <c r="K898" s="32" t="s">
        <v>517</v>
      </c>
      <c r="L898" s="58"/>
      <c r="M898" s="59"/>
      <c r="N898" s="60"/>
      <c r="O898" s="61">
        <f t="shared" ref="O898:O899" si="424">SUM(L898:N898)</f>
        <v>0</v>
      </c>
      <c r="P898" s="58"/>
      <c r="Q898" s="59"/>
      <c r="R898" s="60"/>
      <c r="S898" s="61">
        <f t="shared" ref="S898:S899" si="425">SUM(P898:R898)</f>
        <v>0</v>
      </c>
      <c r="T898" s="62"/>
    </row>
    <row r="899" spans="1:21" ht="14.25" thickBot="1" x14ac:dyDescent="0.2">
      <c r="A899" s="3"/>
      <c r="B899" s="8"/>
      <c r="C899" s="9"/>
      <c r="D899" s="10"/>
      <c r="E899" s="7">
        <f t="shared" si="419"/>
        <v>0</v>
      </c>
      <c r="F899" s="8"/>
      <c r="G899" s="9"/>
      <c r="H899" s="10"/>
      <c r="I899" s="7">
        <f t="shared" si="406"/>
        <v>0</v>
      </c>
      <c r="K899" s="3" t="s">
        <v>515</v>
      </c>
      <c r="L899" s="8"/>
      <c r="M899" s="9"/>
      <c r="N899" s="10"/>
      <c r="O899" s="7">
        <f t="shared" si="424"/>
        <v>0</v>
      </c>
      <c r="P899" s="8"/>
      <c r="Q899" s="9"/>
      <c r="R899" s="10"/>
      <c r="S899" s="7">
        <f t="shared" si="425"/>
        <v>0</v>
      </c>
      <c r="T899" s="55" t="s">
        <v>516</v>
      </c>
    </row>
    <row r="900" spans="1:21" ht="14.25" thickBot="1" x14ac:dyDescent="0.2">
      <c r="A900" s="2" t="s">
        <v>5</v>
      </c>
      <c r="B900" s="12">
        <f>SUM(B876:B899)</f>
        <v>0</v>
      </c>
      <c r="C900" s="12">
        <f>SUM(C876:C899)</f>
        <v>0</v>
      </c>
      <c r="D900" s="12">
        <f>SUM(D876:D899)</f>
        <v>0</v>
      </c>
      <c r="E900" s="13">
        <f t="shared" si="419"/>
        <v>0</v>
      </c>
      <c r="F900" s="12">
        <f>SUM(F876:F899)</f>
        <v>0</v>
      </c>
      <c r="G900" s="12">
        <f>SUM(G876:G899)</f>
        <v>0</v>
      </c>
      <c r="H900" s="12">
        <f>SUM(H876:H899)</f>
        <v>0</v>
      </c>
      <c r="I900" s="13">
        <f t="shared" si="406"/>
        <v>0</v>
      </c>
      <c r="K900" s="2" t="s">
        <v>5</v>
      </c>
      <c r="L900" s="12">
        <f>SUM(L876:L899)</f>
        <v>77</v>
      </c>
      <c r="M900" s="12">
        <f>SUM(M876:M899)</f>
        <v>90</v>
      </c>
      <c r="N900" s="12">
        <f>SUM(N876:N899)</f>
        <v>46</v>
      </c>
      <c r="O900" s="13">
        <f t="shared" si="408"/>
        <v>213</v>
      </c>
      <c r="P900" s="12">
        <f>SUM(P876:P899)</f>
        <v>77</v>
      </c>
      <c r="Q900" s="12">
        <f>SUM(Q876:Q899)</f>
        <v>90</v>
      </c>
      <c r="R900" s="12">
        <f>SUM(R876:R899)</f>
        <v>46</v>
      </c>
      <c r="S900" s="13">
        <f t="shared" si="410"/>
        <v>213</v>
      </c>
    </row>
    <row r="901" spans="1:21" ht="14.25" thickBot="1" x14ac:dyDescent="0.2">
      <c r="A901" s="21" t="s">
        <v>6</v>
      </c>
      <c r="B901" s="22">
        <f t="shared" ref="B901:I901" si="426">B875-B900</f>
        <v>9</v>
      </c>
      <c r="C901" s="22">
        <f t="shared" si="426"/>
        <v>9</v>
      </c>
      <c r="D901" s="22">
        <f t="shared" si="426"/>
        <v>9</v>
      </c>
      <c r="E901" s="22">
        <f t="shared" si="426"/>
        <v>27</v>
      </c>
      <c r="F901" s="22">
        <f t="shared" si="426"/>
        <v>9</v>
      </c>
      <c r="G901" s="22">
        <f t="shared" si="426"/>
        <v>9</v>
      </c>
      <c r="H901" s="22">
        <f t="shared" si="426"/>
        <v>9</v>
      </c>
      <c r="I901" s="20">
        <f t="shared" si="426"/>
        <v>27</v>
      </c>
      <c r="K901" s="21" t="s">
        <v>6</v>
      </c>
      <c r="L901" s="22">
        <f>L875-L900</f>
        <v>53</v>
      </c>
      <c r="M901" s="22">
        <f t="shared" ref="M901:O901" si="427">M875-M900</f>
        <v>196</v>
      </c>
      <c r="N901" s="22">
        <f t="shared" si="427"/>
        <v>130</v>
      </c>
      <c r="O901" s="22">
        <f t="shared" si="427"/>
        <v>379</v>
      </c>
      <c r="P901" s="22">
        <f>P875-P900</f>
        <v>53</v>
      </c>
      <c r="Q901" s="22">
        <f>Q875-Q900</f>
        <v>196</v>
      </c>
      <c r="R901" s="22">
        <f>R875-R900</f>
        <v>130</v>
      </c>
      <c r="S901" s="20">
        <f t="shared" ref="S901" si="428">S875-S900</f>
        <v>379</v>
      </c>
    </row>
    <row r="904" spans="1:21" ht="21.75" thickBot="1" x14ac:dyDescent="0.25">
      <c r="A904" s="26" t="s">
        <v>509</v>
      </c>
      <c r="B904" s="27"/>
      <c r="C904" s="27"/>
      <c r="D904" s="27"/>
      <c r="E904" s="27"/>
      <c r="F904" s="28"/>
      <c r="G904" s="28"/>
      <c r="H904" s="28"/>
      <c r="I904" s="28"/>
      <c r="K904" s="26" t="s">
        <v>505</v>
      </c>
      <c r="L904" s="27"/>
      <c r="M904" s="27"/>
      <c r="N904" s="27"/>
      <c r="O904" s="27"/>
      <c r="P904" s="28"/>
      <c r="Q904" s="28"/>
      <c r="R904" s="28"/>
      <c r="S904" s="28"/>
    </row>
    <row r="905" spans="1:21" ht="14.25" thickBot="1" x14ac:dyDescent="0.2">
      <c r="A905" s="1" t="s">
        <v>0</v>
      </c>
      <c r="B905" s="183" t="s">
        <v>12</v>
      </c>
      <c r="C905" s="183"/>
      <c r="D905" s="183"/>
      <c r="E905" s="184"/>
      <c r="F905" s="183" t="s">
        <v>10</v>
      </c>
      <c r="G905" s="183"/>
      <c r="H905" s="183"/>
      <c r="I905" s="184"/>
      <c r="K905" s="1" t="s">
        <v>0</v>
      </c>
      <c r="L905" s="140" t="s">
        <v>12</v>
      </c>
      <c r="M905" s="140"/>
      <c r="N905" s="140"/>
      <c r="O905" s="141"/>
      <c r="P905" s="140" t="s">
        <v>10</v>
      </c>
      <c r="Q905" s="140"/>
      <c r="R905" s="140"/>
      <c r="S905" s="141"/>
    </row>
    <row r="906" spans="1:21" ht="14.25" thickBot="1" x14ac:dyDescent="0.2">
      <c r="A906" s="1" t="s">
        <v>1</v>
      </c>
      <c r="B906" s="2" t="s">
        <v>7</v>
      </c>
      <c r="C906" s="1" t="s">
        <v>8</v>
      </c>
      <c r="D906" s="15" t="s">
        <v>9</v>
      </c>
      <c r="E906" s="1" t="s">
        <v>2</v>
      </c>
      <c r="F906" s="2" t="s">
        <v>7</v>
      </c>
      <c r="G906" s="1" t="s">
        <v>8</v>
      </c>
      <c r="H906" s="15" t="s">
        <v>9</v>
      </c>
      <c r="I906" s="1" t="s">
        <v>2</v>
      </c>
      <c r="K906" s="1" t="s">
        <v>1</v>
      </c>
      <c r="L906" s="2" t="s">
        <v>7</v>
      </c>
      <c r="M906" s="1" t="s">
        <v>8</v>
      </c>
      <c r="N906" s="15" t="s">
        <v>9</v>
      </c>
      <c r="O906" s="1" t="s">
        <v>2</v>
      </c>
      <c r="P906" s="2" t="s">
        <v>7</v>
      </c>
      <c r="Q906" s="1" t="s">
        <v>8</v>
      </c>
      <c r="R906" s="15" t="s">
        <v>9</v>
      </c>
      <c r="S906" s="1" t="s">
        <v>2</v>
      </c>
    </row>
    <row r="907" spans="1:21" ht="14.25" thickBot="1" x14ac:dyDescent="0.2">
      <c r="A907" s="41" t="s">
        <v>13</v>
      </c>
      <c r="B907" s="42">
        <f>B901</f>
        <v>9</v>
      </c>
      <c r="C907" s="43">
        <f>C901</f>
        <v>9</v>
      </c>
      <c r="D907" s="44">
        <f>D901</f>
        <v>9</v>
      </c>
      <c r="E907" s="45">
        <f t="shared" ref="E907" si="429">SUM(B907:D907)</f>
        <v>27</v>
      </c>
      <c r="F907" s="42">
        <f>F901</f>
        <v>9</v>
      </c>
      <c r="G907" s="43">
        <f>G901</f>
        <v>9</v>
      </c>
      <c r="H907" s="44">
        <f>H901</f>
        <v>9</v>
      </c>
      <c r="I907" s="45">
        <f t="shared" ref="I907:I943" si="430">SUM(F907:H907)</f>
        <v>27</v>
      </c>
      <c r="K907" s="34" t="s">
        <v>13</v>
      </c>
      <c r="L907" s="35">
        <f>L901</f>
        <v>53</v>
      </c>
      <c r="M907" s="35">
        <f t="shared" ref="M907:N907" si="431">M901</f>
        <v>196</v>
      </c>
      <c r="N907" s="35">
        <f t="shared" si="431"/>
        <v>130</v>
      </c>
      <c r="O907" s="20">
        <f t="shared" ref="O907:O908" si="432">SUM(L907:N907)</f>
        <v>379</v>
      </c>
      <c r="P907" s="35">
        <f>P901</f>
        <v>53</v>
      </c>
      <c r="Q907" s="36">
        <f t="shared" ref="Q907:R907" si="433">Q901</f>
        <v>196</v>
      </c>
      <c r="R907" s="37">
        <f t="shared" si="433"/>
        <v>130</v>
      </c>
      <c r="S907" s="20">
        <f t="shared" ref="S907:S943" si="434">SUM(P907:R907)</f>
        <v>379</v>
      </c>
    </row>
    <row r="908" spans="1:21" x14ac:dyDescent="0.15">
      <c r="A908" s="6" t="s">
        <v>3</v>
      </c>
      <c r="B908" s="14"/>
      <c r="C908" s="11"/>
      <c r="D908" s="14"/>
      <c r="E908" s="4">
        <f t="shared" ref="E908" si="435">SUM(B908:D908)</f>
        <v>0</v>
      </c>
      <c r="F908" s="14"/>
      <c r="G908" s="11"/>
      <c r="H908" s="14"/>
      <c r="I908" s="4">
        <f t="shared" si="430"/>
        <v>0</v>
      </c>
      <c r="K908" s="5" t="s">
        <v>3</v>
      </c>
      <c r="L908" s="14"/>
      <c r="M908" s="11"/>
      <c r="N908" s="14"/>
      <c r="O908" s="4">
        <f t="shared" si="432"/>
        <v>0</v>
      </c>
      <c r="P908" s="14"/>
      <c r="Q908" s="11"/>
      <c r="R908" s="14"/>
      <c r="S908" s="4">
        <f t="shared" si="434"/>
        <v>0</v>
      </c>
    </row>
    <row r="909" spans="1:21" x14ac:dyDescent="0.15">
      <c r="A909" s="6" t="s">
        <v>3</v>
      </c>
      <c r="B909" s="14"/>
      <c r="C909" s="11"/>
      <c r="D909" s="14"/>
      <c r="E909" s="4">
        <f t="shared" ref="E909:E918" si="436">SUM(B909:D909)</f>
        <v>0</v>
      </c>
      <c r="F909" s="14"/>
      <c r="G909" s="11"/>
      <c r="H909" s="14"/>
      <c r="I909" s="4">
        <f t="shared" si="430"/>
        <v>0</v>
      </c>
      <c r="K909" s="5" t="s">
        <v>3</v>
      </c>
      <c r="L909" s="14"/>
      <c r="M909" s="11"/>
      <c r="N909" s="14"/>
      <c r="O909" s="4">
        <f t="shared" ref="O909:O917" si="437">SUM(L909:N909)</f>
        <v>0</v>
      </c>
      <c r="P909" s="14"/>
      <c r="Q909" s="11"/>
      <c r="R909" s="14"/>
      <c r="S909" s="4">
        <f t="shared" si="434"/>
        <v>0</v>
      </c>
    </row>
    <row r="910" spans="1:21" x14ac:dyDescent="0.15">
      <c r="A910" s="6" t="s">
        <v>3</v>
      </c>
      <c r="B910" s="14"/>
      <c r="C910" s="11"/>
      <c r="D910" s="14"/>
      <c r="E910" s="4">
        <f t="shared" si="436"/>
        <v>0</v>
      </c>
      <c r="F910" s="14"/>
      <c r="G910" s="11"/>
      <c r="H910" s="14"/>
      <c r="I910" s="4">
        <f t="shared" si="430"/>
        <v>0</v>
      </c>
      <c r="K910" s="5" t="s">
        <v>506</v>
      </c>
      <c r="L910" s="14">
        <v>50</v>
      </c>
      <c r="M910" s="11">
        <v>50</v>
      </c>
      <c r="N910" s="14">
        <v>40</v>
      </c>
      <c r="O910" s="4">
        <f t="shared" ref="O910" si="438">SUM(L910:N910)</f>
        <v>140</v>
      </c>
      <c r="P910" s="14">
        <v>50</v>
      </c>
      <c r="Q910" s="11">
        <v>50</v>
      </c>
      <c r="R910" s="14">
        <v>40</v>
      </c>
      <c r="S910" s="4">
        <f t="shared" ref="S910" si="439">SUM(P910:R910)</f>
        <v>140</v>
      </c>
      <c r="T910" s="47" t="s">
        <v>549</v>
      </c>
      <c r="U910" s="54"/>
    </row>
    <row r="911" spans="1:21" x14ac:dyDescent="0.15">
      <c r="A911" s="6" t="s">
        <v>3</v>
      </c>
      <c r="B911" s="14"/>
      <c r="C911" s="11"/>
      <c r="D911" s="14"/>
      <c r="E911" s="4">
        <f t="shared" si="436"/>
        <v>0</v>
      </c>
      <c r="F911" s="14"/>
      <c r="G911" s="11"/>
      <c r="H911" s="14"/>
      <c r="I911" s="4">
        <f t="shared" si="430"/>
        <v>0</v>
      </c>
      <c r="K911" s="5" t="s">
        <v>3</v>
      </c>
      <c r="L911" s="14"/>
      <c r="M911" s="11"/>
      <c r="N911" s="14"/>
      <c r="O911" s="4">
        <f t="shared" si="437"/>
        <v>0</v>
      </c>
      <c r="P911" s="14"/>
      <c r="Q911" s="11"/>
      <c r="R911" s="14"/>
      <c r="S911" s="4">
        <f t="shared" si="434"/>
        <v>0</v>
      </c>
    </row>
    <row r="912" spans="1:21" x14ac:dyDescent="0.15">
      <c r="A912" s="6" t="s">
        <v>3</v>
      </c>
      <c r="B912" s="14"/>
      <c r="C912" s="11"/>
      <c r="D912" s="14"/>
      <c r="E912" s="4">
        <f t="shared" si="436"/>
        <v>0</v>
      </c>
      <c r="F912" s="14"/>
      <c r="G912" s="11"/>
      <c r="H912" s="14"/>
      <c r="I912" s="4">
        <f t="shared" si="430"/>
        <v>0</v>
      </c>
      <c r="K912" s="5" t="s">
        <v>3</v>
      </c>
      <c r="L912" s="14"/>
      <c r="M912" s="11"/>
      <c r="N912" s="14"/>
      <c r="O912" s="4">
        <f t="shared" si="437"/>
        <v>0</v>
      </c>
      <c r="P912" s="14"/>
      <c r="Q912" s="11"/>
      <c r="R912" s="14"/>
      <c r="S912" s="4">
        <f t="shared" si="434"/>
        <v>0</v>
      </c>
    </row>
    <row r="913" spans="1:22" x14ac:dyDescent="0.15">
      <c r="A913" s="6" t="s">
        <v>3</v>
      </c>
      <c r="B913" s="14"/>
      <c r="C913" s="11"/>
      <c r="D913" s="14"/>
      <c r="E913" s="4">
        <f t="shared" si="436"/>
        <v>0</v>
      </c>
      <c r="F913" s="14"/>
      <c r="G913" s="11"/>
      <c r="H913" s="14"/>
      <c r="I913" s="4">
        <f t="shared" si="430"/>
        <v>0</v>
      </c>
      <c r="K913" s="5" t="s">
        <v>507</v>
      </c>
      <c r="L913" s="14">
        <v>120</v>
      </c>
      <c r="M913" s="11">
        <v>110</v>
      </c>
      <c r="N913" s="14">
        <v>80</v>
      </c>
      <c r="O913" s="4">
        <f t="shared" ref="O913" si="440">SUM(L913:N913)</f>
        <v>310</v>
      </c>
      <c r="P913" s="14">
        <v>120</v>
      </c>
      <c r="Q913" s="11">
        <v>110</v>
      </c>
      <c r="R913" s="14">
        <v>80</v>
      </c>
      <c r="S913" s="4">
        <f t="shared" ref="S913" si="441">SUM(P913:R913)</f>
        <v>310</v>
      </c>
      <c r="T913" s="47" t="s">
        <v>558</v>
      </c>
    </row>
    <row r="914" spans="1:22" x14ac:dyDescent="0.15">
      <c r="A914" s="6" t="s">
        <v>3</v>
      </c>
      <c r="B914" s="14"/>
      <c r="C914" s="11"/>
      <c r="D914" s="14"/>
      <c r="E914" s="4">
        <f t="shared" si="436"/>
        <v>0</v>
      </c>
      <c r="F914" s="14"/>
      <c r="G914" s="11"/>
      <c r="H914" s="14"/>
      <c r="I914" s="4">
        <f t="shared" si="430"/>
        <v>0</v>
      </c>
      <c r="K914" s="5" t="s">
        <v>3</v>
      </c>
      <c r="L914" s="14"/>
      <c r="M914" s="11"/>
      <c r="N914" s="14"/>
      <c r="O914" s="4">
        <f t="shared" si="437"/>
        <v>0</v>
      </c>
      <c r="P914" s="14"/>
      <c r="Q914" s="11"/>
      <c r="R914" s="14"/>
      <c r="S914" s="4">
        <f t="shared" si="434"/>
        <v>0</v>
      </c>
    </row>
    <row r="915" spans="1:22" x14ac:dyDescent="0.15">
      <c r="A915" s="6" t="s">
        <v>3</v>
      </c>
      <c r="B915" s="23"/>
      <c r="C915" s="24"/>
      <c r="D915" s="25"/>
      <c r="E915" s="7">
        <f t="shared" si="436"/>
        <v>0</v>
      </c>
      <c r="F915" s="23"/>
      <c r="G915" s="24"/>
      <c r="H915" s="25"/>
      <c r="I915" s="7">
        <f t="shared" si="430"/>
        <v>0</v>
      </c>
      <c r="K915" s="5" t="s">
        <v>3</v>
      </c>
      <c r="L915" s="23"/>
      <c r="M915" s="24"/>
      <c r="N915" s="25"/>
      <c r="O915" s="7">
        <f t="shared" si="437"/>
        <v>0</v>
      </c>
      <c r="P915" s="23"/>
      <c r="Q915" s="24"/>
      <c r="R915" s="25"/>
      <c r="S915" s="7">
        <f t="shared" si="434"/>
        <v>0</v>
      </c>
    </row>
    <row r="916" spans="1:22" x14ac:dyDescent="0.15">
      <c r="A916" s="6" t="s">
        <v>3</v>
      </c>
      <c r="B916" s="23"/>
      <c r="C916" s="24"/>
      <c r="D916" s="25"/>
      <c r="E916" s="7">
        <f t="shared" si="436"/>
        <v>0</v>
      </c>
      <c r="F916" s="23"/>
      <c r="G916" s="24"/>
      <c r="H916" s="25"/>
      <c r="I916" s="7">
        <f t="shared" si="430"/>
        <v>0</v>
      </c>
      <c r="K916" s="5" t="s">
        <v>3</v>
      </c>
      <c r="L916" s="23"/>
      <c r="M916" s="24"/>
      <c r="N916" s="25"/>
      <c r="O916" s="7">
        <f t="shared" si="437"/>
        <v>0</v>
      </c>
      <c r="P916" s="23"/>
      <c r="Q916" s="24"/>
      <c r="R916" s="25"/>
      <c r="S916" s="7">
        <f t="shared" si="434"/>
        <v>0</v>
      </c>
    </row>
    <row r="917" spans="1:22" ht="14.25" thickBot="1" x14ac:dyDescent="0.2">
      <c r="A917" s="6" t="s">
        <v>3</v>
      </c>
      <c r="B917" s="29"/>
      <c r="C917" s="30"/>
      <c r="D917" s="29"/>
      <c r="E917" s="16">
        <f t="shared" si="436"/>
        <v>0</v>
      </c>
      <c r="F917" s="29"/>
      <c r="G917" s="30"/>
      <c r="H917" s="29"/>
      <c r="I917" s="16">
        <f t="shared" si="430"/>
        <v>0</v>
      </c>
      <c r="K917" s="33" t="s">
        <v>3</v>
      </c>
      <c r="L917" s="29"/>
      <c r="M917" s="30"/>
      <c r="N917" s="29"/>
      <c r="O917" s="16">
        <f t="shared" si="437"/>
        <v>0</v>
      </c>
      <c r="P917" s="29"/>
      <c r="Q917" s="30"/>
      <c r="R917" s="29"/>
      <c r="S917" s="16">
        <f t="shared" si="434"/>
        <v>0</v>
      </c>
    </row>
    <row r="918" spans="1:22" ht="14.25" thickBot="1" x14ac:dyDescent="0.2">
      <c r="A918" s="17" t="s">
        <v>4</v>
      </c>
      <c r="B918" s="18">
        <f>SUM(B907:B917)</f>
        <v>9</v>
      </c>
      <c r="C918" s="18">
        <f>SUM(C907:C917)</f>
        <v>9</v>
      </c>
      <c r="D918" s="19">
        <f>SUM(D907:D917)</f>
        <v>9</v>
      </c>
      <c r="E918" s="20">
        <f t="shared" si="436"/>
        <v>27</v>
      </c>
      <c r="F918" s="18">
        <f>SUM(F907:F917)</f>
        <v>9</v>
      </c>
      <c r="G918" s="18">
        <f>SUM(G907:G917)</f>
        <v>9</v>
      </c>
      <c r="H918" s="19">
        <f>SUM(H907:H917)</f>
        <v>9</v>
      </c>
      <c r="I918" s="20">
        <f t="shared" si="430"/>
        <v>27</v>
      </c>
      <c r="K918" s="17" t="s">
        <v>4</v>
      </c>
      <c r="L918" s="18">
        <f>SUM(L907:L917)</f>
        <v>223</v>
      </c>
      <c r="M918" s="18">
        <f>SUM(M907:M917)</f>
        <v>356</v>
      </c>
      <c r="N918" s="18">
        <f>SUM(N907:N917)</f>
        <v>250</v>
      </c>
      <c r="O918" s="20">
        <f t="shared" ref="O918:O943" si="442">SUM(L918:N918)</f>
        <v>829</v>
      </c>
      <c r="P918" s="18">
        <f>SUM(P907:P917)</f>
        <v>223</v>
      </c>
      <c r="Q918" s="18">
        <f>SUM(Q907:Q917)</f>
        <v>356</v>
      </c>
      <c r="R918" s="19">
        <f>SUM(R907:R917)</f>
        <v>250</v>
      </c>
      <c r="S918" s="20">
        <f t="shared" si="434"/>
        <v>829</v>
      </c>
    </row>
    <row r="919" spans="1:22" x14ac:dyDescent="0.15">
      <c r="A919" s="3"/>
      <c r="B919" s="8"/>
      <c r="C919" s="9"/>
      <c r="D919" s="10"/>
      <c r="E919" s="7">
        <f t="shared" ref="E919:E923" si="443">SUM(B919:D919)</f>
        <v>0</v>
      </c>
      <c r="F919" s="8"/>
      <c r="G919" s="9"/>
      <c r="H919" s="10"/>
      <c r="I919" s="7">
        <f t="shared" si="430"/>
        <v>0</v>
      </c>
      <c r="J919" s="55"/>
      <c r="K919" s="3" t="s">
        <v>550</v>
      </c>
      <c r="L919" s="8"/>
      <c r="M919" s="9"/>
      <c r="N919" s="10">
        <v>2</v>
      </c>
      <c r="O919" s="7">
        <f t="shared" si="442"/>
        <v>2</v>
      </c>
      <c r="P919" s="8"/>
      <c r="Q919" s="9"/>
      <c r="R919" s="10">
        <v>2</v>
      </c>
      <c r="S919" s="7">
        <f t="shared" si="434"/>
        <v>2</v>
      </c>
      <c r="T919" s="47">
        <v>45797</v>
      </c>
    </row>
    <row r="920" spans="1:22" x14ac:dyDescent="0.15">
      <c r="A920" s="3"/>
      <c r="B920" s="8"/>
      <c r="C920" s="9"/>
      <c r="D920" s="10"/>
      <c r="E920" s="7">
        <f t="shared" si="443"/>
        <v>0</v>
      </c>
      <c r="F920" s="8"/>
      <c r="G920" s="9"/>
      <c r="H920" s="10"/>
      <c r="I920" s="7">
        <f t="shared" si="430"/>
        <v>0</v>
      </c>
      <c r="J920" s="55"/>
      <c r="K920" s="3" t="s">
        <v>552</v>
      </c>
      <c r="L920" s="8">
        <v>15</v>
      </c>
      <c r="M920" s="9">
        <v>20</v>
      </c>
      <c r="N920" s="10">
        <v>10</v>
      </c>
      <c r="O920" s="7">
        <f t="shared" si="442"/>
        <v>45</v>
      </c>
      <c r="P920" s="8">
        <v>15</v>
      </c>
      <c r="Q920" s="9">
        <v>20</v>
      </c>
      <c r="R920" s="10">
        <v>10</v>
      </c>
      <c r="S920" s="7">
        <f t="shared" si="434"/>
        <v>45</v>
      </c>
      <c r="T920" s="47">
        <v>45800</v>
      </c>
    </row>
    <row r="921" spans="1:22" x14ac:dyDescent="0.15">
      <c r="A921" s="3"/>
      <c r="B921" s="8"/>
      <c r="C921" s="9"/>
      <c r="D921" s="10"/>
      <c r="E921" s="7">
        <f t="shared" si="443"/>
        <v>0</v>
      </c>
      <c r="F921" s="8"/>
      <c r="G921" s="9"/>
      <c r="H921" s="10"/>
      <c r="I921" s="7">
        <f t="shared" si="430"/>
        <v>0</v>
      </c>
      <c r="J921" s="55"/>
      <c r="K921" s="3" t="s">
        <v>572</v>
      </c>
      <c r="L921" s="8">
        <v>24</v>
      </c>
      <c r="M921" s="9">
        <v>32</v>
      </c>
      <c r="N921" s="10">
        <v>22</v>
      </c>
      <c r="O921" s="7">
        <f t="shared" si="442"/>
        <v>78</v>
      </c>
      <c r="P921" s="8">
        <v>24</v>
      </c>
      <c r="Q921" s="9">
        <v>32</v>
      </c>
      <c r="R921" s="10">
        <v>22</v>
      </c>
      <c r="S921" s="7">
        <f t="shared" si="434"/>
        <v>78</v>
      </c>
      <c r="T921" s="47">
        <v>45799</v>
      </c>
      <c r="U921" s="54"/>
    </row>
    <row r="922" spans="1:22" x14ac:dyDescent="0.15">
      <c r="A922" s="3"/>
      <c r="B922" s="8"/>
      <c r="C922" s="9"/>
      <c r="D922" s="10"/>
      <c r="E922" s="7">
        <f t="shared" si="443"/>
        <v>0</v>
      </c>
      <c r="F922" s="8"/>
      <c r="G922" s="9"/>
      <c r="H922" s="10"/>
      <c r="I922" s="7">
        <f t="shared" si="430"/>
        <v>0</v>
      </c>
      <c r="J922" s="55"/>
      <c r="K922" s="3" t="s">
        <v>553</v>
      </c>
      <c r="L922" s="8"/>
      <c r="M922" s="9">
        <v>5</v>
      </c>
      <c r="N922" s="10">
        <v>5</v>
      </c>
      <c r="O922" s="7">
        <f t="shared" si="442"/>
        <v>10</v>
      </c>
      <c r="P922" s="8"/>
      <c r="Q922" s="9">
        <v>5</v>
      </c>
      <c r="R922" s="10">
        <v>5</v>
      </c>
      <c r="S922" s="7">
        <f t="shared" si="434"/>
        <v>10</v>
      </c>
      <c r="T922" s="47">
        <v>45811</v>
      </c>
    </row>
    <row r="923" spans="1:22" x14ac:dyDescent="0.15">
      <c r="A923" s="3"/>
      <c r="B923" s="8"/>
      <c r="C923" s="9"/>
      <c r="D923" s="10"/>
      <c r="E923" s="7">
        <f t="shared" si="443"/>
        <v>0</v>
      </c>
      <c r="F923" s="8"/>
      <c r="G923" s="9"/>
      <c r="H923" s="10"/>
      <c r="I923" s="7">
        <f t="shared" si="430"/>
        <v>0</v>
      </c>
      <c r="J923" s="55"/>
      <c r="K923" s="3" t="s">
        <v>571</v>
      </c>
      <c r="L923" s="8"/>
      <c r="M923" s="9">
        <v>2</v>
      </c>
      <c r="N923" s="10"/>
      <c r="O923" s="7">
        <f t="shared" si="442"/>
        <v>2</v>
      </c>
      <c r="P923" s="8"/>
      <c r="Q923" s="9">
        <v>2</v>
      </c>
      <c r="R923" s="10"/>
      <c r="S923" s="7">
        <f t="shared" si="434"/>
        <v>2</v>
      </c>
      <c r="T923" s="47">
        <v>45803</v>
      </c>
      <c r="U923" s="54"/>
    </row>
    <row r="924" spans="1:22" x14ac:dyDescent="0.15">
      <c r="A924" s="3"/>
      <c r="B924" s="8"/>
      <c r="C924" s="9"/>
      <c r="D924" s="10"/>
      <c r="E924" s="7">
        <f t="shared" ref="E924:E943" si="444">SUM(B924:D924)</f>
        <v>0</v>
      </c>
      <c r="F924" s="8"/>
      <c r="G924" s="9"/>
      <c r="H924" s="10"/>
      <c r="I924" s="7">
        <f t="shared" si="430"/>
        <v>0</v>
      </c>
      <c r="J924" s="55"/>
      <c r="K924" s="3" t="s">
        <v>570</v>
      </c>
      <c r="L924" s="8">
        <v>5</v>
      </c>
      <c r="M924" s="9">
        <v>3</v>
      </c>
      <c r="N924" s="10"/>
      <c r="O924" s="7">
        <f t="shared" si="442"/>
        <v>8</v>
      </c>
      <c r="P924" s="8">
        <v>5</v>
      </c>
      <c r="Q924" s="9">
        <v>3</v>
      </c>
      <c r="R924" s="10"/>
      <c r="S924" s="7">
        <f t="shared" si="434"/>
        <v>8</v>
      </c>
      <c r="T924" s="47">
        <v>45810</v>
      </c>
      <c r="U924" s="54"/>
    </row>
    <row r="925" spans="1:22" x14ac:dyDescent="0.15">
      <c r="A925" s="3"/>
      <c r="B925" s="8"/>
      <c r="C925" s="9"/>
      <c r="D925" s="10"/>
      <c r="E925" s="7">
        <f t="shared" si="444"/>
        <v>0</v>
      </c>
      <c r="F925" s="8"/>
      <c r="G925" s="9"/>
      <c r="H925" s="10"/>
      <c r="I925" s="7">
        <f t="shared" si="430"/>
        <v>0</v>
      </c>
      <c r="J925" s="55"/>
      <c r="K925" s="3" t="s">
        <v>569</v>
      </c>
      <c r="L925" s="8">
        <v>3</v>
      </c>
      <c r="M925" s="9"/>
      <c r="N925" s="10"/>
      <c r="O925" s="7">
        <f t="shared" si="442"/>
        <v>3</v>
      </c>
      <c r="P925" s="8">
        <v>3</v>
      </c>
      <c r="Q925" s="9"/>
      <c r="R925" s="10"/>
      <c r="S925" s="7">
        <f t="shared" si="434"/>
        <v>3</v>
      </c>
      <c r="T925" s="47">
        <v>45811</v>
      </c>
      <c r="U925" s="54"/>
    </row>
    <row r="926" spans="1:22" x14ac:dyDescent="0.15">
      <c r="A926" s="3"/>
      <c r="B926" s="8"/>
      <c r="C926" s="9"/>
      <c r="D926" s="10"/>
      <c r="E926" s="7">
        <f t="shared" si="444"/>
        <v>0</v>
      </c>
      <c r="F926" s="8"/>
      <c r="G926" s="9"/>
      <c r="H926" s="10"/>
      <c r="I926" s="7">
        <f t="shared" si="430"/>
        <v>0</v>
      </c>
      <c r="J926" s="55"/>
      <c r="K926" s="3" t="s">
        <v>557</v>
      </c>
      <c r="L926" s="8">
        <v>3</v>
      </c>
      <c r="M926" s="9">
        <v>3</v>
      </c>
      <c r="N926" s="10">
        <v>3</v>
      </c>
      <c r="O926" s="7">
        <f t="shared" si="442"/>
        <v>9</v>
      </c>
      <c r="P926" s="8">
        <v>3</v>
      </c>
      <c r="Q926" s="9">
        <v>3</v>
      </c>
      <c r="R926" s="10">
        <v>3</v>
      </c>
      <c r="S926" s="7">
        <f t="shared" si="434"/>
        <v>9</v>
      </c>
      <c r="T926" s="47">
        <v>45820</v>
      </c>
      <c r="U926" s="54"/>
    </row>
    <row r="927" spans="1:22" x14ac:dyDescent="0.15">
      <c r="A927" s="3"/>
      <c r="B927" s="8"/>
      <c r="C927" s="9"/>
      <c r="D927" s="10"/>
      <c r="E927" s="7">
        <f t="shared" si="444"/>
        <v>0</v>
      </c>
      <c r="F927" s="8"/>
      <c r="G927" s="9"/>
      <c r="H927" s="10"/>
      <c r="I927" s="7">
        <f t="shared" si="430"/>
        <v>0</v>
      </c>
      <c r="J927" s="55"/>
      <c r="K927" s="3" t="s">
        <v>568</v>
      </c>
      <c r="L927" s="8">
        <v>10</v>
      </c>
      <c r="M927" s="9"/>
      <c r="N927" s="10"/>
      <c r="O927" s="7">
        <f t="shared" si="442"/>
        <v>10</v>
      </c>
      <c r="P927" s="8">
        <v>10</v>
      </c>
      <c r="Q927" s="9"/>
      <c r="R927" s="10"/>
      <c r="S927" s="7">
        <f t="shared" si="434"/>
        <v>10</v>
      </c>
      <c r="T927" s="47">
        <v>45817</v>
      </c>
      <c r="U927" s="54"/>
      <c r="V927" s="54"/>
    </row>
    <row r="928" spans="1:22" x14ac:dyDescent="0.15">
      <c r="A928" s="3"/>
      <c r="B928" s="8"/>
      <c r="C928" s="9"/>
      <c r="D928" s="10"/>
      <c r="E928" s="7">
        <f t="shared" si="444"/>
        <v>0</v>
      </c>
      <c r="F928" s="8"/>
      <c r="G928" s="9"/>
      <c r="H928" s="10"/>
      <c r="I928" s="7">
        <f t="shared" si="430"/>
        <v>0</v>
      </c>
      <c r="J928" s="55"/>
      <c r="K928" s="3" t="s">
        <v>562</v>
      </c>
      <c r="L928" s="8"/>
      <c r="M928" s="9">
        <v>5</v>
      </c>
      <c r="N928" s="10"/>
      <c r="O928" s="7">
        <f t="shared" si="442"/>
        <v>5</v>
      </c>
      <c r="P928" s="8"/>
      <c r="Q928" s="9">
        <v>5</v>
      </c>
      <c r="R928" s="10"/>
      <c r="S928" s="7">
        <f t="shared" si="434"/>
        <v>5</v>
      </c>
      <c r="T928" s="47">
        <v>45818</v>
      </c>
      <c r="U928" s="54"/>
      <c r="V928" s="54"/>
    </row>
    <row r="929" spans="1:22" x14ac:dyDescent="0.15">
      <c r="A929" s="3"/>
      <c r="B929" s="8"/>
      <c r="C929" s="9"/>
      <c r="D929" s="10"/>
      <c r="E929" s="7">
        <f t="shared" si="444"/>
        <v>0</v>
      </c>
      <c r="F929" s="8"/>
      <c r="G929" s="9"/>
      <c r="H929" s="10"/>
      <c r="I929" s="7">
        <f t="shared" si="430"/>
        <v>0</v>
      </c>
      <c r="K929" s="3" t="s">
        <v>563</v>
      </c>
      <c r="L929" s="8">
        <v>15</v>
      </c>
      <c r="M929" s="9">
        <v>20</v>
      </c>
      <c r="N929" s="10">
        <v>15</v>
      </c>
      <c r="O929" s="7">
        <f t="shared" si="442"/>
        <v>50</v>
      </c>
      <c r="P929" s="8">
        <v>15</v>
      </c>
      <c r="Q929" s="9">
        <v>20</v>
      </c>
      <c r="R929" s="10">
        <v>15</v>
      </c>
      <c r="S929" s="7">
        <f t="shared" si="434"/>
        <v>50</v>
      </c>
      <c r="T929" s="47">
        <v>45824</v>
      </c>
      <c r="U929" s="54"/>
      <c r="V929" s="54"/>
    </row>
    <row r="930" spans="1:22" x14ac:dyDescent="0.15">
      <c r="A930" s="3"/>
      <c r="B930" s="8"/>
      <c r="C930" s="9"/>
      <c r="D930" s="10"/>
      <c r="E930" s="7">
        <f t="shared" si="444"/>
        <v>0</v>
      </c>
      <c r="F930" s="8"/>
      <c r="G930" s="9"/>
      <c r="H930" s="10"/>
      <c r="I930" s="7">
        <f t="shared" si="430"/>
        <v>0</v>
      </c>
      <c r="K930" s="3" t="s">
        <v>567</v>
      </c>
      <c r="L930" s="8">
        <v>5</v>
      </c>
      <c r="M930" s="9">
        <v>10</v>
      </c>
      <c r="N930" s="10"/>
      <c r="O930" s="7">
        <f t="shared" si="442"/>
        <v>15</v>
      </c>
      <c r="P930" s="8">
        <v>5</v>
      </c>
      <c r="Q930" s="9">
        <v>10</v>
      </c>
      <c r="R930" s="10"/>
      <c r="S930" s="7">
        <f t="shared" si="434"/>
        <v>15</v>
      </c>
      <c r="T930" s="47">
        <v>45826</v>
      </c>
    </row>
    <row r="931" spans="1:22" x14ac:dyDescent="0.15">
      <c r="A931" s="3"/>
      <c r="B931" s="8"/>
      <c r="C931" s="9"/>
      <c r="D931" s="10"/>
      <c r="E931" s="7">
        <f t="shared" si="444"/>
        <v>0</v>
      </c>
      <c r="F931" s="8"/>
      <c r="G931" s="9"/>
      <c r="H931" s="10"/>
      <c r="I931" s="7">
        <f t="shared" si="430"/>
        <v>0</v>
      </c>
      <c r="K931" s="3" t="s">
        <v>564</v>
      </c>
      <c r="L931" s="8">
        <v>2</v>
      </c>
      <c r="M931" s="9">
        <v>2</v>
      </c>
      <c r="N931" s="10">
        <v>2</v>
      </c>
      <c r="O931" s="7">
        <f t="shared" si="442"/>
        <v>6</v>
      </c>
      <c r="P931" s="8">
        <v>2</v>
      </c>
      <c r="Q931" s="9">
        <v>2</v>
      </c>
      <c r="R931" s="10">
        <v>2</v>
      </c>
      <c r="S931" s="7">
        <f t="shared" si="434"/>
        <v>6</v>
      </c>
      <c r="T931" s="47">
        <v>45827</v>
      </c>
    </row>
    <row r="932" spans="1:22" x14ac:dyDescent="0.15">
      <c r="A932" s="3"/>
      <c r="B932" s="8"/>
      <c r="C932" s="9"/>
      <c r="D932" s="10"/>
      <c r="E932" s="7">
        <f t="shared" si="444"/>
        <v>0</v>
      </c>
      <c r="F932" s="8"/>
      <c r="G932" s="9"/>
      <c r="H932" s="10"/>
      <c r="I932" s="7">
        <f t="shared" si="430"/>
        <v>0</v>
      </c>
      <c r="K932" s="3" t="s">
        <v>566</v>
      </c>
      <c r="L932" s="8">
        <v>8</v>
      </c>
      <c r="M932" s="9"/>
      <c r="N932" s="10"/>
      <c r="O932" s="7">
        <f t="shared" si="442"/>
        <v>8</v>
      </c>
      <c r="P932" s="8">
        <v>8</v>
      </c>
      <c r="Q932" s="9"/>
      <c r="R932" s="10"/>
      <c r="S932" s="7">
        <f t="shared" si="434"/>
        <v>8</v>
      </c>
      <c r="T932" s="47">
        <v>45828</v>
      </c>
    </row>
    <row r="933" spans="1:22" x14ac:dyDescent="0.15">
      <c r="A933" s="3"/>
      <c r="B933" s="8"/>
      <c r="C933" s="9"/>
      <c r="D933" s="10"/>
      <c r="E933" s="7">
        <f t="shared" si="444"/>
        <v>0</v>
      </c>
      <c r="F933" s="8"/>
      <c r="G933" s="9"/>
      <c r="H933" s="10"/>
      <c r="I933" s="7">
        <f t="shared" si="430"/>
        <v>0</v>
      </c>
      <c r="K933" s="3" t="s">
        <v>132</v>
      </c>
      <c r="L933" s="8"/>
      <c r="M933" s="9">
        <v>5</v>
      </c>
      <c r="N933" s="10">
        <v>4</v>
      </c>
      <c r="O933" s="7">
        <f t="shared" si="442"/>
        <v>9</v>
      </c>
      <c r="P933" s="8"/>
      <c r="Q933" s="9">
        <v>5</v>
      </c>
      <c r="R933" s="10">
        <v>4</v>
      </c>
      <c r="S933" s="7">
        <f t="shared" si="434"/>
        <v>9</v>
      </c>
      <c r="T933" s="47">
        <v>45833</v>
      </c>
      <c r="U933" s="54"/>
    </row>
    <row r="934" spans="1:22" x14ac:dyDescent="0.15">
      <c r="A934" s="3"/>
      <c r="B934" s="8"/>
      <c r="C934" s="9"/>
      <c r="D934" s="10"/>
      <c r="E934" s="7">
        <f t="shared" si="444"/>
        <v>0</v>
      </c>
      <c r="F934" s="8"/>
      <c r="G934" s="9"/>
      <c r="H934" s="10"/>
      <c r="I934" s="7">
        <f t="shared" si="430"/>
        <v>0</v>
      </c>
      <c r="K934" s="3" t="s">
        <v>132</v>
      </c>
      <c r="L934" s="8"/>
      <c r="M934" s="9">
        <v>3</v>
      </c>
      <c r="N934" s="10">
        <v>2</v>
      </c>
      <c r="O934" s="7">
        <f t="shared" si="442"/>
        <v>5</v>
      </c>
      <c r="P934" s="8"/>
      <c r="Q934" s="9">
        <v>3</v>
      </c>
      <c r="R934" s="10">
        <v>2</v>
      </c>
      <c r="S934" s="7">
        <f t="shared" si="434"/>
        <v>5</v>
      </c>
      <c r="T934" s="47">
        <v>45834</v>
      </c>
      <c r="U934" s="54"/>
    </row>
    <row r="935" spans="1:22" x14ac:dyDescent="0.15">
      <c r="A935" s="3"/>
      <c r="B935" s="8"/>
      <c r="C935" s="9"/>
      <c r="D935" s="10"/>
      <c r="E935" s="7">
        <f t="shared" si="444"/>
        <v>0</v>
      </c>
      <c r="F935" s="8"/>
      <c r="G935" s="9"/>
      <c r="H935" s="10"/>
      <c r="I935" s="7">
        <f t="shared" si="430"/>
        <v>0</v>
      </c>
      <c r="K935" s="3" t="s">
        <v>574</v>
      </c>
      <c r="L935" s="8">
        <v>5</v>
      </c>
      <c r="M935" s="9">
        <v>30</v>
      </c>
      <c r="N935" s="10">
        <v>20</v>
      </c>
      <c r="O935" s="7">
        <f t="shared" si="442"/>
        <v>55</v>
      </c>
      <c r="P935" s="8">
        <v>5</v>
      </c>
      <c r="Q935" s="9">
        <v>30</v>
      </c>
      <c r="R935" s="10">
        <v>20</v>
      </c>
      <c r="S935" s="7">
        <f t="shared" si="434"/>
        <v>55</v>
      </c>
      <c r="T935" s="47">
        <v>45834</v>
      </c>
    </row>
    <row r="936" spans="1:22" x14ac:dyDescent="0.15">
      <c r="A936" s="3"/>
      <c r="B936" s="8"/>
      <c r="C936" s="9"/>
      <c r="D936" s="10"/>
      <c r="E936" s="7">
        <f t="shared" si="444"/>
        <v>0</v>
      </c>
      <c r="F936" s="8"/>
      <c r="G936" s="9"/>
      <c r="H936" s="10"/>
      <c r="I936" s="7">
        <f t="shared" si="430"/>
        <v>0</v>
      </c>
      <c r="K936" s="3" t="s">
        <v>575</v>
      </c>
      <c r="L936" s="8"/>
      <c r="M936" s="9">
        <v>3</v>
      </c>
      <c r="N936" s="10"/>
      <c r="O936" s="7">
        <f t="shared" si="442"/>
        <v>3</v>
      </c>
      <c r="P936" s="8"/>
      <c r="Q936" s="9">
        <v>3</v>
      </c>
      <c r="R936" s="10"/>
      <c r="S936" s="7">
        <f t="shared" si="434"/>
        <v>3</v>
      </c>
      <c r="T936" s="47">
        <v>45835</v>
      </c>
      <c r="U936" s="54"/>
    </row>
    <row r="937" spans="1:22" x14ac:dyDescent="0.15">
      <c r="A937" s="3"/>
      <c r="B937" s="8"/>
      <c r="C937" s="9"/>
      <c r="D937" s="10"/>
      <c r="E937" s="7">
        <f t="shared" si="444"/>
        <v>0</v>
      </c>
      <c r="F937" s="8"/>
      <c r="G937" s="9"/>
      <c r="H937" s="10"/>
      <c r="I937" s="7">
        <f t="shared" si="430"/>
        <v>0</v>
      </c>
      <c r="K937" s="3"/>
      <c r="L937" s="8"/>
      <c r="M937" s="9"/>
      <c r="N937" s="10"/>
      <c r="O937" s="7">
        <f t="shared" si="442"/>
        <v>0</v>
      </c>
      <c r="P937" s="8"/>
      <c r="Q937" s="9"/>
      <c r="R937" s="10"/>
      <c r="S937" s="7">
        <f t="shared" si="434"/>
        <v>0</v>
      </c>
    </row>
    <row r="938" spans="1:22" x14ac:dyDescent="0.15">
      <c r="A938" s="3"/>
      <c r="B938" s="8"/>
      <c r="C938" s="9"/>
      <c r="D938" s="10"/>
      <c r="E938" s="7">
        <f t="shared" si="444"/>
        <v>0</v>
      </c>
      <c r="F938" s="8"/>
      <c r="G938" s="9"/>
      <c r="H938" s="10"/>
      <c r="I938" s="7">
        <f t="shared" si="430"/>
        <v>0</v>
      </c>
      <c r="K938" s="3" t="s">
        <v>524</v>
      </c>
      <c r="L938" s="8"/>
      <c r="M938" s="9"/>
      <c r="N938" s="10"/>
      <c r="O938" s="7">
        <f t="shared" si="442"/>
        <v>0</v>
      </c>
      <c r="P938" s="8"/>
      <c r="Q938" s="9"/>
      <c r="R938" s="10"/>
      <c r="S938" s="7">
        <f t="shared" si="434"/>
        <v>0</v>
      </c>
      <c r="T938" s="55" t="s">
        <v>183</v>
      </c>
    </row>
    <row r="939" spans="1:22" x14ac:dyDescent="0.15">
      <c r="A939" s="3"/>
      <c r="B939" s="8"/>
      <c r="C939" s="9"/>
      <c r="D939" s="10"/>
      <c r="E939" s="7">
        <f t="shared" si="444"/>
        <v>0</v>
      </c>
      <c r="F939" s="8"/>
      <c r="G939" s="9"/>
      <c r="H939" s="10"/>
      <c r="I939" s="7">
        <f t="shared" si="430"/>
        <v>0</v>
      </c>
      <c r="K939" s="32" t="s">
        <v>534</v>
      </c>
      <c r="L939" s="58"/>
      <c r="M939" s="59"/>
      <c r="N939" s="60"/>
      <c r="O939" s="61">
        <f t="shared" si="442"/>
        <v>0</v>
      </c>
      <c r="P939" s="58"/>
      <c r="Q939" s="59"/>
      <c r="R939" s="60"/>
      <c r="S939" s="61">
        <f t="shared" si="434"/>
        <v>0</v>
      </c>
      <c r="T939" s="62"/>
    </row>
    <row r="940" spans="1:22" x14ac:dyDescent="0.15">
      <c r="A940" s="3"/>
      <c r="B940" s="8"/>
      <c r="C940" s="9"/>
      <c r="D940" s="10"/>
      <c r="E940" s="7">
        <f t="shared" si="444"/>
        <v>0</v>
      </c>
      <c r="F940" s="8"/>
      <c r="G940" s="9"/>
      <c r="H940" s="10"/>
      <c r="I940" s="7">
        <f t="shared" si="430"/>
        <v>0</v>
      </c>
      <c r="K940" s="3" t="s">
        <v>535</v>
      </c>
      <c r="L940" s="8"/>
      <c r="M940" s="9"/>
      <c r="N940" s="10"/>
      <c r="O940" s="7">
        <f t="shared" si="442"/>
        <v>0</v>
      </c>
      <c r="P940" s="8"/>
      <c r="Q940" s="9"/>
      <c r="R940" s="10"/>
      <c r="S940" s="7">
        <f t="shared" si="434"/>
        <v>0</v>
      </c>
      <c r="T940" s="55" t="s">
        <v>513</v>
      </c>
    </row>
    <row r="941" spans="1:22" x14ac:dyDescent="0.15">
      <c r="A941" s="3"/>
      <c r="B941" s="8"/>
      <c r="C941" s="9"/>
      <c r="D941" s="10"/>
      <c r="E941" s="7">
        <f t="shared" si="444"/>
        <v>0</v>
      </c>
      <c r="F941" s="8"/>
      <c r="G941" s="9"/>
      <c r="H941" s="10"/>
      <c r="I941" s="7">
        <f t="shared" si="430"/>
        <v>0</v>
      </c>
      <c r="K941" s="32" t="s">
        <v>556</v>
      </c>
      <c r="L941" s="58"/>
      <c r="M941" s="59"/>
      <c r="N941" s="60"/>
      <c r="O941" s="61">
        <f t="shared" ref="O941" si="445">SUM(L941:N941)</f>
        <v>0</v>
      </c>
      <c r="P941" s="58"/>
      <c r="Q941" s="59"/>
      <c r="R941" s="60"/>
      <c r="S941" s="61">
        <f t="shared" ref="S941" si="446">SUM(P941:R941)</f>
        <v>0</v>
      </c>
      <c r="T941" s="62" t="s">
        <v>513</v>
      </c>
    </row>
    <row r="942" spans="1:22" ht="14.25" thickBot="1" x14ac:dyDescent="0.2">
      <c r="A942" s="3"/>
      <c r="B942" s="8"/>
      <c r="C942" s="9"/>
      <c r="D942" s="10"/>
      <c r="E942" s="7">
        <f t="shared" si="444"/>
        <v>0</v>
      </c>
      <c r="F942" s="8"/>
      <c r="G942" s="9"/>
      <c r="H942" s="10"/>
      <c r="I942" s="7">
        <f t="shared" si="430"/>
        <v>0</v>
      </c>
      <c r="K942" s="3" t="s">
        <v>542</v>
      </c>
      <c r="L942" s="8"/>
      <c r="M942" s="9"/>
      <c r="N942" s="10"/>
      <c r="O942" s="7">
        <f t="shared" ref="O942" si="447">SUM(L942:N942)</f>
        <v>0</v>
      </c>
      <c r="P942" s="8"/>
      <c r="Q942" s="9"/>
      <c r="R942" s="10"/>
      <c r="S942" s="7">
        <f t="shared" ref="S942" si="448">SUM(P942:R942)</f>
        <v>0</v>
      </c>
      <c r="T942" s="55" t="s">
        <v>183</v>
      </c>
    </row>
    <row r="943" spans="1:22" ht="14.25" thickBot="1" x14ac:dyDescent="0.2">
      <c r="A943" s="2" t="s">
        <v>5</v>
      </c>
      <c r="B943" s="12">
        <f>SUM(B919:B942)</f>
        <v>0</v>
      </c>
      <c r="C943" s="12">
        <f>SUM(C919:C942)</f>
        <v>0</v>
      </c>
      <c r="D943" s="12">
        <f>SUM(D919:D942)</f>
        <v>0</v>
      </c>
      <c r="E943" s="13">
        <f t="shared" si="444"/>
        <v>0</v>
      </c>
      <c r="F943" s="12">
        <f>SUM(F919:F942)</f>
        <v>0</v>
      </c>
      <c r="G943" s="12">
        <f>SUM(G919:G942)</f>
        <v>0</v>
      </c>
      <c r="H943" s="12">
        <f>SUM(H919:H942)</f>
        <v>0</v>
      </c>
      <c r="I943" s="13">
        <f t="shared" si="430"/>
        <v>0</v>
      </c>
      <c r="K943" s="2" t="s">
        <v>5</v>
      </c>
      <c r="L943" s="12">
        <f>SUM(L919:L942)</f>
        <v>95</v>
      </c>
      <c r="M943" s="12">
        <f>SUM(M919:M942)</f>
        <v>143</v>
      </c>
      <c r="N943" s="12">
        <f>SUM(N919:N942)</f>
        <v>85</v>
      </c>
      <c r="O943" s="13">
        <f t="shared" si="442"/>
        <v>323</v>
      </c>
      <c r="P943" s="12">
        <f>SUM(P919:P942)</f>
        <v>95</v>
      </c>
      <c r="Q943" s="12">
        <f>SUM(Q919:Q942)</f>
        <v>143</v>
      </c>
      <c r="R943" s="12">
        <f>SUM(R919:R942)</f>
        <v>85</v>
      </c>
      <c r="S943" s="13">
        <f t="shared" si="434"/>
        <v>323</v>
      </c>
    </row>
    <row r="944" spans="1:22" ht="14.25" thickBot="1" x14ac:dyDescent="0.2">
      <c r="A944" s="21" t="s">
        <v>6</v>
      </c>
      <c r="B944" s="22">
        <f t="shared" ref="B944:I944" si="449">B918-B943</f>
        <v>9</v>
      </c>
      <c r="C944" s="22">
        <f t="shared" si="449"/>
        <v>9</v>
      </c>
      <c r="D944" s="22">
        <f t="shared" si="449"/>
        <v>9</v>
      </c>
      <c r="E944" s="22">
        <f t="shared" si="449"/>
        <v>27</v>
      </c>
      <c r="F944" s="22">
        <f t="shared" si="449"/>
        <v>9</v>
      </c>
      <c r="G944" s="22">
        <f t="shared" si="449"/>
        <v>9</v>
      </c>
      <c r="H944" s="22">
        <f t="shared" si="449"/>
        <v>9</v>
      </c>
      <c r="I944" s="20">
        <f t="shared" si="449"/>
        <v>27</v>
      </c>
      <c r="K944" s="21" t="s">
        <v>6</v>
      </c>
      <c r="L944" s="22">
        <f>L918-L943</f>
        <v>128</v>
      </c>
      <c r="M944" s="22">
        <f t="shared" ref="M944:O944" si="450">M918-M943</f>
        <v>213</v>
      </c>
      <c r="N944" s="22">
        <f t="shared" si="450"/>
        <v>165</v>
      </c>
      <c r="O944" s="22">
        <f t="shared" si="450"/>
        <v>506</v>
      </c>
      <c r="P944" s="22">
        <f>P918-P943</f>
        <v>128</v>
      </c>
      <c r="Q944" s="22">
        <f>Q918-Q943</f>
        <v>213</v>
      </c>
      <c r="R944" s="22">
        <f>R918-R943</f>
        <v>165</v>
      </c>
      <c r="S944" s="20">
        <f t="shared" ref="S944" si="451">S918-S943</f>
        <v>506</v>
      </c>
    </row>
    <row r="947" spans="1:20" ht="21.75" thickBot="1" x14ac:dyDescent="0.25">
      <c r="A947" s="26" t="s">
        <v>509</v>
      </c>
      <c r="B947" s="27"/>
      <c r="C947" s="27"/>
      <c r="D947" s="27"/>
      <c r="E947" s="27"/>
      <c r="F947" s="28"/>
      <c r="G947" s="28"/>
      <c r="H947" s="28"/>
      <c r="I947" s="28"/>
      <c r="K947" s="26" t="s">
        <v>505</v>
      </c>
      <c r="L947" s="27"/>
      <c r="M947" s="27"/>
      <c r="N947" s="27"/>
      <c r="O947" s="27"/>
      <c r="P947" s="28"/>
      <c r="Q947" s="28"/>
      <c r="R947" s="28"/>
      <c r="S947" s="28"/>
    </row>
    <row r="948" spans="1:20" ht="14.25" thickBot="1" x14ac:dyDescent="0.2">
      <c r="A948" s="1" t="s">
        <v>0</v>
      </c>
      <c r="B948" s="183" t="s">
        <v>12</v>
      </c>
      <c r="C948" s="183"/>
      <c r="D948" s="183"/>
      <c r="E948" s="184"/>
      <c r="F948" s="183" t="s">
        <v>10</v>
      </c>
      <c r="G948" s="183"/>
      <c r="H948" s="183"/>
      <c r="I948" s="184"/>
      <c r="K948" s="1" t="s">
        <v>0</v>
      </c>
      <c r="L948" s="140" t="s">
        <v>12</v>
      </c>
      <c r="M948" s="140"/>
      <c r="N948" s="140"/>
      <c r="O948" s="141"/>
      <c r="P948" s="140" t="s">
        <v>10</v>
      </c>
      <c r="Q948" s="140"/>
      <c r="R948" s="140"/>
      <c r="S948" s="141"/>
    </row>
    <row r="949" spans="1:20" ht="14.25" thickBot="1" x14ac:dyDescent="0.2">
      <c r="A949" s="1" t="s">
        <v>1</v>
      </c>
      <c r="B949" s="2" t="s">
        <v>7</v>
      </c>
      <c r="C949" s="1" t="s">
        <v>8</v>
      </c>
      <c r="D949" s="15" t="s">
        <v>9</v>
      </c>
      <c r="E949" s="1" t="s">
        <v>2</v>
      </c>
      <c r="F949" s="2" t="s">
        <v>7</v>
      </c>
      <c r="G949" s="1" t="s">
        <v>8</v>
      </c>
      <c r="H949" s="15" t="s">
        <v>9</v>
      </c>
      <c r="I949" s="1" t="s">
        <v>2</v>
      </c>
      <c r="K949" s="1" t="s">
        <v>1</v>
      </c>
      <c r="L949" s="2" t="s">
        <v>7</v>
      </c>
      <c r="M949" s="1" t="s">
        <v>8</v>
      </c>
      <c r="N949" s="15" t="s">
        <v>9</v>
      </c>
      <c r="O949" s="1" t="s">
        <v>2</v>
      </c>
      <c r="P949" s="2" t="s">
        <v>7</v>
      </c>
      <c r="Q949" s="1" t="s">
        <v>8</v>
      </c>
      <c r="R949" s="15" t="s">
        <v>9</v>
      </c>
      <c r="S949" s="1" t="s">
        <v>2</v>
      </c>
    </row>
    <row r="950" spans="1:20" ht="14.25" thickBot="1" x14ac:dyDescent="0.2">
      <c r="A950" s="41" t="s">
        <v>13</v>
      </c>
      <c r="B950" s="42">
        <f>B944</f>
        <v>9</v>
      </c>
      <c r="C950" s="43">
        <f>C944</f>
        <v>9</v>
      </c>
      <c r="D950" s="44">
        <f>D944</f>
        <v>9</v>
      </c>
      <c r="E950" s="45">
        <f t="shared" ref="E950" si="452">SUM(B950:D950)</f>
        <v>27</v>
      </c>
      <c r="F950" s="42">
        <f>F944</f>
        <v>9</v>
      </c>
      <c r="G950" s="43">
        <f>G944</f>
        <v>9</v>
      </c>
      <c r="H950" s="44">
        <f>H944</f>
        <v>9</v>
      </c>
      <c r="I950" s="45">
        <f t="shared" ref="I950:I986" si="453">SUM(F950:H950)</f>
        <v>27</v>
      </c>
      <c r="K950" s="34" t="s">
        <v>13</v>
      </c>
      <c r="L950" s="35">
        <f>L944</f>
        <v>128</v>
      </c>
      <c r="M950" s="35">
        <f t="shared" ref="M950:N950" si="454">M944</f>
        <v>213</v>
      </c>
      <c r="N950" s="35">
        <f t="shared" si="454"/>
        <v>165</v>
      </c>
      <c r="O950" s="20">
        <f t="shared" ref="O950:O951" si="455">SUM(L950:N950)</f>
        <v>506</v>
      </c>
      <c r="P950" s="35">
        <f>P944</f>
        <v>128</v>
      </c>
      <c r="Q950" s="36">
        <f t="shared" ref="Q950:R950" si="456">Q944</f>
        <v>213</v>
      </c>
      <c r="R950" s="37">
        <f t="shared" si="456"/>
        <v>165</v>
      </c>
      <c r="S950" s="20">
        <f t="shared" ref="S950:S986" si="457">SUM(P950:R950)</f>
        <v>506</v>
      </c>
    </row>
    <row r="951" spans="1:20" x14ac:dyDescent="0.15">
      <c r="A951" s="6" t="s">
        <v>3</v>
      </c>
      <c r="B951" s="14">
        <v>5</v>
      </c>
      <c r="C951" s="11">
        <v>15</v>
      </c>
      <c r="D951" s="14">
        <v>10</v>
      </c>
      <c r="E951" s="4">
        <f t="shared" ref="E951" si="458">SUM(B951:D951)</f>
        <v>30</v>
      </c>
      <c r="F951" s="14">
        <v>5</v>
      </c>
      <c r="G951" s="11">
        <v>15</v>
      </c>
      <c r="H951" s="14">
        <v>10</v>
      </c>
      <c r="I951" s="4">
        <f t="shared" si="453"/>
        <v>30</v>
      </c>
      <c r="J951" s="47">
        <v>45854</v>
      </c>
      <c r="K951" s="5" t="s">
        <v>3</v>
      </c>
      <c r="L951" s="14"/>
      <c r="M951" s="11"/>
      <c r="N951" s="14"/>
      <c r="O951" s="4">
        <f t="shared" si="455"/>
        <v>0</v>
      </c>
      <c r="P951" s="14"/>
      <c r="Q951" s="11"/>
      <c r="R951" s="14"/>
      <c r="S951" s="4">
        <f t="shared" si="457"/>
        <v>0</v>
      </c>
    </row>
    <row r="952" spans="1:20" x14ac:dyDescent="0.15">
      <c r="A952" s="6" t="s">
        <v>3</v>
      </c>
      <c r="B952" s="14"/>
      <c r="C952" s="11">
        <v>5</v>
      </c>
      <c r="D952" s="14"/>
      <c r="E952" s="4">
        <f t="shared" ref="E952:E961" si="459">SUM(B952:D952)</f>
        <v>5</v>
      </c>
      <c r="F952" s="14"/>
      <c r="G952" s="11">
        <v>5</v>
      </c>
      <c r="H952" s="14"/>
      <c r="I952" s="4">
        <f t="shared" si="453"/>
        <v>5</v>
      </c>
      <c r="J952" s="47">
        <v>45861</v>
      </c>
      <c r="K952" s="5" t="s">
        <v>3</v>
      </c>
      <c r="L952" s="14"/>
      <c r="M952" s="11"/>
      <c r="N952" s="14"/>
      <c r="O952" s="4">
        <f t="shared" ref="O952:O959" si="460">SUM(L952:N952)</f>
        <v>0</v>
      </c>
      <c r="P952" s="14"/>
      <c r="Q952" s="11"/>
      <c r="R952" s="14"/>
      <c r="S952" s="4">
        <f t="shared" si="457"/>
        <v>0</v>
      </c>
    </row>
    <row r="953" spans="1:20" x14ac:dyDescent="0.15">
      <c r="A953" s="6" t="s">
        <v>3</v>
      </c>
      <c r="B953" s="14"/>
      <c r="C953" s="11"/>
      <c r="D953" s="14"/>
      <c r="E953" s="4">
        <f t="shared" si="459"/>
        <v>0</v>
      </c>
      <c r="F953" s="14"/>
      <c r="G953" s="11"/>
      <c r="H953" s="14"/>
      <c r="I953" s="4">
        <f t="shared" si="453"/>
        <v>0</v>
      </c>
      <c r="J953" s="55"/>
      <c r="K953" s="5" t="s">
        <v>508</v>
      </c>
      <c r="L953" s="14">
        <v>110</v>
      </c>
      <c r="M953" s="11">
        <v>110</v>
      </c>
      <c r="N953" s="14">
        <v>80</v>
      </c>
      <c r="O953" s="4">
        <f t="shared" ref="O953:O955" si="461">SUM(L953:N953)</f>
        <v>300</v>
      </c>
      <c r="P953" s="14">
        <v>110</v>
      </c>
      <c r="Q953" s="11">
        <v>110</v>
      </c>
      <c r="R953" s="14">
        <v>80</v>
      </c>
      <c r="S953" s="4">
        <f t="shared" ref="S953:S955" si="462">SUM(P953:R953)</f>
        <v>300</v>
      </c>
      <c r="T953" s="47" t="s">
        <v>577</v>
      </c>
    </row>
    <row r="954" spans="1:20" x14ac:dyDescent="0.15">
      <c r="A954" s="6" t="s">
        <v>3</v>
      </c>
      <c r="B954" s="14"/>
      <c r="C954" s="11"/>
      <c r="D954" s="14"/>
      <c r="E954" s="4">
        <f t="shared" si="459"/>
        <v>0</v>
      </c>
      <c r="F954" s="14"/>
      <c r="G954" s="11"/>
      <c r="H954" s="14"/>
      <c r="I954" s="4">
        <f t="shared" si="453"/>
        <v>0</v>
      </c>
      <c r="J954" s="55"/>
      <c r="K954" s="5" t="s">
        <v>3</v>
      </c>
      <c r="L954" s="25"/>
      <c r="M954" s="24"/>
      <c r="N954" s="25"/>
      <c r="O954" s="7">
        <f t="shared" si="461"/>
        <v>0</v>
      </c>
      <c r="P954" s="23"/>
      <c r="Q954" s="24"/>
      <c r="R954" s="25"/>
      <c r="S954" s="7">
        <f t="shared" si="462"/>
        <v>0</v>
      </c>
    </row>
    <row r="955" spans="1:20" x14ac:dyDescent="0.15">
      <c r="A955" s="6" t="s">
        <v>3</v>
      </c>
      <c r="B955" s="14"/>
      <c r="C955" s="11"/>
      <c r="D955" s="14"/>
      <c r="E955" s="4">
        <f t="shared" si="459"/>
        <v>0</v>
      </c>
      <c r="F955" s="14"/>
      <c r="G955" s="11"/>
      <c r="H955" s="14"/>
      <c r="I955" s="4">
        <f t="shared" si="453"/>
        <v>0</v>
      </c>
      <c r="K955" s="5" t="s">
        <v>514</v>
      </c>
      <c r="L955" s="25">
        <v>80</v>
      </c>
      <c r="M955" s="24">
        <v>120</v>
      </c>
      <c r="N955" s="25">
        <v>100</v>
      </c>
      <c r="O955" s="7">
        <f t="shared" si="461"/>
        <v>300</v>
      </c>
      <c r="P955" s="25">
        <v>80</v>
      </c>
      <c r="Q955" s="24">
        <v>120</v>
      </c>
      <c r="R955" s="25">
        <v>100</v>
      </c>
      <c r="S955" s="7">
        <f t="shared" si="462"/>
        <v>300</v>
      </c>
      <c r="T955" s="47" t="s">
        <v>587</v>
      </c>
    </row>
    <row r="956" spans="1:20" x14ac:dyDescent="0.15">
      <c r="A956" s="6" t="s">
        <v>3</v>
      </c>
      <c r="B956" s="14"/>
      <c r="C956" s="11"/>
      <c r="D956" s="14"/>
      <c r="E956" s="4">
        <f t="shared" si="459"/>
        <v>0</v>
      </c>
      <c r="F956" s="14"/>
      <c r="G956" s="11"/>
      <c r="H956" s="14"/>
      <c r="I956" s="4">
        <f t="shared" si="453"/>
        <v>0</v>
      </c>
      <c r="K956" s="5" t="s">
        <v>3</v>
      </c>
      <c r="L956" s="23"/>
      <c r="M956" s="24"/>
      <c r="N956" s="25"/>
      <c r="O956" s="7">
        <f t="shared" ref="O956:O958" si="463">SUM(L956:N956)</f>
        <v>0</v>
      </c>
      <c r="P956" s="23"/>
      <c r="Q956" s="24"/>
      <c r="R956" s="25"/>
      <c r="S956" s="7">
        <f t="shared" ref="S956:S958" si="464">SUM(P956:R956)</f>
        <v>0</v>
      </c>
    </row>
    <row r="957" spans="1:20" x14ac:dyDescent="0.15">
      <c r="A957" s="6" t="s">
        <v>3</v>
      </c>
      <c r="B957" s="14"/>
      <c r="C957" s="11"/>
      <c r="D957" s="14"/>
      <c r="E957" s="4">
        <f t="shared" si="459"/>
        <v>0</v>
      </c>
      <c r="F957" s="14"/>
      <c r="G957" s="11"/>
      <c r="H957" s="14"/>
      <c r="I957" s="4">
        <f t="shared" si="453"/>
        <v>0</v>
      </c>
      <c r="K957" s="5" t="s">
        <v>3</v>
      </c>
      <c r="L957" s="14">
        <v>140</v>
      </c>
      <c r="M957" s="11">
        <v>60</v>
      </c>
      <c r="N957" s="14"/>
      <c r="O957" s="4">
        <f t="shared" si="463"/>
        <v>200</v>
      </c>
      <c r="P957" s="14">
        <v>140</v>
      </c>
      <c r="Q957" s="11">
        <v>60</v>
      </c>
      <c r="R957" s="14"/>
      <c r="S957" s="4">
        <f t="shared" si="464"/>
        <v>200</v>
      </c>
      <c r="T957" s="47" t="s">
        <v>590</v>
      </c>
    </row>
    <row r="958" spans="1:20" x14ac:dyDescent="0.15">
      <c r="A958" s="6" t="s">
        <v>3</v>
      </c>
      <c r="B958" s="23"/>
      <c r="C958" s="24"/>
      <c r="D958" s="25"/>
      <c r="E958" s="7">
        <f t="shared" si="459"/>
        <v>0</v>
      </c>
      <c r="F958" s="23"/>
      <c r="G958" s="24"/>
      <c r="H958" s="25"/>
      <c r="I958" s="7">
        <f t="shared" si="453"/>
        <v>0</v>
      </c>
      <c r="K958" s="5" t="s">
        <v>3</v>
      </c>
      <c r="L958" s="23">
        <v>7</v>
      </c>
      <c r="M958" s="24">
        <v>11</v>
      </c>
      <c r="N958" s="25">
        <v>7</v>
      </c>
      <c r="O958" s="7">
        <f t="shared" si="463"/>
        <v>25</v>
      </c>
      <c r="P958" s="23">
        <v>7</v>
      </c>
      <c r="Q958" s="24">
        <v>11</v>
      </c>
      <c r="R958" s="25">
        <v>7</v>
      </c>
      <c r="S958" s="7">
        <f t="shared" si="464"/>
        <v>25</v>
      </c>
      <c r="T958" s="47" t="s">
        <v>590</v>
      </c>
    </row>
    <row r="959" spans="1:20" x14ac:dyDescent="0.15">
      <c r="A959" s="6" t="s">
        <v>3</v>
      </c>
      <c r="B959" s="23"/>
      <c r="C959" s="24"/>
      <c r="D959" s="25"/>
      <c r="E959" s="7">
        <f t="shared" si="459"/>
        <v>0</v>
      </c>
      <c r="F959" s="23"/>
      <c r="G959" s="24"/>
      <c r="H959" s="25"/>
      <c r="I959" s="7">
        <f t="shared" si="453"/>
        <v>0</v>
      </c>
      <c r="K959" s="5" t="s">
        <v>3</v>
      </c>
      <c r="L959" s="23"/>
      <c r="M959" s="24"/>
      <c r="N959" s="25"/>
      <c r="O959" s="7">
        <f t="shared" si="460"/>
        <v>0</v>
      </c>
      <c r="P959" s="23"/>
      <c r="Q959" s="24"/>
      <c r="R959" s="25"/>
      <c r="S959" s="7">
        <f t="shared" si="457"/>
        <v>0</v>
      </c>
    </row>
    <row r="960" spans="1:20" ht="14.25" thickBot="1" x14ac:dyDescent="0.2">
      <c r="A960" s="6" t="s">
        <v>3</v>
      </c>
      <c r="B960" s="23"/>
      <c r="C960" s="24"/>
      <c r="D960" s="25"/>
      <c r="E960" s="7">
        <f t="shared" ref="E960" si="465">SUM(B960:D960)</f>
        <v>0</v>
      </c>
      <c r="F960" s="23"/>
      <c r="G960" s="24"/>
      <c r="H960" s="25"/>
      <c r="I960" s="7">
        <f t="shared" ref="I960" si="466">SUM(F960:H960)</f>
        <v>0</v>
      </c>
      <c r="K960" s="5" t="s">
        <v>3</v>
      </c>
      <c r="L960" s="23"/>
      <c r="M960" s="24"/>
      <c r="N960" s="25"/>
      <c r="O960" s="7">
        <f t="shared" ref="O960" si="467">SUM(L960:N960)</f>
        <v>0</v>
      </c>
      <c r="P960" s="23"/>
      <c r="Q960" s="24"/>
      <c r="R960" s="25"/>
      <c r="S960" s="7">
        <f t="shared" ref="S960" si="468">SUM(P960:R960)</f>
        <v>0</v>
      </c>
    </row>
    <row r="961" spans="1:23" ht="14.25" thickBot="1" x14ac:dyDescent="0.2">
      <c r="A961" s="17" t="s">
        <v>4</v>
      </c>
      <c r="B961" s="18">
        <f>SUM(B950:B960)</f>
        <v>14</v>
      </c>
      <c r="C961" s="18">
        <f>SUM(C950:C960)</f>
        <v>29</v>
      </c>
      <c r="D961" s="19">
        <f>SUM(D950:D960)</f>
        <v>19</v>
      </c>
      <c r="E961" s="20">
        <f t="shared" si="459"/>
        <v>62</v>
      </c>
      <c r="F961" s="18">
        <f>SUM(F950:F960)</f>
        <v>14</v>
      </c>
      <c r="G961" s="18">
        <f>SUM(G950:G960)</f>
        <v>29</v>
      </c>
      <c r="H961" s="19">
        <f>SUM(H950:H960)</f>
        <v>19</v>
      </c>
      <c r="I961" s="20">
        <f t="shared" si="453"/>
        <v>62</v>
      </c>
      <c r="K961" s="17" t="s">
        <v>4</v>
      </c>
      <c r="L961" s="18">
        <f>SUM(L950:L960)</f>
        <v>465</v>
      </c>
      <c r="M961" s="18">
        <f>SUM(M950:M960)</f>
        <v>514</v>
      </c>
      <c r="N961" s="18">
        <f>SUM(N950:N960)</f>
        <v>352</v>
      </c>
      <c r="O961" s="20">
        <f t="shared" ref="O961:O986" si="469">SUM(L961:N961)</f>
        <v>1331</v>
      </c>
      <c r="P961" s="18">
        <f>SUM(P950:P960)</f>
        <v>465</v>
      </c>
      <c r="Q961" s="18">
        <f>SUM(Q950:Q960)</f>
        <v>514</v>
      </c>
      <c r="R961" s="19">
        <f>SUM(R950:R960)</f>
        <v>352</v>
      </c>
      <c r="S961" s="20">
        <f t="shared" si="457"/>
        <v>1331</v>
      </c>
    </row>
    <row r="962" spans="1:23" x14ac:dyDescent="0.15">
      <c r="A962" s="3" t="s">
        <v>575</v>
      </c>
      <c r="B962" s="8"/>
      <c r="C962" s="9">
        <v>2</v>
      </c>
      <c r="D962" s="10"/>
      <c r="E962" s="7">
        <f t="shared" ref="E962:E966" si="470">SUM(B962:D962)</f>
        <v>2</v>
      </c>
      <c r="F962" s="8"/>
      <c r="G962" s="9">
        <v>2</v>
      </c>
      <c r="H962" s="10"/>
      <c r="I962" s="7">
        <f t="shared" si="453"/>
        <v>2</v>
      </c>
      <c r="J962" s="47">
        <v>45835</v>
      </c>
      <c r="K962" s="3" t="s">
        <v>576</v>
      </c>
      <c r="L962" s="8">
        <v>90</v>
      </c>
      <c r="M962" s="9">
        <v>150</v>
      </c>
      <c r="N962" s="10">
        <v>90</v>
      </c>
      <c r="O962" s="7">
        <f t="shared" si="469"/>
        <v>330</v>
      </c>
      <c r="P962" s="8">
        <v>90</v>
      </c>
      <c r="Q962" s="9">
        <v>150</v>
      </c>
      <c r="R962" s="10">
        <v>90</v>
      </c>
      <c r="S962" s="7">
        <f t="shared" si="457"/>
        <v>330</v>
      </c>
      <c r="T962" s="47">
        <v>45835</v>
      </c>
    </row>
    <row r="963" spans="1:23" x14ac:dyDescent="0.15">
      <c r="A963" s="3" t="s">
        <v>575</v>
      </c>
      <c r="B963" s="8"/>
      <c r="C963" s="9"/>
      <c r="D963" s="10">
        <v>1</v>
      </c>
      <c r="E963" s="7">
        <f t="shared" si="470"/>
        <v>1</v>
      </c>
      <c r="F963" s="8"/>
      <c r="G963" s="9"/>
      <c r="H963" s="10">
        <v>1</v>
      </c>
      <c r="I963" s="7">
        <f t="shared" si="453"/>
        <v>1</v>
      </c>
      <c r="J963" s="47">
        <v>45838</v>
      </c>
      <c r="K963" s="3" t="s">
        <v>578</v>
      </c>
      <c r="L963" s="8"/>
      <c r="M963" s="9">
        <v>15</v>
      </c>
      <c r="N963" s="10">
        <v>20</v>
      </c>
      <c r="O963" s="7">
        <f t="shared" si="469"/>
        <v>35</v>
      </c>
      <c r="P963" s="8"/>
      <c r="Q963" s="9">
        <v>15</v>
      </c>
      <c r="R963" s="10">
        <v>20</v>
      </c>
      <c r="S963" s="7">
        <f t="shared" si="457"/>
        <v>35</v>
      </c>
      <c r="T963" s="47">
        <v>45841</v>
      </c>
    </row>
    <row r="964" spans="1:23" x14ac:dyDescent="0.15">
      <c r="A964" s="3" t="s">
        <v>575</v>
      </c>
      <c r="B964" s="8">
        <v>2</v>
      </c>
      <c r="C964" s="9"/>
      <c r="D964" s="10"/>
      <c r="E964" s="7">
        <f t="shared" si="470"/>
        <v>2</v>
      </c>
      <c r="F964" s="8">
        <v>2</v>
      </c>
      <c r="G964" s="9"/>
      <c r="H964" s="10"/>
      <c r="I964" s="7">
        <f t="shared" si="453"/>
        <v>2</v>
      </c>
      <c r="J964" s="47">
        <v>45841</v>
      </c>
      <c r="K964" s="3" t="s">
        <v>575</v>
      </c>
      <c r="L964" s="8">
        <v>4</v>
      </c>
      <c r="M964" s="9"/>
      <c r="N964" s="10"/>
      <c r="O964" s="7">
        <f t="shared" si="469"/>
        <v>4</v>
      </c>
      <c r="P964" s="8">
        <v>4</v>
      </c>
      <c r="Q964" s="9"/>
      <c r="R964" s="10"/>
      <c r="S964" s="7">
        <f t="shared" si="457"/>
        <v>4</v>
      </c>
      <c r="T964" s="47">
        <v>45840</v>
      </c>
      <c r="U964" s="54"/>
      <c r="V964" s="54"/>
      <c r="W964" s="54"/>
    </row>
    <row r="965" spans="1:23" x14ac:dyDescent="0.15">
      <c r="A965" s="3" t="s">
        <v>575</v>
      </c>
      <c r="B965" s="8"/>
      <c r="C965" s="9"/>
      <c r="D965" s="10">
        <v>1</v>
      </c>
      <c r="E965" s="7">
        <f t="shared" si="470"/>
        <v>1</v>
      </c>
      <c r="F965" s="8"/>
      <c r="G965" s="9"/>
      <c r="H965" s="10">
        <v>1</v>
      </c>
      <c r="I965" s="7">
        <f t="shared" si="453"/>
        <v>1</v>
      </c>
      <c r="J965" s="47">
        <v>45842</v>
      </c>
      <c r="K965" s="3" t="s">
        <v>579</v>
      </c>
      <c r="L965" s="8">
        <v>98</v>
      </c>
      <c r="M965" s="9">
        <v>47</v>
      </c>
      <c r="N965" s="10">
        <v>42</v>
      </c>
      <c r="O965" s="7">
        <f t="shared" si="469"/>
        <v>187</v>
      </c>
      <c r="P965" s="8">
        <v>98</v>
      </c>
      <c r="Q965" s="9">
        <v>47</v>
      </c>
      <c r="R965" s="10">
        <v>42</v>
      </c>
      <c r="S965" s="7">
        <f t="shared" si="457"/>
        <v>187</v>
      </c>
      <c r="T965" s="47">
        <v>45840</v>
      </c>
    </row>
    <row r="966" spans="1:23" x14ac:dyDescent="0.15">
      <c r="A966" s="3" t="s">
        <v>575</v>
      </c>
      <c r="B966" s="8">
        <v>1</v>
      </c>
      <c r="C966" s="9">
        <v>2</v>
      </c>
      <c r="D966" s="10">
        <v>1</v>
      </c>
      <c r="E966" s="7">
        <f t="shared" si="470"/>
        <v>4</v>
      </c>
      <c r="F966" s="8">
        <v>1</v>
      </c>
      <c r="G966" s="9">
        <v>2</v>
      </c>
      <c r="H966" s="10">
        <v>1</v>
      </c>
      <c r="I966" s="7">
        <f t="shared" si="453"/>
        <v>4</v>
      </c>
      <c r="J966" s="47">
        <v>45842</v>
      </c>
      <c r="K966" s="3" t="s">
        <v>580</v>
      </c>
      <c r="L966" s="8">
        <v>5</v>
      </c>
      <c r="M966" s="9">
        <v>10</v>
      </c>
      <c r="N966" s="10"/>
      <c r="O966" s="7">
        <f t="shared" si="469"/>
        <v>15</v>
      </c>
      <c r="P966" s="8">
        <v>5</v>
      </c>
      <c r="Q966" s="9">
        <v>10</v>
      </c>
      <c r="R966" s="10"/>
      <c r="S966" s="7">
        <f t="shared" si="457"/>
        <v>15</v>
      </c>
      <c r="T966" s="47">
        <v>45845</v>
      </c>
    </row>
    <row r="967" spans="1:23" x14ac:dyDescent="0.15">
      <c r="A967" s="3" t="s">
        <v>575</v>
      </c>
      <c r="B967" s="8"/>
      <c r="C967" s="9">
        <v>1</v>
      </c>
      <c r="D967" s="10"/>
      <c r="E967" s="7">
        <f t="shared" ref="E967:E986" si="471">SUM(B967:D967)</f>
        <v>1</v>
      </c>
      <c r="F967" s="8"/>
      <c r="G967" s="9">
        <v>1</v>
      </c>
      <c r="H967" s="10"/>
      <c r="I967" s="7">
        <f t="shared" si="453"/>
        <v>1</v>
      </c>
      <c r="J967" s="47">
        <v>45845</v>
      </c>
      <c r="K967" s="3" t="s">
        <v>583</v>
      </c>
      <c r="L967" s="8">
        <v>6</v>
      </c>
      <c r="M967" s="9"/>
      <c r="N967" s="10"/>
      <c r="O967" s="7">
        <f t="shared" si="469"/>
        <v>6</v>
      </c>
      <c r="P967" s="8">
        <v>6</v>
      </c>
      <c r="Q967" s="9"/>
      <c r="R967" s="10"/>
      <c r="S967" s="7">
        <f t="shared" si="457"/>
        <v>6</v>
      </c>
      <c r="T967" s="47">
        <v>45849</v>
      </c>
    </row>
    <row r="968" spans="1:23" x14ac:dyDescent="0.15">
      <c r="A968" s="3" t="s">
        <v>575</v>
      </c>
      <c r="B968" s="8">
        <v>1</v>
      </c>
      <c r="C968" s="9">
        <v>2</v>
      </c>
      <c r="D968" s="10">
        <v>3</v>
      </c>
      <c r="E968" s="7">
        <f t="shared" si="471"/>
        <v>6</v>
      </c>
      <c r="F968" s="8">
        <v>1</v>
      </c>
      <c r="G968" s="9">
        <v>2</v>
      </c>
      <c r="H968" s="10">
        <v>3</v>
      </c>
      <c r="I968" s="7">
        <f t="shared" si="453"/>
        <v>6</v>
      </c>
      <c r="J968" s="47">
        <v>45847</v>
      </c>
      <c r="K968" s="3" t="s">
        <v>584</v>
      </c>
      <c r="L968" s="8"/>
      <c r="M968" s="9">
        <v>5</v>
      </c>
      <c r="N968" s="10"/>
      <c r="O968" s="7">
        <f t="shared" si="469"/>
        <v>5</v>
      </c>
      <c r="P968" s="8"/>
      <c r="Q968" s="9">
        <v>5</v>
      </c>
      <c r="R968" s="10"/>
      <c r="S968" s="7">
        <f t="shared" si="457"/>
        <v>5</v>
      </c>
      <c r="T968" s="47">
        <v>45853</v>
      </c>
    </row>
    <row r="969" spans="1:23" x14ac:dyDescent="0.15">
      <c r="A969" s="3" t="s">
        <v>575</v>
      </c>
      <c r="B969" s="8">
        <v>2</v>
      </c>
      <c r="C969" s="9">
        <v>1</v>
      </c>
      <c r="D969" s="10"/>
      <c r="E969" s="7">
        <f t="shared" si="471"/>
        <v>3</v>
      </c>
      <c r="F969" s="8">
        <v>2</v>
      </c>
      <c r="G969" s="9">
        <v>1</v>
      </c>
      <c r="H969" s="10"/>
      <c r="I969" s="7">
        <f t="shared" si="453"/>
        <v>3</v>
      </c>
      <c r="J969" s="47">
        <v>45848</v>
      </c>
      <c r="K969" s="3" t="s">
        <v>575</v>
      </c>
      <c r="L969" s="8">
        <v>6</v>
      </c>
      <c r="M969" s="9">
        <v>6</v>
      </c>
      <c r="N969" s="10">
        <v>6</v>
      </c>
      <c r="O969" s="7">
        <f t="shared" si="469"/>
        <v>18</v>
      </c>
      <c r="P969" s="8">
        <v>6</v>
      </c>
      <c r="Q969" s="9">
        <v>6</v>
      </c>
      <c r="R969" s="10">
        <v>6</v>
      </c>
      <c r="S969" s="7">
        <f t="shared" si="457"/>
        <v>18</v>
      </c>
      <c r="T969" s="47">
        <v>45852</v>
      </c>
      <c r="U969" s="54"/>
    </row>
    <row r="970" spans="1:23" x14ac:dyDescent="0.15">
      <c r="A970" s="3" t="s">
        <v>575</v>
      </c>
      <c r="B970" s="8">
        <v>1</v>
      </c>
      <c r="C970" s="9"/>
      <c r="D970" s="10"/>
      <c r="E970" s="7">
        <f t="shared" si="471"/>
        <v>1</v>
      </c>
      <c r="F970" s="8">
        <v>1</v>
      </c>
      <c r="G970" s="9"/>
      <c r="H970" s="10"/>
      <c r="I970" s="7">
        <f t="shared" si="453"/>
        <v>1</v>
      </c>
      <c r="J970" s="47">
        <v>45849</v>
      </c>
      <c r="K970" s="3" t="s">
        <v>585</v>
      </c>
      <c r="L970" s="8">
        <v>11</v>
      </c>
      <c r="M970" s="9">
        <v>10</v>
      </c>
      <c r="N970" s="10"/>
      <c r="O970" s="7">
        <f t="shared" si="469"/>
        <v>21</v>
      </c>
      <c r="P970" s="8">
        <v>11</v>
      </c>
      <c r="Q970" s="9">
        <v>10</v>
      </c>
      <c r="R970" s="10"/>
      <c r="S970" s="7">
        <f t="shared" si="457"/>
        <v>21</v>
      </c>
      <c r="T970" s="47">
        <v>45854</v>
      </c>
      <c r="U970" s="54"/>
    </row>
    <row r="971" spans="1:23" x14ac:dyDescent="0.15">
      <c r="A971" s="3" t="s">
        <v>575</v>
      </c>
      <c r="B971" s="8"/>
      <c r="C971" s="9">
        <v>1</v>
      </c>
      <c r="D971" s="10">
        <v>1</v>
      </c>
      <c r="E971" s="7">
        <f t="shared" si="471"/>
        <v>2</v>
      </c>
      <c r="F971" s="8"/>
      <c r="G971" s="9">
        <v>1</v>
      </c>
      <c r="H971" s="10">
        <v>1</v>
      </c>
      <c r="I971" s="7">
        <f t="shared" si="453"/>
        <v>2</v>
      </c>
      <c r="J971" s="47">
        <v>45849</v>
      </c>
      <c r="K971" s="3" t="s">
        <v>586</v>
      </c>
      <c r="L971" s="8">
        <v>5</v>
      </c>
      <c r="M971" s="9">
        <v>5</v>
      </c>
      <c r="N971" s="10"/>
      <c r="O971" s="7">
        <f t="shared" si="469"/>
        <v>10</v>
      </c>
      <c r="P971" s="8">
        <v>5</v>
      </c>
      <c r="Q971" s="9">
        <v>5</v>
      </c>
      <c r="R971" s="10"/>
      <c r="S971" s="7">
        <f t="shared" si="457"/>
        <v>10</v>
      </c>
      <c r="T971" s="47">
        <v>45854</v>
      </c>
      <c r="U971" s="54"/>
    </row>
    <row r="972" spans="1:23" x14ac:dyDescent="0.15">
      <c r="A972" s="3" t="s">
        <v>588</v>
      </c>
      <c r="B972" s="8"/>
      <c r="C972" s="9">
        <v>10</v>
      </c>
      <c r="D972" s="10">
        <v>5</v>
      </c>
      <c r="E972" s="7">
        <f t="shared" si="471"/>
        <v>15</v>
      </c>
      <c r="F972" s="8"/>
      <c r="G972" s="9">
        <v>10</v>
      </c>
      <c r="H972" s="10">
        <v>5</v>
      </c>
      <c r="I972" s="7">
        <f t="shared" si="453"/>
        <v>15</v>
      </c>
      <c r="J972" s="47">
        <v>45856</v>
      </c>
      <c r="K972" s="3" t="s">
        <v>575</v>
      </c>
      <c r="L972" s="8">
        <v>5</v>
      </c>
      <c r="M972" s="9">
        <v>6</v>
      </c>
      <c r="N972" s="10">
        <v>8</v>
      </c>
      <c r="O972" s="7">
        <f t="shared" si="469"/>
        <v>19</v>
      </c>
      <c r="P972" s="8">
        <v>5</v>
      </c>
      <c r="Q972" s="9">
        <v>6</v>
      </c>
      <c r="R972" s="10">
        <v>8</v>
      </c>
      <c r="S972" s="7">
        <f t="shared" si="457"/>
        <v>19</v>
      </c>
      <c r="T972" s="47">
        <v>45854</v>
      </c>
      <c r="U972" s="54"/>
    </row>
    <row r="973" spans="1:23" x14ac:dyDescent="0.15">
      <c r="A973" s="3" t="s">
        <v>575</v>
      </c>
      <c r="B973" s="8">
        <v>1</v>
      </c>
      <c r="C973" s="9">
        <v>2</v>
      </c>
      <c r="D973" s="10"/>
      <c r="E973" s="7">
        <f t="shared" si="471"/>
        <v>3</v>
      </c>
      <c r="F973" s="8">
        <v>1</v>
      </c>
      <c r="G973" s="9">
        <v>2</v>
      </c>
      <c r="H973" s="10"/>
      <c r="I973" s="7">
        <f t="shared" si="453"/>
        <v>3</v>
      </c>
      <c r="J973" s="47">
        <v>45860</v>
      </c>
      <c r="K973" s="3" t="s">
        <v>575</v>
      </c>
      <c r="L973" s="8">
        <v>4</v>
      </c>
      <c r="M973" s="9"/>
      <c r="N973" s="10">
        <v>4</v>
      </c>
      <c r="O973" s="7">
        <f t="shared" si="469"/>
        <v>8</v>
      </c>
      <c r="P973" s="8">
        <v>4</v>
      </c>
      <c r="Q973" s="9"/>
      <c r="R973" s="10">
        <v>4</v>
      </c>
      <c r="S973" s="7">
        <f t="shared" si="457"/>
        <v>8</v>
      </c>
      <c r="T973" s="47">
        <v>45855</v>
      </c>
      <c r="U973" s="54"/>
    </row>
    <row r="974" spans="1:23" x14ac:dyDescent="0.15">
      <c r="A974" s="3"/>
      <c r="B974" s="8"/>
      <c r="C974" s="9"/>
      <c r="D974" s="10"/>
      <c r="E974" s="7">
        <f t="shared" si="471"/>
        <v>0</v>
      </c>
      <c r="F974" s="8"/>
      <c r="G974" s="9"/>
      <c r="H974" s="10"/>
      <c r="I974" s="7">
        <f t="shared" si="453"/>
        <v>0</v>
      </c>
      <c r="J974" s="55"/>
      <c r="K974" s="3" t="s">
        <v>589</v>
      </c>
      <c r="L974" s="8">
        <v>5</v>
      </c>
      <c r="M974" s="9">
        <v>15</v>
      </c>
      <c r="N974" s="10">
        <v>10</v>
      </c>
      <c r="O974" s="7">
        <f t="shared" ref="O974" si="472">SUM(L974:N974)</f>
        <v>30</v>
      </c>
      <c r="P974" s="8">
        <v>5</v>
      </c>
      <c r="Q974" s="9">
        <v>15</v>
      </c>
      <c r="R974" s="10">
        <v>10</v>
      </c>
      <c r="S974" s="7">
        <f t="shared" ref="S974" si="473">SUM(P974:R974)</f>
        <v>30</v>
      </c>
      <c r="T974" s="47">
        <v>45854</v>
      </c>
    </row>
    <row r="975" spans="1:23" x14ac:dyDescent="0.15">
      <c r="A975" s="3"/>
      <c r="B975" s="8"/>
      <c r="C975" s="9"/>
      <c r="D975" s="10"/>
      <c r="E975" s="7">
        <f t="shared" si="471"/>
        <v>0</v>
      </c>
      <c r="F975" s="8"/>
      <c r="G975" s="9"/>
      <c r="H975" s="10"/>
      <c r="I975" s="7">
        <f t="shared" si="453"/>
        <v>0</v>
      </c>
      <c r="K975" s="3" t="s">
        <v>575</v>
      </c>
      <c r="L975" s="8">
        <v>1</v>
      </c>
      <c r="M975" s="9">
        <v>2</v>
      </c>
      <c r="N975" s="10"/>
      <c r="O975" s="7">
        <f t="shared" si="469"/>
        <v>3</v>
      </c>
      <c r="P975" s="8">
        <v>1</v>
      </c>
      <c r="Q975" s="9">
        <v>2</v>
      </c>
      <c r="R975" s="10"/>
      <c r="S975" s="7">
        <f t="shared" si="457"/>
        <v>3</v>
      </c>
      <c r="T975" s="47">
        <v>45856</v>
      </c>
      <c r="U975" s="54"/>
      <c r="V975" s="54"/>
    </row>
    <row r="976" spans="1:23" x14ac:dyDescent="0.15">
      <c r="A976" s="3"/>
      <c r="B976" s="8"/>
      <c r="C976" s="9"/>
      <c r="D976" s="10"/>
      <c r="E976" s="7">
        <f t="shared" si="471"/>
        <v>0</v>
      </c>
      <c r="F976" s="8"/>
      <c r="G976" s="9"/>
      <c r="H976" s="10"/>
      <c r="I976" s="7">
        <f t="shared" si="453"/>
        <v>0</v>
      </c>
      <c r="K976" s="3" t="s">
        <v>575</v>
      </c>
      <c r="L976" s="8">
        <v>4</v>
      </c>
      <c r="M976" s="9"/>
      <c r="N976" s="10">
        <v>2</v>
      </c>
      <c r="O976" s="7">
        <f t="shared" si="469"/>
        <v>6</v>
      </c>
      <c r="P976" s="8">
        <v>4</v>
      </c>
      <c r="Q976" s="9"/>
      <c r="R976" s="10">
        <v>2</v>
      </c>
      <c r="S976" s="7">
        <f t="shared" si="457"/>
        <v>6</v>
      </c>
      <c r="T976" s="47">
        <v>45856</v>
      </c>
      <c r="U976" s="54"/>
      <c r="V976" s="54"/>
    </row>
    <row r="977" spans="1:22" x14ac:dyDescent="0.15">
      <c r="A977" s="3"/>
      <c r="B977" s="8"/>
      <c r="C977" s="9"/>
      <c r="D977" s="10"/>
      <c r="E977" s="7">
        <f t="shared" si="471"/>
        <v>0</v>
      </c>
      <c r="F977" s="8"/>
      <c r="G977" s="9"/>
      <c r="H977" s="10"/>
      <c r="I977" s="7">
        <f t="shared" si="453"/>
        <v>0</v>
      </c>
      <c r="K977" s="3" t="s">
        <v>33</v>
      </c>
      <c r="L977" s="8"/>
      <c r="M977" s="9">
        <v>5</v>
      </c>
      <c r="N977" s="10"/>
      <c r="O977" s="7">
        <f t="shared" si="469"/>
        <v>5</v>
      </c>
      <c r="P977" s="8"/>
      <c r="Q977" s="9">
        <v>5</v>
      </c>
      <c r="R977" s="10"/>
      <c r="S977" s="7">
        <f t="shared" si="457"/>
        <v>5</v>
      </c>
      <c r="T977" s="47">
        <v>45861</v>
      </c>
      <c r="U977" s="54"/>
      <c r="V977" s="54"/>
    </row>
    <row r="978" spans="1:22" x14ac:dyDescent="0.15">
      <c r="A978" s="3"/>
      <c r="B978" s="8"/>
      <c r="C978" s="9"/>
      <c r="D978" s="10"/>
      <c r="E978" s="7">
        <f t="shared" si="471"/>
        <v>0</v>
      </c>
      <c r="F978" s="8"/>
      <c r="G978" s="9"/>
      <c r="H978" s="10"/>
      <c r="I978" s="7">
        <f t="shared" si="453"/>
        <v>0</v>
      </c>
      <c r="K978" s="3" t="s">
        <v>543</v>
      </c>
      <c r="L978" s="8"/>
      <c r="M978" s="9"/>
      <c r="N978" s="10"/>
      <c r="O978" s="7">
        <f t="shared" ref="O978:O983" si="474">SUM(L978:N978)</f>
        <v>0</v>
      </c>
      <c r="P978" s="8"/>
      <c r="Q978" s="9"/>
      <c r="R978" s="10"/>
      <c r="S978" s="7">
        <f t="shared" ref="S978:S983" si="475">SUM(P978:R978)</f>
        <v>0</v>
      </c>
      <c r="T978" s="55" t="s">
        <v>544</v>
      </c>
    </row>
    <row r="979" spans="1:22" x14ac:dyDescent="0.15">
      <c r="A979" s="3"/>
      <c r="B979" s="8"/>
      <c r="C979" s="9"/>
      <c r="D979" s="10"/>
      <c r="E979" s="7">
        <f t="shared" si="471"/>
        <v>0</v>
      </c>
      <c r="F979" s="8"/>
      <c r="G979" s="9"/>
      <c r="H979" s="10"/>
      <c r="I979" s="7">
        <f t="shared" si="453"/>
        <v>0</v>
      </c>
      <c r="K979" s="3" t="s">
        <v>539</v>
      </c>
      <c r="L979" s="8"/>
      <c r="M979" s="9"/>
      <c r="N979" s="10"/>
      <c r="O979" s="7">
        <f t="shared" si="474"/>
        <v>0</v>
      </c>
      <c r="P979" s="8"/>
      <c r="Q979" s="9"/>
      <c r="R979" s="10"/>
      <c r="S979" s="7">
        <f t="shared" si="475"/>
        <v>0</v>
      </c>
      <c r="T979" s="55" t="s">
        <v>540</v>
      </c>
    </row>
    <row r="980" spans="1:22" x14ac:dyDescent="0.15">
      <c r="A980" s="3"/>
      <c r="B980" s="8"/>
      <c r="C980" s="9"/>
      <c r="D980" s="10"/>
      <c r="E980" s="7">
        <f t="shared" si="471"/>
        <v>0</v>
      </c>
      <c r="F980" s="8"/>
      <c r="G980" s="9"/>
      <c r="H980" s="10"/>
      <c r="I980" s="7">
        <f t="shared" si="453"/>
        <v>0</v>
      </c>
      <c r="K980" s="32" t="s">
        <v>529</v>
      </c>
      <c r="L980" s="58"/>
      <c r="M980" s="59"/>
      <c r="N980" s="60"/>
      <c r="O980" s="61">
        <f t="shared" si="474"/>
        <v>0</v>
      </c>
      <c r="P980" s="58"/>
      <c r="Q980" s="59"/>
      <c r="R980" s="60"/>
      <c r="S980" s="61">
        <f t="shared" si="475"/>
        <v>0</v>
      </c>
      <c r="T980" s="62"/>
    </row>
    <row r="981" spans="1:22" x14ac:dyDescent="0.15">
      <c r="A981" s="3"/>
      <c r="B981" s="8"/>
      <c r="C981" s="9"/>
      <c r="D981" s="10"/>
      <c r="E981" s="7">
        <f t="shared" si="471"/>
        <v>0</v>
      </c>
      <c r="F981" s="8"/>
      <c r="G981" s="9"/>
      <c r="H981" s="10"/>
      <c r="I981" s="7">
        <f t="shared" si="453"/>
        <v>0</v>
      </c>
      <c r="K981" s="3" t="s">
        <v>530</v>
      </c>
      <c r="L981" s="8"/>
      <c r="M981" s="9"/>
      <c r="N981" s="10"/>
      <c r="O981" s="7">
        <f t="shared" si="474"/>
        <v>0</v>
      </c>
      <c r="P981" s="8"/>
      <c r="Q981" s="9"/>
      <c r="R981" s="10"/>
      <c r="S981" s="7">
        <f t="shared" si="475"/>
        <v>0</v>
      </c>
      <c r="T981" s="55" t="s">
        <v>521</v>
      </c>
    </row>
    <row r="982" spans="1:22" x14ac:dyDescent="0.15">
      <c r="A982" s="3"/>
      <c r="B982" s="8"/>
      <c r="C982" s="9"/>
      <c r="D982" s="10"/>
      <c r="E982" s="7">
        <f t="shared" si="471"/>
        <v>0</v>
      </c>
      <c r="F982" s="8"/>
      <c r="G982" s="9"/>
      <c r="H982" s="10"/>
      <c r="I982" s="7">
        <f t="shared" si="453"/>
        <v>0</v>
      </c>
      <c r="K982" s="32" t="s">
        <v>561</v>
      </c>
      <c r="L982" s="58"/>
      <c r="M982" s="59"/>
      <c r="N982" s="60"/>
      <c r="O982" s="61">
        <f t="shared" si="474"/>
        <v>0</v>
      </c>
      <c r="P982" s="58"/>
      <c r="Q982" s="59"/>
      <c r="R982" s="60"/>
      <c r="S982" s="61">
        <f t="shared" si="475"/>
        <v>0</v>
      </c>
      <c r="T982" s="62"/>
    </row>
    <row r="983" spans="1:22" x14ac:dyDescent="0.15">
      <c r="A983" s="3"/>
      <c r="B983" s="8"/>
      <c r="C983" s="9"/>
      <c r="D983" s="10"/>
      <c r="E983" s="7">
        <f t="shared" si="471"/>
        <v>0</v>
      </c>
      <c r="F983" s="8"/>
      <c r="G983" s="9"/>
      <c r="H983" s="10"/>
      <c r="I983" s="7">
        <f t="shared" si="453"/>
        <v>0</v>
      </c>
      <c r="K983" s="3" t="s">
        <v>559</v>
      </c>
      <c r="L983" s="8"/>
      <c r="M983" s="9"/>
      <c r="N983" s="10"/>
      <c r="O983" s="7">
        <f t="shared" si="474"/>
        <v>0</v>
      </c>
      <c r="P983" s="8"/>
      <c r="Q983" s="9"/>
      <c r="R983" s="10"/>
      <c r="S983" s="7">
        <f t="shared" si="475"/>
        <v>0</v>
      </c>
      <c r="T983" s="55" t="s">
        <v>560</v>
      </c>
    </row>
    <row r="984" spans="1:22" x14ac:dyDescent="0.15">
      <c r="A984" s="3"/>
      <c r="B984" s="8"/>
      <c r="C984" s="9"/>
      <c r="D984" s="10"/>
      <c r="E984" s="7">
        <f t="shared" si="471"/>
        <v>0</v>
      </c>
      <c r="F984" s="8"/>
      <c r="G984" s="9"/>
      <c r="H984" s="10"/>
      <c r="I984" s="7">
        <f t="shared" si="453"/>
        <v>0</v>
      </c>
      <c r="K984" s="32" t="s">
        <v>531</v>
      </c>
      <c r="L984" s="58"/>
      <c r="M984" s="59"/>
      <c r="N984" s="60"/>
      <c r="O984" s="61">
        <f t="shared" si="469"/>
        <v>0</v>
      </c>
      <c r="P984" s="58"/>
      <c r="Q984" s="59"/>
      <c r="R984" s="60"/>
      <c r="S984" s="61">
        <f t="shared" si="457"/>
        <v>0</v>
      </c>
      <c r="T984" s="55"/>
    </row>
    <row r="985" spans="1:22" ht="14.25" thickBot="1" x14ac:dyDescent="0.2">
      <c r="A985" s="3"/>
      <c r="B985" s="8"/>
      <c r="C985" s="9"/>
      <c r="D985" s="10"/>
      <c r="E985" s="7">
        <f t="shared" ref="E985" si="476">SUM(B985:D985)</f>
        <v>0</v>
      </c>
      <c r="F985" s="8"/>
      <c r="G985" s="9"/>
      <c r="H985" s="10"/>
      <c r="I985" s="7">
        <f t="shared" ref="I985" si="477">SUM(F985:H985)</f>
        <v>0</v>
      </c>
      <c r="K985" s="3" t="s">
        <v>532</v>
      </c>
      <c r="L985" s="8"/>
      <c r="M985" s="9"/>
      <c r="N985" s="10"/>
      <c r="O985" s="7">
        <f t="shared" si="469"/>
        <v>0</v>
      </c>
      <c r="P985" s="8"/>
      <c r="Q985" s="9"/>
      <c r="R985" s="10"/>
      <c r="S985" s="7">
        <f t="shared" si="457"/>
        <v>0</v>
      </c>
      <c r="T985" s="55" t="s">
        <v>533</v>
      </c>
    </row>
    <row r="986" spans="1:22" ht="14.25" thickBot="1" x14ac:dyDescent="0.2">
      <c r="A986" s="2" t="s">
        <v>5</v>
      </c>
      <c r="B986" s="12">
        <f>SUM(B962:B985)</f>
        <v>8</v>
      </c>
      <c r="C986" s="12">
        <f>SUM(C962:C985)</f>
        <v>21</v>
      </c>
      <c r="D986" s="12">
        <f>SUM(D962:D985)</f>
        <v>12</v>
      </c>
      <c r="E986" s="13">
        <f t="shared" si="471"/>
        <v>41</v>
      </c>
      <c r="F986" s="12">
        <f>SUM(F962:F985)</f>
        <v>8</v>
      </c>
      <c r="G986" s="12">
        <f>SUM(G962:G985)</f>
        <v>21</v>
      </c>
      <c r="H986" s="12">
        <f>SUM(H962:H985)</f>
        <v>12</v>
      </c>
      <c r="I986" s="13">
        <f t="shared" si="453"/>
        <v>41</v>
      </c>
      <c r="K986" s="2" t="s">
        <v>5</v>
      </c>
      <c r="L986" s="12">
        <f>SUM(L962:L985)</f>
        <v>244</v>
      </c>
      <c r="M986" s="12">
        <f>SUM(M962:M985)</f>
        <v>276</v>
      </c>
      <c r="N986" s="12">
        <f>SUM(N962:N985)</f>
        <v>182</v>
      </c>
      <c r="O986" s="13">
        <f t="shared" si="469"/>
        <v>702</v>
      </c>
      <c r="P986" s="12">
        <f>SUM(P962:P985)</f>
        <v>244</v>
      </c>
      <c r="Q986" s="12">
        <f>SUM(Q962:Q985)</f>
        <v>276</v>
      </c>
      <c r="R986" s="12">
        <f>SUM(R962:R985)</f>
        <v>182</v>
      </c>
      <c r="S986" s="13">
        <f t="shared" si="457"/>
        <v>702</v>
      </c>
    </row>
    <row r="987" spans="1:22" ht="14.25" thickBot="1" x14ac:dyDescent="0.2">
      <c r="A987" s="21" t="s">
        <v>6</v>
      </c>
      <c r="B987" s="22">
        <f t="shared" ref="B987:I987" si="478">B961-B986</f>
        <v>6</v>
      </c>
      <c r="C987" s="22">
        <f t="shared" si="478"/>
        <v>8</v>
      </c>
      <c r="D987" s="22">
        <f t="shared" si="478"/>
        <v>7</v>
      </c>
      <c r="E987" s="22">
        <f t="shared" si="478"/>
        <v>21</v>
      </c>
      <c r="F987" s="22">
        <f t="shared" si="478"/>
        <v>6</v>
      </c>
      <c r="G987" s="22">
        <f t="shared" si="478"/>
        <v>8</v>
      </c>
      <c r="H987" s="22">
        <f t="shared" si="478"/>
        <v>7</v>
      </c>
      <c r="I987" s="20">
        <f t="shared" si="478"/>
        <v>21</v>
      </c>
      <c r="K987" s="21" t="s">
        <v>6</v>
      </c>
      <c r="L987" s="22">
        <f>L961-L986</f>
        <v>221</v>
      </c>
      <c r="M987" s="22">
        <f t="shared" ref="M987:O987" si="479">M961-M986</f>
        <v>238</v>
      </c>
      <c r="N987" s="22">
        <f t="shared" si="479"/>
        <v>170</v>
      </c>
      <c r="O987" s="22">
        <f t="shared" si="479"/>
        <v>629</v>
      </c>
      <c r="P987" s="22">
        <f>P961-P986</f>
        <v>221</v>
      </c>
      <c r="Q987" s="22">
        <f>Q961-Q986</f>
        <v>238</v>
      </c>
      <c r="R987" s="22">
        <f>R961-R986</f>
        <v>170</v>
      </c>
      <c r="S987" s="20">
        <f t="shared" ref="S987" si="480">S961-S986</f>
        <v>629</v>
      </c>
    </row>
    <row r="988" spans="1:22" x14ac:dyDescent="0.15">
      <c r="M988" s="134"/>
      <c r="N988" s="134"/>
      <c r="O988" s="134"/>
      <c r="P988" s="134"/>
      <c r="Q988" s="134"/>
      <c r="R988" s="134"/>
    </row>
    <row r="990" spans="1:22" ht="21.75" thickBot="1" x14ac:dyDescent="0.25">
      <c r="A990" s="26" t="s">
        <v>509</v>
      </c>
      <c r="B990" s="27"/>
      <c r="C990" s="27"/>
      <c r="D990" s="27"/>
      <c r="E990" s="27"/>
      <c r="F990" s="28"/>
      <c r="G990" s="28"/>
      <c r="H990" s="28"/>
      <c r="I990" s="28"/>
      <c r="K990" s="26" t="s">
        <v>505</v>
      </c>
      <c r="L990" s="27"/>
      <c r="M990" s="27"/>
      <c r="N990" s="27"/>
      <c r="O990" s="27"/>
      <c r="P990" s="28"/>
      <c r="Q990" s="28"/>
      <c r="R990" s="28"/>
      <c r="S990" s="28"/>
    </row>
    <row r="991" spans="1:22" ht="14.25" thickBot="1" x14ac:dyDescent="0.2">
      <c r="A991" s="1" t="s">
        <v>0</v>
      </c>
      <c r="B991" s="183" t="s">
        <v>12</v>
      </c>
      <c r="C991" s="183"/>
      <c r="D991" s="183"/>
      <c r="E991" s="184"/>
      <c r="F991" s="183" t="s">
        <v>10</v>
      </c>
      <c r="G991" s="183"/>
      <c r="H991" s="183"/>
      <c r="I991" s="184"/>
      <c r="K991" s="1" t="s">
        <v>0</v>
      </c>
      <c r="L991" s="182" t="s">
        <v>12</v>
      </c>
      <c r="M991" s="183"/>
      <c r="N991" s="183"/>
      <c r="O991" s="184"/>
      <c r="P991" s="182" t="s">
        <v>10</v>
      </c>
      <c r="Q991" s="183"/>
      <c r="R991" s="183"/>
      <c r="S991" s="184"/>
    </row>
    <row r="992" spans="1:22" ht="14.25" thickBot="1" x14ac:dyDescent="0.2">
      <c r="A992" s="1" t="s">
        <v>1</v>
      </c>
      <c r="B992" s="2" t="s">
        <v>7</v>
      </c>
      <c r="C992" s="1" t="s">
        <v>8</v>
      </c>
      <c r="D992" s="15" t="s">
        <v>9</v>
      </c>
      <c r="E992" s="1" t="s">
        <v>2</v>
      </c>
      <c r="F992" s="2" t="s">
        <v>7</v>
      </c>
      <c r="G992" s="1" t="s">
        <v>8</v>
      </c>
      <c r="H992" s="15" t="s">
        <v>9</v>
      </c>
      <c r="I992" s="1" t="s">
        <v>2</v>
      </c>
      <c r="K992" s="1" t="s">
        <v>1</v>
      </c>
      <c r="L992" s="2" t="s">
        <v>7</v>
      </c>
      <c r="M992" s="1" t="s">
        <v>8</v>
      </c>
      <c r="N992" s="15" t="s">
        <v>9</v>
      </c>
      <c r="O992" s="1" t="s">
        <v>2</v>
      </c>
      <c r="P992" s="2" t="s">
        <v>7</v>
      </c>
      <c r="Q992" s="1" t="s">
        <v>8</v>
      </c>
      <c r="R992" s="15" t="s">
        <v>9</v>
      </c>
      <c r="S992" s="1" t="s">
        <v>2</v>
      </c>
    </row>
    <row r="993" spans="1:20" ht="14.25" thickBot="1" x14ac:dyDescent="0.2">
      <c r="A993" s="41" t="s">
        <v>13</v>
      </c>
      <c r="B993" s="42">
        <f>B987</f>
        <v>6</v>
      </c>
      <c r="C993" s="43">
        <f>C987</f>
        <v>8</v>
      </c>
      <c r="D993" s="44">
        <f>D987</f>
        <v>7</v>
      </c>
      <c r="E993" s="45">
        <f t="shared" ref="E993:E1029" si="481">SUM(B993:D993)</f>
        <v>21</v>
      </c>
      <c r="F993" s="42">
        <f>F987</f>
        <v>6</v>
      </c>
      <c r="G993" s="43">
        <f>G987</f>
        <v>8</v>
      </c>
      <c r="H993" s="44">
        <f>H987</f>
        <v>7</v>
      </c>
      <c r="I993" s="45">
        <f t="shared" ref="I993:I1029" si="482">SUM(F993:H993)</f>
        <v>21</v>
      </c>
      <c r="K993" s="34" t="s">
        <v>13</v>
      </c>
      <c r="L993" s="35">
        <f>L987</f>
        <v>221</v>
      </c>
      <c r="M993" s="35">
        <f t="shared" ref="M993:N993" si="483">M987</f>
        <v>238</v>
      </c>
      <c r="N993" s="35">
        <f t="shared" si="483"/>
        <v>170</v>
      </c>
      <c r="O993" s="20">
        <f t="shared" ref="O993:O1029" si="484">SUM(L993:N993)</f>
        <v>629</v>
      </c>
      <c r="P993" s="35">
        <f>P987</f>
        <v>221</v>
      </c>
      <c r="Q993" s="36">
        <f t="shared" ref="Q993:R993" si="485">Q987</f>
        <v>238</v>
      </c>
      <c r="R993" s="37">
        <f t="shared" si="485"/>
        <v>170</v>
      </c>
      <c r="S993" s="20">
        <f t="shared" ref="S993:S1029" si="486">SUM(P993:R993)</f>
        <v>629</v>
      </c>
    </row>
    <row r="994" spans="1:20" x14ac:dyDescent="0.15">
      <c r="A994" s="6" t="s">
        <v>3</v>
      </c>
      <c r="B994" s="14"/>
      <c r="C994" s="11">
        <v>5</v>
      </c>
      <c r="D994" s="14"/>
      <c r="E994" s="4">
        <f t="shared" si="481"/>
        <v>5</v>
      </c>
      <c r="F994" s="14"/>
      <c r="G994" s="11">
        <v>5</v>
      </c>
      <c r="H994" s="14"/>
      <c r="I994" s="4">
        <f t="shared" si="482"/>
        <v>5</v>
      </c>
      <c r="J994" s="47">
        <v>45863</v>
      </c>
      <c r="K994" s="5" t="s">
        <v>3</v>
      </c>
      <c r="L994" s="14"/>
      <c r="M994" s="11"/>
      <c r="N994" s="14"/>
      <c r="O994" s="4">
        <f t="shared" si="484"/>
        <v>0</v>
      </c>
      <c r="P994" s="14"/>
      <c r="Q994" s="11"/>
      <c r="R994" s="14"/>
      <c r="S994" s="4">
        <f t="shared" si="486"/>
        <v>0</v>
      </c>
    </row>
    <row r="995" spans="1:20" x14ac:dyDescent="0.15">
      <c r="A995" s="6" t="s">
        <v>91</v>
      </c>
      <c r="B995" s="14"/>
      <c r="C995" s="11">
        <v>1</v>
      </c>
      <c r="D995" s="14">
        <v>1</v>
      </c>
      <c r="E995" s="4">
        <f t="shared" si="481"/>
        <v>2</v>
      </c>
      <c r="F995" s="14"/>
      <c r="G995" s="11">
        <v>1</v>
      </c>
      <c r="H995" s="14">
        <v>1</v>
      </c>
      <c r="I995" s="4">
        <f t="shared" si="482"/>
        <v>2</v>
      </c>
      <c r="J995" s="47">
        <v>45861</v>
      </c>
      <c r="K995" s="5" t="s">
        <v>3</v>
      </c>
      <c r="L995" s="14"/>
      <c r="M995" s="11"/>
      <c r="N995" s="14"/>
      <c r="O995" s="4">
        <f t="shared" si="484"/>
        <v>0</v>
      </c>
      <c r="P995" s="14"/>
      <c r="Q995" s="11"/>
      <c r="R995" s="14"/>
      <c r="S995" s="4">
        <f t="shared" si="486"/>
        <v>0</v>
      </c>
    </row>
    <row r="996" spans="1:20" x14ac:dyDescent="0.15">
      <c r="A996" s="6" t="s">
        <v>149</v>
      </c>
      <c r="B996" s="14">
        <v>1</v>
      </c>
      <c r="C996" s="11">
        <v>1</v>
      </c>
      <c r="D996" s="14"/>
      <c r="E996" s="4">
        <f t="shared" si="481"/>
        <v>2</v>
      </c>
      <c r="F996" s="14">
        <v>1</v>
      </c>
      <c r="G996" s="11">
        <v>1</v>
      </c>
      <c r="H996" s="14"/>
      <c r="I996" s="4">
        <f t="shared" si="482"/>
        <v>2</v>
      </c>
      <c r="J996" s="47">
        <v>45869</v>
      </c>
      <c r="K996" s="5" t="s">
        <v>3</v>
      </c>
      <c r="L996" s="14"/>
      <c r="M996" s="11"/>
      <c r="N996" s="14"/>
      <c r="O996" s="4">
        <f t="shared" ref="O996:O1001" si="487">SUM(L996:N996)</f>
        <v>0</v>
      </c>
      <c r="P996" s="14"/>
      <c r="Q996" s="11"/>
      <c r="R996" s="14"/>
      <c r="S996" s="4">
        <f t="shared" ref="S996:S1001" si="488">SUM(P996:R996)</f>
        <v>0</v>
      </c>
    </row>
    <row r="997" spans="1:20" x14ac:dyDescent="0.15">
      <c r="A997" s="6" t="s">
        <v>3</v>
      </c>
      <c r="B997" s="14">
        <v>5</v>
      </c>
      <c r="C997" s="11">
        <v>5</v>
      </c>
      <c r="D997" s="14">
        <v>5</v>
      </c>
      <c r="E997" s="4">
        <f t="shared" si="481"/>
        <v>15</v>
      </c>
      <c r="F997" s="14">
        <v>5</v>
      </c>
      <c r="G997" s="11">
        <v>5</v>
      </c>
      <c r="H997" s="14">
        <v>5</v>
      </c>
      <c r="I997" s="4">
        <f t="shared" si="482"/>
        <v>15</v>
      </c>
      <c r="J997" s="47">
        <v>45870</v>
      </c>
      <c r="K997" s="5" t="s">
        <v>3</v>
      </c>
      <c r="L997" s="14"/>
      <c r="M997" s="11"/>
      <c r="N997" s="14"/>
      <c r="O997" s="4">
        <f t="shared" si="487"/>
        <v>0</v>
      </c>
      <c r="P997" s="14"/>
      <c r="Q997" s="11"/>
      <c r="R997" s="14"/>
      <c r="S997" s="4">
        <f t="shared" si="488"/>
        <v>0</v>
      </c>
    </row>
    <row r="998" spans="1:20" x14ac:dyDescent="0.15">
      <c r="A998" s="6" t="s">
        <v>3</v>
      </c>
      <c r="B998" s="14">
        <v>3</v>
      </c>
      <c r="C998" s="11">
        <v>3</v>
      </c>
      <c r="D998" s="14">
        <v>3</v>
      </c>
      <c r="E998" s="4">
        <f t="shared" si="481"/>
        <v>9</v>
      </c>
      <c r="F998" s="14">
        <v>3</v>
      </c>
      <c r="G998" s="11">
        <v>3</v>
      </c>
      <c r="H998" s="14">
        <v>3</v>
      </c>
      <c r="I998" s="4">
        <f t="shared" si="482"/>
        <v>9</v>
      </c>
      <c r="J998" s="47">
        <v>45874</v>
      </c>
      <c r="K998" s="5" t="s">
        <v>3</v>
      </c>
      <c r="L998" s="14"/>
      <c r="M998" s="11"/>
      <c r="N998" s="14"/>
      <c r="O998" s="4">
        <f t="shared" si="487"/>
        <v>0</v>
      </c>
      <c r="P998" s="14"/>
      <c r="Q998" s="11"/>
      <c r="R998" s="14"/>
      <c r="S998" s="4">
        <f t="shared" si="488"/>
        <v>0</v>
      </c>
    </row>
    <row r="999" spans="1:20" x14ac:dyDescent="0.15">
      <c r="A999" s="6" t="s">
        <v>91</v>
      </c>
      <c r="B999" s="14"/>
      <c r="C999" s="11"/>
      <c r="D999" s="14">
        <v>2</v>
      </c>
      <c r="E999" s="4">
        <f t="shared" si="481"/>
        <v>2</v>
      </c>
      <c r="F999" s="14"/>
      <c r="G999" s="11"/>
      <c r="H999" s="14">
        <v>2</v>
      </c>
      <c r="I999" s="4">
        <f t="shared" si="482"/>
        <v>2</v>
      </c>
      <c r="J999" s="47">
        <v>45874</v>
      </c>
      <c r="K999" s="5" t="s">
        <v>3</v>
      </c>
      <c r="L999" s="14"/>
      <c r="M999" s="11"/>
      <c r="N999" s="14"/>
      <c r="O999" s="4">
        <f t="shared" si="487"/>
        <v>0</v>
      </c>
      <c r="P999" s="14"/>
      <c r="Q999" s="11"/>
      <c r="R999" s="14"/>
      <c r="S999" s="4">
        <f t="shared" si="488"/>
        <v>0</v>
      </c>
    </row>
    <row r="1000" spans="1:20" x14ac:dyDescent="0.15">
      <c r="A1000" s="6" t="s">
        <v>152</v>
      </c>
      <c r="B1000" s="14">
        <v>0</v>
      </c>
      <c r="C1000" s="11">
        <v>0</v>
      </c>
      <c r="D1000" s="14">
        <v>0</v>
      </c>
      <c r="E1000" s="4">
        <f t="shared" si="481"/>
        <v>0</v>
      </c>
      <c r="F1000" s="14">
        <v>0</v>
      </c>
      <c r="G1000" s="11">
        <v>0</v>
      </c>
      <c r="H1000" s="14">
        <v>0</v>
      </c>
      <c r="I1000" s="4">
        <f t="shared" si="482"/>
        <v>0</v>
      </c>
      <c r="J1000" s="47">
        <v>45878</v>
      </c>
      <c r="K1000" s="5" t="s">
        <v>3</v>
      </c>
      <c r="L1000" s="14"/>
      <c r="M1000" s="11"/>
      <c r="N1000" s="14"/>
      <c r="O1000" s="4">
        <f t="shared" si="487"/>
        <v>0</v>
      </c>
      <c r="P1000" s="14"/>
      <c r="Q1000" s="11"/>
      <c r="R1000" s="14"/>
      <c r="S1000" s="4">
        <f t="shared" si="488"/>
        <v>0</v>
      </c>
    </row>
    <row r="1001" spans="1:20" x14ac:dyDescent="0.15">
      <c r="A1001" s="6" t="s">
        <v>3</v>
      </c>
      <c r="B1001" s="23"/>
      <c r="C1001" s="24">
        <v>5</v>
      </c>
      <c r="D1001" s="25">
        <v>3</v>
      </c>
      <c r="E1001" s="7">
        <f t="shared" si="481"/>
        <v>8</v>
      </c>
      <c r="F1001" s="23"/>
      <c r="G1001" s="24">
        <v>5</v>
      </c>
      <c r="H1001" s="25">
        <v>3</v>
      </c>
      <c r="I1001" s="7">
        <f t="shared" si="482"/>
        <v>8</v>
      </c>
      <c r="J1001" s="47">
        <v>45890</v>
      </c>
      <c r="K1001" s="5" t="s">
        <v>3</v>
      </c>
      <c r="L1001" s="14"/>
      <c r="M1001" s="11"/>
      <c r="N1001" s="14"/>
      <c r="O1001" s="4">
        <f t="shared" si="487"/>
        <v>0</v>
      </c>
      <c r="P1001" s="14"/>
      <c r="Q1001" s="11"/>
      <c r="R1001" s="14"/>
      <c r="S1001" s="4">
        <f t="shared" si="488"/>
        <v>0</v>
      </c>
    </row>
    <row r="1002" spans="1:20" x14ac:dyDescent="0.15">
      <c r="A1002" s="6" t="s">
        <v>3</v>
      </c>
      <c r="B1002" s="23">
        <v>5</v>
      </c>
      <c r="C1002" s="24"/>
      <c r="D1002" s="25"/>
      <c r="E1002" s="7">
        <f t="shared" si="481"/>
        <v>5</v>
      </c>
      <c r="F1002" s="23">
        <v>5</v>
      </c>
      <c r="G1002" s="24"/>
      <c r="H1002" s="25"/>
      <c r="I1002" s="7">
        <f t="shared" si="482"/>
        <v>5</v>
      </c>
      <c r="J1002" s="47">
        <v>45896</v>
      </c>
      <c r="K1002" s="5" t="s">
        <v>3</v>
      </c>
      <c r="L1002" s="23"/>
      <c r="M1002" s="24"/>
      <c r="N1002" s="25"/>
      <c r="O1002" s="7">
        <f t="shared" si="484"/>
        <v>0</v>
      </c>
      <c r="P1002" s="23"/>
      <c r="Q1002" s="24"/>
      <c r="R1002" s="25"/>
      <c r="S1002" s="7">
        <f t="shared" si="486"/>
        <v>0</v>
      </c>
    </row>
    <row r="1003" spans="1:20" ht="14.25" thickBot="1" x14ac:dyDescent="0.2">
      <c r="A1003" s="6" t="s">
        <v>3</v>
      </c>
      <c r="B1003" s="29"/>
      <c r="C1003" s="30"/>
      <c r="D1003" s="29"/>
      <c r="E1003" s="16">
        <f t="shared" si="481"/>
        <v>0</v>
      </c>
      <c r="F1003" s="29"/>
      <c r="G1003" s="30"/>
      <c r="H1003" s="29"/>
      <c r="I1003" s="16">
        <f t="shared" si="482"/>
        <v>0</v>
      </c>
      <c r="K1003" s="33" t="s">
        <v>3</v>
      </c>
      <c r="L1003" s="29"/>
      <c r="M1003" s="30"/>
      <c r="N1003" s="29"/>
      <c r="O1003" s="16">
        <f t="shared" si="484"/>
        <v>0</v>
      </c>
      <c r="P1003" s="29"/>
      <c r="Q1003" s="30"/>
      <c r="R1003" s="29"/>
      <c r="S1003" s="16">
        <f t="shared" si="486"/>
        <v>0</v>
      </c>
    </row>
    <row r="1004" spans="1:20" ht="14.25" thickBot="1" x14ac:dyDescent="0.2">
      <c r="A1004" s="17" t="s">
        <v>4</v>
      </c>
      <c r="B1004" s="18">
        <f>SUM(B993:B1003)</f>
        <v>20</v>
      </c>
      <c r="C1004" s="18">
        <f>SUM(C993:C1003)</f>
        <v>28</v>
      </c>
      <c r="D1004" s="19">
        <f>SUM(D993:D1003)</f>
        <v>21</v>
      </c>
      <c r="E1004" s="20">
        <f t="shared" si="481"/>
        <v>69</v>
      </c>
      <c r="F1004" s="18">
        <f>SUM(F993:F1003)</f>
        <v>20</v>
      </c>
      <c r="G1004" s="18">
        <f>SUM(G993:G1003)</f>
        <v>28</v>
      </c>
      <c r="H1004" s="19">
        <f>SUM(H993:H1003)</f>
        <v>21</v>
      </c>
      <c r="I1004" s="20">
        <f t="shared" si="482"/>
        <v>69</v>
      </c>
      <c r="K1004" s="17" t="s">
        <v>4</v>
      </c>
      <c r="L1004" s="18">
        <f>SUM(L993:L1003)</f>
        <v>221</v>
      </c>
      <c r="M1004" s="18">
        <f>SUM(M993:M1003)</f>
        <v>238</v>
      </c>
      <c r="N1004" s="18">
        <f>SUM(N993:N1003)</f>
        <v>170</v>
      </c>
      <c r="O1004" s="20">
        <f t="shared" si="484"/>
        <v>629</v>
      </c>
      <c r="P1004" s="18">
        <f>SUM(P993:P1003)</f>
        <v>221</v>
      </c>
      <c r="Q1004" s="18">
        <f>SUM(Q993:Q1003)</f>
        <v>238</v>
      </c>
      <c r="R1004" s="19">
        <f>SUM(R993:R1003)</f>
        <v>170</v>
      </c>
      <c r="S1004" s="20">
        <f t="shared" si="486"/>
        <v>629</v>
      </c>
    </row>
    <row r="1005" spans="1:20" x14ac:dyDescent="0.15">
      <c r="A1005" s="3" t="s">
        <v>591</v>
      </c>
      <c r="B1005" s="8">
        <v>2</v>
      </c>
      <c r="C1005" s="9">
        <v>6</v>
      </c>
      <c r="D1005" s="10">
        <v>2</v>
      </c>
      <c r="E1005" s="7">
        <f t="shared" si="481"/>
        <v>10</v>
      </c>
      <c r="F1005" s="8">
        <v>2</v>
      </c>
      <c r="G1005" s="9">
        <v>6</v>
      </c>
      <c r="H1005" s="10">
        <v>2</v>
      </c>
      <c r="I1005" s="7">
        <f t="shared" si="482"/>
        <v>10</v>
      </c>
      <c r="J1005" s="47">
        <v>45862</v>
      </c>
      <c r="K1005" s="3" t="s">
        <v>575</v>
      </c>
      <c r="L1005" s="8">
        <v>8</v>
      </c>
      <c r="M1005" s="9">
        <v>2</v>
      </c>
      <c r="N1005" s="10"/>
      <c r="O1005" s="7">
        <f t="shared" ref="O1005:O1007" si="489">SUM(L1005:N1005)</f>
        <v>10</v>
      </c>
      <c r="P1005" s="8">
        <v>8</v>
      </c>
      <c r="Q1005" s="9">
        <v>2</v>
      </c>
      <c r="R1005" s="10"/>
      <c r="S1005" s="7">
        <f t="shared" ref="S1005:S1007" si="490">SUM(P1005:R1005)</f>
        <v>10</v>
      </c>
      <c r="T1005" s="47">
        <v>45862</v>
      </c>
    </row>
    <row r="1006" spans="1:20" x14ac:dyDescent="0.15">
      <c r="A1006" s="3" t="s">
        <v>575</v>
      </c>
      <c r="B1006" s="8"/>
      <c r="C1006" s="9">
        <v>1</v>
      </c>
      <c r="D1006" s="10"/>
      <c r="E1006" s="7">
        <f t="shared" si="481"/>
        <v>1</v>
      </c>
      <c r="F1006" s="8"/>
      <c r="G1006" s="9">
        <v>1</v>
      </c>
      <c r="H1006" s="10"/>
      <c r="I1006" s="7">
        <f t="shared" si="482"/>
        <v>1</v>
      </c>
      <c r="J1006" s="47">
        <v>45866</v>
      </c>
      <c r="K1006" s="3" t="s">
        <v>575</v>
      </c>
      <c r="L1006" s="8"/>
      <c r="M1006" s="9">
        <v>3</v>
      </c>
      <c r="N1006" s="10"/>
      <c r="O1006" s="7">
        <f t="shared" si="489"/>
        <v>3</v>
      </c>
      <c r="P1006" s="8"/>
      <c r="Q1006" s="9">
        <v>3</v>
      </c>
      <c r="R1006" s="10"/>
      <c r="S1006" s="7">
        <f t="shared" si="490"/>
        <v>3</v>
      </c>
      <c r="T1006" s="47">
        <v>45863</v>
      </c>
    </row>
    <row r="1007" spans="1:20" x14ac:dyDescent="0.15">
      <c r="A1007" s="3" t="s">
        <v>593</v>
      </c>
      <c r="B1007" s="8">
        <v>1</v>
      </c>
      <c r="C1007" s="9"/>
      <c r="D1007" s="10">
        <v>4</v>
      </c>
      <c r="E1007" s="7">
        <f t="shared" si="481"/>
        <v>5</v>
      </c>
      <c r="F1007" s="8">
        <v>1</v>
      </c>
      <c r="G1007" s="9"/>
      <c r="H1007" s="10">
        <v>4</v>
      </c>
      <c r="I1007" s="7">
        <f t="shared" si="482"/>
        <v>5</v>
      </c>
      <c r="J1007" s="47">
        <v>45868</v>
      </c>
      <c r="K1007" s="3" t="s">
        <v>575</v>
      </c>
      <c r="L1007" s="8"/>
      <c r="M1007" s="9">
        <v>3</v>
      </c>
      <c r="N1007" s="10"/>
      <c r="O1007" s="7">
        <f t="shared" si="489"/>
        <v>3</v>
      </c>
      <c r="P1007" s="8"/>
      <c r="Q1007" s="9">
        <v>3</v>
      </c>
      <c r="R1007" s="10"/>
      <c r="S1007" s="7">
        <f t="shared" si="490"/>
        <v>3</v>
      </c>
      <c r="T1007" s="47">
        <v>45863</v>
      </c>
    </row>
    <row r="1008" spans="1:20" x14ac:dyDescent="0.15">
      <c r="A1008" s="3" t="s">
        <v>594</v>
      </c>
      <c r="B1008" s="8">
        <v>3</v>
      </c>
      <c r="C1008" s="9">
        <v>3</v>
      </c>
      <c r="D1008" s="10"/>
      <c r="E1008" s="7">
        <f t="shared" si="481"/>
        <v>6</v>
      </c>
      <c r="F1008" s="8">
        <v>3</v>
      </c>
      <c r="G1008" s="9">
        <v>3</v>
      </c>
      <c r="H1008" s="10"/>
      <c r="I1008" s="7">
        <f t="shared" si="482"/>
        <v>6</v>
      </c>
      <c r="J1008" s="47">
        <v>45870</v>
      </c>
      <c r="K1008" s="3" t="s">
        <v>592</v>
      </c>
      <c r="L1008" s="8"/>
      <c r="M1008" s="9">
        <v>5</v>
      </c>
      <c r="N1008" s="10"/>
      <c r="O1008" s="7">
        <f t="shared" si="484"/>
        <v>5</v>
      </c>
      <c r="P1008" s="8"/>
      <c r="Q1008" s="9">
        <v>5</v>
      </c>
      <c r="R1008" s="10"/>
      <c r="S1008" s="7">
        <f t="shared" si="486"/>
        <v>5</v>
      </c>
      <c r="T1008" s="47">
        <v>45863</v>
      </c>
    </row>
    <row r="1009" spans="1:21" x14ac:dyDescent="0.15">
      <c r="A1009" s="3" t="s">
        <v>575</v>
      </c>
      <c r="B1009" s="8"/>
      <c r="C1009" s="9">
        <v>1</v>
      </c>
      <c r="D1009" s="10"/>
      <c r="E1009" s="7">
        <f t="shared" si="481"/>
        <v>1</v>
      </c>
      <c r="F1009" s="8"/>
      <c r="G1009" s="9">
        <v>1</v>
      </c>
      <c r="H1009" s="10"/>
      <c r="I1009" s="7">
        <f t="shared" si="482"/>
        <v>1</v>
      </c>
      <c r="J1009" s="47">
        <v>45869</v>
      </c>
      <c r="K1009" s="3" t="s">
        <v>575</v>
      </c>
      <c r="L1009" s="8"/>
      <c r="M1009" s="9">
        <v>1</v>
      </c>
      <c r="N1009" s="10">
        <v>3</v>
      </c>
      <c r="O1009" s="7">
        <f t="shared" si="484"/>
        <v>4</v>
      </c>
      <c r="P1009" s="8"/>
      <c r="Q1009" s="9">
        <v>1</v>
      </c>
      <c r="R1009" s="10">
        <v>3</v>
      </c>
      <c r="S1009" s="7">
        <f t="shared" si="486"/>
        <v>4</v>
      </c>
      <c r="T1009" s="47">
        <v>45868</v>
      </c>
    </row>
    <row r="1010" spans="1:21" x14ac:dyDescent="0.15">
      <c r="A1010" s="3" t="s">
        <v>575</v>
      </c>
      <c r="B1010" s="8"/>
      <c r="C1010" s="9"/>
      <c r="D1010" s="10">
        <v>1</v>
      </c>
      <c r="E1010" s="7">
        <f t="shared" si="481"/>
        <v>1</v>
      </c>
      <c r="F1010" s="8"/>
      <c r="G1010" s="9"/>
      <c r="H1010" s="10">
        <v>1</v>
      </c>
      <c r="I1010" s="7">
        <f t="shared" si="482"/>
        <v>1</v>
      </c>
      <c r="J1010" s="47">
        <v>45870</v>
      </c>
      <c r="K1010" s="3" t="s">
        <v>595</v>
      </c>
      <c r="L1010" s="8">
        <v>5</v>
      </c>
      <c r="M1010" s="9"/>
      <c r="N1010" s="10"/>
      <c r="O1010" s="7">
        <f t="shared" si="484"/>
        <v>5</v>
      </c>
      <c r="P1010" s="8">
        <v>5</v>
      </c>
      <c r="Q1010" s="9"/>
      <c r="R1010" s="10"/>
      <c r="S1010" s="7">
        <f t="shared" si="486"/>
        <v>5</v>
      </c>
      <c r="T1010" s="47">
        <v>45873</v>
      </c>
    </row>
    <row r="1011" spans="1:21" x14ac:dyDescent="0.15">
      <c r="A1011" s="3" t="s">
        <v>575</v>
      </c>
      <c r="B1011" s="8"/>
      <c r="C1011" s="9">
        <v>1</v>
      </c>
      <c r="D1011" s="10"/>
      <c r="E1011" s="7">
        <f t="shared" si="481"/>
        <v>1</v>
      </c>
      <c r="F1011" s="8"/>
      <c r="G1011" s="9">
        <v>1</v>
      </c>
      <c r="H1011" s="10"/>
      <c r="I1011" s="7">
        <f t="shared" si="482"/>
        <v>1</v>
      </c>
      <c r="J1011" s="47">
        <v>45870</v>
      </c>
      <c r="K1011" s="3" t="s">
        <v>596</v>
      </c>
      <c r="L1011" s="8">
        <v>5</v>
      </c>
      <c r="M1011" s="9"/>
      <c r="N1011" s="10">
        <v>5</v>
      </c>
      <c r="O1011" s="7">
        <f t="shared" si="484"/>
        <v>10</v>
      </c>
      <c r="P1011" s="8">
        <v>5</v>
      </c>
      <c r="Q1011" s="9"/>
      <c r="R1011" s="10">
        <v>5</v>
      </c>
      <c r="S1011" s="7">
        <f t="shared" si="486"/>
        <v>10</v>
      </c>
      <c r="T1011" s="47">
        <v>45874</v>
      </c>
    </row>
    <row r="1012" spans="1:21" x14ac:dyDescent="0.15">
      <c r="A1012" s="3" t="s">
        <v>575</v>
      </c>
      <c r="B1012" s="8"/>
      <c r="C1012" s="9">
        <v>3</v>
      </c>
      <c r="D1012" s="10"/>
      <c r="E1012" s="7">
        <f t="shared" si="481"/>
        <v>3</v>
      </c>
      <c r="F1012" s="8"/>
      <c r="G1012" s="9">
        <v>3</v>
      </c>
      <c r="H1012" s="10"/>
      <c r="I1012" s="7">
        <f t="shared" si="482"/>
        <v>3</v>
      </c>
      <c r="J1012" s="47">
        <v>45873</v>
      </c>
      <c r="K1012" s="3" t="s">
        <v>597</v>
      </c>
      <c r="L1012" s="8">
        <v>4</v>
      </c>
      <c r="M1012" s="9"/>
      <c r="N1012" s="10">
        <v>10</v>
      </c>
      <c r="O1012" s="7">
        <f t="shared" si="484"/>
        <v>14</v>
      </c>
      <c r="P1012" s="8">
        <v>4</v>
      </c>
      <c r="Q1012" s="9"/>
      <c r="R1012" s="10">
        <v>10</v>
      </c>
      <c r="S1012" s="7">
        <f t="shared" si="486"/>
        <v>14</v>
      </c>
      <c r="T1012" s="47">
        <v>45875</v>
      </c>
    </row>
    <row r="1013" spans="1:21" x14ac:dyDescent="0.15">
      <c r="A1013" s="3" t="s">
        <v>599</v>
      </c>
      <c r="B1013" s="8">
        <v>1</v>
      </c>
      <c r="C1013" s="9">
        <v>1</v>
      </c>
      <c r="D1013" s="10">
        <v>3</v>
      </c>
      <c r="E1013" s="7">
        <f t="shared" si="481"/>
        <v>5</v>
      </c>
      <c r="F1013" s="8">
        <v>1</v>
      </c>
      <c r="G1013" s="9">
        <v>1</v>
      </c>
      <c r="H1013" s="10">
        <v>3</v>
      </c>
      <c r="I1013" s="7">
        <f t="shared" si="482"/>
        <v>5</v>
      </c>
      <c r="J1013" s="47">
        <v>45876</v>
      </c>
      <c r="K1013" s="3" t="s">
        <v>33</v>
      </c>
      <c r="L1013" s="8">
        <v>5</v>
      </c>
      <c r="M1013" s="9">
        <v>5</v>
      </c>
      <c r="N1013" s="10">
        <v>5</v>
      </c>
      <c r="O1013" s="7">
        <f t="shared" si="484"/>
        <v>15</v>
      </c>
      <c r="P1013" s="8">
        <v>5</v>
      </c>
      <c r="Q1013" s="9">
        <v>5</v>
      </c>
      <c r="R1013" s="10">
        <v>5</v>
      </c>
      <c r="S1013" s="7">
        <f t="shared" si="486"/>
        <v>15</v>
      </c>
      <c r="T1013" s="47">
        <v>45870</v>
      </c>
      <c r="U1013" s="54"/>
    </row>
    <row r="1014" spans="1:21" x14ac:dyDescent="0.15">
      <c r="A1014" s="3" t="s">
        <v>575</v>
      </c>
      <c r="B1014" s="8"/>
      <c r="C1014" s="9"/>
      <c r="D1014" s="10">
        <v>2</v>
      </c>
      <c r="E1014" s="7">
        <f t="shared" si="481"/>
        <v>2</v>
      </c>
      <c r="F1014" s="8"/>
      <c r="G1014" s="9"/>
      <c r="H1014" s="10">
        <v>2</v>
      </c>
      <c r="I1014" s="7">
        <f t="shared" si="482"/>
        <v>2</v>
      </c>
      <c r="J1014" s="47">
        <v>45877</v>
      </c>
      <c r="K1014" s="3" t="s">
        <v>598</v>
      </c>
      <c r="L1014" s="8">
        <v>20</v>
      </c>
      <c r="M1014" s="9">
        <v>20</v>
      </c>
      <c r="N1014" s="10">
        <v>10</v>
      </c>
      <c r="O1014" s="7">
        <f t="shared" si="484"/>
        <v>50</v>
      </c>
      <c r="P1014" s="8">
        <v>20</v>
      </c>
      <c r="Q1014" s="9">
        <v>20</v>
      </c>
      <c r="R1014" s="10">
        <v>10</v>
      </c>
      <c r="S1014" s="7">
        <f t="shared" si="486"/>
        <v>50</v>
      </c>
      <c r="T1014" s="47">
        <v>45875</v>
      </c>
    </row>
    <row r="1015" spans="1:21" x14ac:dyDescent="0.15">
      <c r="A1015" s="3" t="s">
        <v>575</v>
      </c>
      <c r="B1015" s="8"/>
      <c r="C1015" s="9"/>
      <c r="D1015" s="10">
        <v>1</v>
      </c>
      <c r="E1015" s="7">
        <f t="shared" si="481"/>
        <v>1</v>
      </c>
      <c r="F1015" s="8"/>
      <c r="G1015" s="9"/>
      <c r="H1015" s="10">
        <v>1</v>
      </c>
      <c r="I1015" s="7">
        <f t="shared" si="482"/>
        <v>1</v>
      </c>
      <c r="J1015" s="47">
        <v>45890</v>
      </c>
      <c r="K1015" s="3" t="s">
        <v>575</v>
      </c>
      <c r="L1015" s="8"/>
      <c r="M1015" s="9">
        <v>3</v>
      </c>
      <c r="N1015" s="10"/>
      <c r="O1015" s="7">
        <f t="shared" si="484"/>
        <v>3</v>
      </c>
      <c r="P1015" s="8"/>
      <c r="Q1015" s="9">
        <v>3</v>
      </c>
      <c r="R1015" s="10"/>
      <c r="S1015" s="7">
        <f t="shared" si="486"/>
        <v>3</v>
      </c>
      <c r="T1015" s="47">
        <v>45875</v>
      </c>
    </row>
    <row r="1016" spans="1:21" x14ac:dyDescent="0.15">
      <c r="A1016" s="3" t="s">
        <v>603</v>
      </c>
      <c r="B1016" s="8"/>
      <c r="C1016" s="9">
        <v>4</v>
      </c>
      <c r="D1016" s="10">
        <v>1</v>
      </c>
      <c r="E1016" s="7">
        <f t="shared" si="481"/>
        <v>5</v>
      </c>
      <c r="F1016" s="8"/>
      <c r="G1016" s="9">
        <v>4</v>
      </c>
      <c r="H1016" s="10">
        <v>1</v>
      </c>
      <c r="I1016" s="7">
        <f t="shared" si="482"/>
        <v>5</v>
      </c>
      <c r="J1016" s="47">
        <v>45890</v>
      </c>
      <c r="K1016" s="3" t="s">
        <v>33</v>
      </c>
      <c r="L1016" s="8">
        <v>3</v>
      </c>
      <c r="M1016" s="9">
        <v>3</v>
      </c>
      <c r="N1016" s="10">
        <v>3</v>
      </c>
      <c r="O1016" s="7">
        <f t="shared" si="484"/>
        <v>9</v>
      </c>
      <c r="P1016" s="8">
        <v>3</v>
      </c>
      <c r="Q1016" s="9">
        <v>3</v>
      </c>
      <c r="R1016" s="10">
        <v>3</v>
      </c>
      <c r="S1016" s="7">
        <f t="shared" si="486"/>
        <v>9</v>
      </c>
      <c r="T1016" s="47">
        <v>45874</v>
      </c>
    </row>
    <row r="1017" spans="1:21" x14ac:dyDescent="0.15">
      <c r="A1017" s="3" t="s">
        <v>575</v>
      </c>
      <c r="B1017" s="8">
        <v>1</v>
      </c>
      <c r="C1017" s="9"/>
      <c r="D1017" s="10"/>
      <c r="E1017" s="7">
        <f t="shared" si="481"/>
        <v>1</v>
      </c>
      <c r="F1017" s="8">
        <v>1</v>
      </c>
      <c r="G1017" s="9"/>
      <c r="H1017" s="10"/>
      <c r="I1017" s="7">
        <f t="shared" si="482"/>
        <v>1</v>
      </c>
      <c r="J1017" s="47">
        <v>45891</v>
      </c>
      <c r="K1017" s="3" t="s">
        <v>600</v>
      </c>
      <c r="L1017" s="8">
        <v>15</v>
      </c>
      <c r="M1017" s="9"/>
      <c r="N1017" s="10"/>
      <c r="O1017" s="7">
        <f t="shared" si="484"/>
        <v>15</v>
      </c>
      <c r="P1017" s="8">
        <v>15</v>
      </c>
      <c r="Q1017" s="9"/>
      <c r="R1017" s="10"/>
      <c r="S1017" s="7">
        <f t="shared" si="486"/>
        <v>15</v>
      </c>
      <c r="T1017" s="47">
        <v>45877</v>
      </c>
      <c r="U1017" s="54"/>
    </row>
    <row r="1018" spans="1:21" x14ac:dyDescent="0.15">
      <c r="A1018" s="3" t="s">
        <v>575</v>
      </c>
      <c r="B1018" s="8">
        <v>1</v>
      </c>
      <c r="C1018" s="9"/>
      <c r="D1018" s="10">
        <v>1</v>
      </c>
      <c r="E1018" s="7">
        <f t="shared" si="481"/>
        <v>2</v>
      </c>
      <c r="F1018" s="8">
        <v>1</v>
      </c>
      <c r="G1018" s="9"/>
      <c r="H1018" s="10">
        <v>1</v>
      </c>
      <c r="I1018" s="7">
        <f t="shared" si="482"/>
        <v>2</v>
      </c>
      <c r="J1018" s="47">
        <v>45891</v>
      </c>
      <c r="K1018" s="3" t="s">
        <v>601</v>
      </c>
      <c r="L1018" s="8"/>
      <c r="M1018" s="9"/>
      <c r="N1018" s="10">
        <v>5</v>
      </c>
      <c r="O1018" s="7">
        <f t="shared" si="484"/>
        <v>5</v>
      </c>
      <c r="P1018" s="8"/>
      <c r="Q1018" s="9"/>
      <c r="R1018" s="10">
        <v>5</v>
      </c>
      <c r="S1018" s="7">
        <f t="shared" si="486"/>
        <v>5</v>
      </c>
      <c r="T1018" s="47">
        <v>45889</v>
      </c>
      <c r="U1018" s="54"/>
    </row>
    <row r="1019" spans="1:21" x14ac:dyDescent="0.15">
      <c r="A1019" s="3" t="s">
        <v>575</v>
      </c>
      <c r="B1019" s="8">
        <v>1</v>
      </c>
      <c r="C1019" s="9">
        <v>1</v>
      </c>
      <c r="D1019" s="10"/>
      <c r="E1019" s="7">
        <f t="shared" si="481"/>
        <v>2</v>
      </c>
      <c r="F1019" s="8">
        <v>1</v>
      </c>
      <c r="G1019" s="9">
        <v>1</v>
      </c>
      <c r="H1019" s="10"/>
      <c r="I1019" s="7">
        <f t="shared" si="482"/>
        <v>2</v>
      </c>
      <c r="J1019" s="47">
        <v>45894</v>
      </c>
      <c r="K1019" s="3" t="s">
        <v>602</v>
      </c>
      <c r="L1019" s="8">
        <v>2</v>
      </c>
      <c r="M1019" s="9">
        <v>28</v>
      </c>
      <c r="N1019" s="10"/>
      <c r="O1019" s="7">
        <f t="shared" si="484"/>
        <v>30</v>
      </c>
      <c r="P1019" s="8">
        <v>2</v>
      </c>
      <c r="Q1019" s="9">
        <v>28</v>
      </c>
      <c r="R1019" s="10"/>
      <c r="S1019" s="7">
        <f t="shared" si="486"/>
        <v>30</v>
      </c>
      <c r="T1019" s="47">
        <v>45891</v>
      </c>
    </row>
    <row r="1020" spans="1:21" x14ac:dyDescent="0.15">
      <c r="A1020" s="3" t="s">
        <v>575</v>
      </c>
      <c r="B1020" s="8">
        <v>1</v>
      </c>
      <c r="C1020" s="9"/>
      <c r="D1020" s="10"/>
      <c r="E1020" s="7">
        <f t="shared" si="481"/>
        <v>1</v>
      </c>
      <c r="F1020" s="8">
        <v>1</v>
      </c>
      <c r="G1020" s="9"/>
      <c r="H1020" s="10"/>
      <c r="I1020" s="7">
        <f t="shared" si="482"/>
        <v>1</v>
      </c>
      <c r="J1020" s="47">
        <v>45896</v>
      </c>
      <c r="K1020" s="3" t="s">
        <v>33</v>
      </c>
      <c r="L1020" s="8"/>
      <c r="M1020" s="9">
        <v>5</v>
      </c>
      <c r="N1020" s="10">
        <v>3</v>
      </c>
      <c r="O1020" s="7">
        <f t="shared" si="484"/>
        <v>8</v>
      </c>
      <c r="P1020" s="8"/>
      <c r="Q1020" s="9">
        <v>5</v>
      </c>
      <c r="R1020" s="10">
        <v>3</v>
      </c>
      <c r="S1020" s="7">
        <f t="shared" si="486"/>
        <v>8</v>
      </c>
      <c r="T1020" s="47">
        <v>45890</v>
      </c>
    </row>
    <row r="1021" spans="1:21" x14ac:dyDescent="0.15">
      <c r="A1021" s="3" t="s">
        <v>575</v>
      </c>
      <c r="B1021" s="8">
        <v>1</v>
      </c>
      <c r="C1021" s="9"/>
      <c r="D1021" s="10">
        <v>1</v>
      </c>
      <c r="E1021" s="7">
        <f t="shared" si="481"/>
        <v>2</v>
      </c>
      <c r="F1021" s="8">
        <v>1</v>
      </c>
      <c r="G1021" s="9"/>
      <c r="H1021" s="10">
        <v>1</v>
      </c>
      <c r="I1021" s="7">
        <f t="shared" si="482"/>
        <v>2</v>
      </c>
      <c r="J1021" s="47">
        <v>45897</v>
      </c>
      <c r="K1021" s="3" t="s">
        <v>604</v>
      </c>
      <c r="L1021" s="8">
        <v>5</v>
      </c>
      <c r="M1021" s="9">
        <v>20</v>
      </c>
      <c r="N1021" s="10">
        <v>5</v>
      </c>
      <c r="O1021" s="7">
        <f t="shared" ref="O1021:O1022" si="491">SUM(L1021:N1021)</f>
        <v>30</v>
      </c>
      <c r="P1021" s="8">
        <v>5</v>
      </c>
      <c r="Q1021" s="9">
        <v>20</v>
      </c>
      <c r="R1021" s="10">
        <v>5</v>
      </c>
      <c r="S1021" s="7">
        <f t="shared" ref="S1021:S1022" si="492">SUM(P1021:R1021)</f>
        <v>30</v>
      </c>
      <c r="T1021" s="47">
        <v>45894</v>
      </c>
    </row>
    <row r="1022" spans="1:21" x14ac:dyDescent="0.15">
      <c r="A1022" s="3" t="s">
        <v>607</v>
      </c>
      <c r="B1022" s="8">
        <v>-1</v>
      </c>
      <c r="C1022" s="9"/>
      <c r="D1022" s="10"/>
      <c r="E1022" s="7">
        <f t="shared" si="481"/>
        <v>-1</v>
      </c>
      <c r="F1022" s="8">
        <v>-1</v>
      </c>
      <c r="G1022" s="9"/>
      <c r="H1022" s="10"/>
      <c r="I1022" s="7">
        <f t="shared" si="482"/>
        <v>-1</v>
      </c>
      <c r="J1022" s="56">
        <v>45895</v>
      </c>
      <c r="K1022" s="3" t="s">
        <v>605</v>
      </c>
      <c r="L1022" s="8">
        <v>4</v>
      </c>
      <c r="M1022" s="9">
        <v>10</v>
      </c>
      <c r="N1022" s="10">
        <v>8</v>
      </c>
      <c r="O1022" s="7">
        <f t="shared" si="491"/>
        <v>22</v>
      </c>
      <c r="P1022" s="8">
        <v>4</v>
      </c>
      <c r="Q1022" s="9">
        <v>10</v>
      </c>
      <c r="R1022" s="10">
        <v>8</v>
      </c>
      <c r="S1022" s="7">
        <f t="shared" si="492"/>
        <v>22</v>
      </c>
      <c r="T1022" s="47">
        <v>45895</v>
      </c>
    </row>
    <row r="1023" spans="1:21" x14ac:dyDescent="0.15">
      <c r="A1023" s="3"/>
      <c r="B1023" s="8"/>
      <c r="C1023" s="9"/>
      <c r="D1023" s="10"/>
      <c r="E1023" s="7">
        <f t="shared" si="481"/>
        <v>0</v>
      </c>
      <c r="F1023" s="8"/>
      <c r="G1023" s="9"/>
      <c r="H1023" s="10"/>
      <c r="I1023" s="7">
        <f t="shared" si="482"/>
        <v>0</v>
      </c>
      <c r="K1023" s="3" t="s">
        <v>606</v>
      </c>
      <c r="L1023" s="8">
        <v>5</v>
      </c>
      <c r="M1023" s="9">
        <v>10</v>
      </c>
      <c r="N1023" s="10">
        <v>5</v>
      </c>
      <c r="O1023" s="7">
        <f t="shared" ref="O1023:O1024" si="493">SUM(L1023:N1023)</f>
        <v>20</v>
      </c>
      <c r="P1023" s="8">
        <v>5</v>
      </c>
      <c r="Q1023" s="9">
        <v>10</v>
      </c>
      <c r="R1023" s="10">
        <v>5</v>
      </c>
      <c r="S1023" s="7">
        <f t="shared" ref="S1023:S1024" si="494">SUM(P1023:R1023)</f>
        <v>20</v>
      </c>
      <c r="T1023" s="47">
        <v>45897</v>
      </c>
    </row>
    <row r="1024" spans="1:21" x14ac:dyDescent="0.15">
      <c r="A1024" s="3"/>
      <c r="B1024" s="8"/>
      <c r="C1024" s="9"/>
      <c r="D1024" s="10"/>
      <c r="E1024" s="7">
        <f t="shared" si="481"/>
        <v>0</v>
      </c>
      <c r="F1024" s="8"/>
      <c r="G1024" s="9"/>
      <c r="H1024" s="10"/>
      <c r="I1024" s="7">
        <f t="shared" si="482"/>
        <v>0</v>
      </c>
      <c r="K1024" s="3"/>
      <c r="L1024" s="8"/>
      <c r="M1024" s="9"/>
      <c r="N1024" s="10"/>
      <c r="O1024" s="7">
        <f t="shared" si="493"/>
        <v>0</v>
      </c>
      <c r="P1024" s="8"/>
      <c r="Q1024" s="9"/>
      <c r="R1024" s="10"/>
      <c r="S1024" s="7">
        <f t="shared" si="494"/>
        <v>0</v>
      </c>
    </row>
    <row r="1025" spans="1:20" x14ac:dyDescent="0.15">
      <c r="A1025" s="3"/>
      <c r="B1025" s="8"/>
      <c r="C1025" s="9"/>
      <c r="D1025" s="10"/>
      <c r="E1025" s="7">
        <f t="shared" si="481"/>
        <v>0</v>
      </c>
      <c r="F1025" s="8"/>
      <c r="G1025" s="9"/>
      <c r="H1025" s="10"/>
      <c r="I1025" s="7">
        <f t="shared" si="482"/>
        <v>0</v>
      </c>
      <c r="K1025" s="3" t="s">
        <v>554</v>
      </c>
      <c r="L1025" s="8"/>
      <c r="M1025" s="9"/>
      <c r="N1025" s="10"/>
      <c r="O1025" s="7">
        <f t="shared" ref="O1025:O1026" si="495">SUM(L1025:N1025)</f>
        <v>0</v>
      </c>
      <c r="P1025" s="8"/>
      <c r="Q1025" s="9"/>
      <c r="R1025" s="10"/>
      <c r="S1025" s="7">
        <f t="shared" ref="S1025:S1026" si="496">SUM(P1025:R1025)</f>
        <v>0</v>
      </c>
      <c r="T1025" s="55" t="s">
        <v>555</v>
      </c>
    </row>
    <row r="1026" spans="1:20" x14ac:dyDescent="0.15">
      <c r="A1026" s="3"/>
      <c r="B1026" s="8"/>
      <c r="C1026" s="9"/>
      <c r="D1026" s="10"/>
      <c r="E1026" s="7">
        <f t="shared" si="481"/>
        <v>0</v>
      </c>
      <c r="F1026" s="8"/>
      <c r="G1026" s="9"/>
      <c r="H1026" s="10"/>
      <c r="I1026" s="7">
        <f t="shared" si="482"/>
        <v>0</v>
      </c>
      <c r="K1026" s="3" t="s">
        <v>551</v>
      </c>
      <c r="L1026" s="8"/>
      <c r="M1026" s="9"/>
      <c r="N1026" s="10"/>
      <c r="O1026" s="7">
        <f t="shared" si="495"/>
        <v>0</v>
      </c>
      <c r="P1026" s="8"/>
      <c r="Q1026" s="9"/>
      <c r="R1026" s="10"/>
      <c r="S1026" s="7">
        <f t="shared" si="496"/>
        <v>0</v>
      </c>
      <c r="T1026" s="55" t="s">
        <v>445</v>
      </c>
    </row>
    <row r="1027" spans="1:20" x14ac:dyDescent="0.15">
      <c r="A1027" s="3"/>
      <c r="B1027" s="8"/>
      <c r="C1027" s="9"/>
      <c r="D1027" s="10"/>
      <c r="E1027" s="7">
        <f t="shared" si="481"/>
        <v>0</v>
      </c>
      <c r="F1027" s="8"/>
      <c r="G1027" s="9"/>
      <c r="H1027" s="10"/>
      <c r="I1027" s="7">
        <f t="shared" si="482"/>
        <v>0</v>
      </c>
      <c r="K1027" s="32" t="s">
        <v>527</v>
      </c>
      <c r="L1027" s="58"/>
      <c r="M1027" s="59"/>
      <c r="N1027" s="60"/>
      <c r="O1027" s="61">
        <f t="shared" ref="O1027:O1028" si="497">SUM(L1027:N1027)</f>
        <v>0</v>
      </c>
      <c r="P1027" s="58"/>
      <c r="Q1027" s="59"/>
      <c r="R1027" s="60"/>
      <c r="S1027" s="61">
        <f t="shared" ref="S1027:S1028" si="498">SUM(P1027:R1027)</f>
        <v>0</v>
      </c>
      <c r="T1027" s="62"/>
    </row>
    <row r="1028" spans="1:20" ht="14.25" thickBot="1" x14ac:dyDescent="0.2">
      <c r="A1028" s="3"/>
      <c r="B1028" s="8"/>
      <c r="C1028" s="9"/>
      <c r="D1028" s="10"/>
      <c r="E1028" s="7">
        <f t="shared" si="481"/>
        <v>0</v>
      </c>
      <c r="F1028" s="8"/>
      <c r="G1028" s="9"/>
      <c r="H1028" s="10"/>
      <c r="I1028" s="7">
        <f t="shared" si="482"/>
        <v>0</v>
      </c>
      <c r="K1028" s="3" t="s">
        <v>528</v>
      </c>
      <c r="L1028" s="8"/>
      <c r="M1028" s="9"/>
      <c r="N1028" s="10"/>
      <c r="O1028" s="7">
        <f t="shared" si="497"/>
        <v>0</v>
      </c>
      <c r="P1028" s="8"/>
      <c r="Q1028" s="9"/>
      <c r="R1028" s="10"/>
      <c r="S1028" s="7">
        <f t="shared" si="498"/>
        <v>0</v>
      </c>
      <c r="T1028" s="55" t="s">
        <v>526</v>
      </c>
    </row>
    <row r="1029" spans="1:20" ht="14.25" thickBot="1" x14ac:dyDescent="0.2">
      <c r="A1029" s="2" t="s">
        <v>5</v>
      </c>
      <c r="B1029" s="12">
        <f>SUM(B1005:B1028)</f>
        <v>11</v>
      </c>
      <c r="C1029" s="12">
        <f>SUM(C1005:C1028)</f>
        <v>21</v>
      </c>
      <c r="D1029" s="12">
        <f>SUM(D1005:D1028)</f>
        <v>16</v>
      </c>
      <c r="E1029" s="13">
        <f t="shared" si="481"/>
        <v>48</v>
      </c>
      <c r="F1029" s="12">
        <f>SUM(F1005:F1028)</f>
        <v>11</v>
      </c>
      <c r="G1029" s="12">
        <f>SUM(G1005:G1028)</f>
        <v>21</v>
      </c>
      <c r="H1029" s="12">
        <f>SUM(H1005:H1028)</f>
        <v>16</v>
      </c>
      <c r="I1029" s="13">
        <f t="shared" si="482"/>
        <v>48</v>
      </c>
      <c r="K1029" s="2" t="s">
        <v>5</v>
      </c>
      <c r="L1029" s="12">
        <f>SUM(L1005:L1028)</f>
        <v>81</v>
      </c>
      <c r="M1029" s="12">
        <f>SUM(M1005:M1028)</f>
        <v>118</v>
      </c>
      <c r="N1029" s="12">
        <f>SUM(N1005:N1028)</f>
        <v>62</v>
      </c>
      <c r="O1029" s="13">
        <f t="shared" si="484"/>
        <v>261</v>
      </c>
      <c r="P1029" s="12">
        <f>SUM(P1005:P1028)</f>
        <v>81</v>
      </c>
      <c r="Q1029" s="12">
        <f>SUM(Q1005:Q1028)</f>
        <v>118</v>
      </c>
      <c r="R1029" s="12">
        <f>SUM(R1005:R1028)</f>
        <v>62</v>
      </c>
      <c r="S1029" s="13">
        <f t="shared" si="486"/>
        <v>261</v>
      </c>
    </row>
    <row r="1030" spans="1:20" ht="14.25" thickBot="1" x14ac:dyDescent="0.2">
      <c r="A1030" s="21" t="s">
        <v>6</v>
      </c>
      <c r="B1030" s="22">
        <f t="shared" ref="B1030:I1030" si="499">B1004-B1029</f>
        <v>9</v>
      </c>
      <c r="C1030" s="22">
        <f t="shared" si="499"/>
        <v>7</v>
      </c>
      <c r="D1030" s="22">
        <f t="shared" si="499"/>
        <v>5</v>
      </c>
      <c r="E1030" s="22">
        <f t="shared" si="499"/>
        <v>21</v>
      </c>
      <c r="F1030" s="22">
        <f t="shared" si="499"/>
        <v>9</v>
      </c>
      <c r="G1030" s="22">
        <f t="shared" si="499"/>
        <v>7</v>
      </c>
      <c r="H1030" s="22">
        <f t="shared" si="499"/>
        <v>5</v>
      </c>
      <c r="I1030" s="20">
        <f t="shared" si="499"/>
        <v>21</v>
      </c>
      <c r="K1030" s="21" t="s">
        <v>6</v>
      </c>
      <c r="L1030" s="22">
        <f>L1004-L1029</f>
        <v>140</v>
      </c>
      <c r="M1030" s="22">
        <f t="shared" ref="M1030:O1030" si="500">M1004-M1029</f>
        <v>120</v>
      </c>
      <c r="N1030" s="22">
        <f t="shared" si="500"/>
        <v>108</v>
      </c>
      <c r="O1030" s="22">
        <f t="shared" si="500"/>
        <v>368</v>
      </c>
      <c r="P1030" s="22">
        <f>P1004-P1029</f>
        <v>140</v>
      </c>
      <c r="Q1030" s="22">
        <f>Q1004-Q1029</f>
        <v>120</v>
      </c>
      <c r="R1030" s="22">
        <f>R1004-R1029</f>
        <v>108</v>
      </c>
      <c r="S1030" s="20">
        <f t="shared" ref="S1030" si="501">S1004-S1029</f>
        <v>368</v>
      </c>
    </row>
    <row r="1031" spans="1:20" x14ac:dyDescent="0.15">
      <c r="K1031" s="104" t="s">
        <v>537</v>
      </c>
      <c r="L1031" s="149">
        <f>L1032/$O$1032*100</f>
        <v>30.664760543245173</v>
      </c>
      <c r="M1031" s="149">
        <f t="shared" ref="M1031:O1031" si="502">M1032/$O$1032*100</f>
        <v>41.100786275911368</v>
      </c>
      <c r="N1031" s="149">
        <f t="shared" si="502"/>
        <v>28.23445318084346</v>
      </c>
      <c r="O1031" s="149">
        <f t="shared" si="502"/>
        <v>100</v>
      </c>
    </row>
    <row r="1032" spans="1:20" x14ac:dyDescent="0.15">
      <c r="K1032" s="134" t="s">
        <v>536</v>
      </c>
      <c r="L1032" s="152">
        <f>L996+L953+L913+L910+L821+L1000</f>
        <v>429</v>
      </c>
      <c r="M1032" s="152">
        <f t="shared" ref="M1032:O1032" si="503">M996+M953+M913+M910+M821+M1000</f>
        <v>575</v>
      </c>
      <c r="N1032" s="152">
        <f t="shared" si="503"/>
        <v>395</v>
      </c>
      <c r="O1032" s="152">
        <f t="shared" si="503"/>
        <v>1399</v>
      </c>
    </row>
    <row r="1033" spans="1:20" ht="21.75" thickBot="1" x14ac:dyDescent="0.25">
      <c r="A1033" s="26" t="s">
        <v>509</v>
      </c>
      <c r="B1033" s="27"/>
      <c r="C1033" s="27"/>
      <c r="D1033" s="27"/>
      <c r="E1033" s="27"/>
      <c r="F1033" s="28"/>
      <c r="G1033" s="28"/>
      <c r="H1033" s="28"/>
      <c r="I1033" s="28"/>
      <c r="K1033" s="26" t="s">
        <v>505</v>
      </c>
      <c r="L1033" s="27"/>
      <c r="M1033" s="27"/>
      <c r="N1033" s="27"/>
      <c r="O1033" s="27"/>
      <c r="P1033" s="28"/>
      <c r="Q1033" s="28"/>
      <c r="R1033" s="28"/>
      <c r="S1033" s="28"/>
    </row>
    <row r="1034" spans="1:20" ht="14.25" thickBot="1" x14ac:dyDescent="0.2">
      <c r="A1034" s="1" t="s">
        <v>0</v>
      </c>
      <c r="B1034" s="183" t="s">
        <v>12</v>
      </c>
      <c r="C1034" s="183"/>
      <c r="D1034" s="183"/>
      <c r="E1034" s="184"/>
      <c r="F1034" s="183" t="s">
        <v>10</v>
      </c>
      <c r="G1034" s="183"/>
      <c r="H1034" s="183"/>
      <c r="I1034" s="184"/>
      <c r="K1034" s="1" t="s">
        <v>0</v>
      </c>
      <c r="L1034" s="182" t="s">
        <v>12</v>
      </c>
      <c r="M1034" s="183"/>
      <c r="N1034" s="183"/>
      <c r="O1034" s="184"/>
      <c r="P1034" s="182" t="s">
        <v>10</v>
      </c>
      <c r="Q1034" s="183"/>
      <c r="R1034" s="183"/>
      <c r="S1034" s="184"/>
    </row>
    <row r="1035" spans="1:20" ht="14.25" thickBot="1" x14ac:dyDescent="0.2">
      <c r="A1035" s="1" t="s">
        <v>1</v>
      </c>
      <c r="B1035" s="2" t="s">
        <v>7</v>
      </c>
      <c r="C1035" s="1" t="s">
        <v>8</v>
      </c>
      <c r="D1035" s="15" t="s">
        <v>9</v>
      </c>
      <c r="E1035" s="1" t="s">
        <v>2</v>
      </c>
      <c r="F1035" s="2" t="s">
        <v>7</v>
      </c>
      <c r="G1035" s="1" t="s">
        <v>8</v>
      </c>
      <c r="H1035" s="15" t="s">
        <v>9</v>
      </c>
      <c r="I1035" s="1" t="s">
        <v>2</v>
      </c>
      <c r="K1035" s="1" t="s">
        <v>1</v>
      </c>
      <c r="L1035" s="2" t="s">
        <v>7</v>
      </c>
      <c r="M1035" s="1" t="s">
        <v>8</v>
      </c>
      <c r="N1035" s="15" t="s">
        <v>9</v>
      </c>
      <c r="O1035" s="1" t="s">
        <v>2</v>
      </c>
      <c r="P1035" s="2" t="s">
        <v>7</v>
      </c>
      <c r="Q1035" s="1" t="s">
        <v>8</v>
      </c>
      <c r="R1035" s="15" t="s">
        <v>9</v>
      </c>
      <c r="S1035" s="1" t="s">
        <v>2</v>
      </c>
    </row>
    <row r="1036" spans="1:20" ht="14.25" thickBot="1" x14ac:dyDescent="0.2">
      <c r="A1036" s="41" t="s">
        <v>13</v>
      </c>
      <c r="B1036" s="42">
        <f>B1030</f>
        <v>9</v>
      </c>
      <c r="C1036" s="43">
        <f>C1030</f>
        <v>7</v>
      </c>
      <c r="D1036" s="44">
        <f>D1030</f>
        <v>5</v>
      </c>
      <c r="E1036" s="45">
        <f t="shared" ref="E1036:E1072" si="504">SUM(B1036:D1036)</f>
        <v>21</v>
      </c>
      <c r="F1036" s="42">
        <f>F1030</f>
        <v>9</v>
      </c>
      <c r="G1036" s="43">
        <f>G1030</f>
        <v>7</v>
      </c>
      <c r="H1036" s="44">
        <f>H1030</f>
        <v>5</v>
      </c>
      <c r="I1036" s="45">
        <f t="shared" ref="I1036:I1072" si="505">SUM(F1036:H1036)</f>
        <v>21</v>
      </c>
      <c r="K1036" s="34" t="s">
        <v>13</v>
      </c>
      <c r="L1036" s="35">
        <f>L1030</f>
        <v>140</v>
      </c>
      <c r="M1036" s="35">
        <f t="shared" ref="M1036:N1036" si="506">M1030</f>
        <v>120</v>
      </c>
      <c r="N1036" s="35">
        <f t="shared" si="506"/>
        <v>108</v>
      </c>
      <c r="O1036" s="20">
        <f t="shared" ref="O1036:O1072" si="507">SUM(L1036:N1036)</f>
        <v>368</v>
      </c>
      <c r="P1036" s="35">
        <f>P1030</f>
        <v>140</v>
      </c>
      <c r="Q1036" s="36">
        <f t="shared" ref="Q1036:R1036" si="508">Q1030</f>
        <v>120</v>
      </c>
      <c r="R1036" s="37">
        <f t="shared" si="508"/>
        <v>108</v>
      </c>
      <c r="S1036" s="20">
        <f t="shared" ref="S1036:S1072" si="509">SUM(P1036:R1036)</f>
        <v>368</v>
      </c>
    </row>
    <row r="1037" spans="1:20" x14ac:dyDescent="0.15">
      <c r="A1037" s="6" t="s">
        <v>611</v>
      </c>
      <c r="B1037" s="14"/>
      <c r="C1037" s="11">
        <v>1</v>
      </c>
      <c r="D1037" s="14"/>
      <c r="E1037" s="4">
        <f t="shared" si="504"/>
        <v>1</v>
      </c>
      <c r="F1037" s="14"/>
      <c r="G1037" s="11">
        <v>1</v>
      </c>
      <c r="H1037" s="14"/>
      <c r="I1037" s="4">
        <f t="shared" si="505"/>
        <v>1</v>
      </c>
      <c r="J1037" s="56">
        <v>45903</v>
      </c>
      <c r="K1037" s="5" t="s">
        <v>3</v>
      </c>
      <c r="L1037" s="14"/>
      <c r="M1037" s="11"/>
      <c r="N1037" s="14"/>
      <c r="O1037" s="4">
        <f t="shared" si="507"/>
        <v>0</v>
      </c>
      <c r="P1037" s="14"/>
      <c r="Q1037" s="11"/>
      <c r="R1037" s="14"/>
      <c r="S1037" s="4">
        <f t="shared" si="509"/>
        <v>0</v>
      </c>
    </row>
    <row r="1038" spans="1:20" x14ac:dyDescent="0.15">
      <c r="A1038" s="6" t="s">
        <v>612</v>
      </c>
      <c r="B1038" s="14"/>
      <c r="C1038" s="11"/>
      <c r="D1038" s="14">
        <v>1</v>
      </c>
      <c r="E1038" s="4">
        <f t="shared" si="504"/>
        <v>1</v>
      </c>
      <c r="F1038" s="14"/>
      <c r="G1038" s="11"/>
      <c r="H1038" s="14">
        <v>1</v>
      </c>
      <c r="I1038" s="4">
        <f t="shared" si="505"/>
        <v>1</v>
      </c>
      <c r="J1038" s="56">
        <v>45904</v>
      </c>
      <c r="K1038" s="5" t="s">
        <v>625</v>
      </c>
      <c r="L1038" s="14">
        <v>6</v>
      </c>
      <c r="M1038" s="11">
        <v>2</v>
      </c>
      <c r="N1038" s="14">
        <v>5</v>
      </c>
      <c r="O1038" s="4">
        <f t="shared" si="507"/>
        <v>13</v>
      </c>
      <c r="P1038" s="14">
        <v>6</v>
      </c>
      <c r="Q1038" s="11">
        <v>2</v>
      </c>
      <c r="R1038" s="14">
        <v>5</v>
      </c>
      <c r="S1038" s="4">
        <f t="shared" si="509"/>
        <v>13</v>
      </c>
      <c r="T1038" s="56">
        <v>46032</v>
      </c>
    </row>
    <row r="1039" spans="1:20" x14ac:dyDescent="0.15">
      <c r="A1039" s="6" t="s">
        <v>3</v>
      </c>
      <c r="B1039" s="14"/>
      <c r="C1039" s="11">
        <v>5</v>
      </c>
      <c r="D1039" s="14"/>
      <c r="E1039" s="4">
        <f t="shared" si="504"/>
        <v>5</v>
      </c>
      <c r="F1039" s="14"/>
      <c r="G1039" s="11">
        <v>5</v>
      </c>
      <c r="H1039" s="14"/>
      <c r="I1039" s="4">
        <f t="shared" si="505"/>
        <v>5</v>
      </c>
      <c r="J1039" s="47">
        <v>45918</v>
      </c>
      <c r="K1039" s="5" t="s">
        <v>3</v>
      </c>
      <c r="L1039" s="14"/>
      <c r="M1039" s="11"/>
      <c r="N1039" s="14"/>
      <c r="O1039" s="4">
        <f t="shared" ref="O1039:O1045" si="510">SUM(L1039:N1039)</f>
        <v>0</v>
      </c>
      <c r="P1039" s="14"/>
      <c r="Q1039" s="11"/>
      <c r="R1039" s="14"/>
      <c r="S1039" s="4">
        <f t="shared" ref="S1039:S1045" si="511">SUM(P1039:R1039)</f>
        <v>0</v>
      </c>
    </row>
    <row r="1040" spans="1:20" x14ac:dyDescent="0.15">
      <c r="A1040" s="6" t="s">
        <v>612</v>
      </c>
      <c r="B1040" s="14">
        <v>1</v>
      </c>
      <c r="C1040" s="11">
        <v>3</v>
      </c>
      <c r="D1040" s="14">
        <v>2</v>
      </c>
      <c r="E1040" s="4">
        <f t="shared" si="504"/>
        <v>6</v>
      </c>
      <c r="F1040" s="14">
        <v>1</v>
      </c>
      <c r="G1040" s="11">
        <v>3</v>
      </c>
      <c r="H1040" s="14">
        <v>2</v>
      </c>
      <c r="I1040" s="4">
        <f t="shared" si="505"/>
        <v>6</v>
      </c>
      <c r="J1040" s="47">
        <v>45982</v>
      </c>
      <c r="K1040" s="5" t="s">
        <v>3</v>
      </c>
      <c r="L1040" s="14"/>
      <c r="M1040" s="11"/>
      <c r="N1040" s="14"/>
      <c r="O1040" s="4">
        <f t="shared" si="510"/>
        <v>0</v>
      </c>
      <c r="P1040" s="14"/>
      <c r="Q1040" s="11"/>
      <c r="R1040" s="14"/>
      <c r="S1040" s="4">
        <f t="shared" si="511"/>
        <v>0</v>
      </c>
    </row>
    <row r="1041" spans="1:21" x14ac:dyDescent="0.15">
      <c r="A1041" s="6" t="s">
        <v>623</v>
      </c>
      <c r="B1041" s="14">
        <v>5</v>
      </c>
      <c r="C1041" s="11">
        <v>3</v>
      </c>
      <c r="D1041" s="14">
        <v>4</v>
      </c>
      <c r="E1041" s="4">
        <f t="shared" si="504"/>
        <v>12</v>
      </c>
      <c r="F1041" s="14">
        <v>5</v>
      </c>
      <c r="G1041" s="11">
        <v>3</v>
      </c>
      <c r="H1041" s="14">
        <v>4</v>
      </c>
      <c r="I1041" s="4">
        <f t="shared" si="505"/>
        <v>12</v>
      </c>
      <c r="J1041" s="56">
        <v>45993</v>
      </c>
      <c r="K1041" s="5" t="s">
        <v>3</v>
      </c>
      <c r="L1041" s="14"/>
      <c r="M1041" s="11"/>
      <c r="N1041" s="14"/>
      <c r="O1041" s="4">
        <f t="shared" si="510"/>
        <v>0</v>
      </c>
      <c r="P1041" s="14"/>
      <c r="Q1041" s="11"/>
      <c r="R1041" s="14"/>
      <c r="S1041" s="4">
        <f t="shared" si="511"/>
        <v>0</v>
      </c>
    </row>
    <row r="1042" spans="1:21" x14ac:dyDescent="0.15">
      <c r="A1042" s="6" t="s">
        <v>3</v>
      </c>
      <c r="B1042" s="14"/>
      <c r="C1042" s="11"/>
      <c r="D1042" s="14"/>
      <c r="E1042" s="4">
        <f t="shared" si="504"/>
        <v>0</v>
      </c>
      <c r="F1042" s="14"/>
      <c r="G1042" s="11"/>
      <c r="H1042" s="14"/>
      <c r="I1042" s="4">
        <f t="shared" si="505"/>
        <v>0</v>
      </c>
      <c r="K1042" s="5" t="s">
        <v>3</v>
      </c>
      <c r="L1042" s="14"/>
      <c r="M1042" s="11"/>
      <c r="N1042" s="14"/>
      <c r="O1042" s="4">
        <f t="shared" si="510"/>
        <v>0</v>
      </c>
      <c r="P1042" s="14"/>
      <c r="Q1042" s="11"/>
      <c r="R1042" s="14"/>
      <c r="S1042" s="4">
        <f t="shared" si="511"/>
        <v>0</v>
      </c>
    </row>
    <row r="1043" spans="1:21" x14ac:dyDescent="0.15">
      <c r="A1043" s="6" t="s">
        <v>3</v>
      </c>
      <c r="B1043" s="14"/>
      <c r="C1043" s="11"/>
      <c r="D1043" s="14"/>
      <c r="E1043" s="4">
        <f t="shared" si="504"/>
        <v>0</v>
      </c>
      <c r="F1043" s="14"/>
      <c r="G1043" s="11"/>
      <c r="H1043" s="14"/>
      <c r="I1043" s="4">
        <f t="shared" si="505"/>
        <v>0</v>
      </c>
      <c r="K1043" s="5" t="s">
        <v>3</v>
      </c>
      <c r="L1043" s="14"/>
      <c r="M1043" s="11"/>
      <c r="N1043" s="14"/>
      <c r="O1043" s="4">
        <f t="shared" si="510"/>
        <v>0</v>
      </c>
      <c r="P1043" s="14"/>
      <c r="Q1043" s="11"/>
      <c r="R1043" s="14"/>
      <c r="S1043" s="4">
        <f t="shared" si="511"/>
        <v>0</v>
      </c>
    </row>
    <row r="1044" spans="1:21" x14ac:dyDescent="0.15">
      <c r="A1044" s="6" t="s">
        <v>3</v>
      </c>
      <c r="B1044" s="23"/>
      <c r="C1044" s="24"/>
      <c r="D1044" s="25"/>
      <c r="E1044" s="7">
        <f t="shared" si="504"/>
        <v>0</v>
      </c>
      <c r="F1044" s="23"/>
      <c r="G1044" s="24"/>
      <c r="H1044" s="25"/>
      <c r="I1044" s="7">
        <f t="shared" si="505"/>
        <v>0</v>
      </c>
      <c r="K1044" s="5" t="s">
        <v>3</v>
      </c>
      <c r="L1044" s="14"/>
      <c r="M1044" s="11"/>
      <c r="N1044" s="14"/>
      <c r="O1044" s="4">
        <f t="shared" si="510"/>
        <v>0</v>
      </c>
      <c r="P1044" s="14"/>
      <c r="Q1044" s="11"/>
      <c r="R1044" s="14"/>
      <c r="S1044" s="4">
        <f t="shared" si="511"/>
        <v>0</v>
      </c>
    </row>
    <row r="1045" spans="1:21" x14ac:dyDescent="0.15">
      <c r="A1045" s="6" t="s">
        <v>3</v>
      </c>
      <c r="B1045" s="23"/>
      <c r="C1045" s="24"/>
      <c r="D1045" s="25"/>
      <c r="E1045" s="7">
        <f t="shared" si="504"/>
        <v>0</v>
      </c>
      <c r="F1045" s="23"/>
      <c r="G1045" s="24"/>
      <c r="H1045" s="25"/>
      <c r="I1045" s="7">
        <f t="shared" si="505"/>
        <v>0</v>
      </c>
      <c r="K1045" s="5" t="s">
        <v>3</v>
      </c>
      <c r="L1045" s="14"/>
      <c r="M1045" s="11"/>
      <c r="N1045" s="14"/>
      <c r="O1045" s="4">
        <f t="shared" si="510"/>
        <v>0</v>
      </c>
      <c r="P1045" s="14"/>
      <c r="Q1045" s="11"/>
      <c r="R1045" s="14"/>
      <c r="S1045" s="4">
        <f t="shared" si="511"/>
        <v>0</v>
      </c>
    </row>
    <row r="1046" spans="1:21" ht="14.25" thickBot="1" x14ac:dyDescent="0.2">
      <c r="A1046" s="6" t="s">
        <v>3</v>
      </c>
      <c r="B1046" s="29"/>
      <c r="C1046" s="30"/>
      <c r="D1046" s="29"/>
      <c r="E1046" s="16">
        <f t="shared" si="504"/>
        <v>0</v>
      </c>
      <c r="F1046" s="29"/>
      <c r="G1046" s="30"/>
      <c r="H1046" s="29"/>
      <c r="I1046" s="16">
        <f t="shared" si="505"/>
        <v>0</v>
      </c>
      <c r="K1046" s="33" t="s">
        <v>3</v>
      </c>
      <c r="L1046" s="29"/>
      <c r="M1046" s="30"/>
      <c r="N1046" s="29"/>
      <c r="O1046" s="16">
        <f t="shared" si="507"/>
        <v>0</v>
      </c>
      <c r="P1046" s="29"/>
      <c r="Q1046" s="30"/>
      <c r="R1046" s="29"/>
      <c r="S1046" s="16">
        <f t="shared" si="509"/>
        <v>0</v>
      </c>
    </row>
    <row r="1047" spans="1:21" ht="14.25" thickBot="1" x14ac:dyDescent="0.2">
      <c r="A1047" s="17" t="s">
        <v>4</v>
      </c>
      <c r="B1047" s="18">
        <f>SUM(B1036:B1046)</f>
        <v>15</v>
      </c>
      <c r="C1047" s="18">
        <f>SUM(C1036:C1046)</f>
        <v>19</v>
      </c>
      <c r="D1047" s="19">
        <f>SUM(D1036:D1046)</f>
        <v>12</v>
      </c>
      <c r="E1047" s="20">
        <f t="shared" si="504"/>
        <v>46</v>
      </c>
      <c r="F1047" s="18">
        <f>SUM(F1036:F1046)</f>
        <v>15</v>
      </c>
      <c r="G1047" s="18">
        <f>SUM(G1036:G1046)</f>
        <v>19</v>
      </c>
      <c r="H1047" s="19">
        <f>SUM(H1036:H1046)</f>
        <v>12</v>
      </c>
      <c r="I1047" s="20">
        <f t="shared" si="505"/>
        <v>46</v>
      </c>
      <c r="K1047" s="17" t="s">
        <v>4</v>
      </c>
      <c r="L1047" s="18">
        <f>SUM(L1036:L1046)</f>
        <v>146</v>
      </c>
      <c r="M1047" s="18">
        <f>SUM(M1036:M1046)</f>
        <v>122</v>
      </c>
      <c r="N1047" s="18">
        <f>SUM(N1036:N1046)</f>
        <v>113</v>
      </c>
      <c r="O1047" s="20">
        <f t="shared" si="507"/>
        <v>381</v>
      </c>
      <c r="P1047" s="18">
        <f>SUM(P1036:P1046)</f>
        <v>146</v>
      </c>
      <c r="Q1047" s="18">
        <f>SUM(Q1036:Q1046)</f>
        <v>122</v>
      </c>
      <c r="R1047" s="19">
        <f>SUM(R1036:R1046)</f>
        <v>113</v>
      </c>
      <c r="S1047" s="20">
        <f t="shared" si="509"/>
        <v>381</v>
      </c>
    </row>
    <row r="1048" spans="1:21" x14ac:dyDescent="0.15">
      <c r="A1048" s="3" t="s">
        <v>575</v>
      </c>
      <c r="B1048" s="8">
        <v>1</v>
      </c>
      <c r="C1048" s="9"/>
      <c r="D1048" s="10"/>
      <c r="E1048" s="7">
        <f t="shared" ref="E1048" si="512">SUM(B1048:D1048)</f>
        <v>1</v>
      </c>
      <c r="F1048" s="8">
        <v>1</v>
      </c>
      <c r="G1048" s="9"/>
      <c r="H1048" s="10"/>
      <c r="I1048" s="7">
        <f t="shared" ref="I1048" si="513">SUM(F1048:H1048)</f>
        <v>1</v>
      </c>
      <c r="J1048" s="47">
        <v>45903</v>
      </c>
      <c r="K1048" s="3" t="s">
        <v>33</v>
      </c>
      <c r="L1048" s="8">
        <v>5</v>
      </c>
      <c r="M1048" s="9"/>
      <c r="N1048" s="10"/>
      <c r="O1048" s="7">
        <f t="shared" ref="O1048:O1049" si="514">SUM(L1048:N1048)</f>
        <v>5</v>
      </c>
      <c r="P1048" s="8">
        <v>5</v>
      </c>
      <c r="Q1048" s="9"/>
      <c r="R1048" s="10"/>
      <c r="S1048" s="7">
        <f t="shared" ref="S1048:S1049" si="515">SUM(P1048:R1048)</f>
        <v>5</v>
      </c>
      <c r="T1048" s="47">
        <v>45896</v>
      </c>
    </row>
    <row r="1049" spans="1:21" x14ac:dyDescent="0.15">
      <c r="A1049" s="3" t="s">
        <v>575</v>
      </c>
      <c r="B1049" s="8"/>
      <c r="C1049" s="9"/>
      <c r="D1049" s="10">
        <v>1</v>
      </c>
      <c r="E1049" s="7">
        <f t="shared" si="504"/>
        <v>1</v>
      </c>
      <c r="F1049" s="8"/>
      <c r="G1049" s="9"/>
      <c r="H1049" s="10">
        <v>1</v>
      </c>
      <c r="I1049" s="7">
        <f t="shared" si="505"/>
        <v>1</v>
      </c>
      <c r="J1049" s="47">
        <v>45911</v>
      </c>
      <c r="K1049" s="3" t="s">
        <v>608</v>
      </c>
      <c r="L1049" s="8"/>
      <c r="M1049" s="9"/>
      <c r="N1049" s="10">
        <v>2</v>
      </c>
      <c r="O1049" s="7">
        <f t="shared" si="514"/>
        <v>2</v>
      </c>
      <c r="P1049" s="8"/>
      <c r="Q1049" s="9"/>
      <c r="R1049" s="10">
        <v>2</v>
      </c>
      <c r="S1049" s="7">
        <f t="shared" si="515"/>
        <v>2</v>
      </c>
      <c r="T1049" s="47">
        <v>45902</v>
      </c>
    </row>
    <row r="1050" spans="1:21" x14ac:dyDescent="0.15">
      <c r="A1050" s="3" t="s">
        <v>575</v>
      </c>
      <c r="B1050" s="8"/>
      <c r="C1050" s="9">
        <v>1</v>
      </c>
      <c r="D1050" s="10"/>
      <c r="E1050" s="7">
        <f t="shared" si="504"/>
        <v>1</v>
      </c>
      <c r="F1050" s="8"/>
      <c r="G1050" s="9">
        <v>1</v>
      </c>
      <c r="H1050" s="10"/>
      <c r="I1050" s="7">
        <f t="shared" si="505"/>
        <v>1</v>
      </c>
      <c r="J1050" s="47">
        <v>45912</v>
      </c>
      <c r="K1050" s="3" t="s">
        <v>609</v>
      </c>
      <c r="L1050" s="8">
        <v>3</v>
      </c>
      <c r="M1050" s="9"/>
      <c r="N1050" s="10">
        <v>4</v>
      </c>
      <c r="O1050" s="7">
        <f t="shared" si="507"/>
        <v>7</v>
      </c>
      <c r="P1050" s="8">
        <v>3</v>
      </c>
      <c r="Q1050" s="9"/>
      <c r="R1050" s="10">
        <v>4</v>
      </c>
      <c r="S1050" s="7">
        <f t="shared" si="509"/>
        <v>7</v>
      </c>
      <c r="T1050" s="47">
        <v>45903</v>
      </c>
    </row>
    <row r="1051" spans="1:21" x14ac:dyDescent="0.15">
      <c r="A1051" s="3" t="s">
        <v>575</v>
      </c>
      <c r="B1051" s="8"/>
      <c r="C1051" s="9">
        <v>2</v>
      </c>
      <c r="D1051" s="10">
        <v>1</v>
      </c>
      <c r="E1051" s="7">
        <f t="shared" si="504"/>
        <v>3</v>
      </c>
      <c r="F1051" s="8"/>
      <c r="G1051" s="9">
        <v>2</v>
      </c>
      <c r="H1051" s="10">
        <v>1</v>
      </c>
      <c r="I1051" s="7">
        <f t="shared" si="505"/>
        <v>3</v>
      </c>
      <c r="J1051" s="47">
        <v>45918</v>
      </c>
      <c r="K1051" s="3" t="s">
        <v>610</v>
      </c>
      <c r="L1051" s="8">
        <v>3</v>
      </c>
      <c r="M1051" s="9"/>
      <c r="N1051" s="10"/>
      <c r="O1051" s="7">
        <f t="shared" si="507"/>
        <v>3</v>
      </c>
      <c r="P1051" s="8">
        <v>3</v>
      </c>
      <c r="Q1051" s="9"/>
      <c r="R1051" s="10"/>
      <c r="S1051" s="7">
        <f t="shared" si="509"/>
        <v>3</v>
      </c>
      <c r="T1051" s="47">
        <v>45905</v>
      </c>
    </row>
    <row r="1052" spans="1:21" x14ac:dyDescent="0.15">
      <c r="A1052" s="3" t="s">
        <v>614</v>
      </c>
      <c r="B1052" s="8"/>
      <c r="C1052" s="9">
        <v>4</v>
      </c>
      <c r="D1052" s="10">
        <v>1</v>
      </c>
      <c r="E1052" s="7">
        <f t="shared" ref="E1052" si="516">SUM(B1052:D1052)</f>
        <v>5</v>
      </c>
      <c r="F1052" s="8"/>
      <c r="G1052" s="9">
        <v>4</v>
      </c>
      <c r="H1052" s="10">
        <v>1</v>
      </c>
      <c r="I1052" s="7">
        <f t="shared" si="505"/>
        <v>5</v>
      </c>
      <c r="J1052" s="47">
        <v>45919</v>
      </c>
      <c r="K1052" s="3" t="s">
        <v>613</v>
      </c>
      <c r="L1052" s="8">
        <v>2</v>
      </c>
      <c r="M1052" s="9"/>
      <c r="N1052" s="10"/>
      <c r="O1052" s="7">
        <f t="shared" si="507"/>
        <v>2</v>
      </c>
      <c r="P1052" s="8">
        <v>2</v>
      </c>
      <c r="Q1052" s="9"/>
      <c r="R1052" s="10"/>
      <c r="S1052" s="7">
        <f t="shared" si="509"/>
        <v>2</v>
      </c>
      <c r="T1052" s="47">
        <v>45918</v>
      </c>
      <c r="U1052" s="54"/>
    </row>
    <row r="1053" spans="1:21" x14ac:dyDescent="0.15">
      <c r="A1053" s="3" t="s">
        <v>575</v>
      </c>
      <c r="B1053" s="8">
        <v>1</v>
      </c>
      <c r="C1053" s="9">
        <v>1</v>
      </c>
      <c r="D1053" s="10"/>
      <c r="E1053" s="7">
        <f t="shared" si="504"/>
        <v>2</v>
      </c>
      <c r="F1053" s="8">
        <v>1</v>
      </c>
      <c r="G1053" s="9">
        <v>1</v>
      </c>
      <c r="H1053" s="10"/>
      <c r="I1053" s="7">
        <f t="shared" si="505"/>
        <v>2</v>
      </c>
      <c r="J1053" s="47">
        <v>45926</v>
      </c>
      <c r="K1053" s="3" t="s">
        <v>33</v>
      </c>
      <c r="L1053" s="8"/>
      <c r="M1053" s="9">
        <v>5</v>
      </c>
      <c r="N1053" s="10"/>
      <c r="O1053" s="7">
        <f t="shared" ref="O1053" si="517">SUM(L1053:N1053)</f>
        <v>5</v>
      </c>
      <c r="P1053" s="8"/>
      <c r="Q1053" s="9">
        <v>5</v>
      </c>
      <c r="R1053" s="10"/>
      <c r="S1053" s="7">
        <f t="shared" si="509"/>
        <v>5</v>
      </c>
      <c r="T1053" s="47">
        <v>45918</v>
      </c>
    </row>
    <row r="1054" spans="1:21" x14ac:dyDescent="0.15">
      <c r="A1054" s="3" t="s">
        <v>575</v>
      </c>
      <c r="B1054" s="8"/>
      <c r="C1054" s="9">
        <v>3</v>
      </c>
      <c r="D1054" s="10"/>
      <c r="E1054" s="7">
        <f t="shared" si="504"/>
        <v>3</v>
      </c>
      <c r="F1054" s="8"/>
      <c r="G1054" s="9">
        <v>3</v>
      </c>
      <c r="H1054" s="10"/>
      <c r="I1054" s="7">
        <f t="shared" si="505"/>
        <v>3</v>
      </c>
      <c r="J1054" s="47">
        <v>45926</v>
      </c>
      <c r="K1054" s="3" t="s">
        <v>615</v>
      </c>
      <c r="L1054" s="8">
        <v>5</v>
      </c>
      <c r="M1054" s="9"/>
      <c r="N1054" s="10"/>
      <c r="O1054" s="7">
        <f t="shared" si="507"/>
        <v>5</v>
      </c>
      <c r="P1054" s="8">
        <v>5</v>
      </c>
      <c r="Q1054" s="9"/>
      <c r="R1054" s="10"/>
      <c r="S1054" s="7">
        <f t="shared" si="509"/>
        <v>5</v>
      </c>
      <c r="T1054" s="47">
        <v>45925</v>
      </c>
    </row>
    <row r="1055" spans="1:21" x14ac:dyDescent="0.15">
      <c r="A1055" s="3" t="s">
        <v>620</v>
      </c>
      <c r="B1055" s="8">
        <v>1</v>
      </c>
      <c r="C1055" s="9"/>
      <c r="D1055" s="10"/>
      <c r="E1055" s="7">
        <f t="shared" si="504"/>
        <v>1</v>
      </c>
      <c r="F1055" s="8">
        <v>1</v>
      </c>
      <c r="G1055" s="9"/>
      <c r="H1055" s="10"/>
      <c r="I1055" s="7">
        <f t="shared" si="505"/>
        <v>1</v>
      </c>
      <c r="J1055" s="56">
        <v>45938</v>
      </c>
      <c r="K1055" s="3"/>
      <c r="L1055" s="8"/>
      <c r="M1055" s="9"/>
      <c r="N1055" s="10"/>
      <c r="O1055" s="7">
        <f t="shared" si="507"/>
        <v>0</v>
      </c>
      <c r="P1055" s="8"/>
      <c r="Q1055" s="9"/>
      <c r="R1055" s="10"/>
      <c r="S1055" s="7">
        <f t="shared" si="509"/>
        <v>0</v>
      </c>
      <c r="T1055" s="55"/>
    </row>
    <row r="1056" spans="1:21" x14ac:dyDescent="0.15">
      <c r="A1056" s="3" t="s">
        <v>624</v>
      </c>
      <c r="B1056" s="8">
        <v>6</v>
      </c>
      <c r="C1056" s="9">
        <v>2</v>
      </c>
      <c r="D1056" s="10">
        <v>5</v>
      </c>
      <c r="E1056" s="7">
        <f t="shared" si="504"/>
        <v>13</v>
      </c>
      <c r="F1056" s="8">
        <v>6</v>
      </c>
      <c r="G1056" s="9">
        <v>2</v>
      </c>
      <c r="H1056" s="10">
        <v>5</v>
      </c>
      <c r="I1056" s="7">
        <f t="shared" si="505"/>
        <v>13</v>
      </c>
      <c r="J1056" s="56">
        <v>46032</v>
      </c>
      <c r="K1056" s="3"/>
      <c r="L1056" s="8"/>
      <c r="M1056" s="9"/>
      <c r="N1056" s="10"/>
      <c r="O1056" s="7">
        <f t="shared" si="507"/>
        <v>0</v>
      </c>
      <c r="P1056" s="8"/>
      <c r="Q1056" s="9"/>
      <c r="R1056" s="10"/>
      <c r="S1056" s="7">
        <f t="shared" si="509"/>
        <v>0</v>
      </c>
      <c r="T1056" s="55"/>
    </row>
    <row r="1057" spans="1:20" x14ac:dyDescent="0.15">
      <c r="A1057" s="3"/>
      <c r="B1057" s="8"/>
      <c r="C1057" s="9"/>
      <c r="D1057" s="10"/>
      <c r="E1057" s="7">
        <f t="shared" si="504"/>
        <v>0</v>
      </c>
      <c r="F1057" s="8"/>
      <c r="G1057" s="9"/>
      <c r="H1057" s="10"/>
      <c r="I1057" s="7">
        <f t="shared" si="505"/>
        <v>0</v>
      </c>
      <c r="K1057" s="3"/>
      <c r="L1057" s="8"/>
      <c r="M1057" s="9"/>
      <c r="N1057" s="10"/>
      <c r="O1057" s="7">
        <f t="shared" si="507"/>
        <v>0</v>
      </c>
      <c r="P1057" s="8"/>
      <c r="Q1057" s="9"/>
      <c r="R1057" s="10"/>
      <c r="S1057" s="7">
        <f t="shared" si="509"/>
        <v>0</v>
      </c>
      <c r="T1057" s="55"/>
    </row>
    <row r="1058" spans="1:20" x14ac:dyDescent="0.15">
      <c r="A1058" s="3"/>
      <c r="B1058" s="8"/>
      <c r="C1058" s="9"/>
      <c r="D1058" s="10"/>
      <c r="E1058" s="7">
        <f t="shared" si="504"/>
        <v>0</v>
      </c>
      <c r="F1058" s="8"/>
      <c r="G1058" s="9"/>
      <c r="H1058" s="10"/>
      <c r="I1058" s="7">
        <f t="shared" si="505"/>
        <v>0</v>
      </c>
      <c r="K1058" s="3"/>
      <c r="L1058" s="8"/>
      <c r="M1058" s="9"/>
      <c r="N1058" s="10"/>
      <c r="O1058" s="7">
        <f t="shared" si="507"/>
        <v>0</v>
      </c>
      <c r="P1058" s="8"/>
      <c r="Q1058" s="9"/>
      <c r="R1058" s="10"/>
      <c r="S1058" s="7">
        <f t="shared" si="509"/>
        <v>0</v>
      </c>
      <c r="T1058" s="55"/>
    </row>
    <row r="1059" spans="1:20" x14ac:dyDescent="0.15">
      <c r="A1059" s="3"/>
      <c r="B1059" s="8"/>
      <c r="C1059" s="9"/>
      <c r="D1059" s="10"/>
      <c r="E1059" s="7">
        <f t="shared" si="504"/>
        <v>0</v>
      </c>
      <c r="F1059" s="8"/>
      <c r="G1059" s="9"/>
      <c r="H1059" s="10"/>
      <c r="I1059" s="7">
        <f t="shared" si="505"/>
        <v>0</v>
      </c>
      <c r="K1059" s="3"/>
      <c r="L1059" s="8"/>
      <c r="M1059" s="9"/>
      <c r="N1059" s="10"/>
      <c r="O1059" s="7">
        <f t="shared" si="507"/>
        <v>0</v>
      </c>
      <c r="P1059" s="8"/>
      <c r="Q1059" s="9"/>
      <c r="R1059" s="10"/>
      <c r="S1059" s="7">
        <f t="shared" si="509"/>
        <v>0</v>
      </c>
    </row>
    <row r="1060" spans="1:20" x14ac:dyDescent="0.15">
      <c r="A1060" s="3"/>
      <c r="B1060" s="8"/>
      <c r="C1060" s="9"/>
      <c r="D1060" s="10"/>
      <c r="E1060" s="7">
        <f t="shared" si="504"/>
        <v>0</v>
      </c>
      <c r="F1060" s="8"/>
      <c r="G1060" s="9"/>
      <c r="H1060" s="10"/>
      <c r="I1060" s="7">
        <f t="shared" si="505"/>
        <v>0</v>
      </c>
      <c r="K1060" s="3"/>
      <c r="L1060" s="8"/>
      <c r="M1060" s="9"/>
      <c r="N1060" s="10"/>
      <c r="O1060" s="7">
        <f t="shared" si="507"/>
        <v>0</v>
      </c>
      <c r="P1060" s="8"/>
      <c r="Q1060" s="9"/>
      <c r="R1060" s="10"/>
      <c r="S1060" s="7">
        <f t="shared" si="509"/>
        <v>0</v>
      </c>
    </row>
    <row r="1061" spans="1:20" x14ac:dyDescent="0.15">
      <c r="A1061" s="3"/>
      <c r="B1061" s="8"/>
      <c r="C1061" s="9"/>
      <c r="D1061" s="10"/>
      <c r="E1061" s="7">
        <f t="shared" si="504"/>
        <v>0</v>
      </c>
      <c r="F1061" s="8"/>
      <c r="G1061" s="9"/>
      <c r="H1061" s="10"/>
      <c r="I1061" s="7">
        <f t="shared" si="505"/>
        <v>0</v>
      </c>
      <c r="K1061" s="3"/>
      <c r="L1061" s="8"/>
      <c r="M1061" s="9"/>
      <c r="N1061" s="10"/>
      <c r="O1061" s="7">
        <f t="shared" si="507"/>
        <v>0</v>
      </c>
      <c r="P1061" s="8"/>
      <c r="Q1061" s="9"/>
      <c r="R1061" s="10"/>
      <c r="S1061" s="7">
        <f t="shared" si="509"/>
        <v>0</v>
      </c>
    </row>
    <row r="1062" spans="1:20" x14ac:dyDescent="0.15">
      <c r="A1062" s="3"/>
      <c r="B1062" s="8"/>
      <c r="C1062" s="9"/>
      <c r="D1062" s="10"/>
      <c r="E1062" s="7">
        <f t="shared" si="504"/>
        <v>0</v>
      </c>
      <c r="F1062" s="8"/>
      <c r="G1062" s="9"/>
      <c r="H1062" s="10"/>
      <c r="I1062" s="7">
        <f t="shared" si="505"/>
        <v>0</v>
      </c>
      <c r="K1062" s="3"/>
      <c r="L1062" s="8"/>
      <c r="M1062" s="9"/>
      <c r="N1062" s="10"/>
      <c r="O1062" s="7">
        <f t="shared" si="507"/>
        <v>0</v>
      </c>
      <c r="P1062" s="8"/>
      <c r="Q1062" s="9"/>
      <c r="R1062" s="10"/>
      <c r="S1062" s="7">
        <f t="shared" si="509"/>
        <v>0</v>
      </c>
    </row>
    <row r="1063" spans="1:20" x14ac:dyDescent="0.15">
      <c r="A1063" s="3"/>
      <c r="B1063" s="8"/>
      <c r="C1063" s="9"/>
      <c r="D1063" s="10"/>
      <c r="E1063" s="7">
        <f t="shared" si="504"/>
        <v>0</v>
      </c>
      <c r="F1063" s="8"/>
      <c r="G1063" s="9"/>
      <c r="H1063" s="10"/>
      <c r="I1063" s="7">
        <f t="shared" si="505"/>
        <v>0</v>
      </c>
      <c r="K1063" s="3"/>
      <c r="L1063" s="8"/>
      <c r="M1063" s="9"/>
      <c r="N1063" s="10"/>
      <c r="O1063" s="7">
        <f t="shared" si="507"/>
        <v>0</v>
      </c>
      <c r="P1063" s="8"/>
      <c r="Q1063" s="9"/>
      <c r="R1063" s="10"/>
      <c r="S1063" s="7">
        <f t="shared" si="509"/>
        <v>0</v>
      </c>
    </row>
    <row r="1064" spans="1:20" x14ac:dyDescent="0.15">
      <c r="A1064" s="3"/>
      <c r="B1064" s="8"/>
      <c r="C1064" s="9"/>
      <c r="D1064" s="10"/>
      <c r="E1064" s="7">
        <f t="shared" si="504"/>
        <v>0</v>
      </c>
      <c r="F1064" s="8"/>
      <c r="G1064" s="9"/>
      <c r="H1064" s="10"/>
      <c r="I1064" s="7">
        <f t="shared" si="505"/>
        <v>0</v>
      </c>
      <c r="K1064" s="3"/>
      <c r="L1064" s="8"/>
      <c r="M1064" s="9"/>
      <c r="N1064" s="10"/>
      <c r="O1064" s="7">
        <f t="shared" ref="O1064:O1069" si="518">SUM(L1064:N1064)</f>
        <v>0</v>
      </c>
      <c r="P1064" s="8"/>
      <c r="Q1064" s="9"/>
      <c r="R1064" s="10"/>
      <c r="S1064" s="7">
        <f t="shared" ref="S1064:S1069" si="519">SUM(P1064:R1064)</f>
        <v>0</v>
      </c>
    </row>
    <row r="1065" spans="1:20" x14ac:dyDescent="0.15">
      <c r="A1065" s="3"/>
      <c r="B1065" s="8"/>
      <c r="C1065" s="9"/>
      <c r="D1065" s="10"/>
      <c r="E1065" s="7">
        <f t="shared" si="504"/>
        <v>0</v>
      </c>
      <c r="F1065" s="8"/>
      <c r="G1065" s="9"/>
      <c r="H1065" s="10"/>
      <c r="I1065" s="7">
        <f t="shared" si="505"/>
        <v>0</v>
      </c>
      <c r="K1065" s="3"/>
      <c r="L1065" s="8"/>
      <c r="M1065" s="9"/>
      <c r="N1065" s="10"/>
      <c r="O1065" s="7">
        <f t="shared" si="518"/>
        <v>0</v>
      </c>
      <c r="P1065" s="8"/>
      <c r="Q1065" s="9"/>
      <c r="R1065" s="10"/>
      <c r="S1065" s="7">
        <f t="shared" si="519"/>
        <v>0</v>
      </c>
    </row>
    <row r="1066" spans="1:20" x14ac:dyDescent="0.15">
      <c r="A1066" s="3"/>
      <c r="B1066" s="8"/>
      <c r="C1066" s="9"/>
      <c r="D1066" s="10"/>
      <c r="E1066" s="7">
        <f t="shared" si="504"/>
        <v>0</v>
      </c>
      <c r="F1066" s="8"/>
      <c r="G1066" s="9"/>
      <c r="H1066" s="10"/>
      <c r="I1066" s="7">
        <f t="shared" si="505"/>
        <v>0</v>
      </c>
      <c r="K1066" s="3"/>
      <c r="L1066" s="8"/>
      <c r="M1066" s="9"/>
      <c r="N1066" s="10"/>
      <c r="O1066" s="7">
        <f t="shared" si="518"/>
        <v>0</v>
      </c>
      <c r="P1066" s="8"/>
      <c r="Q1066" s="9"/>
      <c r="R1066" s="10"/>
      <c r="S1066" s="7">
        <f t="shared" si="519"/>
        <v>0</v>
      </c>
    </row>
    <row r="1067" spans="1:20" x14ac:dyDescent="0.15">
      <c r="A1067" s="3"/>
      <c r="B1067" s="8"/>
      <c r="C1067" s="9"/>
      <c r="D1067" s="10"/>
      <c r="E1067" s="7">
        <f t="shared" si="504"/>
        <v>0</v>
      </c>
      <c r="F1067" s="8"/>
      <c r="G1067" s="9"/>
      <c r="H1067" s="10"/>
      <c r="I1067" s="7">
        <f t="shared" si="505"/>
        <v>0</v>
      </c>
      <c r="K1067" s="3"/>
      <c r="L1067" s="8"/>
      <c r="M1067" s="9"/>
      <c r="N1067" s="10"/>
      <c r="O1067" s="7">
        <f t="shared" si="518"/>
        <v>0</v>
      </c>
      <c r="P1067" s="8"/>
      <c r="Q1067" s="9"/>
      <c r="R1067" s="10"/>
      <c r="S1067" s="7">
        <f t="shared" si="519"/>
        <v>0</v>
      </c>
    </row>
    <row r="1068" spans="1:20" x14ac:dyDescent="0.15">
      <c r="A1068" s="3"/>
      <c r="B1068" s="8"/>
      <c r="C1068" s="9"/>
      <c r="D1068" s="10"/>
      <c r="E1068" s="7">
        <f t="shared" si="504"/>
        <v>0</v>
      </c>
      <c r="F1068" s="8"/>
      <c r="G1068" s="9"/>
      <c r="H1068" s="10"/>
      <c r="I1068" s="7">
        <f t="shared" si="505"/>
        <v>0</v>
      </c>
      <c r="K1068" s="3"/>
      <c r="L1068" s="8"/>
      <c r="M1068" s="9"/>
      <c r="N1068" s="10"/>
      <c r="O1068" s="7">
        <f t="shared" si="518"/>
        <v>0</v>
      </c>
      <c r="P1068" s="8"/>
      <c r="Q1068" s="9"/>
      <c r="R1068" s="10"/>
      <c r="S1068" s="7">
        <f t="shared" si="519"/>
        <v>0</v>
      </c>
    </row>
    <row r="1069" spans="1:20" x14ac:dyDescent="0.15">
      <c r="A1069" s="3"/>
      <c r="B1069" s="8"/>
      <c r="C1069" s="9"/>
      <c r="D1069" s="10"/>
      <c r="E1069" s="7">
        <f t="shared" si="504"/>
        <v>0</v>
      </c>
      <c r="F1069" s="8"/>
      <c r="G1069" s="9"/>
      <c r="H1069" s="10"/>
      <c r="I1069" s="7">
        <f t="shared" si="505"/>
        <v>0</v>
      </c>
      <c r="K1069" s="3"/>
      <c r="L1069" s="8"/>
      <c r="M1069" s="9"/>
      <c r="N1069" s="10"/>
      <c r="O1069" s="7">
        <f t="shared" si="518"/>
        <v>0</v>
      </c>
      <c r="P1069" s="8"/>
      <c r="Q1069" s="9"/>
      <c r="R1069" s="10"/>
      <c r="S1069" s="7">
        <f t="shared" si="519"/>
        <v>0</v>
      </c>
    </row>
    <row r="1070" spans="1:20" x14ac:dyDescent="0.15">
      <c r="A1070" s="3"/>
      <c r="B1070" s="8"/>
      <c r="C1070" s="9"/>
      <c r="D1070" s="10"/>
      <c r="E1070" s="7">
        <f t="shared" si="504"/>
        <v>0</v>
      </c>
      <c r="F1070" s="8"/>
      <c r="G1070" s="9"/>
      <c r="H1070" s="10"/>
      <c r="I1070" s="7">
        <f t="shared" si="505"/>
        <v>0</v>
      </c>
      <c r="K1070" s="32" t="s">
        <v>519</v>
      </c>
      <c r="L1070" s="58"/>
      <c r="M1070" s="59"/>
      <c r="N1070" s="60"/>
      <c r="O1070" s="61">
        <f t="shared" si="507"/>
        <v>0</v>
      </c>
      <c r="P1070" s="58"/>
      <c r="Q1070" s="59"/>
      <c r="R1070" s="60"/>
      <c r="S1070" s="61">
        <f t="shared" si="509"/>
        <v>0</v>
      </c>
      <c r="T1070" s="55"/>
    </row>
    <row r="1071" spans="1:20" ht="14.25" thickBot="1" x14ac:dyDescent="0.2">
      <c r="A1071" s="3"/>
      <c r="B1071" s="8"/>
      <c r="C1071" s="9"/>
      <c r="D1071" s="10"/>
      <c r="E1071" s="7">
        <f t="shared" ref="E1071" si="520">SUM(B1071:D1071)</f>
        <v>0</v>
      </c>
      <c r="F1071" s="8"/>
      <c r="G1071" s="9"/>
      <c r="H1071" s="10"/>
      <c r="I1071" s="7">
        <f t="shared" ref="I1071" si="521">SUM(F1071:H1071)</f>
        <v>0</v>
      </c>
      <c r="K1071" s="3" t="s">
        <v>582</v>
      </c>
      <c r="L1071" s="8"/>
      <c r="M1071" s="9"/>
      <c r="N1071" s="10"/>
      <c r="O1071" s="7">
        <f t="shared" si="507"/>
        <v>0</v>
      </c>
      <c r="P1071" s="8"/>
      <c r="Q1071" s="9"/>
      <c r="R1071" s="10"/>
      <c r="S1071" s="7">
        <f t="shared" si="509"/>
        <v>0</v>
      </c>
      <c r="T1071" s="55" t="s">
        <v>581</v>
      </c>
    </row>
    <row r="1072" spans="1:20" ht="14.25" thickBot="1" x14ac:dyDescent="0.2">
      <c r="A1072" s="2" t="s">
        <v>5</v>
      </c>
      <c r="B1072" s="12">
        <f>SUM(B1048:B1071)</f>
        <v>9</v>
      </c>
      <c r="C1072" s="12">
        <f>SUM(C1048:C1071)</f>
        <v>13</v>
      </c>
      <c r="D1072" s="12">
        <f>SUM(D1048:D1071)</f>
        <v>8</v>
      </c>
      <c r="E1072" s="13">
        <f t="shared" si="504"/>
        <v>30</v>
      </c>
      <c r="F1072" s="12">
        <f>SUM(F1048:F1071)</f>
        <v>9</v>
      </c>
      <c r="G1072" s="12">
        <f>SUM(G1048:G1071)</f>
        <v>13</v>
      </c>
      <c r="H1072" s="12">
        <f>SUM(H1048:H1071)</f>
        <v>8</v>
      </c>
      <c r="I1072" s="13">
        <f t="shared" si="505"/>
        <v>30</v>
      </c>
      <c r="K1072" s="2" t="s">
        <v>5</v>
      </c>
      <c r="L1072" s="12">
        <f>SUM(L1048:L1071)</f>
        <v>18</v>
      </c>
      <c r="M1072" s="12">
        <f>SUM(M1048:M1071)</f>
        <v>5</v>
      </c>
      <c r="N1072" s="12">
        <f>SUM(N1048:N1071)</f>
        <v>6</v>
      </c>
      <c r="O1072" s="13">
        <f t="shared" si="507"/>
        <v>29</v>
      </c>
      <c r="P1072" s="12">
        <f>SUM(P1048:P1071)</f>
        <v>18</v>
      </c>
      <c r="Q1072" s="12">
        <f>SUM(Q1048:Q1071)</f>
        <v>5</v>
      </c>
      <c r="R1072" s="12">
        <f>SUM(R1048:R1071)</f>
        <v>6</v>
      </c>
      <c r="S1072" s="13">
        <f t="shared" si="509"/>
        <v>29</v>
      </c>
    </row>
    <row r="1073" spans="1:19" ht="14.25" thickBot="1" x14ac:dyDescent="0.2">
      <c r="A1073" s="21" t="s">
        <v>6</v>
      </c>
      <c r="B1073" s="22">
        <f t="shared" ref="B1073:I1073" si="522">B1047-B1072</f>
        <v>6</v>
      </c>
      <c r="C1073" s="22">
        <f t="shared" si="522"/>
        <v>6</v>
      </c>
      <c r="D1073" s="22">
        <f t="shared" si="522"/>
        <v>4</v>
      </c>
      <c r="E1073" s="22">
        <f t="shared" si="522"/>
        <v>16</v>
      </c>
      <c r="F1073" s="22">
        <f t="shared" si="522"/>
        <v>6</v>
      </c>
      <c r="G1073" s="22">
        <f t="shared" si="522"/>
        <v>6</v>
      </c>
      <c r="H1073" s="22">
        <f t="shared" si="522"/>
        <v>4</v>
      </c>
      <c r="I1073" s="20">
        <f t="shared" si="522"/>
        <v>16</v>
      </c>
      <c r="K1073" s="21" t="s">
        <v>6</v>
      </c>
      <c r="L1073" s="22">
        <f>L1047-L1072</f>
        <v>128</v>
      </c>
      <c r="M1073" s="22">
        <f t="shared" ref="M1073:O1073" si="523">M1047-M1072</f>
        <v>117</v>
      </c>
      <c r="N1073" s="22">
        <f t="shared" si="523"/>
        <v>107</v>
      </c>
      <c r="O1073" s="22">
        <f t="shared" si="523"/>
        <v>352</v>
      </c>
      <c r="P1073" s="22">
        <f>P1047-P1072</f>
        <v>128</v>
      </c>
      <c r="Q1073" s="22">
        <f>Q1047-Q1072</f>
        <v>117</v>
      </c>
      <c r="R1073" s="22">
        <f>R1047-R1072</f>
        <v>107</v>
      </c>
      <c r="S1073" s="20">
        <f t="shared" ref="S1073" si="524">S1047-S1072</f>
        <v>352</v>
      </c>
    </row>
    <row r="1074" spans="1:19" x14ac:dyDescent="0.15">
      <c r="K1074" s="153" t="s">
        <v>616</v>
      </c>
      <c r="L1074" s="154">
        <f>L1072+L1029+L986+L943+L900+L857</f>
        <v>534</v>
      </c>
      <c r="M1074" s="154">
        <f t="shared" ref="M1074:S1074" si="525">M1072+M1029+M986+M943+M900+M857</f>
        <v>651</v>
      </c>
      <c r="N1074" s="154">
        <f t="shared" si="525"/>
        <v>400</v>
      </c>
      <c r="O1074" s="154">
        <f t="shared" si="525"/>
        <v>1585</v>
      </c>
      <c r="P1074" s="154">
        <f t="shared" si="525"/>
        <v>534</v>
      </c>
      <c r="Q1074" s="154">
        <f t="shared" si="525"/>
        <v>651</v>
      </c>
      <c r="R1074" s="154">
        <f t="shared" si="525"/>
        <v>400</v>
      </c>
      <c r="S1074" s="154">
        <f t="shared" si="525"/>
        <v>1585</v>
      </c>
    </row>
    <row r="1075" spans="1:19" ht="36" customHeight="1" x14ac:dyDescent="0.15">
      <c r="A1075" s="137"/>
      <c r="B1075" s="137"/>
      <c r="C1075" s="185" t="s">
        <v>619</v>
      </c>
      <c r="D1075" s="185"/>
      <c r="E1075" s="185"/>
      <c r="F1075" s="185"/>
      <c r="G1075" s="185"/>
      <c r="H1075" s="185"/>
      <c r="I1075" s="185"/>
      <c r="J1075" s="185"/>
      <c r="K1075" s="157" t="s">
        <v>617</v>
      </c>
      <c r="L1075" s="155">
        <f>L1074/$O$1074*100</f>
        <v>33.690851735015777</v>
      </c>
      <c r="M1075" s="155">
        <f t="shared" ref="M1075:O1075" si="526">M1074/$O$1074*100</f>
        <v>41.072555205047315</v>
      </c>
      <c r="N1075" s="155">
        <f t="shared" si="526"/>
        <v>25.236593059936908</v>
      </c>
      <c r="O1075" s="155">
        <f t="shared" si="526"/>
        <v>100</v>
      </c>
      <c r="P1075" s="138"/>
      <c r="Q1075" s="138"/>
      <c r="R1075" s="138"/>
      <c r="S1075" s="138"/>
    </row>
    <row r="1076" spans="1:19" ht="21.75" thickBot="1" x14ac:dyDescent="0.25">
      <c r="A1076" s="26" t="s">
        <v>622</v>
      </c>
      <c r="B1076" s="27"/>
      <c r="C1076" s="27"/>
      <c r="D1076" s="27"/>
      <c r="E1076" s="27"/>
      <c r="F1076" s="28"/>
      <c r="G1076" s="28"/>
      <c r="H1076" s="28"/>
      <c r="I1076" s="28"/>
      <c r="K1076" s="26" t="s">
        <v>621</v>
      </c>
      <c r="L1076" s="27"/>
      <c r="M1076" s="27"/>
      <c r="N1076" s="27"/>
      <c r="O1076" s="27"/>
      <c r="P1076" s="28"/>
      <c r="Q1076" s="28"/>
      <c r="R1076" s="28"/>
      <c r="S1076" s="28"/>
    </row>
    <row r="1077" spans="1:19" ht="14.25" thickBot="1" x14ac:dyDescent="0.2">
      <c r="A1077" s="1" t="s">
        <v>0</v>
      </c>
      <c r="B1077" s="183" t="s">
        <v>12</v>
      </c>
      <c r="C1077" s="183"/>
      <c r="D1077" s="183"/>
      <c r="E1077" s="184"/>
      <c r="F1077" s="183" t="s">
        <v>10</v>
      </c>
      <c r="G1077" s="183"/>
      <c r="H1077" s="183"/>
      <c r="I1077" s="184"/>
      <c r="K1077" s="1" t="s">
        <v>0</v>
      </c>
      <c r="L1077" s="182" t="s">
        <v>12</v>
      </c>
      <c r="M1077" s="183"/>
      <c r="N1077" s="183"/>
      <c r="O1077" s="184"/>
      <c r="P1077" s="182" t="s">
        <v>10</v>
      </c>
      <c r="Q1077" s="183"/>
      <c r="R1077" s="183"/>
      <c r="S1077" s="184"/>
    </row>
    <row r="1078" spans="1:19" ht="14.25" thickBot="1" x14ac:dyDescent="0.2">
      <c r="A1078" s="1" t="s">
        <v>1</v>
      </c>
      <c r="B1078" s="2" t="s">
        <v>7</v>
      </c>
      <c r="C1078" s="1" t="s">
        <v>8</v>
      </c>
      <c r="D1078" s="15" t="s">
        <v>9</v>
      </c>
      <c r="E1078" s="1" t="s">
        <v>2</v>
      </c>
      <c r="F1078" s="2" t="s">
        <v>7</v>
      </c>
      <c r="G1078" s="1" t="s">
        <v>8</v>
      </c>
      <c r="H1078" s="15" t="s">
        <v>9</v>
      </c>
      <c r="I1078" s="1" t="s">
        <v>2</v>
      </c>
      <c r="K1078" s="1" t="s">
        <v>1</v>
      </c>
      <c r="L1078" s="2" t="s">
        <v>7</v>
      </c>
      <c r="M1078" s="1" t="s">
        <v>8</v>
      </c>
      <c r="N1078" s="15" t="s">
        <v>9</v>
      </c>
      <c r="O1078" s="1" t="s">
        <v>2</v>
      </c>
      <c r="P1078" s="2" t="s">
        <v>7</v>
      </c>
      <c r="Q1078" s="1" t="s">
        <v>8</v>
      </c>
      <c r="R1078" s="15" t="s">
        <v>9</v>
      </c>
      <c r="S1078" s="1" t="s">
        <v>2</v>
      </c>
    </row>
    <row r="1079" spans="1:19" ht="14.25" thickBot="1" x14ac:dyDescent="0.2">
      <c r="A1079" s="41" t="s">
        <v>13</v>
      </c>
      <c r="B1079" s="42">
        <f>B1073</f>
        <v>6</v>
      </c>
      <c r="C1079" s="43">
        <f>C1073</f>
        <v>6</v>
      </c>
      <c r="D1079" s="44">
        <f>D1073</f>
        <v>4</v>
      </c>
      <c r="E1079" s="45">
        <f t="shared" ref="E1079:E1097" si="527">SUM(B1079:D1079)</f>
        <v>16</v>
      </c>
      <c r="F1079" s="42">
        <f>F1073</f>
        <v>6</v>
      </c>
      <c r="G1079" s="43">
        <f>G1073</f>
        <v>6</v>
      </c>
      <c r="H1079" s="44">
        <f>H1073</f>
        <v>4</v>
      </c>
      <c r="I1079" s="45">
        <f t="shared" ref="I1079:I1115" si="528">SUM(F1079:H1079)</f>
        <v>16</v>
      </c>
      <c r="K1079" s="34" t="s">
        <v>13</v>
      </c>
      <c r="L1079" s="35">
        <f>L1073</f>
        <v>128</v>
      </c>
      <c r="M1079" s="35">
        <f t="shared" ref="M1079:N1079" si="529">M1073</f>
        <v>117</v>
      </c>
      <c r="N1079" s="35">
        <f t="shared" si="529"/>
        <v>107</v>
      </c>
      <c r="O1079" s="20">
        <f t="shared" ref="O1079:O1115" si="530">SUM(L1079:N1079)</f>
        <v>352</v>
      </c>
      <c r="P1079" s="35">
        <f>P1073</f>
        <v>128</v>
      </c>
      <c r="Q1079" s="36">
        <f t="shared" ref="Q1079:R1079" si="531">Q1073</f>
        <v>117</v>
      </c>
      <c r="R1079" s="37">
        <f t="shared" si="531"/>
        <v>107</v>
      </c>
      <c r="S1079" s="20">
        <f t="shared" ref="S1079:S1115" si="532">SUM(P1079:R1079)</f>
        <v>352</v>
      </c>
    </row>
    <row r="1080" spans="1:19" x14ac:dyDescent="0.15">
      <c r="A1080" s="3" t="s">
        <v>634</v>
      </c>
      <c r="B1080" s="8"/>
      <c r="C1080" s="9">
        <v>1</v>
      </c>
      <c r="D1080" s="10">
        <v>1</v>
      </c>
      <c r="E1080" s="7">
        <f t="shared" ref="E1080" si="533">SUM(B1080:D1080)</f>
        <v>2</v>
      </c>
      <c r="F1080" s="8"/>
      <c r="G1080" s="9">
        <v>1</v>
      </c>
      <c r="H1080" s="10">
        <v>1</v>
      </c>
      <c r="I1080" s="7">
        <f t="shared" ref="I1080" si="534">SUM(F1080:H1080)</f>
        <v>2</v>
      </c>
      <c r="J1080" s="47">
        <v>46098</v>
      </c>
      <c r="K1080" s="5" t="s">
        <v>3</v>
      </c>
      <c r="L1080" s="14"/>
      <c r="M1080" s="11"/>
      <c r="N1080" s="14"/>
      <c r="O1080" s="4">
        <f t="shared" si="530"/>
        <v>0</v>
      </c>
      <c r="P1080" s="14"/>
      <c r="Q1080" s="11"/>
      <c r="R1080" s="14"/>
      <c r="S1080" s="4">
        <f t="shared" si="532"/>
        <v>0</v>
      </c>
    </row>
    <row r="1081" spans="1:19" x14ac:dyDescent="0.15">
      <c r="A1081" s="168" t="s">
        <v>3</v>
      </c>
      <c r="B1081" s="169"/>
      <c r="C1081" s="170">
        <v>3</v>
      </c>
      <c r="D1081" s="169"/>
      <c r="E1081" s="171">
        <f t="shared" ref="E1081:E1082" si="535">SUM(B1081:D1081)</f>
        <v>3</v>
      </c>
      <c r="F1081" s="169"/>
      <c r="G1081" s="170">
        <v>3</v>
      </c>
      <c r="H1081" s="169"/>
      <c r="I1081" s="171">
        <f t="shared" ref="I1081:I1082" si="536">SUM(F1081:H1081)</f>
        <v>3</v>
      </c>
      <c r="J1081" s="172">
        <v>46135</v>
      </c>
      <c r="K1081" s="5" t="s">
        <v>3</v>
      </c>
      <c r="L1081" s="14"/>
      <c r="M1081" s="11"/>
      <c r="N1081" s="14"/>
      <c r="O1081" s="4">
        <f t="shared" si="530"/>
        <v>0</v>
      </c>
      <c r="P1081" s="14"/>
      <c r="Q1081" s="11"/>
      <c r="R1081" s="14"/>
      <c r="S1081" s="4">
        <f t="shared" si="532"/>
        <v>0</v>
      </c>
    </row>
    <row r="1082" spans="1:19" x14ac:dyDescent="0.15">
      <c r="A1082" s="168" t="s">
        <v>3</v>
      </c>
      <c r="B1082" s="169"/>
      <c r="C1082" s="170">
        <v>3</v>
      </c>
      <c r="D1082" s="169"/>
      <c r="E1082" s="171">
        <f t="shared" si="535"/>
        <v>3</v>
      </c>
      <c r="F1082" s="169"/>
      <c r="G1082" s="170">
        <v>3</v>
      </c>
      <c r="H1082" s="169"/>
      <c r="I1082" s="171">
        <f t="shared" si="536"/>
        <v>3</v>
      </c>
      <c r="J1082" s="172">
        <v>46139</v>
      </c>
      <c r="K1082" s="5" t="s">
        <v>3</v>
      </c>
      <c r="L1082" s="14"/>
      <c r="M1082" s="11"/>
      <c r="N1082" s="14"/>
      <c r="O1082" s="4">
        <f t="shared" si="530"/>
        <v>0</v>
      </c>
      <c r="P1082" s="14"/>
      <c r="Q1082" s="11"/>
      <c r="R1082" s="14"/>
      <c r="S1082" s="4">
        <f t="shared" si="532"/>
        <v>0</v>
      </c>
    </row>
    <row r="1083" spans="1:19" x14ac:dyDescent="0.15">
      <c r="A1083" s="6" t="s">
        <v>91</v>
      </c>
      <c r="B1083" s="14"/>
      <c r="C1083" s="11"/>
      <c r="D1083" s="14">
        <v>1</v>
      </c>
      <c r="E1083" s="4">
        <f t="shared" si="527"/>
        <v>1</v>
      </c>
      <c r="F1083" s="14"/>
      <c r="G1083" s="11"/>
      <c r="H1083" s="14">
        <v>1</v>
      </c>
      <c r="I1083" s="4">
        <f t="shared" si="528"/>
        <v>1</v>
      </c>
      <c r="J1083" s="56">
        <v>46133</v>
      </c>
      <c r="K1083" s="5" t="s">
        <v>3</v>
      </c>
      <c r="L1083" s="14"/>
      <c r="M1083" s="11"/>
      <c r="N1083" s="14"/>
      <c r="O1083" s="4">
        <f t="shared" ref="O1083" si="537">SUM(L1083:N1083)</f>
        <v>0</v>
      </c>
      <c r="P1083" s="14"/>
      <c r="Q1083" s="11"/>
      <c r="R1083" s="14"/>
      <c r="S1083" s="4">
        <f t="shared" ref="S1083" si="538">SUM(P1083:R1083)</f>
        <v>0</v>
      </c>
    </row>
    <row r="1084" spans="1:19" x14ac:dyDescent="0.15">
      <c r="A1084" s="6" t="s">
        <v>3</v>
      </c>
      <c r="B1084" s="14"/>
      <c r="C1084" s="11">
        <v>3</v>
      </c>
      <c r="D1084" s="14"/>
      <c r="E1084" s="4">
        <f t="shared" si="527"/>
        <v>3</v>
      </c>
      <c r="F1084" s="14"/>
      <c r="G1084" s="11">
        <v>3</v>
      </c>
      <c r="H1084" s="14"/>
      <c r="I1084" s="4">
        <f t="shared" si="528"/>
        <v>3</v>
      </c>
      <c r="J1084" s="47">
        <v>46157</v>
      </c>
      <c r="K1084" s="5" t="s">
        <v>3</v>
      </c>
      <c r="L1084" s="14"/>
      <c r="M1084" s="11"/>
      <c r="N1084" s="14"/>
      <c r="O1084" s="4">
        <f t="shared" si="530"/>
        <v>0</v>
      </c>
      <c r="P1084" s="14"/>
      <c r="Q1084" s="11"/>
      <c r="R1084" s="14"/>
      <c r="S1084" s="4">
        <f t="shared" si="532"/>
        <v>0</v>
      </c>
    </row>
    <row r="1085" spans="1:19" x14ac:dyDescent="0.15">
      <c r="A1085" s="168" t="s">
        <v>3</v>
      </c>
      <c r="B1085" s="169"/>
      <c r="C1085" s="170">
        <v>5</v>
      </c>
      <c r="D1085" s="169"/>
      <c r="E1085" s="171">
        <f t="shared" si="527"/>
        <v>5</v>
      </c>
      <c r="F1085" s="169"/>
      <c r="G1085" s="170">
        <v>5</v>
      </c>
      <c r="H1085" s="169"/>
      <c r="I1085" s="171">
        <f t="shared" si="528"/>
        <v>5</v>
      </c>
      <c r="J1085" s="172">
        <v>46168</v>
      </c>
      <c r="K1085" s="5" t="s">
        <v>3</v>
      </c>
      <c r="L1085" s="14"/>
      <c r="M1085" s="11"/>
      <c r="N1085" s="14"/>
      <c r="O1085" s="4">
        <f t="shared" si="530"/>
        <v>0</v>
      </c>
      <c r="P1085" s="14"/>
      <c r="Q1085" s="11"/>
      <c r="R1085" s="14"/>
      <c r="S1085" s="4">
        <f t="shared" si="532"/>
        <v>0</v>
      </c>
    </row>
    <row r="1086" spans="1:19" x14ac:dyDescent="0.15">
      <c r="A1086" s="6" t="s">
        <v>91</v>
      </c>
      <c r="B1086" s="14"/>
      <c r="C1086" s="11">
        <v>1</v>
      </c>
      <c r="D1086" s="14">
        <v>1</v>
      </c>
      <c r="E1086" s="4">
        <f t="shared" si="527"/>
        <v>2</v>
      </c>
      <c r="F1086" s="14"/>
      <c r="G1086" s="11">
        <v>1</v>
      </c>
      <c r="H1086" s="14">
        <v>1</v>
      </c>
      <c r="I1086" s="4">
        <f t="shared" si="528"/>
        <v>2</v>
      </c>
      <c r="J1086" s="56">
        <v>46168</v>
      </c>
      <c r="K1086" s="5" t="s">
        <v>3</v>
      </c>
      <c r="L1086" s="14"/>
      <c r="M1086" s="11"/>
      <c r="N1086" s="14"/>
      <c r="O1086" s="4">
        <f t="shared" si="530"/>
        <v>0</v>
      </c>
      <c r="P1086" s="14"/>
      <c r="Q1086" s="11"/>
      <c r="R1086" s="14"/>
      <c r="S1086" s="4">
        <f t="shared" si="532"/>
        <v>0</v>
      </c>
    </row>
    <row r="1087" spans="1:19" x14ac:dyDescent="0.15">
      <c r="A1087" s="168" t="s">
        <v>3</v>
      </c>
      <c r="B1087" s="178">
        <v>5</v>
      </c>
      <c r="C1087" s="179"/>
      <c r="D1087" s="180"/>
      <c r="E1087" s="177">
        <f t="shared" si="527"/>
        <v>5</v>
      </c>
      <c r="F1087" s="178">
        <v>5</v>
      </c>
      <c r="G1087" s="179"/>
      <c r="H1087" s="180"/>
      <c r="I1087" s="177">
        <f t="shared" si="528"/>
        <v>5</v>
      </c>
      <c r="J1087" s="172">
        <v>46175</v>
      </c>
      <c r="K1087" s="5" t="s">
        <v>3</v>
      </c>
      <c r="L1087" s="14"/>
      <c r="M1087" s="11"/>
      <c r="N1087" s="14"/>
      <c r="O1087" s="4">
        <f t="shared" si="530"/>
        <v>0</v>
      </c>
      <c r="P1087" s="14"/>
      <c r="Q1087" s="11"/>
      <c r="R1087" s="14"/>
      <c r="S1087" s="4">
        <f t="shared" si="532"/>
        <v>0</v>
      </c>
    </row>
    <row r="1088" spans="1:19" x14ac:dyDescent="0.15">
      <c r="A1088" s="6" t="s">
        <v>3</v>
      </c>
      <c r="B1088" s="23"/>
      <c r="C1088" s="24"/>
      <c r="D1088" s="25"/>
      <c r="E1088" s="7">
        <f t="shared" si="527"/>
        <v>0</v>
      </c>
      <c r="F1088" s="23"/>
      <c r="G1088" s="24"/>
      <c r="H1088" s="25"/>
      <c r="I1088" s="7">
        <f t="shared" si="528"/>
        <v>0</v>
      </c>
      <c r="K1088" s="5" t="s">
        <v>3</v>
      </c>
      <c r="L1088" s="14"/>
      <c r="M1088" s="11"/>
      <c r="N1088" s="14"/>
      <c r="O1088" s="4">
        <f t="shared" si="530"/>
        <v>0</v>
      </c>
      <c r="P1088" s="14"/>
      <c r="Q1088" s="11"/>
      <c r="R1088" s="14"/>
      <c r="S1088" s="4">
        <f t="shared" si="532"/>
        <v>0</v>
      </c>
    </row>
    <row r="1089" spans="1:22" ht="14.25" thickBot="1" x14ac:dyDescent="0.2">
      <c r="A1089" s="6" t="s">
        <v>3</v>
      </c>
      <c r="B1089" s="29"/>
      <c r="C1089" s="30"/>
      <c r="D1089" s="29"/>
      <c r="E1089" s="16">
        <f t="shared" si="527"/>
        <v>0</v>
      </c>
      <c r="F1089" s="29"/>
      <c r="G1089" s="30"/>
      <c r="H1089" s="29"/>
      <c r="I1089" s="16">
        <f t="shared" si="528"/>
        <v>0</v>
      </c>
      <c r="K1089" s="33" t="s">
        <v>3</v>
      </c>
      <c r="L1089" s="29"/>
      <c r="M1089" s="30"/>
      <c r="N1089" s="29"/>
      <c r="O1089" s="16">
        <f t="shared" si="530"/>
        <v>0</v>
      </c>
      <c r="P1089" s="29"/>
      <c r="Q1089" s="30"/>
      <c r="R1089" s="29"/>
      <c r="S1089" s="16">
        <f t="shared" si="532"/>
        <v>0</v>
      </c>
    </row>
    <row r="1090" spans="1:22" ht="14.25" thickBot="1" x14ac:dyDescent="0.2">
      <c r="A1090" s="17" t="s">
        <v>4</v>
      </c>
      <c r="B1090" s="18">
        <f>SUM(B1079:B1089)</f>
        <v>11</v>
      </c>
      <c r="C1090" s="18">
        <f>SUM(C1079:C1089)</f>
        <v>22</v>
      </c>
      <c r="D1090" s="19">
        <f>SUM(D1079:D1089)</f>
        <v>7</v>
      </c>
      <c r="E1090" s="20">
        <f t="shared" si="527"/>
        <v>40</v>
      </c>
      <c r="F1090" s="18">
        <f>SUM(F1079:F1089)</f>
        <v>11</v>
      </c>
      <c r="G1090" s="18">
        <f>SUM(G1079:G1089)</f>
        <v>22</v>
      </c>
      <c r="H1090" s="19">
        <f>SUM(H1079:H1089)</f>
        <v>7</v>
      </c>
      <c r="I1090" s="20">
        <f t="shared" si="528"/>
        <v>40</v>
      </c>
      <c r="K1090" s="17" t="s">
        <v>4</v>
      </c>
      <c r="L1090" s="18">
        <f>SUM(L1079:L1089)</f>
        <v>128</v>
      </c>
      <c r="M1090" s="18">
        <f>SUM(M1079:M1089)</f>
        <v>117</v>
      </c>
      <c r="N1090" s="18">
        <f>SUM(N1079:N1089)</f>
        <v>107</v>
      </c>
      <c r="O1090" s="20">
        <f t="shared" si="530"/>
        <v>352</v>
      </c>
      <c r="P1090" s="18">
        <f>SUM(P1079:P1089)</f>
        <v>128</v>
      </c>
      <c r="Q1090" s="18">
        <f>SUM(Q1079:Q1089)</f>
        <v>117</v>
      </c>
      <c r="R1090" s="19">
        <f>SUM(R1079:R1089)</f>
        <v>107</v>
      </c>
      <c r="S1090" s="20">
        <f t="shared" si="532"/>
        <v>352</v>
      </c>
    </row>
    <row r="1091" spans="1:22" x14ac:dyDescent="0.15">
      <c r="A1091" s="3" t="s">
        <v>575</v>
      </c>
      <c r="B1091" s="8"/>
      <c r="C1091" s="9">
        <v>1</v>
      </c>
      <c r="D1091" s="10"/>
      <c r="E1091" s="7">
        <f t="shared" si="527"/>
        <v>1</v>
      </c>
      <c r="F1091" s="8"/>
      <c r="G1091" s="9">
        <v>1</v>
      </c>
      <c r="H1091" s="10"/>
      <c r="I1091" s="7">
        <f t="shared" ref="I1091:I1097" si="539">SUM(F1091:H1091)</f>
        <v>1</v>
      </c>
      <c r="J1091" s="47">
        <v>46113</v>
      </c>
      <c r="K1091" s="3" t="s">
        <v>575</v>
      </c>
      <c r="L1091" s="8">
        <v>5</v>
      </c>
      <c r="M1091" s="9"/>
      <c r="N1091" s="10"/>
      <c r="O1091" s="7">
        <f t="shared" ref="O1091:O1098" si="540">SUM(L1091:N1091)</f>
        <v>5</v>
      </c>
      <c r="P1091" s="8">
        <v>5</v>
      </c>
      <c r="Q1091" s="9"/>
      <c r="R1091" s="10"/>
      <c r="S1091" s="7">
        <f t="shared" ref="S1091:S1098" si="541">SUM(P1091:R1091)</f>
        <v>5</v>
      </c>
      <c r="T1091" s="47">
        <v>46115</v>
      </c>
    </row>
    <row r="1092" spans="1:22" x14ac:dyDescent="0.15">
      <c r="A1092" s="3" t="s">
        <v>575</v>
      </c>
      <c r="B1092" s="8"/>
      <c r="C1092" s="9"/>
      <c r="D1092" s="10">
        <v>1</v>
      </c>
      <c r="E1092" s="7">
        <f t="shared" si="527"/>
        <v>1</v>
      </c>
      <c r="F1092" s="8"/>
      <c r="G1092" s="9"/>
      <c r="H1092" s="10">
        <v>1</v>
      </c>
      <c r="I1092" s="7">
        <f t="shared" si="539"/>
        <v>1</v>
      </c>
      <c r="J1092" s="47">
        <v>46114</v>
      </c>
      <c r="K1092" s="3" t="s">
        <v>575</v>
      </c>
      <c r="L1092" s="8">
        <v>1</v>
      </c>
      <c r="M1092" s="9">
        <v>5</v>
      </c>
      <c r="N1092" s="10">
        <v>1</v>
      </c>
      <c r="O1092" s="7">
        <f t="shared" si="540"/>
        <v>7</v>
      </c>
      <c r="P1092" s="8">
        <v>1</v>
      </c>
      <c r="Q1092" s="9">
        <v>5</v>
      </c>
      <c r="R1092" s="10">
        <v>1</v>
      </c>
      <c r="S1092" s="7">
        <f t="shared" si="541"/>
        <v>7</v>
      </c>
      <c r="T1092" s="47">
        <v>46120</v>
      </c>
      <c r="U1092" s="54"/>
      <c r="V1092" s="54"/>
    </row>
    <row r="1093" spans="1:22" x14ac:dyDescent="0.15">
      <c r="A1093" s="3" t="s">
        <v>575</v>
      </c>
      <c r="B1093" s="8">
        <v>2</v>
      </c>
      <c r="C1093" s="9">
        <v>1</v>
      </c>
      <c r="D1093" s="10"/>
      <c r="E1093" s="7">
        <f t="shared" si="527"/>
        <v>3</v>
      </c>
      <c r="F1093" s="8">
        <v>2</v>
      </c>
      <c r="G1093" s="9">
        <v>1</v>
      </c>
      <c r="H1093" s="10"/>
      <c r="I1093" s="7">
        <f t="shared" si="539"/>
        <v>3</v>
      </c>
      <c r="J1093" s="47">
        <v>46115</v>
      </c>
      <c r="K1093" s="3" t="s">
        <v>575</v>
      </c>
      <c r="L1093" s="8"/>
      <c r="M1093" s="9"/>
      <c r="N1093" s="10">
        <v>4</v>
      </c>
      <c r="O1093" s="7">
        <f t="shared" si="540"/>
        <v>4</v>
      </c>
      <c r="P1093" s="8"/>
      <c r="Q1093" s="9"/>
      <c r="R1093" s="10">
        <v>4</v>
      </c>
      <c r="S1093" s="7">
        <f t="shared" si="541"/>
        <v>4</v>
      </c>
      <c r="T1093" s="47">
        <v>46121</v>
      </c>
    </row>
    <row r="1094" spans="1:22" x14ac:dyDescent="0.15">
      <c r="A1094" s="3" t="s">
        <v>575</v>
      </c>
      <c r="B1094" s="8"/>
      <c r="C1094" s="9"/>
      <c r="D1094" s="10">
        <v>1</v>
      </c>
      <c r="E1094" s="7">
        <f t="shared" si="527"/>
        <v>1</v>
      </c>
      <c r="F1094" s="8"/>
      <c r="G1094" s="9"/>
      <c r="H1094" s="10">
        <v>1</v>
      </c>
      <c r="I1094" s="7">
        <f t="shared" si="539"/>
        <v>1</v>
      </c>
      <c r="J1094" s="47">
        <v>46127</v>
      </c>
      <c r="K1094" s="3" t="s">
        <v>639</v>
      </c>
      <c r="L1094" s="8">
        <v>3</v>
      </c>
      <c r="M1094" s="9"/>
      <c r="N1094" s="10"/>
      <c r="O1094" s="7">
        <f t="shared" si="540"/>
        <v>3</v>
      </c>
      <c r="P1094" s="8">
        <v>3</v>
      </c>
      <c r="Q1094" s="9"/>
      <c r="R1094" s="10"/>
      <c r="S1094" s="7">
        <f t="shared" si="541"/>
        <v>3</v>
      </c>
      <c r="T1094" s="47">
        <v>46126</v>
      </c>
    </row>
    <row r="1095" spans="1:22" x14ac:dyDescent="0.15">
      <c r="A1095" s="3" t="s">
        <v>575</v>
      </c>
      <c r="B1095" s="8"/>
      <c r="C1095" s="9">
        <v>1</v>
      </c>
      <c r="D1095" s="10"/>
      <c r="E1095" s="7">
        <f t="shared" si="527"/>
        <v>1</v>
      </c>
      <c r="F1095" s="8"/>
      <c r="G1095" s="9">
        <v>1</v>
      </c>
      <c r="H1095" s="10"/>
      <c r="I1095" s="7">
        <f t="shared" si="539"/>
        <v>1</v>
      </c>
      <c r="J1095" s="47">
        <v>46128</v>
      </c>
      <c r="K1095" s="173" t="s">
        <v>641</v>
      </c>
      <c r="L1095" s="174"/>
      <c r="M1095" s="175">
        <v>3</v>
      </c>
      <c r="N1095" s="176"/>
      <c r="O1095" s="177">
        <f t="shared" si="540"/>
        <v>3</v>
      </c>
      <c r="P1095" s="174"/>
      <c r="Q1095" s="175">
        <v>3</v>
      </c>
      <c r="R1095" s="176"/>
      <c r="S1095" s="177">
        <f t="shared" si="541"/>
        <v>3</v>
      </c>
      <c r="T1095" s="172">
        <v>46135</v>
      </c>
    </row>
    <row r="1096" spans="1:22" x14ac:dyDescent="0.15">
      <c r="A1096" s="3" t="s">
        <v>640</v>
      </c>
      <c r="B1096" s="8">
        <v>1</v>
      </c>
      <c r="C1096" s="9"/>
      <c r="D1096" s="10"/>
      <c r="E1096" s="7">
        <f t="shared" si="527"/>
        <v>1</v>
      </c>
      <c r="F1096" s="8">
        <v>1</v>
      </c>
      <c r="G1096" s="9"/>
      <c r="H1096" s="10"/>
      <c r="I1096" s="7">
        <f t="shared" si="539"/>
        <v>1</v>
      </c>
      <c r="J1096" s="56">
        <v>46127</v>
      </c>
      <c r="K1096" s="3" t="s">
        <v>641</v>
      </c>
      <c r="L1096" s="8"/>
      <c r="M1096" s="9">
        <v>3</v>
      </c>
      <c r="N1096" s="10"/>
      <c r="O1096" s="7">
        <f t="shared" si="540"/>
        <v>3</v>
      </c>
      <c r="P1096" s="8"/>
      <c r="Q1096" s="9">
        <v>3</v>
      </c>
      <c r="R1096" s="10"/>
      <c r="S1096" s="7">
        <f t="shared" si="541"/>
        <v>3</v>
      </c>
      <c r="T1096" s="47">
        <v>46139</v>
      </c>
    </row>
    <row r="1097" spans="1:22" x14ac:dyDescent="0.15">
      <c r="A1097" s="3" t="s">
        <v>575</v>
      </c>
      <c r="B1097" s="8"/>
      <c r="C1097" s="9">
        <v>1</v>
      </c>
      <c r="D1097" s="10"/>
      <c r="E1097" s="7">
        <f t="shared" si="527"/>
        <v>1</v>
      </c>
      <c r="F1097" s="8"/>
      <c r="G1097" s="9">
        <v>1</v>
      </c>
      <c r="H1097" s="10"/>
      <c r="I1097" s="7">
        <f t="shared" si="539"/>
        <v>1</v>
      </c>
      <c r="J1097" s="47">
        <v>46134</v>
      </c>
      <c r="K1097" s="3" t="s">
        <v>575</v>
      </c>
      <c r="L1097" s="8">
        <v>2</v>
      </c>
      <c r="M1097" s="9">
        <v>3</v>
      </c>
      <c r="N1097" s="10">
        <v>2</v>
      </c>
      <c r="O1097" s="7">
        <f t="shared" si="540"/>
        <v>7</v>
      </c>
      <c r="P1097" s="8">
        <v>2</v>
      </c>
      <c r="Q1097" s="9">
        <v>3</v>
      </c>
      <c r="R1097" s="10">
        <v>2</v>
      </c>
      <c r="S1097" s="7">
        <f t="shared" si="541"/>
        <v>7</v>
      </c>
      <c r="T1097" s="47">
        <v>46140</v>
      </c>
    </row>
    <row r="1098" spans="1:22" x14ac:dyDescent="0.15">
      <c r="A1098" s="3" t="s">
        <v>575</v>
      </c>
      <c r="B1098" s="8"/>
      <c r="C1098" s="9">
        <v>2</v>
      </c>
      <c r="D1098" s="10"/>
      <c r="E1098" s="7">
        <f t="shared" ref="E1098:E1113" si="542">SUM(B1098:D1098)</f>
        <v>2</v>
      </c>
      <c r="F1098" s="8"/>
      <c r="G1098" s="9">
        <v>2</v>
      </c>
      <c r="H1098" s="10"/>
      <c r="I1098" s="7">
        <f t="shared" si="528"/>
        <v>2</v>
      </c>
      <c r="J1098" s="47">
        <v>46135</v>
      </c>
      <c r="K1098" s="3" t="s">
        <v>575</v>
      </c>
      <c r="L1098" s="8"/>
      <c r="M1098" s="9">
        <v>1</v>
      </c>
      <c r="N1098" s="10">
        <v>6</v>
      </c>
      <c r="O1098" s="7">
        <f t="shared" si="540"/>
        <v>7</v>
      </c>
      <c r="P1098" s="8"/>
      <c r="Q1098" s="9">
        <v>1</v>
      </c>
      <c r="R1098" s="10">
        <v>6</v>
      </c>
      <c r="S1098" s="7">
        <f t="shared" si="541"/>
        <v>7</v>
      </c>
      <c r="T1098" s="47">
        <v>46149</v>
      </c>
    </row>
    <row r="1099" spans="1:22" x14ac:dyDescent="0.15">
      <c r="A1099" s="3" t="s">
        <v>575</v>
      </c>
      <c r="B1099" s="8"/>
      <c r="C1099" s="9">
        <v>2</v>
      </c>
      <c r="D1099" s="10"/>
      <c r="E1099" s="7">
        <f t="shared" si="542"/>
        <v>2</v>
      </c>
      <c r="F1099" s="8"/>
      <c r="G1099" s="9">
        <v>2</v>
      </c>
      <c r="H1099" s="10"/>
      <c r="I1099" s="7">
        <f t="shared" si="528"/>
        <v>2</v>
      </c>
      <c r="J1099" s="47">
        <v>46137</v>
      </c>
      <c r="K1099" s="3" t="s">
        <v>575</v>
      </c>
      <c r="L1099" s="8">
        <v>2</v>
      </c>
      <c r="M1099" s="9">
        <v>5</v>
      </c>
      <c r="N1099" s="10"/>
      <c r="O1099" s="7">
        <f t="shared" si="530"/>
        <v>7</v>
      </c>
      <c r="P1099" s="8">
        <v>2</v>
      </c>
      <c r="Q1099" s="9">
        <v>5</v>
      </c>
      <c r="R1099" s="10"/>
      <c r="S1099" s="7">
        <f t="shared" si="532"/>
        <v>7</v>
      </c>
      <c r="T1099" s="47">
        <v>46153</v>
      </c>
    </row>
    <row r="1100" spans="1:22" x14ac:dyDescent="0.15">
      <c r="A1100" s="3" t="s">
        <v>575</v>
      </c>
      <c r="B1100" s="8"/>
      <c r="C1100" s="9">
        <v>1</v>
      </c>
      <c r="D1100" s="10"/>
      <c r="E1100" s="7">
        <f t="shared" si="542"/>
        <v>1</v>
      </c>
      <c r="F1100" s="8"/>
      <c r="G1100" s="9">
        <v>1</v>
      </c>
      <c r="H1100" s="10"/>
      <c r="I1100" s="7">
        <f t="shared" si="528"/>
        <v>1</v>
      </c>
      <c r="J1100" s="47">
        <v>46150</v>
      </c>
      <c r="K1100" s="3" t="s">
        <v>642</v>
      </c>
      <c r="L1100" s="8">
        <v>20</v>
      </c>
      <c r="M1100" s="9">
        <v>30</v>
      </c>
      <c r="N1100" s="10">
        <v>20</v>
      </c>
      <c r="O1100" s="7">
        <f t="shared" si="530"/>
        <v>70</v>
      </c>
      <c r="P1100" s="8">
        <v>20</v>
      </c>
      <c r="Q1100" s="9">
        <v>30</v>
      </c>
      <c r="R1100" s="10">
        <v>20</v>
      </c>
      <c r="S1100" s="7">
        <f t="shared" si="532"/>
        <v>70</v>
      </c>
      <c r="T1100" s="47">
        <v>46151</v>
      </c>
      <c r="U1100" s="54"/>
    </row>
    <row r="1101" spans="1:22" x14ac:dyDescent="0.15">
      <c r="A1101" s="3" t="s">
        <v>643</v>
      </c>
      <c r="B1101" s="8"/>
      <c r="C1101" s="9">
        <v>1</v>
      </c>
      <c r="D1101" s="10"/>
      <c r="E1101" s="7">
        <f t="shared" si="542"/>
        <v>1</v>
      </c>
      <c r="F1101" s="8"/>
      <c r="G1101" s="9">
        <v>1</v>
      </c>
      <c r="H1101" s="10"/>
      <c r="I1101" s="7">
        <f t="shared" si="528"/>
        <v>1</v>
      </c>
      <c r="J1101" s="47">
        <v>46153</v>
      </c>
      <c r="K1101" s="3" t="s">
        <v>575</v>
      </c>
      <c r="L1101" s="8">
        <v>3</v>
      </c>
      <c r="M1101" s="9">
        <v>1</v>
      </c>
      <c r="N1101" s="10">
        <v>2</v>
      </c>
      <c r="O1101" s="7">
        <f t="shared" si="530"/>
        <v>6</v>
      </c>
      <c r="P1101" s="8">
        <v>3</v>
      </c>
      <c r="Q1101" s="9">
        <v>1</v>
      </c>
      <c r="R1101" s="10">
        <v>2</v>
      </c>
      <c r="S1101" s="7">
        <f t="shared" si="532"/>
        <v>6</v>
      </c>
      <c r="T1101" s="47">
        <v>46156</v>
      </c>
    </row>
    <row r="1102" spans="1:22" x14ac:dyDescent="0.15">
      <c r="A1102" s="3" t="s">
        <v>575</v>
      </c>
      <c r="B1102" s="8"/>
      <c r="C1102" s="9">
        <v>2</v>
      </c>
      <c r="D1102" s="10"/>
      <c r="E1102" s="7">
        <f t="shared" si="542"/>
        <v>2</v>
      </c>
      <c r="F1102" s="8"/>
      <c r="G1102" s="9">
        <v>2</v>
      </c>
      <c r="H1102" s="10"/>
      <c r="I1102" s="7">
        <f t="shared" si="528"/>
        <v>2</v>
      </c>
      <c r="J1102" s="47">
        <v>46158</v>
      </c>
      <c r="K1102" s="3" t="s">
        <v>575</v>
      </c>
      <c r="L1102" s="8"/>
      <c r="M1102" s="9">
        <v>3</v>
      </c>
      <c r="N1102" s="10">
        <v>1</v>
      </c>
      <c r="O1102" s="7">
        <f t="shared" si="530"/>
        <v>4</v>
      </c>
      <c r="P1102" s="8"/>
      <c r="Q1102" s="9">
        <v>3</v>
      </c>
      <c r="R1102" s="10">
        <v>1</v>
      </c>
      <c r="S1102" s="7">
        <f t="shared" si="532"/>
        <v>4</v>
      </c>
      <c r="T1102" s="47">
        <v>46157</v>
      </c>
    </row>
    <row r="1103" spans="1:22" x14ac:dyDescent="0.15">
      <c r="A1103" s="3" t="s">
        <v>575</v>
      </c>
      <c r="B1103" s="8"/>
      <c r="C1103" s="9">
        <v>1</v>
      </c>
      <c r="D1103" s="10"/>
      <c r="E1103" s="7">
        <f t="shared" si="542"/>
        <v>1</v>
      </c>
      <c r="F1103" s="8"/>
      <c r="G1103" s="9">
        <v>1</v>
      </c>
      <c r="H1103" s="10"/>
      <c r="I1103" s="7">
        <f t="shared" si="528"/>
        <v>1</v>
      </c>
      <c r="J1103" s="47">
        <v>46164</v>
      </c>
      <c r="K1103" s="3" t="s">
        <v>646</v>
      </c>
      <c r="L1103" s="8">
        <v>5</v>
      </c>
      <c r="M1103" s="9">
        <v>10</v>
      </c>
      <c r="N1103" s="10">
        <v>10</v>
      </c>
      <c r="O1103" s="7">
        <f t="shared" si="530"/>
        <v>25</v>
      </c>
      <c r="P1103" s="8">
        <v>5</v>
      </c>
      <c r="Q1103" s="9">
        <v>10</v>
      </c>
      <c r="R1103" s="10">
        <v>10</v>
      </c>
      <c r="S1103" s="7">
        <f t="shared" si="532"/>
        <v>25</v>
      </c>
      <c r="T1103" s="47">
        <v>46156</v>
      </c>
      <c r="U1103" s="54"/>
    </row>
    <row r="1104" spans="1:22" x14ac:dyDescent="0.15">
      <c r="A1104" s="3" t="s">
        <v>575</v>
      </c>
      <c r="B1104" s="8"/>
      <c r="C1104" s="9">
        <v>2</v>
      </c>
      <c r="D1104" s="10"/>
      <c r="E1104" s="7">
        <f t="shared" si="542"/>
        <v>2</v>
      </c>
      <c r="F1104" s="8"/>
      <c r="G1104" s="9">
        <v>2</v>
      </c>
      <c r="H1104" s="10"/>
      <c r="I1104" s="7">
        <f t="shared" si="528"/>
        <v>2</v>
      </c>
      <c r="J1104" s="47">
        <v>46169</v>
      </c>
      <c r="K1104" s="3" t="s">
        <v>647</v>
      </c>
      <c r="L1104" s="8">
        <v>10</v>
      </c>
      <c r="M1104" s="9"/>
      <c r="N1104" s="10"/>
      <c r="O1104" s="7">
        <f t="shared" si="530"/>
        <v>10</v>
      </c>
      <c r="P1104" s="8">
        <v>10</v>
      </c>
      <c r="Q1104" s="9"/>
      <c r="R1104" s="10"/>
      <c r="S1104" s="7">
        <f t="shared" si="532"/>
        <v>10</v>
      </c>
      <c r="T1104" s="47">
        <v>46157</v>
      </c>
      <c r="U1104" s="54"/>
    </row>
    <row r="1105" spans="1:21" x14ac:dyDescent="0.15">
      <c r="A1105" s="3" t="s">
        <v>575</v>
      </c>
      <c r="B1105" s="8"/>
      <c r="C1105" s="9">
        <v>1</v>
      </c>
      <c r="D1105" s="10"/>
      <c r="E1105" s="7">
        <f t="shared" si="542"/>
        <v>1</v>
      </c>
      <c r="F1105" s="8"/>
      <c r="G1105" s="9">
        <v>1</v>
      </c>
      <c r="H1105" s="10"/>
      <c r="I1105" s="7">
        <f t="shared" si="528"/>
        <v>1</v>
      </c>
      <c r="J1105" s="47">
        <v>46172</v>
      </c>
      <c r="K1105" s="3" t="s">
        <v>641</v>
      </c>
      <c r="L1105" s="8"/>
      <c r="M1105" s="9">
        <v>3</v>
      </c>
      <c r="N1105" s="10"/>
      <c r="O1105" s="7">
        <f t="shared" si="530"/>
        <v>3</v>
      </c>
      <c r="P1105" s="8"/>
      <c r="Q1105" s="9">
        <v>3</v>
      </c>
      <c r="R1105" s="10"/>
      <c r="S1105" s="7">
        <f t="shared" si="532"/>
        <v>3</v>
      </c>
      <c r="T1105" s="47">
        <v>46157</v>
      </c>
    </row>
    <row r="1106" spans="1:21" x14ac:dyDescent="0.15">
      <c r="A1106" s="3" t="s">
        <v>575</v>
      </c>
      <c r="B1106" s="8">
        <v>2</v>
      </c>
      <c r="C1106" s="9"/>
      <c r="D1106" s="10">
        <v>1</v>
      </c>
      <c r="E1106" s="7">
        <f t="shared" si="542"/>
        <v>3</v>
      </c>
      <c r="F1106" s="8">
        <v>2</v>
      </c>
      <c r="G1106" s="9"/>
      <c r="H1106" s="10">
        <v>1</v>
      </c>
      <c r="I1106" s="7">
        <f t="shared" si="528"/>
        <v>3</v>
      </c>
      <c r="J1106" s="47">
        <v>46176</v>
      </c>
      <c r="K1106" s="173" t="s">
        <v>641</v>
      </c>
      <c r="L1106" s="174"/>
      <c r="M1106" s="175">
        <v>5</v>
      </c>
      <c r="N1106" s="176"/>
      <c r="O1106" s="177">
        <f t="shared" ref="O1106" si="543">SUM(L1106:N1106)</f>
        <v>5</v>
      </c>
      <c r="P1106" s="174"/>
      <c r="Q1106" s="175">
        <v>5</v>
      </c>
      <c r="R1106" s="176"/>
      <c r="S1106" s="177">
        <f t="shared" ref="S1106" si="544">SUM(P1106:R1106)</f>
        <v>5</v>
      </c>
      <c r="T1106" s="172">
        <v>46168</v>
      </c>
    </row>
    <row r="1107" spans="1:21" x14ac:dyDescent="0.15">
      <c r="A1107" s="3"/>
      <c r="B1107" s="8"/>
      <c r="C1107" s="9"/>
      <c r="D1107" s="10"/>
      <c r="E1107" s="7">
        <f t="shared" si="542"/>
        <v>0</v>
      </c>
      <c r="F1107" s="8"/>
      <c r="G1107" s="9"/>
      <c r="H1107" s="10"/>
      <c r="I1107" s="7">
        <f t="shared" si="528"/>
        <v>0</v>
      </c>
      <c r="K1107" s="3" t="s">
        <v>575</v>
      </c>
      <c r="L1107" s="8">
        <v>2</v>
      </c>
      <c r="M1107" s="9">
        <v>5</v>
      </c>
      <c r="N1107" s="10">
        <v>2</v>
      </c>
      <c r="O1107" s="7">
        <f t="shared" si="530"/>
        <v>9</v>
      </c>
      <c r="P1107" s="8">
        <v>2</v>
      </c>
      <c r="Q1107" s="9">
        <v>5</v>
      </c>
      <c r="R1107" s="10">
        <v>2</v>
      </c>
      <c r="S1107" s="7">
        <f t="shared" si="532"/>
        <v>9</v>
      </c>
      <c r="T1107" s="47">
        <v>46170</v>
      </c>
    </row>
    <row r="1108" spans="1:21" x14ac:dyDescent="0.15">
      <c r="A1108" s="3"/>
      <c r="B1108" s="8"/>
      <c r="C1108" s="9"/>
      <c r="D1108" s="10"/>
      <c r="E1108" s="7">
        <f t="shared" si="542"/>
        <v>0</v>
      </c>
      <c r="F1108" s="8"/>
      <c r="G1108" s="9"/>
      <c r="H1108" s="10"/>
      <c r="I1108" s="7">
        <f t="shared" si="528"/>
        <v>0</v>
      </c>
      <c r="K1108" s="3" t="s">
        <v>575</v>
      </c>
      <c r="L1108" s="8">
        <v>1</v>
      </c>
      <c r="M1108" s="9">
        <v>3</v>
      </c>
      <c r="N1108" s="10">
        <v>13</v>
      </c>
      <c r="O1108" s="7">
        <f t="shared" ref="O1108:O1114" si="545">SUM(L1108:N1108)</f>
        <v>17</v>
      </c>
      <c r="P1108" s="8">
        <v>1</v>
      </c>
      <c r="Q1108" s="9">
        <v>3</v>
      </c>
      <c r="R1108" s="10">
        <v>13</v>
      </c>
      <c r="S1108" s="7">
        <f t="shared" ref="S1108:S1114" si="546">SUM(P1108:R1108)</f>
        <v>17</v>
      </c>
      <c r="T1108" s="47">
        <v>46171</v>
      </c>
    </row>
    <row r="1109" spans="1:21" x14ac:dyDescent="0.15">
      <c r="A1109" s="3"/>
      <c r="B1109" s="8"/>
      <c r="C1109" s="9"/>
      <c r="D1109" s="10"/>
      <c r="E1109" s="7">
        <f t="shared" si="542"/>
        <v>0</v>
      </c>
      <c r="F1109" s="8"/>
      <c r="G1109" s="9"/>
      <c r="H1109" s="10"/>
      <c r="I1109" s="7">
        <f t="shared" si="528"/>
        <v>0</v>
      </c>
      <c r="K1109" s="3" t="s">
        <v>659</v>
      </c>
      <c r="L1109" s="8">
        <v>3</v>
      </c>
      <c r="M1109" s="9">
        <v>3</v>
      </c>
      <c r="N1109" s="10">
        <v>1</v>
      </c>
      <c r="O1109" s="7">
        <f t="shared" si="545"/>
        <v>7</v>
      </c>
      <c r="P1109" s="8">
        <v>3</v>
      </c>
      <c r="Q1109" s="9">
        <v>3</v>
      </c>
      <c r="R1109" s="10">
        <v>1</v>
      </c>
      <c r="S1109" s="7">
        <f t="shared" si="546"/>
        <v>7</v>
      </c>
      <c r="T1109" s="47">
        <v>46174</v>
      </c>
    </row>
    <row r="1110" spans="1:21" x14ac:dyDescent="0.15">
      <c r="A1110" s="3"/>
      <c r="B1110" s="8"/>
      <c r="C1110" s="9"/>
      <c r="D1110" s="10"/>
      <c r="E1110" s="7">
        <f t="shared" si="542"/>
        <v>0</v>
      </c>
      <c r="F1110" s="8"/>
      <c r="G1110" s="9"/>
      <c r="H1110" s="10"/>
      <c r="I1110" s="7">
        <f t="shared" si="528"/>
        <v>0</v>
      </c>
      <c r="K1110" s="173" t="s">
        <v>641</v>
      </c>
      <c r="L1110" s="174">
        <v>5</v>
      </c>
      <c r="M1110" s="175"/>
      <c r="N1110" s="176"/>
      <c r="O1110" s="177">
        <f t="shared" si="545"/>
        <v>5</v>
      </c>
      <c r="P1110" s="174">
        <v>5</v>
      </c>
      <c r="Q1110" s="175"/>
      <c r="R1110" s="176"/>
      <c r="S1110" s="177">
        <f t="shared" si="546"/>
        <v>5</v>
      </c>
      <c r="T1110" s="172">
        <v>46175</v>
      </c>
      <c r="U1110" s="181"/>
    </row>
    <row r="1111" spans="1:21" x14ac:dyDescent="0.15">
      <c r="A1111" s="3"/>
      <c r="B1111" s="8"/>
      <c r="C1111" s="9"/>
      <c r="D1111" s="10"/>
      <c r="E1111" s="7">
        <f t="shared" si="542"/>
        <v>0</v>
      </c>
      <c r="F1111" s="8"/>
      <c r="G1111" s="9"/>
      <c r="H1111" s="10"/>
      <c r="I1111" s="7">
        <f t="shared" si="528"/>
        <v>0</v>
      </c>
      <c r="K1111" s="3"/>
      <c r="L1111" s="8"/>
      <c r="M1111" s="9"/>
      <c r="N1111" s="10"/>
      <c r="O1111" s="7">
        <f t="shared" si="545"/>
        <v>0</v>
      </c>
      <c r="P1111" s="8"/>
      <c r="Q1111" s="9"/>
      <c r="R1111" s="10"/>
      <c r="S1111" s="7">
        <f t="shared" si="546"/>
        <v>0</v>
      </c>
    </row>
    <row r="1112" spans="1:21" x14ac:dyDescent="0.15">
      <c r="A1112" s="3"/>
      <c r="B1112" s="8"/>
      <c r="C1112" s="9"/>
      <c r="D1112" s="10"/>
      <c r="E1112" s="7">
        <f t="shared" si="542"/>
        <v>0</v>
      </c>
      <c r="F1112" s="8"/>
      <c r="G1112" s="9"/>
      <c r="H1112" s="10"/>
      <c r="I1112" s="7">
        <f t="shared" si="528"/>
        <v>0</v>
      </c>
      <c r="K1112" s="3" t="s">
        <v>178</v>
      </c>
      <c r="L1112" s="8"/>
      <c r="M1112" s="9"/>
      <c r="N1112" s="10"/>
      <c r="O1112" s="7">
        <f t="shared" ref="O1112:O1113" si="547">SUM(L1112:N1112)</f>
        <v>0</v>
      </c>
      <c r="P1112" s="8"/>
      <c r="Q1112" s="9"/>
      <c r="R1112" s="10"/>
      <c r="S1112" s="7">
        <f t="shared" ref="S1112:S1113" si="548">SUM(P1112:R1112)</f>
        <v>0</v>
      </c>
      <c r="T1112" s="55" t="s">
        <v>179</v>
      </c>
    </row>
    <row r="1113" spans="1:21" x14ac:dyDescent="0.15">
      <c r="A1113" s="3"/>
      <c r="B1113" s="8"/>
      <c r="C1113" s="9"/>
      <c r="D1113" s="10"/>
      <c r="E1113" s="7">
        <f t="shared" si="542"/>
        <v>0</v>
      </c>
      <c r="F1113" s="8"/>
      <c r="G1113" s="9"/>
      <c r="H1113" s="10"/>
      <c r="I1113" s="7">
        <f t="shared" si="528"/>
        <v>0</v>
      </c>
      <c r="K1113" s="3" t="s">
        <v>632</v>
      </c>
      <c r="L1113" s="8"/>
      <c r="M1113" s="9"/>
      <c r="N1113" s="10"/>
      <c r="O1113" s="7">
        <f t="shared" si="547"/>
        <v>0</v>
      </c>
      <c r="P1113" s="8"/>
      <c r="Q1113" s="9"/>
      <c r="R1113" s="10"/>
      <c r="S1113" s="7">
        <f t="shared" si="548"/>
        <v>0</v>
      </c>
      <c r="T1113" s="55" t="s">
        <v>633</v>
      </c>
    </row>
    <row r="1114" spans="1:21" ht="14.25" thickBot="1" x14ac:dyDescent="0.2">
      <c r="A1114" s="3"/>
      <c r="B1114" s="8"/>
      <c r="C1114" s="9"/>
      <c r="D1114" s="10"/>
      <c r="E1114" s="7">
        <f t="shared" ref="E1114" si="549">SUM(B1114:D1114)</f>
        <v>0</v>
      </c>
      <c r="F1114" s="8"/>
      <c r="G1114" s="9"/>
      <c r="H1114" s="10"/>
      <c r="I1114" s="7">
        <f t="shared" si="528"/>
        <v>0</v>
      </c>
      <c r="K1114" s="3" t="s">
        <v>626</v>
      </c>
      <c r="L1114" s="8"/>
      <c r="M1114" s="9"/>
      <c r="N1114" s="10"/>
      <c r="O1114" s="7">
        <f t="shared" si="545"/>
        <v>0</v>
      </c>
      <c r="P1114" s="8"/>
      <c r="Q1114" s="9"/>
      <c r="R1114" s="10"/>
      <c r="S1114" s="7">
        <f t="shared" si="546"/>
        <v>0</v>
      </c>
      <c r="T1114" s="55" t="s">
        <v>627</v>
      </c>
    </row>
    <row r="1115" spans="1:21" ht="14.25" thickBot="1" x14ac:dyDescent="0.2">
      <c r="A1115" s="2" t="s">
        <v>5</v>
      </c>
      <c r="B1115" s="12">
        <f>SUM(B1091:B1114)</f>
        <v>5</v>
      </c>
      <c r="C1115" s="12">
        <f>SUM(C1091:C1114)</f>
        <v>16</v>
      </c>
      <c r="D1115" s="12">
        <f>SUM(D1091:D1114)</f>
        <v>3</v>
      </c>
      <c r="E1115" s="13">
        <f t="shared" ref="E1115" si="550">SUM(B1115:D1115)</f>
        <v>24</v>
      </c>
      <c r="F1115" s="12">
        <f>SUM(F1091:F1114)</f>
        <v>5</v>
      </c>
      <c r="G1115" s="12">
        <f>SUM(G1091:G1114)</f>
        <v>16</v>
      </c>
      <c r="H1115" s="12">
        <f>SUM(H1091:H1114)</f>
        <v>3</v>
      </c>
      <c r="I1115" s="13">
        <f t="shared" si="528"/>
        <v>24</v>
      </c>
      <c r="K1115" s="2" t="s">
        <v>5</v>
      </c>
      <c r="L1115" s="12">
        <f>SUM(L1091:L1114)</f>
        <v>62</v>
      </c>
      <c r="M1115" s="12">
        <f>SUM(M1091:M1114)</f>
        <v>83</v>
      </c>
      <c r="N1115" s="12">
        <f>SUM(N1091:N1114)</f>
        <v>62</v>
      </c>
      <c r="O1115" s="13">
        <f t="shared" si="530"/>
        <v>207</v>
      </c>
      <c r="P1115" s="12">
        <f>SUM(P1091:P1114)</f>
        <v>62</v>
      </c>
      <c r="Q1115" s="12">
        <f>SUM(Q1091:Q1114)</f>
        <v>83</v>
      </c>
      <c r="R1115" s="12">
        <f>SUM(R1091:R1114)</f>
        <v>62</v>
      </c>
      <c r="S1115" s="13">
        <f t="shared" si="532"/>
        <v>207</v>
      </c>
    </row>
    <row r="1116" spans="1:21" ht="14.25" thickBot="1" x14ac:dyDescent="0.2">
      <c r="A1116" s="21" t="s">
        <v>6</v>
      </c>
      <c r="B1116" s="22">
        <f t="shared" ref="B1116:I1116" si="551">B1090-B1115</f>
        <v>6</v>
      </c>
      <c r="C1116" s="22">
        <f t="shared" si="551"/>
        <v>6</v>
      </c>
      <c r="D1116" s="22">
        <f t="shared" si="551"/>
        <v>4</v>
      </c>
      <c r="E1116" s="22">
        <f t="shared" si="551"/>
        <v>16</v>
      </c>
      <c r="F1116" s="22">
        <f t="shared" si="551"/>
        <v>6</v>
      </c>
      <c r="G1116" s="22">
        <f t="shared" si="551"/>
        <v>6</v>
      </c>
      <c r="H1116" s="22">
        <f t="shared" si="551"/>
        <v>4</v>
      </c>
      <c r="I1116" s="20">
        <f t="shared" si="551"/>
        <v>16</v>
      </c>
      <c r="K1116" s="21" t="s">
        <v>6</v>
      </c>
      <c r="L1116" s="22">
        <f>L1090-L1115</f>
        <v>66</v>
      </c>
      <c r="M1116" s="22">
        <f t="shared" ref="M1116:O1116" si="552">M1090-M1115</f>
        <v>34</v>
      </c>
      <c r="N1116" s="22">
        <f t="shared" si="552"/>
        <v>45</v>
      </c>
      <c r="O1116" s="22">
        <f t="shared" si="552"/>
        <v>145</v>
      </c>
      <c r="P1116" s="22">
        <f>P1090-P1115</f>
        <v>66</v>
      </c>
      <c r="Q1116" s="22">
        <f>Q1090-Q1115</f>
        <v>34</v>
      </c>
      <c r="R1116" s="22">
        <f>R1090-R1115</f>
        <v>45</v>
      </c>
      <c r="S1116" s="20">
        <f t="shared" ref="S1116" si="553">S1090-S1115</f>
        <v>145</v>
      </c>
    </row>
    <row r="1117" spans="1:21" x14ac:dyDescent="0.15">
      <c r="K1117" s="153" t="s">
        <v>537</v>
      </c>
      <c r="L1117" s="149">
        <f>L1116/$O$1116*100</f>
        <v>45.517241379310349</v>
      </c>
      <c r="M1117" s="149">
        <f t="shared" ref="M1117:O1117" si="554">M1116/$O$1116*100</f>
        <v>23.448275862068964</v>
      </c>
      <c r="N1117" s="149">
        <f t="shared" si="554"/>
        <v>31.03448275862069</v>
      </c>
      <c r="O1117" s="149">
        <f t="shared" si="554"/>
        <v>100</v>
      </c>
    </row>
    <row r="1118" spans="1:21" x14ac:dyDescent="0.15">
      <c r="K1118" s="142" t="s">
        <v>618</v>
      </c>
      <c r="L1118" s="156">
        <v>33.700000000000003</v>
      </c>
      <c r="M1118" s="156">
        <v>41.4</v>
      </c>
      <c r="N1118" s="156">
        <v>25.2</v>
      </c>
      <c r="O1118" s="156">
        <v>100</v>
      </c>
    </row>
    <row r="1119" spans="1:21" ht="21.75" thickBot="1" x14ac:dyDescent="0.25">
      <c r="A1119" s="26" t="s">
        <v>622</v>
      </c>
      <c r="B1119" s="27"/>
      <c r="C1119" s="27"/>
      <c r="D1119" s="27"/>
      <c r="E1119" s="27"/>
      <c r="F1119" s="28"/>
      <c r="G1119" s="28"/>
      <c r="H1119" s="28"/>
      <c r="I1119" s="28"/>
      <c r="K1119" s="26" t="s">
        <v>621</v>
      </c>
      <c r="L1119" s="27"/>
      <c r="M1119" s="27"/>
      <c r="N1119" s="27"/>
      <c r="O1119" s="27"/>
      <c r="P1119" s="28"/>
      <c r="Q1119" s="28"/>
      <c r="R1119" s="28"/>
      <c r="S1119" s="28"/>
    </row>
    <row r="1120" spans="1:21" ht="14.25" thickBot="1" x14ac:dyDescent="0.2">
      <c r="A1120" s="1" t="s">
        <v>0</v>
      </c>
      <c r="B1120" s="183" t="s">
        <v>12</v>
      </c>
      <c r="C1120" s="183"/>
      <c r="D1120" s="183"/>
      <c r="E1120" s="184"/>
      <c r="F1120" s="183" t="s">
        <v>10</v>
      </c>
      <c r="G1120" s="183"/>
      <c r="H1120" s="183"/>
      <c r="I1120" s="184"/>
      <c r="K1120" s="1" t="s">
        <v>0</v>
      </c>
      <c r="L1120" s="182" t="s">
        <v>12</v>
      </c>
      <c r="M1120" s="183"/>
      <c r="N1120" s="183"/>
      <c r="O1120" s="184"/>
      <c r="P1120" s="182" t="s">
        <v>10</v>
      </c>
      <c r="Q1120" s="183"/>
      <c r="R1120" s="183"/>
      <c r="S1120" s="184"/>
    </row>
    <row r="1121" spans="1:21" ht="14.25" thickBot="1" x14ac:dyDescent="0.2">
      <c r="A1121" s="1" t="s">
        <v>1</v>
      </c>
      <c r="B1121" s="2" t="s">
        <v>7</v>
      </c>
      <c r="C1121" s="1" t="s">
        <v>8</v>
      </c>
      <c r="D1121" s="15" t="s">
        <v>9</v>
      </c>
      <c r="E1121" s="1" t="s">
        <v>2</v>
      </c>
      <c r="F1121" s="2" t="s">
        <v>7</v>
      </c>
      <c r="G1121" s="1" t="s">
        <v>8</v>
      </c>
      <c r="H1121" s="15" t="s">
        <v>9</v>
      </c>
      <c r="I1121" s="1" t="s">
        <v>2</v>
      </c>
      <c r="K1121" s="1" t="s">
        <v>1</v>
      </c>
      <c r="L1121" s="2" t="s">
        <v>7</v>
      </c>
      <c r="M1121" s="1" t="s">
        <v>8</v>
      </c>
      <c r="N1121" s="15" t="s">
        <v>9</v>
      </c>
      <c r="O1121" s="1" t="s">
        <v>2</v>
      </c>
      <c r="P1121" s="2" t="s">
        <v>7</v>
      </c>
      <c r="Q1121" s="1" t="s">
        <v>8</v>
      </c>
      <c r="R1121" s="15" t="s">
        <v>9</v>
      </c>
      <c r="S1121" s="1" t="s">
        <v>2</v>
      </c>
    </row>
    <row r="1122" spans="1:21" ht="14.25" thickBot="1" x14ac:dyDescent="0.2">
      <c r="A1122" s="41" t="s">
        <v>13</v>
      </c>
      <c r="B1122" s="42">
        <f>B1116</f>
        <v>6</v>
      </c>
      <c r="C1122" s="43">
        <f>C1116</f>
        <v>6</v>
      </c>
      <c r="D1122" s="44">
        <f>D1116</f>
        <v>4</v>
      </c>
      <c r="E1122" s="45">
        <f t="shared" ref="E1122" si="555">SUM(B1122:D1122)</f>
        <v>16</v>
      </c>
      <c r="F1122" s="42">
        <f>F1116</f>
        <v>6</v>
      </c>
      <c r="G1122" s="43">
        <f>G1116</f>
        <v>6</v>
      </c>
      <c r="H1122" s="44">
        <f>H1116</f>
        <v>4</v>
      </c>
      <c r="I1122" s="45">
        <f t="shared" ref="I1122:I1158" si="556">SUM(F1122:H1122)</f>
        <v>16</v>
      </c>
      <c r="K1122" s="34" t="s">
        <v>13</v>
      </c>
      <c r="L1122" s="35">
        <f>L1116</f>
        <v>66</v>
      </c>
      <c r="M1122" s="35">
        <f t="shared" ref="M1122:N1122" si="557">M1116</f>
        <v>34</v>
      </c>
      <c r="N1122" s="35">
        <f t="shared" si="557"/>
        <v>45</v>
      </c>
      <c r="O1122" s="20">
        <f t="shared" ref="O1122:O1158" si="558">SUM(L1122:N1122)</f>
        <v>145</v>
      </c>
      <c r="P1122" s="35">
        <f>P1116</f>
        <v>66</v>
      </c>
      <c r="Q1122" s="36">
        <f t="shared" ref="Q1122:R1122" si="559">Q1116</f>
        <v>34</v>
      </c>
      <c r="R1122" s="37">
        <f t="shared" si="559"/>
        <v>45</v>
      </c>
      <c r="S1122" s="20">
        <f t="shared" ref="S1122:S1158" si="560">SUM(P1122:R1122)</f>
        <v>145</v>
      </c>
    </row>
    <row r="1123" spans="1:21" x14ac:dyDescent="0.15">
      <c r="A1123" s="6" t="s">
        <v>3</v>
      </c>
      <c r="B1123" s="14"/>
      <c r="C1123" s="11"/>
      <c r="D1123" s="14"/>
      <c r="E1123" s="4">
        <f t="shared" ref="E1123:E1125" si="561">SUM(B1123:D1123)</f>
        <v>0</v>
      </c>
      <c r="F1123" s="14"/>
      <c r="G1123" s="11"/>
      <c r="H1123" s="14"/>
      <c r="I1123" s="4">
        <f t="shared" si="556"/>
        <v>0</v>
      </c>
      <c r="K1123" s="5" t="s">
        <v>3</v>
      </c>
      <c r="L1123" s="14"/>
      <c r="M1123" s="11"/>
      <c r="N1123" s="14"/>
      <c r="O1123" s="4">
        <f t="shared" si="558"/>
        <v>0</v>
      </c>
      <c r="P1123" s="14"/>
      <c r="Q1123" s="11"/>
      <c r="R1123" s="14"/>
      <c r="S1123" s="4">
        <f t="shared" si="560"/>
        <v>0</v>
      </c>
    </row>
    <row r="1124" spans="1:21" x14ac:dyDescent="0.15">
      <c r="A1124" s="6" t="s">
        <v>3</v>
      </c>
      <c r="B1124" s="14"/>
      <c r="C1124" s="11"/>
      <c r="D1124" s="14"/>
      <c r="E1124" s="4">
        <f t="shared" si="561"/>
        <v>0</v>
      </c>
      <c r="F1124" s="14"/>
      <c r="G1124" s="11"/>
      <c r="H1124" s="14"/>
      <c r="I1124" s="4">
        <f t="shared" si="556"/>
        <v>0</v>
      </c>
      <c r="K1124" s="5" t="s">
        <v>3</v>
      </c>
      <c r="L1124" s="14"/>
      <c r="M1124" s="11"/>
      <c r="N1124" s="14"/>
      <c r="O1124" s="4">
        <f t="shared" ref="O1124:O1127" si="562">SUM(L1124:N1124)</f>
        <v>0</v>
      </c>
      <c r="P1124" s="14"/>
      <c r="Q1124" s="11"/>
      <c r="R1124" s="14"/>
      <c r="S1124" s="4">
        <f t="shared" ref="S1124:S1127" si="563">SUM(P1124:R1124)</f>
        <v>0</v>
      </c>
    </row>
    <row r="1125" spans="1:21" x14ac:dyDescent="0.15">
      <c r="A1125" s="6" t="s">
        <v>3</v>
      </c>
      <c r="B1125" s="14"/>
      <c r="C1125" s="11"/>
      <c r="D1125" s="14"/>
      <c r="E1125" s="4">
        <f t="shared" si="561"/>
        <v>0</v>
      </c>
      <c r="F1125" s="14"/>
      <c r="G1125" s="11"/>
      <c r="H1125" s="14"/>
      <c r="I1125" s="4">
        <f t="shared" si="556"/>
        <v>0</v>
      </c>
      <c r="K1125" s="5" t="s">
        <v>3</v>
      </c>
      <c r="L1125" s="14"/>
      <c r="M1125" s="11"/>
      <c r="N1125" s="14"/>
      <c r="O1125" s="4">
        <f t="shared" si="562"/>
        <v>0</v>
      </c>
      <c r="P1125" s="14"/>
      <c r="Q1125" s="11"/>
      <c r="R1125" s="14"/>
      <c r="S1125" s="4">
        <f t="shared" si="563"/>
        <v>0</v>
      </c>
    </row>
    <row r="1126" spans="1:21" x14ac:dyDescent="0.15">
      <c r="A1126" s="6" t="s">
        <v>3</v>
      </c>
      <c r="B1126" s="14"/>
      <c r="C1126" s="11"/>
      <c r="D1126" s="14"/>
      <c r="E1126" s="4">
        <f t="shared" ref="E1126:E1140" si="564">SUM(B1126:D1126)</f>
        <v>0</v>
      </c>
      <c r="F1126" s="14"/>
      <c r="G1126" s="11"/>
      <c r="H1126" s="14"/>
      <c r="I1126" s="4">
        <f t="shared" si="556"/>
        <v>0</v>
      </c>
      <c r="K1126" s="5" t="s">
        <v>506</v>
      </c>
      <c r="L1126" s="14">
        <v>120</v>
      </c>
      <c r="M1126" s="11">
        <v>180</v>
      </c>
      <c r="N1126" s="14">
        <v>100</v>
      </c>
      <c r="O1126" s="4">
        <f t="shared" si="562"/>
        <v>400</v>
      </c>
      <c r="P1126" s="14">
        <v>120</v>
      </c>
      <c r="Q1126" s="11">
        <v>180</v>
      </c>
      <c r="R1126" s="14">
        <v>100</v>
      </c>
      <c r="S1126" s="4">
        <f t="shared" si="563"/>
        <v>400</v>
      </c>
      <c r="T1126" s="47">
        <v>45778</v>
      </c>
      <c r="U1126" s="54"/>
    </row>
    <row r="1127" spans="1:21" x14ac:dyDescent="0.15">
      <c r="A1127" s="6" t="s">
        <v>3</v>
      </c>
      <c r="B1127" s="14"/>
      <c r="C1127" s="11"/>
      <c r="D1127" s="14"/>
      <c r="E1127" s="4">
        <f t="shared" si="564"/>
        <v>0</v>
      </c>
      <c r="F1127" s="14"/>
      <c r="G1127" s="11"/>
      <c r="H1127" s="14"/>
      <c r="I1127" s="4">
        <f t="shared" si="556"/>
        <v>0</v>
      </c>
      <c r="K1127" s="5" t="s">
        <v>507</v>
      </c>
      <c r="L1127" s="14">
        <v>150</v>
      </c>
      <c r="M1127" s="11">
        <v>180</v>
      </c>
      <c r="N1127" s="14">
        <v>100</v>
      </c>
      <c r="O1127" s="4">
        <f t="shared" si="562"/>
        <v>430</v>
      </c>
      <c r="P1127" s="14">
        <v>150</v>
      </c>
      <c r="Q1127" s="11">
        <v>180</v>
      </c>
      <c r="R1127" s="14">
        <v>100</v>
      </c>
      <c r="S1127" s="4">
        <f t="shared" si="563"/>
        <v>430</v>
      </c>
      <c r="T1127" s="47" t="s">
        <v>650</v>
      </c>
    </row>
    <row r="1128" spans="1:21" x14ac:dyDescent="0.15">
      <c r="A1128" s="6" t="s">
        <v>3</v>
      </c>
      <c r="B1128" s="14"/>
      <c r="C1128" s="11"/>
      <c r="D1128" s="14"/>
      <c r="E1128" s="4">
        <f t="shared" si="564"/>
        <v>0</v>
      </c>
      <c r="F1128" s="14"/>
      <c r="G1128" s="11"/>
      <c r="H1128" s="14"/>
      <c r="I1128" s="4">
        <f t="shared" si="556"/>
        <v>0</v>
      </c>
      <c r="K1128" s="5" t="s">
        <v>3</v>
      </c>
      <c r="L1128" s="14"/>
      <c r="M1128" s="11"/>
      <c r="N1128" s="14"/>
      <c r="O1128" s="4">
        <f t="shared" si="558"/>
        <v>0</v>
      </c>
      <c r="P1128" s="14"/>
      <c r="Q1128" s="11"/>
      <c r="R1128" s="14"/>
      <c r="S1128" s="4">
        <f t="shared" si="560"/>
        <v>0</v>
      </c>
    </row>
    <row r="1129" spans="1:21" x14ac:dyDescent="0.15">
      <c r="A1129" s="6" t="s">
        <v>3</v>
      </c>
      <c r="B1129" s="14"/>
      <c r="C1129" s="11"/>
      <c r="D1129" s="14"/>
      <c r="E1129" s="4">
        <f t="shared" si="564"/>
        <v>0</v>
      </c>
      <c r="F1129" s="14"/>
      <c r="G1129" s="11"/>
      <c r="H1129" s="14"/>
      <c r="I1129" s="4">
        <f t="shared" si="556"/>
        <v>0</v>
      </c>
      <c r="K1129" s="5" t="s">
        <v>3</v>
      </c>
      <c r="L1129" s="14"/>
      <c r="M1129" s="11"/>
      <c r="N1129" s="14"/>
      <c r="O1129" s="4">
        <f t="shared" si="558"/>
        <v>0</v>
      </c>
      <c r="P1129" s="14"/>
      <c r="Q1129" s="11"/>
      <c r="R1129" s="14"/>
      <c r="S1129" s="4">
        <f t="shared" si="560"/>
        <v>0</v>
      </c>
    </row>
    <row r="1130" spans="1:21" x14ac:dyDescent="0.15">
      <c r="A1130" s="6" t="s">
        <v>3</v>
      </c>
      <c r="B1130" s="23"/>
      <c r="C1130" s="24"/>
      <c r="D1130" s="25"/>
      <c r="E1130" s="7">
        <f t="shared" si="564"/>
        <v>0</v>
      </c>
      <c r="F1130" s="23"/>
      <c r="G1130" s="24"/>
      <c r="H1130" s="25"/>
      <c r="I1130" s="7">
        <f t="shared" si="556"/>
        <v>0</v>
      </c>
      <c r="K1130" s="5" t="s">
        <v>3</v>
      </c>
      <c r="L1130" s="14"/>
      <c r="M1130" s="11"/>
      <c r="N1130" s="14"/>
      <c r="O1130" s="4">
        <f t="shared" si="558"/>
        <v>0</v>
      </c>
      <c r="P1130" s="14"/>
      <c r="Q1130" s="11"/>
      <c r="R1130" s="14"/>
      <c r="S1130" s="4">
        <f t="shared" si="560"/>
        <v>0</v>
      </c>
    </row>
    <row r="1131" spans="1:21" x14ac:dyDescent="0.15">
      <c r="A1131" s="6" t="s">
        <v>3</v>
      </c>
      <c r="B1131" s="23"/>
      <c r="C1131" s="24"/>
      <c r="D1131" s="25"/>
      <c r="E1131" s="7">
        <f t="shared" si="564"/>
        <v>0</v>
      </c>
      <c r="F1131" s="23"/>
      <c r="G1131" s="24"/>
      <c r="H1131" s="25"/>
      <c r="I1131" s="7">
        <f t="shared" si="556"/>
        <v>0</v>
      </c>
      <c r="K1131" s="5" t="s">
        <v>3</v>
      </c>
      <c r="L1131" s="14"/>
      <c r="M1131" s="11"/>
      <c r="N1131" s="14"/>
      <c r="O1131" s="4">
        <f t="shared" si="558"/>
        <v>0</v>
      </c>
      <c r="P1131" s="14"/>
      <c r="Q1131" s="11"/>
      <c r="R1131" s="14"/>
      <c r="S1131" s="4">
        <f t="shared" si="560"/>
        <v>0</v>
      </c>
    </row>
    <row r="1132" spans="1:21" ht="14.25" thickBot="1" x14ac:dyDescent="0.2">
      <c r="A1132" s="6" t="s">
        <v>3</v>
      </c>
      <c r="B1132" s="29"/>
      <c r="C1132" s="30"/>
      <c r="D1132" s="29"/>
      <c r="E1132" s="16">
        <f t="shared" si="564"/>
        <v>0</v>
      </c>
      <c r="F1132" s="29"/>
      <c r="G1132" s="30"/>
      <c r="H1132" s="29"/>
      <c r="I1132" s="16">
        <f t="shared" si="556"/>
        <v>0</v>
      </c>
      <c r="K1132" s="33" t="s">
        <v>3</v>
      </c>
      <c r="L1132" s="29"/>
      <c r="M1132" s="30"/>
      <c r="N1132" s="29"/>
      <c r="O1132" s="16">
        <f t="shared" si="558"/>
        <v>0</v>
      </c>
      <c r="P1132" s="29"/>
      <c r="Q1132" s="30"/>
      <c r="R1132" s="29"/>
      <c r="S1132" s="16">
        <f t="shared" si="560"/>
        <v>0</v>
      </c>
    </row>
    <row r="1133" spans="1:21" ht="14.25" thickBot="1" x14ac:dyDescent="0.2">
      <c r="A1133" s="17" t="s">
        <v>4</v>
      </c>
      <c r="B1133" s="18">
        <f>SUM(B1122:B1132)</f>
        <v>6</v>
      </c>
      <c r="C1133" s="18">
        <f>SUM(C1122:C1132)</f>
        <v>6</v>
      </c>
      <c r="D1133" s="19">
        <f>SUM(D1122:D1132)</f>
        <v>4</v>
      </c>
      <c r="E1133" s="20">
        <f t="shared" si="564"/>
        <v>16</v>
      </c>
      <c r="F1133" s="18">
        <f>SUM(F1122:F1132)</f>
        <v>6</v>
      </c>
      <c r="G1133" s="18">
        <f>SUM(G1122:G1132)</f>
        <v>6</v>
      </c>
      <c r="H1133" s="19">
        <f>SUM(H1122:H1132)</f>
        <v>4</v>
      </c>
      <c r="I1133" s="20">
        <f t="shared" si="556"/>
        <v>16</v>
      </c>
      <c r="K1133" s="17" t="s">
        <v>4</v>
      </c>
      <c r="L1133" s="18">
        <f>SUM(L1122:L1132)</f>
        <v>336</v>
      </c>
      <c r="M1133" s="18">
        <f>SUM(M1122:M1132)</f>
        <v>394</v>
      </c>
      <c r="N1133" s="18">
        <f>SUM(N1122:N1132)</f>
        <v>245</v>
      </c>
      <c r="O1133" s="20">
        <f t="shared" si="558"/>
        <v>975</v>
      </c>
      <c r="P1133" s="18">
        <f>SUM(P1122:P1132)</f>
        <v>336</v>
      </c>
      <c r="Q1133" s="18">
        <f>SUM(Q1122:Q1132)</f>
        <v>394</v>
      </c>
      <c r="R1133" s="19">
        <f>SUM(R1122:R1132)</f>
        <v>245</v>
      </c>
      <c r="S1133" s="20">
        <f t="shared" si="560"/>
        <v>975</v>
      </c>
    </row>
    <row r="1134" spans="1:21" x14ac:dyDescent="0.15">
      <c r="A1134" s="3"/>
      <c r="B1134" s="8"/>
      <c r="C1134" s="9"/>
      <c r="D1134" s="10"/>
      <c r="E1134" s="7">
        <f t="shared" ref="E1134" si="565">SUM(B1134:D1134)</f>
        <v>0</v>
      </c>
      <c r="F1134" s="8"/>
      <c r="G1134" s="9"/>
      <c r="H1134" s="10"/>
      <c r="I1134" s="7">
        <f t="shared" ref="I1134" si="566">SUM(F1134:H1134)</f>
        <v>0</v>
      </c>
      <c r="K1134" s="3" t="s">
        <v>132</v>
      </c>
      <c r="L1134" s="8">
        <v>9</v>
      </c>
      <c r="M1134" s="9">
        <v>4</v>
      </c>
      <c r="N1134" s="10">
        <v>6</v>
      </c>
      <c r="O1134" s="7">
        <f t="shared" si="558"/>
        <v>19</v>
      </c>
      <c r="P1134" s="8">
        <v>9</v>
      </c>
      <c r="Q1134" s="9">
        <v>4</v>
      </c>
      <c r="R1134" s="10">
        <v>6</v>
      </c>
      <c r="S1134" s="7">
        <f t="shared" si="560"/>
        <v>19</v>
      </c>
      <c r="T1134" s="47">
        <v>46177</v>
      </c>
    </row>
    <row r="1135" spans="1:21" x14ac:dyDescent="0.15">
      <c r="A1135" s="3"/>
      <c r="B1135" s="8"/>
      <c r="C1135" s="9"/>
      <c r="D1135" s="10"/>
      <c r="E1135" s="7">
        <f t="shared" si="564"/>
        <v>0</v>
      </c>
      <c r="F1135" s="8"/>
      <c r="G1135" s="9"/>
      <c r="H1135" s="10"/>
      <c r="I1135" s="7">
        <f t="shared" si="556"/>
        <v>0</v>
      </c>
      <c r="K1135" s="3" t="s">
        <v>132</v>
      </c>
      <c r="L1135" s="8">
        <v>5</v>
      </c>
      <c r="M1135" s="9">
        <v>2</v>
      </c>
      <c r="N1135" s="10">
        <v>2</v>
      </c>
      <c r="O1135" s="7">
        <f t="shared" ref="O1135:O1137" si="567">SUM(L1135:N1135)</f>
        <v>9</v>
      </c>
      <c r="P1135" s="8">
        <v>5</v>
      </c>
      <c r="Q1135" s="9">
        <v>2</v>
      </c>
      <c r="R1135" s="10">
        <v>2</v>
      </c>
      <c r="S1135" s="7">
        <f t="shared" ref="S1135:S1137" si="568">SUM(P1135:R1135)</f>
        <v>9</v>
      </c>
      <c r="T1135" s="47">
        <v>46178</v>
      </c>
    </row>
    <row r="1136" spans="1:21" x14ac:dyDescent="0.15">
      <c r="A1136" s="3"/>
      <c r="B1136" s="8"/>
      <c r="C1136" s="9"/>
      <c r="D1136" s="10"/>
      <c r="E1136" s="7">
        <f t="shared" si="564"/>
        <v>0</v>
      </c>
      <c r="F1136" s="8"/>
      <c r="G1136" s="9"/>
      <c r="H1136" s="10"/>
      <c r="I1136" s="7">
        <f t="shared" si="556"/>
        <v>0</v>
      </c>
      <c r="K1136" s="3" t="s">
        <v>132</v>
      </c>
      <c r="L1136" s="8"/>
      <c r="M1136" s="9">
        <v>3</v>
      </c>
      <c r="N1136" s="10"/>
      <c r="O1136" s="7">
        <f t="shared" si="567"/>
        <v>3</v>
      </c>
      <c r="P1136" s="8"/>
      <c r="Q1136" s="9">
        <v>3</v>
      </c>
      <c r="R1136" s="10"/>
      <c r="S1136" s="7">
        <f t="shared" si="568"/>
        <v>3</v>
      </c>
      <c r="T1136" s="47">
        <v>46178</v>
      </c>
      <c r="U1136" s="54"/>
    </row>
    <row r="1137" spans="1:19" x14ac:dyDescent="0.15">
      <c r="A1137" s="3"/>
      <c r="B1137" s="8"/>
      <c r="C1137" s="9"/>
      <c r="D1137" s="10"/>
      <c r="E1137" s="7">
        <f t="shared" si="564"/>
        <v>0</v>
      </c>
      <c r="F1137" s="8"/>
      <c r="G1137" s="9"/>
      <c r="H1137" s="10"/>
      <c r="I1137" s="7">
        <f t="shared" si="556"/>
        <v>0</v>
      </c>
      <c r="K1137" s="3"/>
      <c r="L1137" s="8"/>
      <c r="M1137" s="9"/>
      <c r="N1137" s="10"/>
      <c r="O1137" s="7">
        <f t="shared" si="567"/>
        <v>0</v>
      </c>
      <c r="P1137" s="8"/>
      <c r="Q1137" s="9"/>
      <c r="R1137" s="10"/>
      <c r="S1137" s="7">
        <f t="shared" si="568"/>
        <v>0</v>
      </c>
    </row>
    <row r="1138" spans="1:19" x14ac:dyDescent="0.15">
      <c r="A1138" s="3"/>
      <c r="B1138" s="8"/>
      <c r="C1138" s="9"/>
      <c r="D1138" s="10"/>
      <c r="E1138" s="7">
        <f t="shared" si="564"/>
        <v>0</v>
      </c>
      <c r="F1138" s="8"/>
      <c r="G1138" s="9"/>
      <c r="H1138" s="10"/>
      <c r="I1138" s="7">
        <f t="shared" si="556"/>
        <v>0</v>
      </c>
      <c r="K1138" s="3"/>
      <c r="L1138" s="8"/>
      <c r="M1138" s="9"/>
      <c r="N1138" s="10"/>
      <c r="O1138" s="7">
        <f t="shared" si="558"/>
        <v>0</v>
      </c>
      <c r="P1138" s="8"/>
      <c r="Q1138" s="9"/>
      <c r="R1138" s="10"/>
      <c r="S1138" s="7">
        <f t="shared" si="560"/>
        <v>0</v>
      </c>
    </row>
    <row r="1139" spans="1:19" x14ac:dyDescent="0.15">
      <c r="A1139" s="3"/>
      <c r="B1139" s="8"/>
      <c r="C1139" s="9"/>
      <c r="D1139" s="10"/>
      <c r="E1139" s="7">
        <f t="shared" si="564"/>
        <v>0</v>
      </c>
      <c r="F1139" s="8"/>
      <c r="G1139" s="9"/>
      <c r="H1139" s="10"/>
      <c r="I1139" s="7">
        <f t="shared" si="556"/>
        <v>0</v>
      </c>
      <c r="K1139" s="3"/>
      <c r="L1139" s="8"/>
      <c r="M1139" s="9"/>
      <c r="N1139" s="10"/>
      <c r="O1139" s="7">
        <f t="shared" si="558"/>
        <v>0</v>
      </c>
      <c r="P1139" s="8"/>
      <c r="Q1139" s="9"/>
      <c r="R1139" s="10"/>
      <c r="S1139" s="7">
        <f t="shared" si="560"/>
        <v>0</v>
      </c>
    </row>
    <row r="1140" spans="1:19" x14ac:dyDescent="0.15">
      <c r="A1140" s="3"/>
      <c r="B1140" s="8"/>
      <c r="C1140" s="9"/>
      <c r="D1140" s="10"/>
      <c r="E1140" s="7">
        <f t="shared" si="564"/>
        <v>0</v>
      </c>
      <c r="F1140" s="8"/>
      <c r="G1140" s="9"/>
      <c r="H1140" s="10"/>
      <c r="I1140" s="7">
        <f t="shared" si="556"/>
        <v>0</v>
      </c>
      <c r="K1140" s="3"/>
      <c r="L1140" s="8"/>
      <c r="M1140" s="9"/>
      <c r="N1140" s="10"/>
      <c r="O1140" s="7">
        <f t="shared" si="558"/>
        <v>0</v>
      </c>
      <c r="P1140" s="8"/>
      <c r="Q1140" s="9"/>
      <c r="R1140" s="10"/>
      <c r="S1140" s="7">
        <f t="shared" si="560"/>
        <v>0</v>
      </c>
    </row>
    <row r="1141" spans="1:19" x14ac:dyDescent="0.15">
      <c r="A1141" s="3"/>
      <c r="B1141" s="8"/>
      <c r="C1141" s="9"/>
      <c r="D1141" s="10"/>
      <c r="E1141" s="7">
        <f t="shared" ref="E1141:E1158" si="569">SUM(B1141:D1141)</f>
        <v>0</v>
      </c>
      <c r="F1141" s="8"/>
      <c r="G1141" s="9"/>
      <c r="H1141" s="10"/>
      <c r="I1141" s="7">
        <f t="shared" si="556"/>
        <v>0</v>
      </c>
      <c r="K1141" s="3"/>
      <c r="L1141" s="8"/>
      <c r="M1141" s="9"/>
      <c r="N1141" s="10"/>
      <c r="O1141" s="7">
        <f t="shared" si="558"/>
        <v>0</v>
      </c>
      <c r="P1141" s="8"/>
      <c r="Q1141" s="9"/>
      <c r="R1141" s="10"/>
      <c r="S1141" s="7">
        <f t="shared" si="560"/>
        <v>0</v>
      </c>
    </row>
    <row r="1142" spans="1:19" x14ac:dyDescent="0.15">
      <c r="A1142" s="3"/>
      <c r="B1142" s="8"/>
      <c r="C1142" s="9"/>
      <c r="D1142" s="10"/>
      <c r="E1142" s="7">
        <f t="shared" si="569"/>
        <v>0</v>
      </c>
      <c r="F1142" s="8"/>
      <c r="G1142" s="9"/>
      <c r="H1142" s="10"/>
      <c r="I1142" s="7">
        <f t="shared" si="556"/>
        <v>0</v>
      </c>
      <c r="K1142" s="3"/>
      <c r="L1142" s="8"/>
      <c r="M1142" s="9"/>
      <c r="N1142" s="10"/>
      <c r="O1142" s="7">
        <f t="shared" si="558"/>
        <v>0</v>
      </c>
      <c r="P1142" s="8"/>
      <c r="Q1142" s="9"/>
      <c r="R1142" s="10"/>
      <c r="S1142" s="7">
        <f t="shared" si="560"/>
        <v>0</v>
      </c>
    </row>
    <row r="1143" spans="1:19" x14ac:dyDescent="0.15">
      <c r="A1143" s="3"/>
      <c r="B1143" s="8"/>
      <c r="C1143" s="9"/>
      <c r="D1143" s="10"/>
      <c r="E1143" s="7">
        <f t="shared" si="569"/>
        <v>0</v>
      </c>
      <c r="F1143" s="8"/>
      <c r="G1143" s="9"/>
      <c r="H1143" s="10"/>
      <c r="I1143" s="7">
        <f t="shared" si="556"/>
        <v>0</v>
      </c>
      <c r="K1143" s="3"/>
      <c r="L1143" s="8"/>
      <c r="M1143" s="9"/>
      <c r="N1143" s="10"/>
      <c r="O1143" s="7">
        <f t="shared" si="558"/>
        <v>0</v>
      </c>
      <c r="P1143" s="8"/>
      <c r="Q1143" s="9"/>
      <c r="R1143" s="10"/>
      <c r="S1143" s="7">
        <f t="shared" si="560"/>
        <v>0</v>
      </c>
    </row>
    <row r="1144" spans="1:19" x14ac:dyDescent="0.15">
      <c r="A1144" s="3"/>
      <c r="B1144" s="8"/>
      <c r="C1144" s="9"/>
      <c r="D1144" s="10"/>
      <c r="E1144" s="7">
        <f t="shared" si="569"/>
        <v>0</v>
      </c>
      <c r="F1144" s="8"/>
      <c r="G1144" s="9"/>
      <c r="H1144" s="10"/>
      <c r="I1144" s="7">
        <f t="shared" si="556"/>
        <v>0</v>
      </c>
      <c r="K1144" s="3"/>
      <c r="L1144" s="8"/>
      <c r="M1144" s="9"/>
      <c r="N1144" s="10"/>
      <c r="O1144" s="7">
        <f t="shared" si="558"/>
        <v>0</v>
      </c>
      <c r="P1144" s="8"/>
      <c r="Q1144" s="9"/>
      <c r="R1144" s="10"/>
      <c r="S1144" s="7">
        <f t="shared" si="560"/>
        <v>0</v>
      </c>
    </row>
    <row r="1145" spans="1:19" x14ac:dyDescent="0.15">
      <c r="A1145" s="3"/>
      <c r="B1145" s="8"/>
      <c r="C1145" s="9"/>
      <c r="D1145" s="10"/>
      <c r="E1145" s="7">
        <f t="shared" si="569"/>
        <v>0</v>
      </c>
      <c r="F1145" s="8"/>
      <c r="G1145" s="9"/>
      <c r="H1145" s="10"/>
      <c r="I1145" s="7">
        <f t="shared" si="556"/>
        <v>0</v>
      </c>
      <c r="K1145" s="3"/>
      <c r="L1145" s="8"/>
      <c r="M1145" s="9"/>
      <c r="N1145" s="10"/>
      <c r="O1145" s="7">
        <f t="shared" si="558"/>
        <v>0</v>
      </c>
      <c r="P1145" s="8"/>
      <c r="Q1145" s="9"/>
      <c r="R1145" s="10"/>
      <c r="S1145" s="7">
        <f t="shared" si="560"/>
        <v>0</v>
      </c>
    </row>
    <row r="1146" spans="1:19" x14ac:dyDescent="0.15">
      <c r="A1146" s="3"/>
      <c r="B1146" s="8"/>
      <c r="C1146" s="9"/>
      <c r="D1146" s="10"/>
      <c r="E1146" s="7">
        <f t="shared" si="569"/>
        <v>0</v>
      </c>
      <c r="F1146" s="8"/>
      <c r="G1146" s="9"/>
      <c r="H1146" s="10"/>
      <c r="I1146" s="7">
        <f t="shared" si="556"/>
        <v>0</v>
      </c>
      <c r="K1146" s="3"/>
      <c r="L1146" s="8"/>
      <c r="M1146" s="9"/>
      <c r="N1146" s="10"/>
      <c r="O1146" s="7">
        <f t="shared" si="558"/>
        <v>0</v>
      </c>
      <c r="P1146" s="8"/>
      <c r="Q1146" s="9"/>
      <c r="R1146" s="10"/>
      <c r="S1146" s="7">
        <f t="shared" si="560"/>
        <v>0</v>
      </c>
    </row>
    <row r="1147" spans="1:19" x14ac:dyDescent="0.15">
      <c r="A1147" s="3"/>
      <c r="B1147" s="8"/>
      <c r="C1147" s="9"/>
      <c r="D1147" s="10"/>
      <c r="E1147" s="7">
        <f t="shared" si="569"/>
        <v>0</v>
      </c>
      <c r="F1147" s="8"/>
      <c r="G1147" s="9"/>
      <c r="H1147" s="10"/>
      <c r="I1147" s="7">
        <f t="shared" si="556"/>
        <v>0</v>
      </c>
      <c r="K1147" s="32"/>
      <c r="L1147" s="8"/>
      <c r="M1147" s="9"/>
      <c r="N1147" s="10"/>
      <c r="O1147" s="7">
        <f t="shared" si="558"/>
        <v>0</v>
      </c>
      <c r="P1147" s="8"/>
      <c r="Q1147" s="9"/>
      <c r="R1147" s="10"/>
      <c r="S1147" s="7">
        <f t="shared" si="560"/>
        <v>0</v>
      </c>
    </row>
    <row r="1148" spans="1:19" x14ac:dyDescent="0.15">
      <c r="A1148" s="3"/>
      <c r="B1148" s="8"/>
      <c r="C1148" s="9"/>
      <c r="D1148" s="10"/>
      <c r="E1148" s="7">
        <f t="shared" si="569"/>
        <v>0</v>
      </c>
      <c r="F1148" s="8"/>
      <c r="G1148" s="9"/>
      <c r="H1148" s="10"/>
      <c r="I1148" s="7">
        <f t="shared" si="556"/>
        <v>0</v>
      </c>
      <c r="K1148" s="3"/>
      <c r="L1148" s="8"/>
      <c r="M1148" s="9"/>
      <c r="N1148" s="10"/>
      <c r="O1148" s="7">
        <f t="shared" si="558"/>
        <v>0</v>
      </c>
      <c r="P1148" s="8"/>
      <c r="Q1148" s="9"/>
      <c r="R1148" s="10"/>
      <c r="S1148" s="7">
        <f t="shared" si="560"/>
        <v>0</v>
      </c>
    </row>
    <row r="1149" spans="1:19" x14ac:dyDescent="0.15">
      <c r="A1149" s="3"/>
      <c r="B1149" s="8"/>
      <c r="C1149" s="9"/>
      <c r="D1149" s="10"/>
      <c r="E1149" s="7">
        <f t="shared" si="569"/>
        <v>0</v>
      </c>
      <c r="F1149" s="8"/>
      <c r="G1149" s="9"/>
      <c r="H1149" s="10"/>
      <c r="I1149" s="7">
        <f t="shared" si="556"/>
        <v>0</v>
      </c>
      <c r="K1149" s="3"/>
      <c r="L1149" s="8"/>
      <c r="M1149" s="9"/>
      <c r="N1149" s="10"/>
      <c r="O1149" s="7">
        <f t="shared" ref="O1149:O1150" si="570">SUM(L1149:N1149)</f>
        <v>0</v>
      </c>
      <c r="P1149" s="8"/>
      <c r="Q1149" s="9"/>
      <c r="R1149" s="10"/>
      <c r="S1149" s="7">
        <f t="shared" ref="S1149:S1150" si="571">SUM(P1149:R1149)</f>
        <v>0</v>
      </c>
    </row>
    <row r="1150" spans="1:19" x14ac:dyDescent="0.15">
      <c r="A1150" s="3"/>
      <c r="B1150" s="8"/>
      <c r="C1150" s="9"/>
      <c r="D1150" s="10"/>
      <c r="E1150" s="7">
        <f t="shared" si="569"/>
        <v>0</v>
      </c>
      <c r="F1150" s="8"/>
      <c r="G1150" s="9"/>
      <c r="H1150" s="10"/>
      <c r="I1150" s="7">
        <f t="shared" si="556"/>
        <v>0</v>
      </c>
      <c r="K1150" s="3"/>
      <c r="L1150" s="8"/>
      <c r="M1150" s="9"/>
      <c r="N1150" s="10"/>
      <c r="O1150" s="7">
        <f t="shared" si="570"/>
        <v>0</v>
      </c>
      <c r="P1150" s="8"/>
      <c r="Q1150" s="9"/>
      <c r="R1150" s="10"/>
      <c r="S1150" s="7">
        <f t="shared" si="571"/>
        <v>0</v>
      </c>
    </row>
    <row r="1151" spans="1:19" x14ac:dyDescent="0.15">
      <c r="A1151" s="3"/>
      <c r="B1151" s="8"/>
      <c r="C1151" s="9"/>
      <c r="D1151" s="10"/>
      <c r="E1151" s="7">
        <f t="shared" si="569"/>
        <v>0</v>
      </c>
      <c r="F1151" s="8"/>
      <c r="G1151" s="9"/>
      <c r="H1151" s="10"/>
      <c r="I1151" s="7">
        <f t="shared" si="556"/>
        <v>0</v>
      </c>
      <c r="K1151" s="3"/>
      <c r="L1151" s="8"/>
      <c r="M1151" s="9"/>
      <c r="N1151" s="10"/>
      <c r="O1151" s="7">
        <f t="shared" ref="O1151" si="572">SUM(L1151:N1151)</f>
        <v>0</v>
      </c>
      <c r="P1151" s="8"/>
      <c r="Q1151" s="9"/>
      <c r="R1151" s="10"/>
      <c r="S1151" s="7">
        <f t="shared" ref="S1151" si="573">SUM(P1151:R1151)</f>
        <v>0</v>
      </c>
    </row>
    <row r="1152" spans="1:19" x14ac:dyDescent="0.15">
      <c r="A1152" s="3"/>
      <c r="B1152" s="8"/>
      <c r="C1152" s="9"/>
      <c r="D1152" s="10"/>
      <c r="E1152" s="7">
        <f t="shared" si="569"/>
        <v>0</v>
      </c>
      <c r="F1152" s="8"/>
      <c r="G1152" s="9"/>
      <c r="H1152" s="10"/>
      <c r="I1152" s="7">
        <f t="shared" si="556"/>
        <v>0</v>
      </c>
      <c r="K1152" s="3"/>
      <c r="L1152" s="8"/>
      <c r="M1152" s="9"/>
      <c r="N1152" s="10"/>
      <c r="O1152" s="7">
        <f t="shared" ref="O1152" si="574">SUM(L1152:N1152)</f>
        <v>0</v>
      </c>
      <c r="P1152" s="8"/>
      <c r="Q1152" s="9"/>
      <c r="R1152" s="10"/>
      <c r="S1152" s="7">
        <f t="shared" ref="S1152" si="575">SUM(P1152:R1152)</f>
        <v>0</v>
      </c>
    </row>
    <row r="1153" spans="1:20" x14ac:dyDescent="0.15">
      <c r="A1153" s="3"/>
      <c r="B1153" s="8"/>
      <c r="C1153" s="9"/>
      <c r="D1153" s="10"/>
      <c r="E1153" s="7">
        <f t="shared" si="569"/>
        <v>0</v>
      </c>
      <c r="F1153" s="8"/>
      <c r="G1153" s="9"/>
      <c r="H1153" s="10"/>
      <c r="I1153" s="7">
        <f t="shared" si="556"/>
        <v>0</v>
      </c>
      <c r="K1153" s="3"/>
      <c r="L1153" s="8"/>
      <c r="M1153" s="9"/>
      <c r="N1153" s="10"/>
      <c r="O1153" s="7">
        <f t="shared" ref="O1153:O1154" si="576">SUM(L1153:N1153)</f>
        <v>0</v>
      </c>
      <c r="P1153" s="8"/>
      <c r="Q1153" s="9"/>
      <c r="R1153" s="10"/>
      <c r="S1153" s="7">
        <f t="shared" ref="S1153:S1154" si="577">SUM(P1153:R1153)</f>
        <v>0</v>
      </c>
    </row>
    <row r="1154" spans="1:20" x14ac:dyDescent="0.15">
      <c r="A1154" s="3"/>
      <c r="B1154" s="8"/>
      <c r="C1154" s="9"/>
      <c r="D1154" s="10"/>
      <c r="E1154" s="7">
        <f t="shared" si="569"/>
        <v>0</v>
      </c>
      <c r="F1154" s="8"/>
      <c r="G1154" s="9"/>
      <c r="H1154" s="10"/>
      <c r="I1154" s="7">
        <f t="shared" si="556"/>
        <v>0</v>
      </c>
      <c r="K1154" s="3"/>
      <c r="L1154" s="8"/>
      <c r="M1154" s="9"/>
      <c r="N1154" s="10"/>
      <c r="O1154" s="7">
        <f t="shared" si="576"/>
        <v>0</v>
      </c>
      <c r="P1154" s="8"/>
      <c r="Q1154" s="9"/>
      <c r="R1154" s="10"/>
      <c r="S1154" s="7">
        <f t="shared" si="577"/>
        <v>0</v>
      </c>
    </row>
    <row r="1155" spans="1:20" x14ac:dyDescent="0.15">
      <c r="A1155" s="3"/>
      <c r="B1155" s="8"/>
      <c r="C1155" s="9"/>
      <c r="D1155" s="10"/>
      <c r="E1155" s="7">
        <f t="shared" si="569"/>
        <v>0</v>
      </c>
      <c r="F1155" s="8"/>
      <c r="G1155" s="9"/>
      <c r="H1155" s="10"/>
      <c r="I1155" s="7">
        <f t="shared" si="556"/>
        <v>0</v>
      </c>
      <c r="K1155" s="3" t="s">
        <v>635</v>
      </c>
      <c r="L1155" s="8"/>
      <c r="M1155" s="9"/>
      <c r="N1155" s="10"/>
      <c r="O1155" s="7">
        <f t="shared" si="558"/>
        <v>0</v>
      </c>
      <c r="P1155" s="8"/>
      <c r="Q1155" s="9"/>
      <c r="R1155" s="10"/>
      <c r="S1155" s="7">
        <f t="shared" si="560"/>
        <v>0</v>
      </c>
      <c r="T1155" s="55" t="s">
        <v>432</v>
      </c>
    </row>
    <row r="1156" spans="1:20" x14ac:dyDescent="0.15">
      <c r="A1156" s="3"/>
      <c r="B1156" s="8"/>
      <c r="C1156" s="9"/>
      <c r="D1156" s="10"/>
      <c r="E1156" s="7">
        <f t="shared" si="569"/>
        <v>0</v>
      </c>
      <c r="F1156" s="8"/>
      <c r="G1156" s="9"/>
      <c r="H1156" s="10"/>
      <c r="I1156" s="7">
        <f t="shared" si="556"/>
        <v>0</v>
      </c>
      <c r="K1156" s="32" t="s">
        <v>653</v>
      </c>
      <c r="L1156" s="58"/>
      <c r="M1156" s="59"/>
      <c r="N1156" s="60"/>
      <c r="O1156" s="61">
        <f t="shared" si="558"/>
        <v>0</v>
      </c>
      <c r="P1156" s="58"/>
      <c r="Q1156" s="59"/>
      <c r="R1156" s="60"/>
      <c r="S1156" s="61">
        <f t="shared" si="560"/>
        <v>0</v>
      </c>
      <c r="T1156" s="62"/>
    </row>
    <row r="1157" spans="1:20" ht="14.25" thickBot="1" x14ac:dyDescent="0.2">
      <c r="A1157" s="3"/>
      <c r="B1157" s="8"/>
      <c r="C1157" s="9"/>
      <c r="D1157" s="10"/>
      <c r="E1157" s="7">
        <f t="shared" si="569"/>
        <v>0</v>
      </c>
      <c r="F1157" s="8"/>
      <c r="G1157" s="9"/>
      <c r="H1157" s="10"/>
      <c r="I1157" s="7">
        <f t="shared" si="556"/>
        <v>0</v>
      </c>
      <c r="K1157" s="3" t="s">
        <v>654</v>
      </c>
      <c r="L1157" s="8"/>
      <c r="M1157" s="9"/>
      <c r="N1157" s="10"/>
      <c r="O1157" s="7">
        <f t="shared" si="558"/>
        <v>0</v>
      </c>
      <c r="P1157" s="8"/>
      <c r="Q1157" s="9"/>
      <c r="R1157" s="10"/>
      <c r="S1157" s="7">
        <f t="shared" si="560"/>
        <v>0</v>
      </c>
      <c r="T1157" s="55" t="s">
        <v>631</v>
      </c>
    </row>
    <row r="1158" spans="1:20" ht="14.25" thickBot="1" x14ac:dyDescent="0.2">
      <c r="A1158" s="2" t="s">
        <v>5</v>
      </c>
      <c r="B1158" s="12">
        <f>SUM(B1134:B1157)</f>
        <v>0</v>
      </c>
      <c r="C1158" s="12">
        <f>SUM(C1134:C1157)</f>
        <v>0</v>
      </c>
      <c r="D1158" s="12">
        <f>SUM(D1134:D1157)</f>
        <v>0</v>
      </c>
      <c r="E1158" s="13">
        <f t="shared" si="569"/>
        <v>0</v>
      </c>
      <c r="F1158" s="12">
        <f>SUM(F1134:F1157)</f>
        <v>0</v>
      </c>
      <c r="G1158" s="12">
        <f>SUM(G1134:G1157)</f>
        <v>0</v>
      </c>
      <c r="H1158" s="12">
        <f>SUM(H1134:H1157)</f>
        <v>0</v>
      </c>
      <c r="I1158" s="13">
        <f t="shared" si="556"/>
        <v>0</v>
      </c>
      <c r="K1158" s="2" t="s">
        <v>5</v>
      </c>
      <c r="L1158" s="12">
        <f>SUM(L1134:L1157)</f>
        <v>14</v>
      </c>
      <c r="M1158" s="12">
        <f>SUM(M1134:M1157)</f>
        <v>9</v>
      </c>
      <c r="N1158" s="12">
        <f>SUM(N1134:N1157)</f>
        <v>8</v>
      </c>
      <c r="O1158" s="13">
        <f t="shared" si="558"/>
        <v>31</v>
      </c>
      <c r="P1158" s="12">
        <f>SUM(P1134:P1157)</f>
        <v>14</v>
      </c>
      <c r="Q1158" s="12">
        <f>SUM(Q1134:Q1157)</f>
        <v>9</v>
      </c>
      <c r="R1158" s="12">
        <f>SUM(R1134:R1157)</f>
        <v>8</v>
      </c>
      <c r="S1158" s="13">
        <f t="shared" si="560"/>
        <v>31</v>
      </c>
    </row>
    <row r="1159" spans="1:20" ht="14.25" thickBot="1" x14ac:dyDescent="0.2">
      <c r="A1159" s="21" t="s">
        <v>6</v>
      </c>
      <c r="B1159" s="22">
        <f t="shared" ref="B1159:I1159" si="578">B1133-B1158</f>
        <v>6</v>
      </c>
      <c r="C1159" s="22">
        <f t="shared" si="578"/>
        <v>6</v>
      </c>
      <c r="D1159" s="22">
        <f t="shared" si="578"/>
        <v>4</v>
      </c>
      <c r="E1159" s="22">
        <f t="shared" si="578"/>
        <v>16</v>
      </c>
      <c r="F1159" s="22">
        <f t="shared" si="578"/>
        <v>6</v>
      </c>
      <c r="G1159" s="22">
        <f t="shared" si="578"/>
        <v>6</v>
      </c>
      <c r="H1159" s="22">
        <f t="shared" si="578"/>
        <v>4</v>
      </c>
      <c r="I1159" s="20">
        <f t="shared" si="578"/>
        <v>16</v>
      </c>
      <c r="K1159" s="21" t="s">
        <v>6</v>
      </c>
      <c r="L1159" s="22">
        <f>L1133-L1158</f>
        <v>322</v>
      </c>
      <c r="M1159" s="22">
        <f t="shared" ref="M1159:O1159" si="579">M1133-M1158</f>
        <v>385</v>
      </c>
      <c r="N1159" s="22">
        <f t="shared" si="579"/>
        <v>237</v>
      </c>
      <c r="O1159" s="22">
        <f t="shared" si="579"/>
        <v>944</v>
      </c>
      <c r="P1159" s="22">
        <f>P1133-P1158</f>
        <v>322</v>
      </c>
      <c r="Q1159" s="22">
        <f>Q1133-Q1158</f>
        <v>385</v>
      </c>
      <c r="R1159" s="22">
        <f>R1133-R1158</f>
        <v>237</v>
      </c>
      <c r="S1159" s="20">
        <f t="shared" ref="S1159" si="580">S1133-S1158</f>
        <v>944</v>
      </c>
    </row>
    <row r="1162" spans="1:20" ht="21.75" thickBot="1" x14ac:dyDescent="0.25">
      <c r="A1162" s="26" t="s">
        <v>622</v>
      </c>
      <c r="B1162" s="27"/>
      <c r="C1162" s="27"/>
      <c r="D1162" s="27"/>
      <c r="E1162" s="27"/>
      <c r="F1162" s="28"/>
      <c r="G1162" s="28"/>
      <c r="H1162" s="28"/>
      <c r="I1162" s="28"/>
      <c r="K1162" s="26" t="s">
        <v>621</v>
      </c>
      <c r="L1162" s="27"/>
      <c r="M1162" s="27"/>
      <c r="N1162" s="27"/>
      <c r="O1162" s="27"/>
      <c r="P1162" s="28"/>
      <c r="Q1162" s="28"/>
      <c r="R1162" s="28"/>
      <c r="S1162" s="28"/>
    </row>
    <row r="1163" spans="1:20" ht="14.25" thickBot="1" x14ac:dyDescent="0.2">
      <c r="A1163" s="1" t="s">
        <v>0</v>
      </c>
      <c r="B1163" s="183" t="s">
        <v>12</v>
      </c>
      <c r="C1163" s="183"/>
      <c r="D1163" s="183"/>
      <c r="E1163" s="184"/>
      <c r="F1163" s="183" t="s">
        <v>10</v>
      </c>
      <c r="G1163" s="183"/>
      <c r="H1163" s="183"/>
      <c r="I1163" s="184"/>
      <c r="K1163" s="1" t="s">
        <v>0</v>
      </c>
      <c r="L1163" s="182" t="s">
        <v>12</v>
      </c>
      <c r="M1163" s="183"/>
      <c r="N1163" s="183"/>
      <c r="O1163" s="184"/>
      <c r="P1163" s="182" t="s">
        <v>10</v>
      </c>
      <c r="Q1163" s="183"/>
      <c r="R1163" s="183"/>
      <c r="S1163" s="184"/>
    </row>
    <row r="1164" spans="1:20" ht="14.25" thickBot="1" x14ac:dyDescent="0.2">
      <c r="A1164" s="1" t="s">
        <v>1</v>
      </c>
      <c r="B1164" s="2" t="s">
        <v>7</v>
      </c>
      <c r="C1164" s="1" t="s">
        <v>8</v>
      </c>
      <c r="D1164" s="15" t="s">
        <v>9</v>
      </c>
      <c r="E1164" s="1" t="s">
        <v>2</v>
      </c>
      <c r="F1164" s="2" t="s">
        <v>7</v>
      </c>
      <c r="G1164" s="1" t="s">
        <v>8</v>
      </c>
      <c r="H1164" s="15" t="s">
        <v>9</v>
      </c>
      <c r="I1164" s="1" t="s">
        <v>2</v>
      </c>
      <c r="K1164" s="1" t="s">
        <v>1</v>
      </c>
      <c r="L1164" s="2" t="s">
        <v>7</v>
      </c>
      <c r="M1164" s="1" t="s">
        <v>8</v>
      </c>
      <c r="N1164" s="15" t="s">
        <v>9</v>
      </c>
      <c r="O1164" s="1" t="s">
        <v>2</v>
      </c>
      <c r="P1164" s="2" t="s">
        <v>7</v>
      </c>
      <c r="Q1164" s="1" t="s">
        <v>8</v>
      </c>
      <c r="R1164" s="15" t="s">
        <v>9</v>
      </c>
      <c r="S1164" s="1" t="s">
        <v>2</v>
      </c>
    </row>
    <row r="1165" spans="1:20" ht="14.25" thickBot="1" x14ac:dyDescent="0.2">
      <c r="A1165" s="41" t="s">
        <v>13</v>
      </c>
      <c r="B1165" s="42">
        <f>B1159</f>
        <v>6</v>
      </c>
      <c r="C1165" s="43">
        <f>C1159</f>
        <v>6</v>
      </c>
      <c r="D1165" s="44">
        <f>D1159</f>
        <v>4</v>
      </c>
      <c r="E1165" s="45">
        <f t="shared" ref="E1165" si="581">SUM(B1165:D1165)</f>
        <v>16</v>
      </c>
      <c r="F1165" s="42">
        <f>F1159</f>
        <v>6</v>
      </c>
      <c r="G1165" s="43">
        <f>G1159</f>
        <v>6</v>
      </c>
      <c r="H1165" s="44">
        <f>H1159</f>
        <v>4</v>
      </c>
      <c r="I1165" s="45">
        <f t="shared" ref="I1165:I1201" si="582">SUM(F1165:H1165)</f>
        <v>16</v>
      </c>
      <c r="K1165" s="34" t="s">
        <v>13</v>
      </c>
      <c r="L1165" s="35">
        <f>L1159</f>
        <v>322</v>
      </c>
      <c r="M1165" s="35">
        <f t="shared" ref="M1165:N1165" si="583">M1159</f>
        <v>385</v>
      </c>
      <c r="N1165" s="35">
        <f t="shared" si="583"/>
        <v>237</v>
      </c>
      <c r="O1165" s="20">
        <f t="shared" ref="O1165:O1201" si="584">SUM(L1165:N1165)</f>
        <v>944</v>
      </c>
      <c r="P1165" s="35">
        <f>P1159</f>
        <v>322</v>
      </c>
      <c r="Q1165" s="36">
        <f t="shared" ref="Q1165:R1165" si="585">Q1159</f>
        <v>385</v>
      </c>
      <c r="R1165" s="37">
        <f t="shared" si="585"/>
        <v>237</v>
      </c>
      <c r="S1165" s="20">
        <f t="shared" ref="S1165:S1201" si="586">SUM(P1165:R1165)</f>
        <v>944</v>
      </c>
    </row>
    <row r="1166" spans="1:20" x14ac:dyDescent="0.15">
      <c r="A1166" s="6" t="s">
        <v>91</v>
      </c>
      <c r="B1166" s="14"/>
      <c r="C1166" s="11"/>
      <c r="D1166" s="14">
        <v>-1</v>
      </c>
      <c r="E1166" s="4">
        <f t="shared" ref="E1166:E1168" si="587">SUM(B1166:D1166)</f>
        <v>-1</v>
      </c>
      <c r="F1166" s="14"/>
      <c r="G1166" s="11"/>
      <c r="H1166" s="14">
        <v>-1</v>
      </c>
      <c r="I1166" s="4">
        <f t="shared" si="582"/>
        <v>-1</v>
      </c>
      <c r="J1166" s="56">
        <v>46181</v>
      </c>
      <c r="K1166" s="5" t="s">
        <v>3</v>
      </c>
      <c r="L1166" s="14"/>
      <c r="M1166" s="11"/>
      <c r="N1166" s="14"/>
      <c r="O1166" s="4">
        <f t="shared" si="584"/>
        <v>0</v>
      </c>
      <c r="P1166" s="14"/>
      <c r="Q1166" s="11"/>
      <c r="R1166" s="14"/>
      <c r="S1166" s="4">
        <f t="shared" si="586"/>
        <v>0</v>
      </c>
    </row>
    <row r="1167" spans="1:20" x14ac:dyDescent="0.15">
      <c r="A1167" s="168" t="s">
        <v>3</v>
      </c>
      <c r="B1167" s="169"/>
      <c r="C1167" s="170">
        <v>5</v>
      </c>
      <c r="D1167" s="169"/>
      <c r="E1167" s="171">
        <f t="shared" si="587"/>
        <v>5</v>
      </c>
      <c r="F1167" s="169"/>
      <c r="G1167" s="170">
        <v>5</v>
      </c>
      <c r="H1167" s="169"/>
      <c r="I1167" s="171">
        <f t="shared" si="582"/>
        <v>5</v>
      </c>
      <c r="J1167" s="172">
        <v>46184</v>
      </c>
      <c r="K1167" s="5" t="s">
        <v>3</v>
      </c>
      <c r="L1167" s="14"/>
      <c r="M1167" s="11"/>
      <c r="N1167" s="14"/>
      <c r="O1167" s="4">
        <f t="shared" ref="O1167:O1170" si="588">SUM(L1167:N1167)</f>
        <v>0</v>
      </c>
      <c r="P1167" s="14"/>
      <c r="Q1167" s="11"/>
      <c r="R1167" s="14"/>
      <c r="S1167" s="4">
        <f t="shared" ref="S1167:S1170" si="589">SUM(P1167:R1167)</f>
        <v>0</v>
      </c>
    </row>
    <row r="1168" spans="1:20" x14ac:dyDescent="0.15">
      <c r="A1168" s="6" t="s">
        <v>3</v>
      </c>
      <c r="B1168" s="14"/>
      <c r="C1168" s="11"/>
      <c r="D1168" s="14">
        <v>5</v>
      </c>
      <c r="E1168" s="4">
        <f t="shared" si="587"/>
        <v>5</v>
      </c>
      <c r="F1168" s="14"/>
      <c r="G1168" s="11"/>
      <c r="H1168" s="14">
        <v>5</v>
      </c>
      <c r="I1168" s="4">
        <f t="shared" si="582"/>
        <v>5</v>
      </c>
      <c r="J1168" s="47">
        <v>46188</v>
      </c>
      <c r="K1168" s="5" t="s">
        <v>3</v>
      </c>
      <c r="L1168" s="14"/>
      <c r="M1168" s="11"/>
      <c r="N1168" s="14"/>
      <c r="O1168" s="4">
        <f t="shared" si="588"/>
        <v>0</v>
      </c>
      <c r="P1168" s="14"/>
      <c r="Q1168" s="11"/>
      <c r="R1168" s="14"/>
      <c r="S1168" s="4">
        <f t="shared" si="589"/>
        <v>0</v>
      </c>
    </row>
    <row r="1169" spans="1:21" x14ac:dyDescent="0.15">
      <c r="A1169" s="6" t="s">
        <v>668</v>
      </c>
      <c r="B1169" s="14">
        <v>2</v>
      </c>
      <c r="C1169" s="11">
        <v>2</v>
      </c>
      <c r="D1169" s="14">
        <v>2</v>
      </c>
      <c r="E1169" s="4">
        <f t="shared" ref="E1169:E1183" si="590">SUM(B1169:D1169)</f>
        <v>6</v>
      </c>
      <c r="F1169" s="14">
        <v>2</v>
      </c>
      <c r="G1169" s="11">
        <v>2</v>
      </c>
      <c r="H1169" s="14">
        <v>2</v>
      </c>
      <c r="I1169" s="4">
        <f t="shared" si="582"/>
        <v>6</v>
      </c>
      <c r="J1169" s="56">
        <v>46191</v>
      </c>
      <c r="K1169" s="5" t="s">
        <v>508</v>
      </c>
      <c r="L1169" s="14">
        <v>180</v>
      </c>
      <c r="M1169" s="11">
        <v>240</v>
      </c>
      <c r="N1169" s="14">
        <v>150</v>
      </c>
      <c r="O1169" s="4">
        <f t="shared" si="588"/>
        <v>570</v>
      </c>
      <c r="P1169" s="14">
        <v>180</v>
      </c>
      <c r="Q1169" s="11">
        <v>240</v>
      </c>
      <c r="R1169" s="14">
        <v>150</v>
      </c>
      <c r="S1169" s="4">
        <f t="shared" si="589"/>
        <v>570</v>
      </c>
      <c r="T1169" s="47" t="s">
        <v>666</v>
      </c>
    </row>
    <row r="1170" spans="1:21" x14ac:dyDescent="0.15">
      <c r="A1170" s="6" t="s">
        <v>3</v>
      </c>
      <c r="B1170" s="14"/>
      <c r="C1170" s="11"/>
      <c r="D1170" s="14"/>
      <c r="E1170" s="4">
        <f t="shared" si="590"/>
        <v>0</v>
      </c>
      <c r="F1170" s="14"/>
      <c r="G1170" s="11"/>
      <c r="H1170" s="14"/>
      <c r="I1170" s="4">
        <f t="shared" si="582"/>
        <v>0</v>
      </c>
      <c r="K1170" s="5" t="s">
        <v>3</v>
      </c>
      <c r="L1170" s="14"/>
      <c r="M1170" s="11"/>
      <c r="N1170" s="14"/>
      <c r="O1170" s="4">
        <f t="shared" si="588"/>
        <v>0</v>
      </c>
      <c r="P1170" s="14"/>
      <c r="Q1170" s="11"/>
      <c r="R1170" s="14"/>
      <c r="S1170" s="4">
        <f t="shared" si="589"/>
        <v>0</v>
      </c>
      <c r="T1170" s="55"/>
    </row>
    <row r="1171" spans="1:21" x14ac:dyDescent="0.15">
      <c r="A1171" s="6" t="s">
        <v>3</v>
      </c>
      <c r="B1171" s="14"/>
      <c r="C1171" s="11"/>
      <c r="D1171" s="14"/>
      <c r="E1171" s="4">
        <f t="shared" si="590"/>
        <v>0</v>
      </c>
      <c r="F1171" s="14"/>
      <c r="G1171" s="11"/>
      <c r="H1171" s="14"/>
      <c r="I1171" s="4">
        <f t="shared" si="582"/>
        <v>0</v>
      </c>
      <c r="K1171" s="5" t="s">
        <v>3</v>
      </c>
      <c r="L1171" s="14"/>
      <c r="M1171" s="11"/>
      <c r="N1171" s="14"/>
      <c r="O1171" s="4">
        <f t="shared" si="584"/>
        <v>0</v>
      </c>
      <c r="P1171" s="14"/>
      <c r="Q1171" s="11"/>
      <c r="R1171" s="14"/>
      <c r="S1171" s="4">
        <f t="shared" si="586"/>
        <v>0</v>
      </c>
    </row>
    <row r="1172" spans="1:21" x14ac:dyDescent="0.15">
      <c r="A1172" s="6" t="s">
        <v>3</v>
      </c>
      <c r="B1172" s="14"/>
      <c r="C1172" s="11"/>
      <c r="D1172" s="14"/>
      <c r="E1172" s="4">
        <f t="shared" si="590"/>
        <v>0</v>
      </c>
      <c r="F1172" s="14"/>
      <c r="G1172" s="11"/>
      <c r="H1172" s="14"/>
      <c r="I1172" s="4">
        <f t="shared" si="582"/>
        <v>0</v>
      </c>
      <c r="K1172" s="5" t="s">
        <v>3</v>
      </c>
      <c r="L1172" s="14"/>
      <c r="M1172" s="11"/>
      <c r="N1172" s="14"/>
      <c r="O1172" s="4">
        <f t="shared" si="584"/>
        <v>0</v>
      </c>
      <c r="P1172" s="14"/>
      <c r="Q1172" s="11"/>
      <c r="R1172" s="14"/>
      <c r="S1172" s="4">
        <f t="shared" si="586"/>
        <v>0</v>
      </c>
    </row>
    <row r="1173" spans="1:21" x14ac:dyDescent="0.15">
      <c r="A1173" s="6" t="s">
        <v>3</v>
      </c>
      <c r="B1173" s="23"/>
      <c r="C1173" s="24"/>
      <c r="D1173" s="25"/>
      <c r="E1173" s="7">
        <f t="shared" si="590"/>
        <v>0</v>
      </c>
      <c r="F1173" s="23"/>
      <c r="G1173" s="24"/>
      <c r="H1173" s="25"/>
      <c r="I1173" s="7">
        <f t="shared" si="582"/>
        <v>0</v>
      </c>
      <c r="K1173" s="5" t="s">
        <v>3</v>
      </c>
      <c r="L1173" s="14"/>
      <c r="M1173" s="11"/>
      <c r="N1173" s="14"/>
      <c r="O1173" s="4">
        <f t="shared" si="584"/>
        <v>0</v>
      </c>
      <c r="P1173" s="14"/>
      <c r="Q1173" s="11"/>
      <c r="R1173" s="14"/>
      <c r="S1173" s="4">
        <f t="shared" si="586"/>
        <v>0</v>
      </c>
    </row>
    <row r="1174" spans="1:21" x14ac:dyDescent="0.15">
      <c r="A1174" s="6" t="s">
        <v>3</v>
      </c>
      <c r="B1174" s="23"/>
      <c r="C1174" s="24"/>
      <c r="D1174" s="25"/>
      <c r="E1174" s="7">
        <f t="shared" si="590"/>
        <v>0</v>
      </c>
      <c r="F1174" s="23"/>
      <c r="G1174" s="24"/>
      <c r="H1174" s="25"/>
      <c r="I1174" s="7">
        <f t="shared" si="582"/>
        <v>0</v>
      </c>
      <c r="K1174" s="5" t="s">
        <v>3</v>
      </c>
      <c r="L1174" s="14"/>
      <c r="M1174" s="11"/>
      <c r="N1174" s="14"/>
      <c r="O1174" s="4">
        <f t="shared" si="584"/>
        <v>0</v>
      </c>
      <c r="P1174" s="14"/>
      <c r="Q1174" s="11"/>
      <c r="R1174" s="14"/>
      <c r="S1174" s="4">
        <f t="shared" si="586"/>
        <v>0</v>
      </c>
    </row>
    <row r="1175" spans="1:21" ht="14.25" thickBot="1" x14ac:dyDescent="0.2">
      <c r="A1175" s="6" t="s">
        <v>3</v>
      </c>
      <c r="B1175" s="29"/>
      <c r="C1175" s="30"/>
      <c r="D1175" s="29"/>
      <c r="E1175" s="16">
        <f t="shared" si="590"/>
        <v>0</v>
      </c>
      <c r="F1175" s="29"/>
      <c r="G1175" s="30"/>
      <c r="H1175" s="29"/>
      <c r="I1175" s="16">
        <f t="shared" si="582"/>
        <v>0</v>
      </c>
      <c r="K1175" s="33" t="s">
        <v>3</v>
      </c>
      <c r="L1175" s="29"/>
      <c r="M1175" s="30"/>
      <c r="N1175" s="29"/>
      <c r="O1175" s="16">
        <f t="shared" si="584"/>
        <v>0</v>
      </c>
      <c r="P1175" s="29"/>
      <c r="Q1175" s="30"/>
      <c r="R1175" s="29"/>
      <c r="S1175" s="16">
        <f t="shared" si="586"/>
        <v>0</v>
      </c>
    </row>
    <row r="1176" spans="1:21" ht="14.25" thickBot="1" x14ac:dyDescent="0.2">
      <c r="A1176" s="17" t="s">
        <v>4</v>
      </c>
      <c r="B1176" s="18">
        <f>SUM(B1165:B1175)</f>
        <v>8</v>
      </c>
      <c r="C1176" s="18">
        <f>SUM(C1165:C1175)</f>
        <v>13</v>
      </c>
      <c r="D1176" s="19">
        <f>SUM(D1165:D1175)</f>
        <v>10</v>
      </c>
      <c r="E1176" s="20">
        <f t="shared" si="590"/>
        <v>31</v>
      </c>
      <c r="F1176" s="18">
        <f>SUM(F1165:F1175)</f>
        <v>8</v>
      </c>
      <c r="G1176" s="18">
        <f>SUM(G1165:G1175)</f>
        <v>13</v>
      </c>
      <c r="H1176" s="19">
        <f>SUM(H1165:H1175)</f>
        <v>10</v>
      </c>
      <c r="I1176" s="20">
        <f t="shared" si="582"/>
        <v>31</v>
      </c>
      <c r="K1176" s="17" t="s">
        <v>4</v>
      </c>
      <c r="L1176" s="18">
        <f>SUM(L1165:L1175)</f>
        <v>502</v>
      </c>
      <c r="M1176" s="18">
        <f>SUM(M1165:M1175)</f>
        <v>625</v>
      </c>
      <c r="N1176" s="18">
        <f>SUM(N1165:N1175)</f>
        <v>387</v>
      </c>
      <c r="O1176" s="20">
        <f t="shared" si="584"/>
        <v>1514</v>
      </c>
      <c r="P1176" s="18">
        <f>SUM(P1165:P1175)</f>
        <v>502</v>
      </c>
      <c r="Q1176" s="18">
        <f>SUM(Q1165:Q1175)</f>
        <v>625</v>
      </c>
      <c r="R1176" s="19">
        <f>SUM(R1165:R1175)</f>
        <v>387</v>
      </c>
      <c r="S1176" s="20">
        <f t="shared" si="586"/>
        <v>1514</v>
      </c>
    </row>
    <row r="1177" spans="1:21" x14ac:dyDescent="0.15">
      <c r="A1177" s="3" t="s">
        <v>132</v>
      </c>
      <c r="B1177" s="8"/>
      <c r="C1177" s="9">
        <v>1</v>
      </c>
      <c r="D1177" s="10"/>
      <c r="E1177" s="7">
        <f t="shared" si="590"/>
        <v>1</v>
      </c>
      <c r="F1177" s="8"/>
      <c r="G1177" s="9">
        <v>1</v>
      </c>
      <c r="H1177" s="10"/>
      <c r="I1177" s="7">
        <f t="shared" si="582"/>
        <v>1</v>
      </c>
      <c r="J1177" s="47">
        <v>46181</v>
      </c>
      <c r="K1177" s="3" t="s">
        <v>662</v>
      </c>
      <c r="L1177" s="8">
        <v>3</v>
      </c>
      <c r="M1177" s="9">
        <v>3</v>
      </c>
      <c r="N1177" s="10">
        <v>3</v>
      </c>
      <c r="O1177" s="7">
        <f t="shared" si="584"/>
        <v>9</v>
      </c>
      <c r="P1177" s="8">
        <v>3</v>
      </c>
      <c r="Q1177" s="9">
        <v>3</v>
      </c>
      <c r="R1177" s="10">
        <v>3</v>
      </c>
      <c r="S1177" s="7">
        <f t="shared" si="586"/>
        <v>9</v>
      </c>
      <c r="T1177" s="47">
        <v>46184</v>
      </c>
    </row>
    <row r="1178" spans="1:21" x14ac:dyDescent="0.15">
      <c r="A1178" s="3" t="s">
        <v>132</v>
      </c>
      <c r="B1178" s="8"/>
      <c r="C1178" s="9">
        <v>2</v>
      </c>
      <c r="D1178" s="10"/>
      <c r="E1178" s="7">
        <f t="shared" si="590"/>
        <v>2</v>
      </c>
      <c r="F1178" s="8"/>
      <c r="G1178" s="9">
        <v>2</v>
      </c>
      <c r="H1178" s="10"/>
      <c r="I1178" s="7">
        <f t="shared" si="582"/>
        <v>2</v>
      </c>
      <c r="J1178" s="47">
        <v>46183</v>
      </c>
      <c r="K1178" s="3" t="s">
        <v>573</v>
      </c>
      <c r="L1178" s="8">
        <v>20</v>
      </c>
      <c r="M1178" s="9">
        <v>25</v>
      </c>
      <c r="N1178" s="10">
        <v>15</v>
      </c>
      <c r="O1178" s="7">
        <f t="shared" si="584"/>
        <v>60</v>
      </c>
      <c r="P1178" s="8">
        <v>20</v>
      </c>
      <c r="Q1178" s="9">
        <v>25</v>
      </c>
      <c r="R1178" s="10">
        <v>15</v>
      </c>
      <c r="S1178" s="7">
        <f t="shared" si="586"/>
        <v>60</v>
      </c>
      <c r="T1178" s="47">
        <v>46183</v>
      </c>
      <c r="U1178" s="54"/>
    </row>
    <row r="1179" spans="1:21" x14ac:dyDescent="0.15">
      <c r="A1179" s="3" t="s">
        <v>132</v>
      </c>
      <c r="B1179" s="8"/>
      <c r="C1179" s="9">
        <v>2</v>
      </c>
      <c r="D1179" s="10"/>
      <c r="E1179" s="7">
        <f t="shared" si="590"/>
        <v>2</v>
      </c>
      <c r="F1179" s="8"/>
      <c r="G1179" s="9">
        <v>2</v>
      </c>
      <c r="H1179" s="10"/>
      <c r="I1179" s="7">
        <f t="shared" si="582"/>
        <v>2</v>
      </c>
      <c r="J1179" s="47">
        <v>46185</v>
      </c>
      <c r="K1179" s="3" t="s">
        <v>132</v>
      </c>
      <c r="L1179" s="8"/>
      <c r="M1179" s="9">
        <v>4</v>
      </c>
      <c r="N1179" s="10"/>
      <c r="O1179" s="7">
        <f t="shared" si="584"/>
        <v>4</v>
      </c>
      <c r="P1179" s="8"/>
      <c r="Q1179" s="9">
        <v>4</v>
      </c>
      <c r="R1179" s="10"/>
      <c r="S1179" s="7">
        <f t="shared" si="586"/>
        <v>4</v>
      </c>
      <c r="T1179" s="47">
        <v>46184</v>
      </c>
    </row>
    <row r="1180" spans="1:21" x14ac:dyDescent="0.15">
      <c r="A1180" s="3" t="s">
        <v>132</v>
      </c>
      <c r="B1180" s="8"/>
      <c r="C1180" s="9"/>
      <c r="D1180" s="10">
        <v>1</v>
      </c>
      <c r="E1180" s="7">
        <f t="shared" si="590"/>
        <v>1</v>
      </c>
      <c r="F1180" s="8"/>
      <c r="G1180" s="9"/>
      <c r="H1180" s="10">
        <v>1</v>
      </c>
      <c r="I1180" s="7">
        <f t="shared" si="582"/>
        <v>1</v>
      </c>
      <c r="J1180" s="47">
        <v>46185</v>
      </c>
      <c r="K1180" s="173" t="s">
        <v>641</v>
      </c>
      <c r="L1180" s="174"/>
      <c r="M1180" s="175">
        <v>5</v>
      </c>
      <c r="N1180" s="176"/>
      <c r="O1180" s="177">
        <f t="shared" si="584"/>
        <v>5</v>
      </c>
      <c r="P1180" s="174"/>
      <c r="Q1180" s="175">
        <v>5</v>
      </c>
      <c r="R1180" s="176"/>
      <c r="S1180" s="177">
        <f t="shared" si="586"/>
        <v>5</v>
      </c>
      <c r="T1180" s="172">
        <v>46184</v>
      </c>
      <c r="U1180" s="181"/>
    </row>
    <row r="1181" spans="1:21" x14ac:dyDescent="0.15">
      <c r="A1181" s="3" t="s">
        <v>132</v>
      </c>
      <c r="B1181" s="8"/>
      <c r="C1181" s="9"/>
      <c r="D1181" s="10">
        <v>1</v>
      </c>
      <c r="E1181" s="7">
        <f t="shared" si="590"/>
        <v>1</v>
      </c>
      <c r="F1181" s="8"/>
      <c r="G1181" s="9"/>
      <c r="H1181" s="10">
        <v>1</v>
      </c>
      <c r="I1181" s="7">
        <f t="shared" si="582"/>
        <v>1</v>
      </c>
      <c r="J1181" s="47">
        <v>46188</v>
      </c>
      <c r="K1181" s="3" t="s">
        <v>641</v>
      </c>
      <c r="L1181" s="8"/>
      <c r="M1181" s="9"/>
      <c r="N1181" s="10">
        <v>5</v>
      </c>
      <c r="O1181" s="7">
        <f t="shared" si="584"/>
        <v>5</v>
      </c>
      <c r="P1181" s="8"/>
      <c r="Q1181" s="9"/>
      <c r="R1181" s="10">
        <v>5</v>
      </c>
      <c r="S1181" s="7">
        <f t="shared" si="586"/>
        <v>5</v>
      </c>
      <c r="T1181" s="47">
        <v>46188</v>
      </c>
    </row>
    <row r="1182" spans="1:21" x14ac:dyDescent="0.15">
      <c r="A1182" s="3"/>
      <c r="B1182" s="8"/>
      <c r="C1182" s="9"/>
      <c r="D1182" s="10"/>
      <c r="E1182" s="7">
        <f t="shared" si="590"/>
        <v>0</v>
      </c>
      <c r="F1182" s="8"/>
      <c r="G1182" s="9"/>
      <c r="H1182" s="10"/>
      <c r="I1182" s="7">
        <f t="shared" si="582"/>
        <v>0</v>
      </c>
      <c r="J1182" s="55"/>
      <c r="K1182" s="3" t="s">
        <v>132</v>
      </c>
      <c r="L1182" s="8">
        <v>4</v>
      </c>
      <c r="M1182" s="9"/>
      <c r="N1182" s="10"/>
      <c r="O1182" s="7">
        <f t="shared" si="584"/>
        <v>4</v>
      </c>
      <c r="P1182" s="8">
        <v>4</v>
      </c>
      <c r="Q1182" s="9"/>
      <c r="R1182" s="10"/>
      <c r="S1182" s="7">
        <f t="shared" si="586"/>
        <v>4</v>
      </c>
      <c r="T1182" s="47">
        <v>46190</v>
      </c>
    </row>
    <row r="1183" spans="1:21" x14ac:dyDescent="0.15">
      <c r="A1183" s="3"/>
      <c r="B1183" s="8"/>
      <c r="C1183" s="9"/>
      <c r="D1183" s="10"/>
      <c r="E1183" s="7">
        <f t="shared" si="590"/>
        <v>0</v>
      </c>
      <c r="F1183" s="8"/>
      <c r="G1183" s="9"/>
      <c r="H1183" s="10"/>
      <c r="I1183" s="7">
        <f t="shared" si="582"/>
        <v>0</v>
      </c>
      <c r="K1183" s="3" t="s">
        <v>132</v>
      </c>
      <c r="L1183" s="8">
        <v>2</v>
      </c>
      <c r="M1183" s="9">
        <v>3</v>
      </c>
      <c r="N1183" s="10">
        <v>2</v>
      </c>
      <c r="O1183" s="7">
        <f t="shared" si="584"/>
        <v>7</v>
      </c>
      <c r="P1183" s="8">
        <v>2</v>
      </c>
      <c r="Q1183" s="9">
        <v>3</v>
      </c>
      <c r="R1183" s="10">
        <v>2</v>
      </c>
      <c r="S1183" s="7">
        <f t="shared" si="586"/>
        <v>7</v>
      </c>
      <c r="T1183" s="47">
        <v>46191</v>
      </c>
    </row>
    <row r="1184" spans="1:21" x14ac:dyDescent="0.15">
      <c r="A1184" s="3"/>
      <c r="B1184" s="8"/>
      <c r="C1184" s="9"/>
      <c r="D1184" s="10"/>
      <c r="E1184" s="7">
        <f t="shared" ref="E1184:E1201" si="591">SUM(B1184:D1184)</f>
        <v>0</v>
      </c>
      <c r="F1184" s="8"/>
      <c r="G1184" s="9"/>
      <c r="H1184" s="10"/>
      <c r="I1184" s="7">
        <f t="shared" si="582"/>
        <v>0</v>
      </c>
      <c r="K1184" s="3"/>
      <c r="L1184" s="8"/>
      <c r="M1184" s="9"/>
      <c r="N1184" s="10"/>
      <c r="O1184" s="7">
        <f t="shared" si="584"/>
        <v>0</v>
      </c>
      <c r="P1184" s="8"/>
      <c r="Q1184" s="9"/>
      <c r="R1184" s="10"/>
      <c r="S1184" s="7">
        <f t="shared" si="586"/>
        <v>0</v>
      </c>
    </row>
    <row r="1185" spans="1:21" x14ac:dyDescent="0.15">
      <c r="A1185" s="3"/>
      <c r="B1185" s="8"/>
      <c r="C1185" s="9"/>
      <c r="D1185" s="10"/>
      <c r="E1185" s="7">
        <f t="shared" si="591"/>
        <v>0</v>
      </c>
      <c r="F1185" s="8"/>
      <c r="G1185" s="9"/>
      <c r="H1185" s="10"/>
      <c r="I1185" s="7">
        <f t="shared" si="582"/>
        <v>0</v>
      </c>
      <c r="K1185" s="3"/>
      <c r="L1185" s="8"/>
      <c r="M1185" s="9"/>
      <c r="N1185" s="10"/>
      <c r="O1185" s="7">
        <f t="shared" si="584"/>
        <v>0</v>
      </c>
      <c r="P1185" s="8"/>
      <c r="Q1185" s="9"/>
      <c r="R1185" s="10"/>
      <c r="S1185" s="7">
        <f t="shared" si="586"/>
        <v>0</v>
      </c>
    </row>
    <row r="1186" spans="1:21" x14ac:dyDescent="0.15">
      <c r="A1186" s="3"/>
      <c r="B1186" s="8"/>
      <c r="C1186" s="9"/>
      <c r="D1186" s="10"/>
      <c r="E1186" s="7">
        <f t="shared" si="591"/>
        <v>0</v>
      </c>
      <c r="F1186" s="8"/>
      <c r="G1186" s="9"/>
      <c r="H1186" s="10"/>
      <c r="I1186" s="7">
        <f t="shared" si="582"/>
        <v>0</v>
      </c>
      <c r="K1186" s="3"/>
      <c r="L1186" s="8"/>
      <c r="M1186" s="9"/>
      <c r="N1186" s="10"/>
      <c r="O1186" s="7">
        <f t="shared" si="584"/>
        <v>0</v>
      </c>
      <c r="P1186" s="8"/>
      <c r="Q1186" s="9"/>
      <c r="R1186" s="10"/>
      <c r="S1186" s="7">
        <f t="shared" si="586"/>
        <v>0</v>
      </c>
    </row>
    <row r="1187" spans="1:21" x14ac:dyDescent="0.15">
      <c r="A1187" s="3"/>
      <c r="B1187" s="8"/>
      <c r="C1187" s="9"/>
      <c r="D1187" s="10"/>
      <c r="E1187" s="7">
        <f t="shared" si="591"/>
        <v>0</v>
      </c>
      <c r="F1187" s="8"/>
      <c r="G1187" s="9"/>
      <c r="H1187" s="10"/>
      <c r="I1187" s="7">
        <f t="shared" si="582"/>
        <v>0</v>
      </c>
      <c r="K1187" s="3"/>
      <c r="L1187" s="8"/>
      <c r="M1187" s="9"/>
      <c r="N1187" s="10"/>
      <c r="O1187" s="7">
        <f t="shared" si="584"/>
        <v>0</v>
      </c>
      <c r="P1187" s="8"/>
      <c r="Q1187" s="9"/>
      <c r="R1187" s="10"/>
      <c r="S1187" s="7">
        <f t="shared" si="586"/>
        <v>0</v>
      </c>
    </row>
    <row r="1188" spans="1:21" x14ac:dyDescent="0.15">
      <c r="A1188" s="3"/>
      <c r="B1188" s="8"/>
      <c r="C1188" s="9"/>
      <c r="D1188" s="10"/>
      <c r="E1188" s="7">
        <f t="shared" si="591"/>
        <v>0</v>
      </c>
      <c r="F1188" s="8"/>
      <c r="G1188" s="9"/>
      <c r="H1188" s="10"/>
      <c r="I1188" s="7">
        <f t="shared" si="582"/>
        <v>0</v>
      </c>
      <c r="K1188" s="3"/>
      <c r="L1188" s="8"/>
      <c r="M1188" s="9"/>
      <c r="N1188" s="10"/>
      <c r="O1188" s="7">
        <f t="shared" si="584"/>
        <v>0</v>
      </c>
      <c r="P1188" s="8"/>
      <c r="Q1188" s="9"/>
      <c r="R1188" s="10"/>
      <c r="S1188" s="7">
        <f t="shared" si="586"/>
        <v>0</v>
      </c>
    </row>
    <row r="1189" spans="1:21" x14ac:dyDescent="0.15">
      <c r="A1189" s="3"/>
      <c r="B1189" s="8"/>
      <c r="C1189" s="9"/>
      <c r="D1189" s="10"/>
      <c r="E1189" s="7">
        <f t="shared" si="591"/>
        <v>0</v>
      </c>
      <c r="F1189" s="8"/>
      <c r="G1189" s="9"/>
      <c r="H1189" s="10"/>
      <c r="I1189" s="7">
        <f t="shared" si="582"/>
        <v>0</v>
      </c>
      <c r="K1189" s="3"/>
      <c r="L1189" s="8"/>
      <c r="M1189" s="9"/>
      <c r="N1189" s="10"/>
      <c r="O1189" s="7">
        <f t="shared" si="584"/>
        <v>0</v>
      </c>
      <c r="P1189" s="8"/>
      <c r="Q1189" s="9"/>
      <c r="R1189" s="10"/>
      <c r="S1189" s="7">
        <f t="shared" si="586"/>
        <v>0</v>
      </c>
    </row>
    <row r="1190" spans="1:21" x14ac:dyDescent="0.15">
      <c r="A1190" s="3"/>
      <c r="B1190" s="8"/>
      <c r="C1190" s="9"/>
      <c r="D1190" s="10"/>
      <c r="E1190" s="7">
        <f t="shared" si="591"/>
        <v>0</v>
      </c>
      <c r="F1190" s="8"/>
      <c r="G1190" s="9"/>
      <c r="H1190" s="10"/>
      <c r="I1190" s="7">
        <f t="shared" si="582"/>
        <v>0</v>
      </c>
      <c r="K1190" s="32"/>
      <c r="L1190" s="8"/>
      <c r="M1190" s="9"/>
      <c r="N1190" s="10"/>
      <c r="O1190" s="7">
        <f t="shared" si="584"/>
        <v>0</v>
      </c>
      <c r="P1190" s="8"/>
      <c r="Q1190" s="9"/>
      <c r="R1190" s="10"/>
      <c r="S1190" s="7">
        <f t="shared" si="586"/>
        <v>0</v>
      </c>
    </row>
    <row r="1191" spans="1:21" x14ac:dyDescent="0.15">
      <c r="A1191" s="3"/>
      <c r="B1191" s="8"/>
      <c r="C1191" s="9"/>
      <c r="D1191" s="10"/>
      <c r="E1191" s="7">
        <f t="shared" si="591"/>
        <v>0</v>
      </c>
      <c r="F1191" s="8"/>
      <c r="G1191" s="9"/>
      <c r="H1191" s="10"/>
      <c r="I1191" s="7">
        <f t="shared" si="582"/>
        <v>0</v>
      </c>
      <c r="K1191" s="3"/>
      <c r="L1191" s="8"/>
      <c r="M1191" s="9"/>
      <c r="N1191" s="10"/>
      <c r="O1191" s="7">
        <f t="shared" si="584"/>
        <v>0</v>
      </c>
      <c r="P1191" s="8"/>
      <c r="Q1191" s="9"/>
      <c r="R1191" s="10"/>
      <c r="S1191" s="7">
        <f t="shared" si="586"/>
        <v>0</v>
      </c>
    </row>
    <row r="1192" spans="1:21" x14ac:dyDescent="0.15">
      <c r="A1192" s="3"/>
      <c r="B1192" s="8"/>
      <c r="C1192" s="9"/>
      <c r="D1192" s="10"/>
      <c r="E1192" s="7">
        <f t="shared" si="591"/>
        <v>0</v>
      </c>
      <c r="F1192" s="8"/>
      <c r="G1192" s="9"/>
      <c r="H1192" s="10"/>
      <c r="I1192" s="7">
        <f t="shared" si="582"/>
        <v>0</v>
      </c>
      <c r="K1192" s="3"/>
      <c r="L1192" s="8"/>
      <c r="M1192" s="9"/>
      <c r="N1192" s="10"/>
      <c r="O1192" s="7">
        <f t="shared" ref="O1192:O1196" si="592">SUM(L1192:N1192)</f>
        <v>0</v>
      </c>
      <c r="P1192" s="8"/>
      <c r="Q1192" s="9"/>
      <c r="R1192" s="10"/>
      <c r="S1192" s="7">
        <f t="shared" ref="S1192:S1196" si="593">SUM(P1192:R1192)</f>
        <v>0</v>
      </c>
    </row>
    <row r="1193" spans="1:21" x14ac:dyDescent="0.15">
      <c r="A1193" s="3"/>
      <c r="B1193" s="8"/>
      <c r="C1193" s="9"/>
      <c r="D1193" s="10"/>
      <c r="E1193" s="7">
        <f t="shared" si="591"/>
        <v>0</v>
      </c>
      <c r="F1193" s="8"/>
      <c r="G1193" s="9"/>
      <c r="H1193" s="10"/>
      <c r="I1193" s="7">
        <f t="shared" si="582"/>
        <v>0</v>
      </c>
      <c r="K1193" s="3"/>
      <c r="L1193" s="8"/>
      <c r="M1193" s="9"/>
      <c r="N1193" s="10"/>
      <c r="O1193" s="7">
        <f t="shared" si="592"/>
        <v>0</v>
      </c>
      <c r="P1193" s="8"/>
      <c r="Q1193" s="9"/>
      <c r="R1193" s="10"/>
      <c r="S1193" s="7">
        <f t="shared" si="593"/>
        <v>0</v>
      </c>
    </row>
    <row r="1194" spans="1:21" x14ac:dyDescent="0.15">
      <c r="A1194" s="3"/>
      <c r="B1194" s="8"/>
      <c r="C1194" s="9"/>
      <c r="D1194" s="10"/>
      <c r="E1194" s="7">
        <f t="shared" si="591"/>
        <v>0</v>
      </c>
      <c r="F1194" s="8"/>
      <c r="G1194" s="9"/>
      <c r="H1194" s="10"/>
      <c r="I1194" s="7">
        <f t="shared" si="582"/>
        <v>0</v>
      </c>
      <c r="K1194" s="3"/>
      <c r="L1194" s="8"/>
      <c r="M1194" s="9"/>
      <c r="N1194" s="10"/>
      <c r="O1194" s="7">
        <f t="shared" si="592"/>
        <v>0</v>
      </c>
      <c r="P1194" s="8"/>
      <c r="Q1194" s="9"/>
      <c r="R1194" s="10"/>
      <c r="S1194" s="7">
        <f t="shared" si="593"/>
        <v>0</v>
      </c>
    </row>
    <row r="1195" spans="1:21" x14ac:dyDescent="0.15">
      <c r="A1195" s="3"/>
      <c r="B1195" s="8"/>
      <c r="C1195" s="9"/>
      <c r="D1195" s="10"/>
      <c r="E1195" s="7">
        <f t="shared" si="591"/>
        <v>0</v>
      </c>
      <c r="F1195" s="8"/>
      <c r="G1195" s="9"/>
      <c r="H1195" s="10"/>
      <c r="I1195" s="7">
        <f t="shared" si="582"/>
        <v>0</v>
      </c>
      <c r="K1195" s="3"/>
      <c r="L1195" s="8"/>
      <c r="M1195" s="9"/>
      <c r="N1195" s="10"/>
      <c r="O1195" s="7">
        <f t="shared" si="592"/>
        <v>0</v>
      </c>
      <c r="P1195" s="8"/>
      <c r="Q1195" s="9"/>
      <c r="R1195" s="10"/>
      <c r="S1195" s="7">
        <f t="shared" si="593"/>
        <v>0</v>
      </c>
    </row>
    <row r="1196" spans="1:21" x14ac:dyDescent="0.15">
      <c r="A1196" s="3"/>
      <c r="B1196" s="8"/>
      <c r="C1196" s="9"/>
      <c r="D1196" s="10"/>
      <c r="E1196" s="7">
        <f t="shared" si="591"/>
        <v>0</v>
      </c>
      <c r="F1196" s="8"/>
      <c r="G1196" s="9"/>
      <c r="H1196" s="10"/>
      <c r="I1196" s="7">
        <f t="shared" si="582"/>
        <v>0</v>
      </c>
      <c r="K1196" s="3" t="s">
        <v>645</v>
      </c>
      <c r="L1196" s="8"/>
      <c r="M1196" s="9"/>
      <c r="N1196" s="10"/>
      <c r="O1196" s="7">
        <f t="shared" si="592"/>
        <v>0</v>
      </c>
      <c r="P1196" s="8"/>
      <c r="Q1196" s="9"/>
      <c r="R1196" s="10"/>
      <c r="S1196" s="7">
        <f t="shared" si="593"/>
        <v>0</v>
      </c>
      <c r="T1196" s="55" t="s">
        <v>644</v>
      </c>
      <c r="U1196" s="54"/>
    </row>
    <row r="1197" spans="1:21" x14ac:dyDescent="0.15">
      <c r="A1197" s="3"/>
      <c r="B1197" s="8"/>
      <c r="C1197" s="9"/>
      <c r="D1197" s="10"/>
      <c r="E1197" s="7">
        <f t="shared" si="591"/>
        <v>0</v>
      </c>
      <c r="F1197" s="8"/>
      <c r="G1197" s="9"/>
      <c r="H1197" s="10"/>
      <c r="I1197" s="7">
        <f t="shared" si="582"/>
        <v>0</v>
      </c>
      <c r="K1197" s="3" t="s">
        <v>636</v>
      </c>
      <c r="L1197" s="8"/>
      <c r="M1197" s="9"/>
      <c r="N1197" s="10"/>
      <c r="O1197" s="7">
        <f t="shared" ref="O1197" si="594">SUM(L1197:N1197)</f>
        <v>0</v>
      </c>
      <c r="P1197" s="8"/>
      <c r="Q1197" s="9"/>
      <c r="R1197" s="10"/>
      <c r="S1197" s="7">
        <f t="shared" ref="S1197" si="595">SUM(P1197:R1197)</f>
        <v>0</v>
      </c>
      <c r="T1197" s="55" t="s">
        <v>202</v>
      </c>
      <c r="U1197" s="54"/>
    </row>
    <row r="1198" spans="1:21" x14ac:dyDescent="0.15">
      <c r="A1198" s="3"/>
      <c r="B1198" s="8"/>
      <c r="C1198" s="9"/>
      <c r="D1198" s="10"/>
      <c r="E1198" s="7">
        <f t="shared" si="591"/>
        <v>0</v>
      </c>
      <c r="F1198" s="8"/>
      <c r="G1198" s="9"/>
      <c r="H1198" s="10"/>
      <c r="I1198" s="7">
        <f t="shared" si="582"/>
        <v>0</v>
      </c>
      <c r="K1198" s="162" t="s">
        <v>663</v>
      </c>
      <c r="L1198" s="158">
        <v>10</v>
      </c>
      <c r="M1198" s="159">
        <v>15</v>
      </c>
      <c r="N1198" s="160">
        <v>10</v>
      </c>
      <c r="O1198" s="161">
        <f t="shared" ref="O1198" si="596">SUM(L1198:N1198)</f>
        <v>35</v>
      </c>
      <c r="P1198" s="158">
        <v>10</v>
      </c>
      <c r="Q1198" s="159">
        <v>15</v>
      </c>
      <c r="R1198" s="160">
        <v>10</v>
      </c>
      <c r="S1198" s="161">
        <f t="shared" ref="S1198" si="597">SUM(P1198:R1198)</f>
        <v>35</v>
      </c>
      <c r="T1198" s="144" t="s">
        <v>664</v>
      </c>
    </row>
    <row r="1199" spans="1:21" x14ac:dyDescent="0.15">
      <c r="A1199" s="3"/>
      <c r="B1199" s="8"/>
      <c r="C1199" s="9"/>
      <c r="D1199" s="10"/>
      <c r="E1199" s="7">
        <f t="shared" si="591"/>
        <v>0</v>
      </c>
      <c r="F1199" s="8"/>
      <c r="G1199" s="9"/>
      <c r="H1199" s="10"/>
      <c r="I1199" s="7">
        <f t="shared" si="582"/>
        <v>0</v>
      </c>
      <c r="K1199" s="163" t="s">
        <v>630</v>
      </c>
      <c r="L1199" s="164">
        <v>0</v>
      </c>
      <c r="M1199" s="165">
        <v>0</v>
      </c>
      <c r="N1199" s="166">
        <v>0</v>
      </c>
      <c r="O1199" s="167">
        <f t="shared" ref="O1199:O1200" si="598">SUM(L1199:N1199)</f>
        <v>0</v>
      </c>
      <c r="P1199" s="164">
        <v>0</v>
      </c>
      <c r="Q1199" s="165">
        <v>0</v>
      </c>
      <c r="R1199" s="166">
        <v>0</v>
      </c>
      <c r="S1199" s="167">
        <f t="shared" ref="S1199:S1200" si="599">SUM(P1199:R1199)</f>
        <v>0</v>
      </c>
      <c r="T1199" s="144"/>
    </row>
    <row r="1200" spans="1:21" ht="14.25" thickBot="1" x14ac:dyDescent="0.2">
      <c r="A1200" s="3"/>
      <c r="B1200" s="8"/>
      <c r="C1200" s="9"/>
      <c r="D1200" s="10"/>
      <c r="E1200" s="7">
        <f t="shared" si="591"/>
        <v>0</v>
      </c>
      <c r="F1200" s="8"/>
      <c r="G1200" s="9"/>
      <c r="H1200" s="10"/>
      <c r="I1200" s="7">
        <f t="shared" si="582"/>
        <v>0</v>
      </c>
      <c r="K1200" s="162" t="s">
        <v>655</v>
      </c>
      <c r="L1200" s="158">
        <f>210-3</f>
        <v>207</v>
      </c>
      <c r="M1200" s="159">
        <f>270-3</f>
        <v>267</v>
      </c>
      <c r="N1200" s="160">
        <f>170-3</f>
        <v>167</v>
      </c>
      <c r="O1200" s="161">
        <f t="shared" si="598"/>
        <v>641</v>
      </c>
      <c r="P1200" s="158">
        <f>210-3</f>
        <v>207</v>
      </c>
      <c r="Q1200" s="159">
        <f>270-3</f>
        <v>267</v>
      </c>
      <c r="R1200" s="160">
        <f>170-3</f>
        <v>167</v>
      </c>
      <c r="S1200" s="161">
        <f t="shared" si="599"/>
        <v>641</v>
      </c>
      <c r="T1200" s="144" t="s">
        <v>629</v>
      </c>
    </row>
    <row r="1201" spans="1:20" ht="14.25" thickBot="1" x14ac:dyDescent="0.2">
      <c r="A1201" s="2" t="s">
        <v>5</v>
      </c>
      <c r="B1201" s="12">
        <f>SUM(B1177:B1200)</f>
        <v>0</v>
      </c>
      <c r="C1201" s="12">
        <f>SUM(C1177:C1200)</f>
        <v>5</v>
      </c>
      <c r="D1201" s="12">
        <f>SUM(D1177:D1200)</f>
        <v>2</v>
      </c>
      <c r="E1201" s="13">
        <f t="shared" si="591"/>
        <v>7</v>
      </c>
      <c r="F1201" s="12">
        <f>SUM(F1177:F1200)</f>
        <v>0</v>
      </c>
      <c r="G1201" s="12">
        <f>SUM(G1177:G1200)</f>
        <v>5</v>
      </c>
      <c r="H1201" s="12">
        <f>SUM(H1177:H1200)</f>
        <v>2</v>
      </c>
      <c r="I1201" s="13">
        <f t="shared" si="582"/>
        <v>7</v>
      </c>
      <c r="K1201" s="2" t="s">
        <v>5</v>
      </c>
      <c r="L1201" s="12">
        <f>SUM(L1177:L1200)</f>
        <v>246</v>
      </c>
      <c r="M1201" s="12">
        <f>SUM(M1177:M1200)</f>
        <v>322</v>
      </c>
      <c r="N1201" s="12">
        <f>SUM(N1177:N1200)</f>
        <v>202</v>
      </c>
      <c r="O1201" s="13">
        <f t="shared" si="584"/>
        <v>770</v>
      </c>
      <c r="P1201" s="12">
        <f>SUM(P1177:P1200)</f>
        <v>246</v>
      </c>
      <c r="Q1201" s="12">
        <f>SUM(Q1177:Q1200)</f>
        <v>322</v>
      </c>
      <c r="R1201" s="12">
        <f>SUM(R1177:R1200)</f>
        <v>202</v>
      </c>
      <c r="S1201" s="13">
        <f t="shared" si="586"/>
        <v>770</v>
      </c>
    </row>
    <row r="1202" spans="1:20" ht="14.25" thickBot="1" x14ac:dyDescent="0.2">
      <c r="A1202" s="21" t="s">
        <v>6</v>
      </c>
      <c r="B1202" s="22">
        <f t="shared" ref="B1202:I1202" si="600">B1176-B1201</f>
        <v>8</v>
      </c>
      <c r="C1202" s="22">
        <f t="shared" si="600"/>
        <v>8</v>
      </c>
      <c r="D1202" s="22">
        <f t="shared" si="600"/>
        <v>8</v>
      </c>
      <c r="E1202" s="22">
        <f t="shared" si="600"/>
        <v>24</v>
      </c>
      <c r="F1202" s="22">
        <f t="shared" si="600"/>
        <v>8</v>
      </c>
      <c r="G1202" s="22">
        <f t="shared" si="600"/>
        <v>8</v>
      </c>
      <c r="H1202" s="22">
        <f t="shared" si="600"/>
        <v>8</v>
      </c>
      <c r="I1202" s="20">
        <f t="shared" si="600"/>
        <v>24</v>
      </c>
      <c r="K1202" s="21" t="s">
        <v>6</v>
      </c>
      <c r="L1202" s="22">
        <f>L1176-L1201</f>
        <v>256</v>
      </c>
      <c r="M1202" s="22">
        <f t="shared" ref="M1202:O1202" si="601">M1176-M1201</f>
        <v>303</v>
      </c>
      <c r="N1202" s="22">
        <f t="shared" si="601"/>
        <v>185</v>
      </c>
      <c r="O1202" s="22">
        <f t="shared" si="601"/>
        <v>744</v>
      </c>
      <c r="P1202" s="22">
        <f>P1176-P1201</f>
        <v>256</v>
      </c>
      <c r="Q1202" s="22">
        <f>Q1176-Q1201</f>
        <v>303</v>
      </c>
      <c r="R1202" s="22">
        <f>R1176-R1201</f>
        <v>185</v>
      </c>
      <c r="S1202" s="20">
        <f t="shared" ref="S1202" si="602">S1176-S1201</f>
        <v>744</v>
      </c>
      <c r="T1202" s="151" t="s">
        <v>628</v>
      </c>
    </row>
    <row r="1205" spans="1:20" ht="21.75" thickBot="1" x14ac:dyDescent="0.25">
      <c r="A1205" s="26" t="s">
        <v>622</v>
      </c>
      <c r="B1205" s="27"/>
      <c r="C1205" s="27"/>
      <c r="D1205" s="27"/>
      <c r="E1205" s="27"/>
      <c r="F1205" s="28"/>
      <c r="G1205" s="28"/>
      <c r="H1205" s="28"/>
      <c r="I1205" s="28"/>
      <c r="K1205" s="26" t="s">
        <v>621</v>
      </c>
      <c r="L1205" s="27"/>
      <c r="M1205" s="27"/>
      <c r="N1205" s="27"/>
      <c r="O1205" s="27"/>
      <c r="P1205" s="28"/>
      <c r="Q1205" s="28"/>
      <c r="R1205" s="28"/>
      <c r="S1205" s="28"/>
    </row>
    <row r="1206" spans="1:20" ht="14.25" thickBot="1" x14ac:dyDescent="0.2">
      <c r="A1206" s="1" t="s">
        <v>0</v>
      </c>
      <c r="B1206" s="183" t="s">
        <v>12</v>
      </c>
      <c r="C1206" s="183"/>
      <c r="D1206" s="183"/>
      <c r="E1206" s="184"/>
      <c r="F1206" s="183" t="s">
        <v>10</v>
      </c>
      <c r="G1206" s="183"/>
      <c r="H1206" s="183"/>
      <c r="I1206" s="184"/>
      <c r="K1206" s="1" t="s">
        <v>0</v>
      </c>
      <c r="L1206" s="182" t="s">
        <v>12</v>
      </c>
      <c r="M1206" s="183"/>
      <c r="N1206" s="183"/>
      <c r="O1206" s="184"/>
      <c r="P1206" s="182" t="s">
        <v>10</v>
      </c>
      <c r="Q1206" s="183"/>
      <c r="R1206" s="183"/>
      <c r="S1206" s="184"/>
    </row>
    <row r="1207" spans="1:20" ht="14.25" thickBot="1" x14ac:dyDescent="0.2">
      <c r="A1207" s="1" t="s">
        <v>1</v>
      </c>
      <c r="B1207" s="2" t="s">
        <v>7</v>
      </c>
      <c r="C1207" s="1" t="s">
        <v>8</v>
      </c>
      <c r="D1207" s="15" t="s">
        <v>9</v>
      </c>
      <c r="E1207" s="1" t="s">
        <v>2</v>
      </c>
      <c r="F1207" s="2" t="s">
        <v>7</v>
      </c>
      <c r="G1207" s="1" t="s">
        <v>8</v>
      </c>
      <c r="H1207" s="15" t="s">
        <v>9</v>
      </c>
      <c r="I1207" s="1" t="s">
        <v>2</v>
      </c>
      <c r="K1207" s="1" t="s">
        <v>1</v>
      </c>
      <c r="L1207" s="2" t="s">
        <v>7</v>
      </c>
      <c r="M1207" s="1" t="s">
        <v>8</v>
      </c>
      <c r="N1207" s="15" t="s">
        <v>9</v>
      </c>
      <c r="O1207" s="1" t="s">
        <v>2</v>
      </c>
      <c r="P1207" s="2" t="s">
        <v>7</v>
      </c>
      <c r="Q1207" s="1" t="s">
        <v>8</v>
      </c>
      <c r="R1207" s="15" t="s">
        <v>9</v>
      </c>
      <c r="S1207" s="1" t="s">
        <v>2</v>
      </c>
    </row>
    <row r="1208" spans="1:20" ht="14.25" thickBot="1" x14ac:dyDescent="0.2">
      <c r="A1208" s="41" t="s">
        <v>13</v>
      </c>
      <c r="B1208" s="42">
        <f>B1202</f>
        <v>8</v>
      </c>
      <c r="C1208" s="43">
        <f>C1202</f>
        <v>8</v>
      </c>
      <c r="D1208" s="44">
        <f>D1202</f>
        <v>8</v>
      </c>
      <c r="E1208" s="45">
        <f t="shared" ref="E1208" si="603">SUM(B1208:D1208)</f>
        <v>24</v>
      </c>
      <c r="F1208" s="42">
        <f>F1202</f>
        <v>8</v>
      </c>
      <c r="G1208" s="43">
        <f>G1202</f>
        <v>8</v>
      </c>
      <c r="H1208" s="44">
        <f>H1202</f>
        <v>8</v>
      </c>
      <c r="I1208" s="45">
        <f t="shared" ref="I1208:I1244" si="604">SUM(F1208:H1208)</f>
        <v>24</v>
      </c>
      <c r="K1208" s="34" t="s">
        <v>13</v>
      </c>
      <c r="L1208" s="35">
        <f>L1202</f>
        <v>256</v>
      </c>
      <c r="M1208" s="35">
        <f t="shared" ref="M1208:N1208" si="605">M1202</f>
        <v>303</v>
      </c>
      <c r="N1208" s="35">
        <f t="shared" si="605"/>
        <v>185</v>
      </c>
      <c r="O1208" s="20">
        <f t="shared" ref="O1208:O1244" si="606">SUM(L1208:N1208)</f>
        <v>744</v>
      </c>
      <c r="P1208" s="35">
        <f>P1202</f>
        <v>256</v>
      </c>
      <c r="Q1208" s="36">
        <f t="shared" ref="Q1208:R1208" si="607">Q1202</f>
        <v>303</v>
      </c>
      <c r="R1208" s="37">
        <f t="shared" si="607"/>
        <v>185</v>
      </c>
      <c r="S1208" s="20">
        <f t="shared" ref="S1208:S1244" si="608">SUM(P1208:R1208)</f>
        <v>744</v>
      </c>
    </row>
    <row r="1209" spans="1:20" x14ac:dyDescent="0.15">
      <c r="A1209" s="6" t="s">
        <v>3</v>
      </c>
      <c r="B1209" s="14"/>
      <c r="C1209" s="11"/>
      <c r="D1209" s="14"/>
      <c r="E1209" s="4">
        <f t="shared" ref="E1209:E1211" si="609">SUM(B1209:D1209)</f>
        <v>0</v>
      </c>
      <c r="F1209" s="14"/>
      <c r="G1209" s="11"/>
      <c r="H1209" s="14"/>
      <c r="I1209" s="4">
        <f t="shared" si="604"/>
        <v>0</v>
      </c>
      <c r="K1209" s="5" t="s">
        <v>3</v>
      </c>
      <c r="L1209" s="14"/>
      <c r="M1209" s="11"/>
      <c r="N1209" s="14"/>
      <c r="O1209" s="4">
        <f t="shared" si="606"/>
        <v>0</v>
      </c>
      <c r="P1209" s="14"/>
      <c r="Q1209" s="11"/>
      <c r="R1209" s="14"/>
      <c r="S1209" s="4">
        <f t="shared" si="608"/>
        <v>0</v>
      </c>
    </row>
    <row r="1210" spans="1:20" x14ac:dyDescent="0.15">
      <c r="A1210" s="6" t="s">
        <v>3</v>
      </c>
      <c r="B1210" s="14"/>
      <c r="C1210" s="11"/>
      <c r="D1210" s="14"/>
      <c r="E1210" s="4">
        <f t="shared" si="609"/>
        <v>0</v>
      </c>
      <c r="F1210" s="14"/>
      <c r="G1210" s="11"/>
      <c r="H1210" s="14"/>
      <c r="I1210" s="4">
        <f t="shared" si="604"/>
        <v>0</v>
      </c>
      <c r="K1210" s="5" t="s">
        <v>3</v>
      </c>
      <c r="L1210" s="14"/>
      <c r="M1210" s="11"/>
      <c r="N1210" s="14"/>
      <c r="O1210" s="4">
        <f t="shared" ref="O1210:O1212" si="610">SUM(L1210:N1210)</f>
        <v>0</v>
      </c>
      <c r="P1210" s="14"/>
      <c r="Q1210" s="11"/>
      <c r="R1210" s="14"/>
      <c r="S1210" s="4">
        <f t="shared" ref="S1210:S1212" si="611">SUM(P1210:R1210)</f>
        <v>0</v>
      </c>
    </row>
    <row r="1211" spans="1:20" x14ac:dyDescent="0.15">
      <c r="A1211" s="6" t="s">
        <v>3</v>
      </c>
      <c r="B1211" s="14"/>
      <c r="C1211" s="11"/>
      <c r="D1211" s="14"/>
      <c r="E1211" s="4">
        <f t="shared" si="609"/>
        <v>0</v>
      </c>
      <c r="F1211" s="14"/>
      <c r="G1211" s="11"/>
      <c r="H1211" s="14"/>
      <c r="I1211" s="4">
        <f t="shared" si="604"/>
        <v>0</v>
      </c>
      <c r="K1211" s="5" t="s">
        <v>3</v>
      </c>
      <c r="L1211" s="14"/>
      <c r="M1211" s="11"/>
      <c r="N1211" s="14"/>
      <c r="O1211" s="4">
        <f t="shared" si="610"/>
        <v>0</v>
      </c>
      <c r="P1211" s="14"/>
      <c r="Q1211" s="11"/>
      <c r="R1211" s="14"/>
      <c r="S1211" s="4">
        <f t="shared" si="611"/>
        <v>0</v>
      </c>
    </row>
    <row r="1212" spans="1:20" x14ac:dyDescent="0.15">
      <c r="A1212" s="6" t="s">
        <v>3</v>
      </c>
      <c r="B1212" s="14"/>
      <c r="C1212" s="11"/>
      <c r="D1212" s="14"/>
      <c r="E1212" s="4">
        <f t="shared" ref="E1212:E1226" si="612">SUM(B1212:D1212)</f>
        <v>0</v>
      </c>
      <c r="F1212" s="14"/>
      <c r="G1212" s="11"/>
      <c r="H1212" s="14"/>
      <c r="I1212" s="4">
        <f t="shared" si="604"/>
        <v>0</v>
      </c>
      <c r="K1212" s="5" t="s">
        <v>3</v>
      </c>
      <c r="L1212" s="14"/>
      <c r="M1212" s="11"/>
      <c r="N1212" s="14"/>
      <c r="O1212" s="4">
        <f t="shared" si="610"/>
        <v>0</v>
      </c>
      <c r="P1212" s="14"/>
      <c r="Q1212" s="11"/>
      <c r="R1212" s="14"/>
      <c r="S1212" s="4">
        <f t="shared" si="611"/>
        <v>0</v>
      </c>
    </row>
    <row r="1213" spans="1:20" x14ac:dyDescent="0.15">
      <c r="A1213" s="6" t="s">
        <v>3</v>
      </c>
      <c r="B1213" s="14"/>
      <c r="C1213" s="11"/>
      <c r="D1213" s="14"/>
      <c r="E1213" s="4">
        <f t="shared" si="612"/>
        <v>0</v>
      </c>
      <c r="F1213" s="14"/>
      <c r="G1213" s="11"/>
      <c r="H1213" s="14"/>
      <c r="I1213" s="4">
        <f t="shared" si="604"/>
        <v>0</v>
      </c>
      <c r="K1213" s="5" t="s">
        <v>3</v>
      </c>
      <c r="L1213" s="14"/>
      <c r="M1213" s="11"/>
      <c r="N1213" s="14"/>
      <c r="O1213" s="4">
        <f t="shared" si="606"/>
        <v>0</v>
      </c>
      <c r="P1213" s="14"/>
      <c r="Q1213" s="11"/>
      <c r="R1213" s="14"/>
      <c r="S1213" s="4">
        <f t="shared" si="608"/>
        <v>0</v>
      </c>
    </row>
    <row r="1214" spans="1:20" x14ac:dyDescent="0.15">
      <c r="A1214" s="6" t="s">
        <v>3</v>
      </c>
      <c r="B1214" s="14"/>
      <c r="C1214" s="11"/>
      <c r="D1214" s="14"/>
      <c r="E1214" s="4">
        <f t="shared" si="612"/>
        <v>0</v>
      </c>
      <c r="F1214" s="14"/>
      <c r="G1214" s="11"/>
      <c r="H1214" s="14"/>
      <c r="I1214" s="4">
        <f t="shared" si="604"/>
        <v>0</v>
      </c>
      <c r="K1214" s="5" t="s">
        <v>3</v>
      </c>
      <c r="L1214" s="14"/>
      <c r="M1214" s="11"/>
      <c r="N1214" s="14"/>
      <c r="O1214" s="4">
        <f t="shared" si="606"/>
        <v>0</v>
      </c>
      <c r="P1214" s="14"/>
      <c r="Q1214" s="11"/>
      <c r="R1214" s="14"/>
      <c r="S1214" s="4">
        <f t="shared" si="608"/>
        <v>0</v>
      </c>
    </row>
    <row r="1215" spans="1:20" x14ac:dyDescent="0.15">
      <c r="A1215" s="6" t="s">
        <v>3</v>
      </c>
      <c r="B1215" s="14"/>
      <c r="C1215" s="11"/>
      <c r="D1215" s="14"/>
      <c r="E1215" s="4">
        <f t="shared" si="612"/>
        <v>0</v>
      </c>
      <c r="F1215" s="14"/>
      <c r="G1215" s="11"/>
      <c r="H1215" s="14"/>
      <c r="I1215" s="4">
        <f t="shared" si="604"/>
        <v>0</v>
      </c>
      <c r="K1215" s="5" t="s">
        <v>3</v>
      </c>
      <c r="L1215" s="14"/>
      <c r="M1215" s="11"/>
      <c r="N1215" s="14"/>
      <c r="O1215" s="4">
        <f t="shared" si="606"/>
        <v>0</v>
      </c>
      <c r="P1215" s="14"/>
      <c r="Q1215" s="11"/>
      <c r="R1215" s="14"/>
      <c r="S1215" s="4">
        <f t="shared" si="608"/>
        <v>0</v>
      </c>
    </row>
    <row r="1216" spans="1:20" x14ac:dyDescent="0.15">
      <c r="A1216" s="6" t="s">
        <v>3</v>
      </c>
      <c r="B1216" s="23"/>
      <c r="C1216" s="24"/>
      <c r="D1216" s="25"/>
      <c r="E1216" s="7">
        <f t="shared" si="612"/>
        <v>0</v>
      </c>
      <c r="F1216" s="23"/>
      <c r="G1216" s="24"/>
      <c r="H1216" s="25"/>
      <c r="I1216" s="7">
        <f t="shared" si="604"/>
        <v>0</v>
      </c>
      <c r="K1216" s="5" t="s">
        <v>3</v>
      </c>
      <c r="L1216" s="14"/>
      <c r="M1216" s="11"/>
      <c r="N1216" s="14"/>
      <c r="O1216" s="4">
        <f t="shared" si="606"/>
        <v>0</v>
      </c>
      <c r="P1216" s="14"/>
      <c r="Q1216" s="11"/>
      <c r="R1216" s="14"/>
      <c r="S1216" s="4">
        <f t="shared" si="608"/>
        <v>0</v>
      </c>
    </row>
    <row r="1217" spans="1:19" x14ac:dyDescent="0.15">
      <c r="A1217" s="6" t="s">
        <v>3</v>
      </c>
      <c r="B1217" s="23"/>
      <c r="C1217" s="24"/>
      <c r="D1217" s="25"/>
      <c r="E1217" s="7">
        <f t="shared" si="612"/>
        <v>0</v>
      </c>
      <c r="F1217" s="23"/>
      <c r="G1217" s="24"/>
      <c r="H1217" s="25"/>
      <c r="I1217" s="7">
        <f t="shared" si="604"/>
        <v>0</v>
      </c>
      <c r="K1217" s="5" t="s">
        <v>3</v>
      </c>
      <c r="L1217" s="14"/>
      <c r="M1217" s="11"/>
      <c r="N1217" s="14"/>
      <c r="O1217" s="4">
        <f t="shared" si="606"/>
        <v>0</v>
      </c>
      <c r="P1217" s="14"/>
      <c r="Q1217" s="11"/>
      <c r="R1217" s="14"/>
      <c r="S1217" s="4">
        <f t="shared" si="608"/>
        <v>0</v>
      </c>
    </row>
    <row r="1218" spans="1:19" ht="14.25" thickBot="1" x14ac:dyDescent="0.2">
      <c r="A1218" s="6" t="s">
        <v>3</v>
      </c>
      <c r="B1218" s="29"/>
      <c r="C1218" s="30"/>
      <c r="D1218" s="29"/>
      <c r="E1218" s="16">
        <f t="shared" si="612"/>
        <v>0</v>
      </c>
      <c r="F1218" s="29"/>
      <c r="G1218" s="30"/>
      <c r="H1218" s="29"/>
      <c r="I1218" s="16">
        <f t="shared" si="604"/>
        <v>0</v>
      </c>
      <c r="K1218" s="33" t="s">
        <v>3</v>
      </c>
      <c r="L1218" s="29"/>
      <c r="M1218" s="30"/>
      <c r="N1218" s="29"/>
      <c r="O1218" s="16">
        <f t="shared" si="606"/>
        <v>0</v>
      </c>
      <c r="P1218" s="29"/>
      <c r="Q1218" s="30"/>
      <c r="R1218" s="29"/>
      <c r="S1218" s="16">
        <f t="shared" si="608"/>
        <v>0</v>
      </c>
    </row>
    <row r="1219" spans="1:19" ht="14.25" thickBot="1" x14ac:dyDescent="0.2">
      <c r="A1219" s="17" t="s">
        <v>4</v>
      </c>
      <c r="B1219" s="18">
        <f>SUM(B1208:B1218)</f>
        <v>8</v>
      </c>
      <c r="C1219" s="18">
        <f>SUM(C1208:C1218)</f>
        <v>8</v>
      </c>
      <c r="D1219" s="19">
        <f>SUM(D1208:D1218)</f>
        <v>8</v>
      </c>
      <c r="E1219" s="20">
        <f t="shared" si="612"/>
        <v>24</v>
      </c>
      <c r="F1219" s="18">
        <f>SUM(F1208:F1218)</f>
        <v>8</v>
      </c>
      <c r="G1219" s="18">
        <f>SUM(G1208:G1218)</f>
        <v>8</v>
      </c>
      <c r="H1219" s="19">
        <f>SUM(H1208:H1218)</f>
        <v>8</v>
      </c>
      <c r="I1219" s="20">
        <f t="shared" si="604"/>
        <v>24</v>
      </c>
      <c r="K1219" s="17" t="s">
        <v>4</v>
      </c>
      <c r="L1219" s="18">
        <f>SUM(L1208:L1218)</f>
        <v>256</v>
      </c>
      <c r="M1219" s="18">
        <f>SUM(M1208:M1218)</f>
        <v>303</v>
      </c>
      <c r="N1219" s="18">
        <f>SUM(N1208:N1218)</f>
        <v>185</v>
      </c>
      <c r="O1219" s="20">
        <f t="shared" si="606"/>
        <v>744</v>
      </c>
      <c r="P1219" s="18">
        <f>SUM(P1208:P1218)</f>
        <v>256</v>
      </c>
      <c r="Q1219" s="18">
        <f>SUM(Q1208:Q1218)</f>
        <v>303</v>
      </c>
      <c r="R1219" s="19">
        <f>SUM(R1208:R1218)</f>
        <v>185</v>
      </c>
      <c r="S1219" s="20">
        <f t="shared" si="608"/>
        <v>744</v>
      </c>
    </row>
    <row r="1220" spans="1:19" x14ac:dyDescent="0.15">
      <c r="A1220" s="3"/>
      <c r="B1220" s="8"/>
      <c r="C1220" s="9"/>
      <c r="D1220" s="10"/>
      <c r="E1220" s="7">
        <f t="shared" si="612"/>
        <v>0</v>
      </c>
      <c r="F1220" s="8"/>
      <c r="G1220" s="9"/>
      <c r="H1220" s="10"/>
      <c r="I1220" s="7">
        <f t="shared" si="604"/>
        <v>0</v>
      </c>
      <c r="K1220" s="3"/>
      <c r="L1220" s="8"/>
      <c r="M1220" s="9"/>
      <c r="N1220" s="10"/>
      <c r="O1220" s="7">
        <f t="shared" si="606"/>
        <v>0</v>
      </c>
      <c r="P1220" s="8"/>
      <c r="Q1220" s="9"/>
      <c r="R1220" s="10"/>
      <c r="S1220" s="7">
        <f t="shared" si="608"/>
        <v>0</v>
      </c>
    </row>
    <row r="1221" spans="1:19" x14ac:dyDescent="0.15">
      <c r="A1221" s="3"/>
      <c r="B1221" s="8"/>
      <c r="C1221" s="9"/>
      <c r="D1221" s="10"/>
      <c r="E1221" s="7">
        <f t="shared" si="612"/>
        <v>0</v>
      </c>
      <c r="F1221" s="8"/>
      <c r="G1221" s="9"/>
      <c r="H1221" s="10"/>
      <c r="I1221" s="7">
        <f t="shared" si="604"/>
        <v>0</v>
      </c>
      <c r="K1221" s="3"/>
      <c r="L1221" s="8"/>
      <c r="M1221" s="9"/>
      <c r="N1221" s="10"/>
      <c r="O1221" s="7">
        <f t="shared" si="606"/>
        <v>0</v>
      </c>
      <c r="P1221" s="8"/>
      <c r="Q1221" s="9"/>
      <c r="R1221" s="10"/>
      <c r="S1221" s="7">
        <f t="shared" si="608"/>
        <v>0</v>
      </c>
    </row>
    <row r="1222" spans="1:19" x14ac:dyDescent="0.15">
      <c r="A1222" s="3"/>
      <c r="B1222" s="8"/>
      <c r="C1222" s="9"/>
      <c r="D1222" s="10"/>
      <c r="E1222" s="7">
        <f t="shared" si="612"/>
        <v>0</v>
      </c>
      <c r="F1222" s="8"/>
      <c r="G1222" s="9"/>
      <c r="H1222" s="10"/>
      <c r="I1222" s="7">
        <f t="shared" si="604"/>
        <v>0</v>
      </c>
      <c r="K1222" s="3"/>
      <c r="L1222" s="8"/>
      <c r="M1222" s="9"/>
      <c r="N1222" s="10"/>
      <c r="O1222" s="7">
        <f t="shared" si="606"/>
        <v>0</v>
      </c>
      <c r="P1222" s="8"/>
      <c r="Q1222" s="9"/>
      <c r="R1222" s="10"/>
      <c r="S1222" s="7">
        <f t="shared" si="608"/>
        <v>0</v>
      </c>
    </row>
    <row r="1223" spans="1:19" x14ac:dyDescent="0.15">
      <c r="A1223" s="3"/>
      <c r="B1223" s="8"/>
      <c r="C1223" s="9"/>
      <c r="D1223" s="10"/>
      <c r="E1223" s="7">
        <f t="shared" si="612"/>
        <v>0</v>
      </c>
      <c r="F1223" s="8"/>
      <c r="G1223" s="9"/>
      <c r="H1223" s="10"/>
      <c r="I1223" s="7">
        <f t="shared" si="604"/>
        <v>0</v>
      </c>
      <c r="K1223" s="3"/>
      <c r="L1223" s="8"/>
      <c r="M1223" s="9"/>
      <c r="N1223" s="10"/>
      <c r="O1223" s="7">
        <f t="shared" si="606"/>
        <v>0</v>
      </c>
      <c r="P1223" s="8"/>
      <c r="Q1223" s="9"/>
      <c r="R1223" s="10"/>
      <c r="S1223" s="7">
        <f t="shared" si="608"/>
        <v>0</v>
      </c>
    </row>
    <row r="1224" spans="1:19" x14ac:dyDescent="0.15">
      <c r="A1224" s="3"/>
      <c r="B1224" s="8"/>
      <c r="C1224" s="9"/>
      <c r="D1224" s="10"/>
      <c r="E1224" s="7">
        <f t="shared" si="612"/>
        <v>0</v>
      </c>
      <c r="F1224" s="8"/>
      <c r="G1224" s="9"/>
      <c r="H1224" s="10"/>
      <c r="I1224" s="7">
        <f t="shared" si="604"/>
        <v>0</v>
      </c>
      <c r="K1224" s="3"/>
      <c r="L1224" s="8"/>
      <c r="M1224" s="9"/>
      <c r="N1224" s="10"/>
      <c r="O1224" s="7">
        <f t="shared" si="606"/>
        <v>0</v>
      </c>
      <c r="P1224" s="8"/>
      <c r="Q1224" s="9"/>
      <c r="R1224" s="10"/>
      <c r="S1224" s="7">
        <f t="shared" si="608"/>
        <v>0</v>
      </c>
    </row>
    <row r="1225" spans="1:19" x14ac:dyDescent="0.15">
      <c r="A1225" s="3"/>
      <c r="B1225" s="8"/>
      <c r="C1225" s="9"/>
      <c r="D1225" s="10"/>
      <c r="E1225" s="7">
        <f t="shared" si="612"/>
        <v>0</v>
      </c>
      <c r="F1225" s="8"/>
      <c r="G1225" s="9"/>
      <c r="H1225" s="10"/>
      <c r="I1225" s="7">
        <f t="shared" si="604"/>
        <v>0</v>
      </c>
      <c r="K1225" s="3"/>
      <c r="L1225" s="8"/>
      <c r="M1225" s="9"/>
      <c r="N1225" s="10"/>
      <c r="O1225" s="7">
        <f t="shared" si="606"/>
        <v>0</v>
      </c>
      <c r="P1225" s="8"/>
      <c r="Q1225" s="9"/>
      <c r="R1225" s="10"/>
      <c r="S1225" s="7">
        <f t="shared" si="608"/>
        <v>0</v>
      </c>
    </row>
    <row r="1226" spans="1:19" x14ac:dyDescent="0.15">
      <c r="A1226" s="3"/>
      <c r="B1226" s="8"/>
      <c r="C1226" s="9"/>
      <c r="D1226" s="10"/>
      <c r="E1226" s="7">
        <f t="shared" si="612"/>
        <v>0</v>
      </c>
      <c r="F1226" s="8"/>
      <c r="G1226" s="9"/>
      <c r="H1226" s="10"/>
      <c r="I1226" s="7">
        <f t="shared" si="604"/>
        <v>0</v>
      </c>
      <c r="K1226" s="3"/>
      <c r="L1226" s="8"/>
      <c r="M1226" s="9"/>
      <c r="N1226" s="10"/>
      <c r="O1226" s="7">
        <f t="shared" si="606"/>
        <v>0</v>
      </c>
      <c r="P1226" s="8"/>
      <c r="Q1226" s="9"/>
      <c r="R1226" s="10"/>
      <c r="S1226" s="7">
        <f t="shared" si="608"/>
        <v>0</v>
      </c>
    </row>
    <row r="1227" spans="1:19" x14ac:dyDescent="0.15">
      <c r="A1227" s="3"/>
      <c r="B1227" s="8"/>
      <c r="C1227" s="9"/>
      <c r="D1227" s="10"/>
      <c r="E1227" s="7">
        <f t="shared" ref="E1227:E1244" si="613">SUM(B1227:D1227)</f>
        <v>0</v>
      </c>
      <c r="F1227" s="8"/>
      <c r="G1227" s="9"/>
      <c r="H1227" s="10"/>
      <c r="I1227" s="7">
        <f t="shared" si="604"/>
        <v>0</v>
      </c>
      <c r="K1227" s="3"/>
      <c r="L1227" s="8"/>
      <c r="M1227" s="9"/>
      <c r="N1227" s="10"/>
      <c r="O1227" s="7">
        <f t="shared" si="606"/>
        <v>0</v>
      </c>
      <c r="P1227" s="8"/>
      <c r="Q1227" s="9"/>
      <c r="R1227" s="10"/>
      <c r="S1227" s="7">
        <f t="shared" si="608"/>
        <v>0</v>
      </c>
    </row>
    <row r="1228" spans="1:19" x14ac:dyDescent="0.15">
      <c r="A1228" s="3"/>
      <c r="B1228" s="8"/>
      <c r="C1228" s="9"/>
      <c r="D1228" s="10"/>
      <c r="E1228" s="7">
        <f t="shared" si="613"/>
        <v>0</v>
      </c>
      <c r="F1228" s="8"/>
      <c r="G1228" s="9"/>
      <c r="H1228" s="10"/>
      <c r="I1228" s="7">
        <f t="shared" si="604"/>
        <v>0</v>
      </c>
      <c r="K1228" s="3"/>
      <c r="L1228" s="8"/>
      <c r="M1228" s="9"/>
      <c r="N1228" s="10"/>
      <c r="O1228" s="7">
        <f t="shared" si="606"/>
        <v>0</v>
      </c>
      <c r="P1228" s="8"/>
      <c r="Q1228" s="9"/>
      <c r="R1228" s="10"/>
      <c r="S1228" s="7">
        <f t="shared" si="608"/>
        <v>0</v>
      </c>
    </row>
    <row r="1229" spans="1:19" x14ac:dyDescent="0.15">
      <c r="A1229" s="3"/>
      <c r="B1229" s="8"/>
      <c r="C1229" s="9"/>
      <c r="D1229" s="10"/>
      <c r="E1229" s="7">
        <f t="shared" si="613"/>
        <v>0</v>
      </c>
      <c r="F1229" s="8"/>
      <c r="G1229" s="9"/>
      <c r="H1229" s="10"/>
      <c r="I1229" s="7">
        <f t="shared" si="604"/>
        <v>0</v>
      </c>
      <c r="K1229" s="3"/>
      <c r="L1229" s="8"/>
      <c r="M1229" s="9"/>
      <c r="N1229" s="10"/>
      <c r="O1229" s="7">
        <f t="shared" si="606"/>
        <v>0</v>
      </c>
      <c r="P1229" s="8"/>
      <c r="Q1229" s="9"/>
      <c r="R1229" s="10"/>
      <c r="S1229" s="7">
        <f t="shared" si="608"/>
        <v>0</v>
      </c>
    </row>
    <row r="1230" spans="1:19" x14ac:dyDescent="0.15">
      <c r="A1230" s="3"/>
      <c r="B1230" s="8"/>
      <c r="C1230" s="9"/>
      <c r="D1230" s="10"/>
      <c r="E1230" s="7">
        <f t="shared" si="613"/>
        <v>0</v>
      </c>
      <c r="F1230" s="8"/>
      <c r="G1230" s="9"/>
      <c r="H1230" s="10"/>
      <c r="I1230" s="7">
        <f t="shared" si="604"/>
        <v>0</v>
      </c>
      <c r="K1230" s="3"/>
      <c r="L1230" s="8"/>
      <c r="M1230" s="9"/>
      <c r="N1230" s="10"/>
      <c r="O1230" s="7">
        <f t="shared" si="606"/>
        <v>0</v>
      </c>
      <c r="P1230" s="8"/>
      <c r="Q1230" s="9"/>
      <c r="R1230" s="10"/>
      <c r="S1230" s="7">
        <f t="shared" si="608"/>
        <v>0</v>
      </c>
    </row>
    <row r="1231" spans="1:19" x14ac:dyDescent="0.15">
      <c r="A1231" s="3"/>
      <c r="B1231" s="8"/>
      <c r="C1231" s="9"/>
      <c r="D1231" s="10"/>
      <c r="E1231" s="7">
        <f t="shared" si="613"/>
        <v>0</v>
      </c>
      <c r="F1231" s="8"/>
      <c r="G1231" s="9"/>
      <c r="H1231" s="10"/>
      <c r="I1231" s="7">
        <f t="shared" si="604"/>
        <v>0</v>
      </c>
      <c r="K1231" s="3"/>
      <c r="L1231" s="8"/>
      <c r="M1231" s="9"/>
      <c r="N1231" s="10"/>
      <c r="O1231" s="7">
        <f t="shared" si="606"/>
        <v>0</v>
      </c>
      <c r="P1231" s="8"/>
      <c r="Q1231" s="9"/>
      <c r="R1231" s="10"/>
      <c r="S1231" s="7">
        <f t="shared" si="608"/>
        <v>0</v>
      </c>
    </row>
    <row r="1232" spans="1:19" x14ac:dyDescent="0.15">
      <c r="A1232" s="3"/>
      <c r="B1232" s="8"/>
      <c r="C1232" s="9"/>
      <c r="D1232" s="10"/>
      <c r="E1232" s="7">
        <f t="shared" si="613"/>
        <v>0</v>
      </c>
      <c r="F1232" s="8"/>
      <c r="G1232" s="9"/>
      <c r="H1232" s="10"/>
      <c r="I1232" s="7">
        <f t="shared" si="604"/>
        <v>0</v>
      </c>
      <c r="K1232" s="3"/>
      <c r="L1232" s="8"/>
      <c r="M1232" s="9"/>
      <c r="N1232" s="10"/>
      <c r="O1232" s="7">
        <f t="shared" si="606"/>
        <v>0</v>
      </c>
      <c r="P1232" s="8"/>
      <c r="Q1232" s="9"/>
      <c r="R1232" s="10"/>
      <c r="S1232" s="7">
        <f t="shared" si="608"/>
        <v>0</v>
      </c>
    </row>
    <row r="1233" spans="1:20" x14ac:dyDescent="0.15">
      <c r="A1233" s="3"/>
      <c r="B1233" s="8"/>
      <c r="C1233" s="9"/>
      <c r="D1233" s="10"/>
      <c r="E1233" s="7">
        <f t="shared" si="613"/>
        <v>0</v>
      </c>
      <c r="F1233" s="8"/>
      <c r="G1233" s="9"/>
      <c r="H1233" s="10"/>
      <c r="I1233" s="7">
        <f t="shared" si="604"/>
        <v>0</v>
      </c>
      <c r="K1233" s="32"/>
      <c r="L1233" s="8"/>
      <c r="M1233" s="9"/>
      <c r="N1233" s="10"/>
      <c r="O1233" s="7">
        <f t="shared" si="606"/>
        <v>0</v>
      </c>
      <c r="P1233" s="8"/>
      <c r="Q1233" s="9"/>
      <c r="R1233" s="10"/>
      <c r="S1233" s="7">
        <f t="shared" si="608"/>
        <v>0</v>
      </c>
    </row>
    <row r="1234" spans="1:20" x14ac:dyDescent="0.15">
      <c r="A1234" s="3"/>
      <c r="B1234" s="8"/>
      <c r="C1234" s="9"/>
      <c r="D1234" s="10"/>
      <c r="E1234" s="7">
        <f t="shared" si="613"/>
        <v>0</v>
      </c>
      <c r="F1234" s="8"/>
      <c r="G1234" s="9"/>
      <c r="H1234" s="10"/>
      <c r="I1234" s="7">
        <f t="shared" si="604"/>
        <v>0</v>
      </c>
      <c r="K1234" s="3"/>
      <c r="L1234" s="8"/>
      <c r="M1234" s="9"/>
      <c r="N1234" s="10"/>
      <c r="O1234" s="7">
        <f t="shared" si="606"/>
        <v>0</v>
      </c>
      <c r="P1234" s="8"/>
      <c r="Q1234" s="9"/>
      <c r="R1234" s="10"/>
      <c r="S1234" s="7">
        <f t="shared" si="608"/>
        <v>0</v>
      </c>
    </row>
    <row r="1235" spans="1:20" x14ac:dyDescent="0.15">
      <c r="A1235" s="3"/>
      <c r="B1235" s="8"/>
      <c r="C1235" s="9"/>
      <c r="D1235" s="10"/>
      <c r="E1235" s="7">
        <f t="shared" si="613"/>
        <v>0</v>
      </c>
      <c r="F1235" s="8"/>
      <c r="G1235" s="9"/>
      <c r="H1235" s="10"/>
      <c r="I1235" s="7">
        <f t="shared" si="604"/>
        <v>0</v>
      </c>
      <c r="K1235" s="3"/>
      <c r="L1235" s="8"/>
      <c r="M1235" s="9"/>
      <c r="N1235" s="10"/>
      <c r="O1235" s="7">
        <f t="shared" ref="O1235:O1243" si="614">SUM(L1235:N1235)</f>
        <v>0</v>
      </c>
      <c r="P1235" s="8"/>
      <c r="Q1235" s="9"/>
      <c r="R1235" s="10"/>
      <c r="S1235" s="7">
        <f t="shared" ref="S1235:S1243" si="615">SUM(P1235:R1235)</f>
        <v>0</v>
      </c>
    </row>
    <row r="1236" spans="1:20" x14ac:dyDescent="0.15">
      <c r="A1236" s="3"/>
      <c r="B1236" s="8"/>
      <c r="C1236" s="9"/>
      <c r="D1236" s="10"/>
      <c r="E1236" s="7">
        <f t="shared" si="613"/>
        <v>0</v>
      </c>
      <c r="F1236" s="8"/>
      <c r="G1236" s="9"/>
      <c r="H1236" s="10"/>
      <c r="I1236" s="7">
        <f t="shared" si="604"/>
        <v>0</v>
      </c>
      <c r="K1236" s="3"/>
      <c r="L1236" s="8"/>
      <c r="M1236" s="9"/>
      <c r="N1236" s="10"/>
      <c r="O1236" s="7">
        <f t="shared" si="614"/>
        <v>0</v>
      </c>
      <c r="P1236" s="8"/>
      <c r="Q1236" s="9"/>
      <c r="R1236" s="10"/>
      <c r="S1236" s="7">
        <f t="shared" si="615"/>
        <v>0</v>
      </c>
    </row>
    <row r="1237" spans="1:20" x14ac:dyDescent="0.15">
      <c r="A1237" s="3"/>
      <c r="B1237" s="8"/>
      <c r="C1237" s="9"/>
      <c r="D1237" s="10"/>
      <c r="E1237" s="7">
        <f t="shared" si="613"/>
        <v>0</v>
      </c>
      <c r="F1237" s="8"/>
      <c r="G1237" s="9"/>
      <c r="H1237" s="10"/>
      <c r="I1237" s="7">
        <f t="shared" si="604"/>
        <v>0</v>
      </c>
      <c r="K1237" s="162" t="s">
        <v>667</v>
      </c>
      <c r="L1237" s="158">
        <v>10</v>
      </c>
      <c r="M1237" s="159">
        <v>15</v>
      </c>
      <c r="N1237" s="160">
        <v>10</v>
      </c>
      <c r="O1237" s="161">
        <f t="shared" si="614"/>
        <v>35</v>
      </c>
      <c r="P1237" s="158">
        <v>10</v>
      </c>
      <c r="Q1237" s="159">
        <v>15</v>
      </c>
      <c r="R1237" s="160">
        <v>10</v>
      </c>
      <c r="S1237" s="161">
        <f t="shared" si="615"/>
        <v>35</v>
      </c>
      <c r="T1237" s="144" t="s">
        <v>452</v>
      </c>
    </row>
    <row r="1238" spans="1:20" x14ac:dyDescent="0.15">
      <c r="A1238" s="3"/>
      <c r="B1238" s="8"/>
      <c r="C1238" s="9"/>
      <c r="D1238" s="10"/>
      <c r="E1238" s="7">
        <f t="shared" si="613"/>
        <v>0</v>
      </c>
      <c r="F1238" s="8"/>
      <c r="G1238" s="9"/>
      <c r="H1238" s="10"/>
      <c r="I1238" s="7">
        <f t="shared" si="604"/>
        <v>0</v>
      </c>
      <c r="K1238" s="162" t="s">
        <v>648</v>
      </c>
      <c r="L1238" s="158">
        <v>24</v>
      </c>
      <c r="M1238" s="159">
        <v>24</v>
      </c>
      <c r="N1238" s="160">
        <v>24</v>
      </c>
      <c r="O1238" s="161">
        <f t="shared" ref="O1238" si="616">SUM(L1238:N1238)</f>
        <v>72</v>
      </c>
      <c r="P1238" s="158">
        <v>24</v>
      </c>
      <c r="Q1238" s="159">
        <v>24</v>
      </c>
      <c r="R1238" s="160">
        <v>24</v>
      </c>
      <c r="S1238" s="161">
        <f t="shared" ref="S1238" si="617">SUM(P1238:R1238)</f>
        <v>72</v>
      </c>
      <c r="T1238" s="144" t="s">
        <v>649</v>
      </c>
    </row>
    <row r="1239" spans="1:20" x14ac:dyDescent="0.15">
      <c r="A1239" s="3"/>
      <c r="B1239" s="8"/>
      <c r="C1239" s="9"/>
      <c r="D1239" s="10"/>
      <c r="E1239" s="7">
        <f t="shared" si="613"/>
        <v>0</v>
      </c>
      <c r="F1239" s="8"/>
      <c r="G1239" s="9"/>
      <c r="H1239" s="10"/>
      <c r="I1239" s="7">
        <f t="shared" si="604"/>
        <v>0</v>
      </c>
      <c r="K1239" s="163" t="s">
        <v>656</v>
      </c>
      <c r="L1239" s="164">
        <v>-5</v>
      </c>
      <c r="M1239" s="165">
        <v>-10</v>
      </c>
      <c r="N1239" s="166">
        <v>-10</v>
      </c>
      <c r="O1239" s="167">
        <f t="shared" si="614"/>
        <v>-25</v>
      </c>
      <c r="P1239" s="164">
        <v>-5</v>
      </c>
      <c r="Q1239" s="165">
        <v>-10</v>
      </c>
      <c r="R1239" s="166">
        <v>-10</v>
      </c>
      <c r="S1239" s="167">
        <f t="shared" si="615"/>
        <v>-25</v>
      </c>
      <c r="T1239" s="144"/>
    </row>
    <row r="1240" spans="1:20" x14ac:dyDescent="0.15">
      <c r="A1240" s="3"/>
      <c r="B1240" s="8"/>
      <c r="C1240" s="9"/>
      <c r="D1240" s="10"/>
      <c r="E1240" s="7">
        <f t="shared" si="613"/>
        <v>0</v>
      </c>
      <c r="F1240" s="8"/>
      <c r="G1240" s="9"/>
      <c r="H1240" s="10"/>
      <c r="I1240" s="7">
        <f t="shared" si="604"/>
        <v>0</v>
      </c>
      <c r="K1240" s="162" t="s">
        <v>657</v>
      </c>
      <c r="L1240" s="158">
        <v>40</v>
      </c>
      <c r="M1240" s="159">
        <v>55</v>
      </c>
      <c r="N1240" s="160">
        <v>40</v>
      </c>
      <c r="O1240" s="161">
        <f t="shared" si="614"/>
        <v>135</v>
      </c>
      <c r="P1240" s="158">
        <v>40</v>
      </c>
      <c r="Q1240" s="159">
        <v>55</v>
      </c>
      <c r="R1240" s="160">
        <v>40</v>
      </c>
      <c r="S1240" s="161">
        <f t="shared" si="615"/>
        <v>135</v>
      </c>
      <c r="T1240" s="144" t="s">
        <v>658</v>
      </c>
    </row>
    <row r="1241" spans="1:20" x14ac:dyDescent="0.15">
      <c r="A1241" s="3"/>
      <c r="B1241" s="8"/>
      <c r="C1241" s="9"/>
      <c r="D1241" s="10"/>
      <c r="E1241" s="7">
        <f t="shared" si="613"/>
        <v>0</v>
      </c>
      <c r="F1241" s="8"/>
      <c r="G1241" s="9"/>
      <c r="H1241" s="10"/>
      <c r="I1241" s="7">
        <f t="shared" si="604"/>
        <v>0</v>
      </c>
      <c r="K1241" s="162" t="s">
        <v>637</v>
      </c>
      <c r="L1241" s="158">
        <f>23-20</f>
        <v>3</v>
      </c>
      <c r="M1241" s="159">
        <f>14-14</f>
        <v>0</v>
      </c>
      <c r="N1241" s="160">
        <f>18-15</f>
        <v>3</v>
      </c>
      <c r="O1241" s="161">
        <f t="shared" ref="O1241:O1242" si="618">SUM(L1241:N1241)</f>
        <v>6</v>
      </c>
      <c r="P1241" s="158">
        <f>23-20</f>
        <v>3</v>
      </c>
      <c r="Q1241" s="159">
        <f>14-14</f>
        <v>0</v>
      </c>
      <c r="R1241" s="160">
        <f>18-15</f>
        <v>3</v>
      </c>
      <c r="S1241" s="161">
        <f t="shared" ref="S1241:S1242" si="619">SUM(P1241:R1241)</f>
        <v>6</v>
      </c>
      <c r="T1241" s="144" t="s">
        <v>638</v>
      </c>
    </row>
    <row r="1242" spans="1:20" x14ac:dyDescent="0.15">
      <c r="A1242" s="3"/>
      <c r="B1242" s="8"/>
      <c r="C1242" s="9"/>
      <c r="D1242" s="10"/>
      <c r="E1242" s="7">
        <f t="shared" si="613"/>
        <v>0</v>
      </c>
      <c r="F1242" s="8"/>
      <c r="G1242" s="9"/>
      <c r="H1242" s="10"/>
      <c r="I1242" s="7">
        <f t="shared" si="604"/>
        <v>0</v>
      </c>
      <c r="K1242" s="162" t="s">
        <v>651</v>
      </c>
      <c r="L1242" s="158">
        <v>66</v>
      </c>
      <c r="M1242" s="159">
        <f>40-11</f>
        <v>29</v>
      </c>
      <c r="N1242" s="160">
        <v>52</v>
      </c>
      <c r="O1242" s="161">
        <f t="shared" si="618"/>
        <v>147</v>
      </c>
      <c r="P1242" s="158">
        <v>66</v>
      </c>
      <c r="Q1242" s="159">
        <f>40-11</f>
        <v>29</v>
      </c>
      <c r="R1242" s="160">
        <v>52</v>
      </c>
      <c r="S1242" s="161">
        <f t="shared" si="619"/>
        <v>147</v>
      </c>
      <c r="T1242" s="144" t="s">
        <v>652</v>
      </c>
    </row>
    <row r="1243" spans="1:20" ht="14.25" thickBot="1" x14ac:dyDescent="0.2">
      <c r="A1243" s="162" t="s">
        <v>665</v>
      </c>
      <c r="B1243" s="158">
        <v>6</v>
      </c>
      <c r="C1243" s="159">
        <v>6</v>
      </c>
      <c r="D1243" s="160">
        <v>6</v>
      </c>
      <c r="E1243" s="161">
        <f t="shared" si="613"/>
        <v>18</v>
      </c>
      <c r="F1243" s="158">
        <v>6</v>
      </c>
      <c r="G1243" s="159">
        <v>6</v>
      </c>
      <c r="H1243" s="160">
        <v>6</v>
      </c>
      <c r="I1243" s="161">
        <f t="shared" si="604"/>
        <v>18</v>
      </c>
      <c r="J1243" s="50">
        <v>46188</v>
      </c>
      <c r="K1243" s="162" t="s">
        <v>660</v>
      </c>
      <c r="L1243" s="158">
        <v>43</v>
      </c>
      <c r="M1243" s="159">
        <v>42</v>
      </c>
      <c r="N1243" s="160">
        <v>36</v>
      </c>
      <c r="O1243" s="161">
        <f t="shared" si="614"/>
        <v>121</v>
      </c>
      <c r="P1243" s="158">
        <v>43</v>
      </c>
      <c r="Q1243" s="159">
        <v>42</v>
      </c>
      <c r="R1243" s="160">
        <v>36</v>
      </c>
      <c r="S1243" s="161">
        <f t="shared" si="615"/>
        <v>121</v>
      </c>
      <c r="T1243" s="144" t="s">
        <v>661</v>
      </c>
    </row>
    <row r="1244" spans="1:20" ht="14.25" thickBot="1" x14ac:dyDescent="0.2">
      <c r="A1244" s="2" t="s">
        <v>5</v>
      </c>
      <c r="B1244" s="12">
        <f>SUM(B1220:B1243)</f>
        <v>6</v>
      </c>
      <c r="C1244" s="12">
        <f>SUM(C1220:C1243)</f>
        <v>6</v>
      </c>
      <c r="D1244" s="12">
        <f>SUM(D1220:D1243)</f>
        <v>6</v>
      </c>
      <c r="E1244" s="13">
        <f t="shared" si="613"/>
        <v>18</v>
      </c>
      <c r="F1244" s="12">
        <f>SUM(F1220:F1243)</f>
        <v>6</v>
      </c>
      <c r="G1244" s="12">
        <f>SUM(G1220:G1243)</f>
        <v>6</v>
      </c>
      <c r="H1244" s="12">
        <f>SUM(H1220:H1243)</f>
        <v>6</v>
      </c>
      <c r="I1244" s="13">
        <f t="shared" si="604"/>
        <v>18</v>
      </c>
      <c r="K1244" s="2" t="s">
        <v>5</v>
      </c>
      <c r="L1244" s="12">
        <f>SUM(L1220:L1243)</f>
        <v>181</v>
      </c>
      <c r="M1244" s="12">
        <f>SUM(M1220:M1243)</f>
        <v>155</v>
      </c>
      <c r="N1244" s="12">
        <f>SUM(N1220:N1243)</f>
        <v>155</v>
      </c>
      <c r="O1244" s="13">
        <f t="shared" si="606"/>
        <v>491</v>
      </c>
      <c r="P1244" s="12">
        <f>SUM(P1220:P1243)</f>
        <v>181</v>
      </c>
      <c r="Q1244" s="12">
        <f>SUM(Q1220:Q1243)</f>
        <v>155</v>
      </c>
      <c r="R1244" s="12">
        <f>SUM(R1220:R1243)</f>
        <v>155</v>
      </c>
      <c r="S1244" s="13">
        <f t="shared" si="608"/>
        <v>491</v>
      </c>
    </row>
    <row r="1245" spans="1:20" ht="14.25" thickBot="1" x14ac:dyDescent="0.2">
      <c r="A1245" s="21" t="s">
        <v>6</v>
      </c>
      <c r="B1245" s="22">
        <f t="shared" ref="B1245:I1245" si="620">B1219-B1244</f>
        <v>2</v>
      </c>
      <c r="C1245" s="22">
        <f t="shared" si="620"/>
        <v>2</v>
      </c>
      <c r="D1245" s="22">
        <f t="shared" si="620"/>
        <v>2</v>
      </c>
      <c r="E1245" s="22">
        <f t="shared" si="620"/>
        <v>6</v>
      </c>
      <c r="F1245" s="22">
        <f t="shared" si="620"/>
        <v>2</v>
      </c>
      <c r="G1245" s="22">
        <f t="shared" si="620"/>
        <v>2</v>
      </c>
      <c r="H1245" s="22">
        <f t="shared" si="620"/>
        <v>2</v>
      </c>
      <c r="I1245" s="20">
        <f t="shared" si="620"/>
        <v>6</v>
      </c>
      <c r="K1245" s="21" t="s">
        <v>6</v>
      </c>
      <c r="L1245" s="22">
        <f>L1219-L1244</f>
        <v>75</v>
      </c>
      <c r="M1245" s="22">
        <f t="shared" ref="M1245:O1245" si="621">M1219-M1244</f>
        <v>148</v>
      </c>
      <c r="N1245" s="22">
        <f t="shared" si="621"/>
        <v>30</v>
      </c>
      <c r="O1245" s="22">
        <f t="shared" si="621"/>
        <v>253</v>
      </c>
      <c r="P1245" s="22">
        <f>P1219-P1244</f>
        <v>75</v>
      </c>
      <c r="Q1245" s="22">
        <f>Q1219-Q1244</f>
        <v>148</v>
      </c>
      <c r="R1245" s="22">
        <f>R1219-R1244</f>
        <v>30</v>
      </c>
      <c r="S1245" s="20">
        <f t="shared" ref="S1245" si="622">S1219-S1244</f>
        <v>253</v>
      </c>
    </row>
  </sheetData>
  <mergeCells count="102">
    <mergeCell ref="B1163:E1163"/>
    <mergeCell ref="F1163:I1163"/>
    <mergeCell ref="B1206:E1206"/>
    <mergeCell ref="F1206:I1206"/>
    <mergeCell ref="L1120:O1120"/>
    <mergeCell ref="P1120:S1120"/>
    <mergeCell ref="L1163:O1163"/>
    <mergeCell ref="P1163:S1163"/>
    <mergeCell ref="L1206:O1206"/>
    <mergeCell ref="P1206:S1206"/>
    <mergeCell ref="B1120:E1120"/>
    <mergeCell ref="F1120:I1120"/>
    <mergeCell ref="B819:E819"/>
    <mergeCell ref="F819:I819"/>
    <mergeCell ref="B862:E862"/>
    <mergeCell ref="F862:I862"/>
    <mergeCell ref="B905:E905"/>
    <mergeCell ref="F905:I905"/>
    <mergeCell ref="B948:E948"/>
    <mergeCell ref="F948:I948"/>
    <mergeCell ref="B1077:E1077"/>
    <mergeCell ref="F1077:I1077"/>
    <mergeCell ref="B260:E260"/>
    <mergeCell ref="B561:E561"/>
    <mergeCell ref="B776:E776"/>
    <mergeCell ref="F776:I776"/>
    <mergeCell ref="B733:E733"/>
    <mergeCell ref="F733:I733"/>
    <mergeCell ref="B647:E647"/>
    <mergeCell ref="F647:I647"/>
    <mergeCell ref="B690:E690"/>
    <mergeCell ref="F690:I690"/>
    <mergeCell ref="F518:I518"/>
    <mergeCell ref="F561:I561"/>
    <mergeCell ref="P518:S518"/>
    <mergeCell ref="B303:E303"/>
    <mergeCell ref="L475:O475"/>
    <mergeCell ref="P475:S475"/>
    <mergeCell ref="B475:E475"/>
    <mergeCell ref="F475:I475"/>
    <mergeCell ref="F303:I303"/>
    <mergeCell ref="B346:E346"/>
    <mergeCell ref="F346:I346"/>
    <mergeCell ref="P174:S174"/>
    <mergeCell ref="B217:E217"/>
    <mergeCell ref="F217:I217"/>
    <mergeCell ref="L217:O217"/>
    <mergeCell ref="P217:S217"/>
    <mergeCell ref="B174:E174"/>
    <mergeCell ref="F174:I174"/>
    <mergeCell ref="L174:O174"/>
    <mergeCell ref="L131:O131"/>
    <mergeCell ref="P131:S131"/>
    <mergeCell ref="B131:E131"/>
    <mergeCell ref="F131:I131"/>
    <mergeCell ref="B2:E2"/>
    <mergeCell ref="F2:I2"/>
    <mergeCell ref="L2:O2"/>
    <mergeCell ref="P2:S2"/>
    <mergeCell ref="B88:E88"/>
    <mergeCell ref="F88:I88"/>
    <mergeCell ref="L88:O88"/>
    <mergeCell ref="P88:S88"/>
    <mergeCell ref="B45:E45"/>
    <mergeCell ref="F45:I45"/>
    <mergeCell ref="L45:O45"/>
    <mergeCell ref="P45:S45"/>
    <mergeCell ref="L561:O561"/>
    <mergeCell ref="A817:S817"/>
    <mergeCell ref="F260:I260"/>
    <mergeCell ref="B604:E604"/>
    <mergeCell ref="F604:I604"/>
    <mergeCell ref="L604:O604"/>
    <mergeCell ref="P604:S604"/>
    <mergeCell ref="P260:S260"/>
    <mergeCell ref="L432:O432"/>
    <mergeCell ref="P432:S432"/>
    <mergeCell ref="B432:E432"/>
    <mergeCell ref="F432:I432"/>
    <mergeCell ref="L303:O303"/>
    <mergeCell ref="P303:S303"/>
    <mergeCell ref="L346:O346"/>
    <mergeCell ref="P346:S346"/>
    <mergeCell ref="L389:O389"/>
    <mergeCell ref="P389:S389"/>
    <mergeCell ref="L260:O260"/>
    <mergeCell ref="P561:S561"/>
    <mergeCell ref="B389:E389"/>
    <mergeCell ref="F389:I389"/>
    <mergeCell ref="B518:E518"/>
    <mergeCell ref="L518:O518"/>
    <mergeCell ref="L1077:O1077"/>
    <mergeCell ref="P1077:S1077"/>
    <mergeCell ref="P991:S991"/>
    <mergeCell ref="L991:O991"/>
    <mergeCell ref="L1034:O1034"/>
    <mergeCell ref="P1034:S1034"/>
    <mergeCell ref="B1034:E1034"/>
    <mergeCell ref="F1034:I1034"/>
    <mergeCell ref="B991:E991"/>
    <mergeCell ref="F991:I991"/>
    <mergeCell ref="C1075:J1075"/>
  </mergeCells>
  <phoneticPr fontId="7"/>
  <pageMargins left="0.7" right="0.7" top="0.75" bottom="0.75" header="0.3" footer="0.3"/>
  <pageSetup paperSize="9" orientation="portrait" r:id="rId1"/>
  <ignoredErrors>
    <ignoredError sqref="E83 O40 O83 O58 E58 E40 O15 E15 O29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綿ジャガード前開きブラ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2026-06-18T06:07:42Z</dcterms:modified>
</cp:coreProperties>
</file>