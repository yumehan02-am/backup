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B1AFE1C7-A08E-43B3-B67C-33D31DEDBC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綿ジャガードブラキャミ２色　３色組" sheetId="1" r:id="rId1"/>
    <sheet name="Sheet3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189" i="1" l="1"/>
  <c r="AE2189" i="1"/>
  <c r="AG2189" i="1" s="1"/>
  <c r="AD2189" i="1"/>
  <c r="AB2189" i="1"/>
  <c r="AA2189" i="1"/>
  <c r="Z2189" i="1"/>
  <c r="X2189" i="1"/>
  <c r="W2189" i="1"/>
  <c r="V2189" i="1"/>
  <c r="Y2146" i="1"/>
  <c r="AC2146" i="1"/>
  <c r="AG2146" i="1"/>
  <c r="AC2189" i="1"/>
  <c r="Y2189" i="1"/>
  <c r="L2189" i="1"/>
  <c r="S2231" i="1"/>
  <c r="O2231" i="1"/>
  <c r="S2230" i="1"/>
  <c r="O2230" i="1"/>
  <c r="R2229" i="1"/>
  <c r="Q2229" i="1"/>
  <c r="P2229" i="1"/>
  <c r="P2233" i="1" s="1"/>
  <c r="N2229" i="1"/>
  <c r="M2229" i="1"/>
  <c r="L2229" i="1"/>
  <c r="O2229" i="1" s="1"/>
  <c r="S2228" i="1"/>
  <c r="O2228" i="1"/>
  <c r="S2227" i="1"/>
  <c r="O2227" i="1"/>
  <c r="E2123" i="1"/>
  <c r="I2123" i="1"/>
  <c r="E2124" i="1"/>
  <c r="I2124" i="1"/>
  <c r="I2167" i="1"/>
  <c r="E2167" i="1"/>
  <c r="I2166" i="1"/>
  <c r="E2166" i="1"/>
  <c r="O2125" i="1"/>
  <c r="S2125" i="1"/>
  <c r="S2124" i="1"/>
  <c r="O2124" i="1"/>
  <c r="S2166" i="1"/>
  <c r="O2166" i="1"/>
  <c r="S2200" i="1"/>
  <c r="O2200" i="1"/>
  <c r="O2183" i="1"/>
  <c r="S2183" i="1"/>
  <c r="O2184" i="1"/>
  <c r="S2184" i="1"/>
  <c r="O2185" i="1"/>
  <c r="S2185" i="1"/>
  <c r="O2186" i="1"/>
  <c r="S2186" i="1"/>
  <c r="O2187" i="1"/>
  <c r="S2187" i="1"/>
  <c r="R2189" i="1"/>
  <c r="Q2189" i="1"/>
  <c r="Q2190" i="1" s="1"/>
  <c r="P2189" i="1"/>
  <c r="N2189" i="1"/>
  <c r="M2189" i="1"/>
  <c r="O2123" i="1"/>
  <c r="S2232" i="1"/>
  <c r="O2232" i="1"/>
  <c r="Y2145" i="1"/>
  <c r="AC2145" i="1"/>
  <c r="AG2145" i="1"/>
  <c r="AG2232" i="1"/>
  <c r="AC2232" i="1"/>
  <c r="Y2232" i="1"/>
  <c r="S2146" i="1"/>
  <c r="S2123" i="1"/>
  <c r="S2085" i="1"/>
  <c r="O2085" i="1"/>
  <c r="Y2114" i="1"/>
  <c r="AC2114" i="1"/>
  <c r="AG2114" i="1"/>
  <c r="AG2075" i="1"/>
  <c r="AC2075" i="1"/>
  <c r="Y2075" i="1"/>
  <c r="AE2104" i="1"/>
  <c r="AB2104" i="1"/>
  <c r="AA2104" i="1"/>
  <c r="Z2104" i="1"/>
  <c r="O2142" i="1"/>
  <c r="S2142" i="1"/>
  <c r="O2143" i="1"/>
  <c r="S2143" i="1"/>
  <c r="O2144" i="1"/>
  <c r="S2144" i="1"/>
  <c r="O2182" i="1"/>
  <c r="S2182" i="1"/>
  <c r="I2070" i="1"/>
  <c r="E2070" i="1"/>
  <c r="AF2106" i="1"/>
  <c r="AE2106" i="1"/>
  <c r="AD2106" i="1"/>
  <c r="AA2147" i="1"/>
  <c r="Y2101" i="1"/>
  <c r="AC2101" i="1"/>
  <c r="AG2101" i="1"/>
  <c r="Y2102" i="1"/>
  <c r="AG2102" i="1"/>
  <c r="Y2103" i="1"/>
  <c r="AG2103" i="1"/>
  <c r="I2069" i="1"/>
  <c r="E2069" i="1"/>
  <c r="O2188" i="1"/>
  <c r="S2188" i="1"/>
  <c r="O2189" i="1"/>
  <c r="S2189" i="1"/>
  <c r="O2141" i="1"/>
  <c r="S2141" i="1"/>
  <c r="S2103" i="1"/>
  <c r="O2103" i="1"/>
  <c r="S2102" i="1"/>
  <c r="O2102" i="1"/>
  <c r="S2101" i="1"/>
  <c r="O2101" i="1"/>
  <c r="AC2073" i="1"/>
  <c r="Y2073" i="1"/>
  <c r="O2146" i="1"/>
  <c r="S2145" i="1"/>
  <c r="O2145" i="1"/>
  <c r="Y2115" i="1"/>
  <c r="AC2115" i="1"/>
  <c r="AG2115" i="1"/>
  <c r="Y2158" i="1"/>
  <c r="AC2158" i="1"/>
  <c r="AG2158" i="1"/>
  <c r="Y2201" i="1"/>
  <c r="AC2201" i="1"/>
  <c r="AG2201" i="1"/>
  <c r="AF2233" i="1"/>
  <c r="AE2233" i="1"/>
  <c r="AD2233" i="1"/>
  <c r="AB2233" i="1"/>
  <c r="AA2233" i="1"/>
  <c r="Z2233" i="1"/>
  <c r="X2233" i="1"/>
  <c r="W2233" i="1"/>
  <c r="V2233" i="1"/>
  <c r="AG2231" i="1"/>
  <c r="AC2231" i="1"/>
  <c r="Y2231" i="1"/>
  <c r="AG2230" i="1"/>
  <c r="AC2230" i="1"/>
  <c r="Y2230" i="1"/>
  <c r="AG2229" i="1"/>
  <c r="AC2229" i="1"/>
  <c r="Y2229" i="1"/>
  <c r="AG2228" i="1"/>
  <c r="AC2228" i="1"/>
  <c r="Y2228" i="1"/>
  <c r="AG2227" i="1"/>
  <c r="AC2227" i="1"/>
  <c r="Y2227" i="1"/>
  <c r="AG2226" i="1"/>
  <c r="AC2226" i="1"/>
  <c r="Y2226" i="1"/>
  <c r="AG2225" i="1"/>
  <c r="AC2225" i="1"/>
  <c r="Y2225" i="1"/>
  <c r="AG2224" i="1"/>
  <c r="AC2224" i="1"/>
  <c r="Y2224" i="1"/>
  <c r="AG2223" i="1"/>
  <c r="AC2223" i="1"/>
  <c r="Y2223" i="1"/>
  <c r="AG2222" i="1"/>
  <c r="AC2222" i="1"/>
  <c r="Y2222" i="1"/>
  <c r="AG2221" i="1"/>
  <c r="AC2221" i="1"/>
  <c r="Y2221" i="1"/>
  <c r="AG2220" i="1"/>
  <c r="AC2220" i="1"/>
  <c r="Y2220" i="1"/>
  <c r="AG2219" i="1"/>
  <c r="AC2219" i="1"/>
  <c r="Y2219" i="1"/>
  <c r="AG2218" i="1"/>
  <c r="AC2218" i="1"/>
  <c r="Y2218" i="1"/>
  <c r="AG2217" i="1"/>
  <c r="AC2217" i="1"/>
  <c r="Y2217" i="1"/>
  <c r="AG2216" i="1"/>
  <c r="AC2216" i="1"/>
  <c r="Y2216" i="1"/>
  <c r="AG2215" i="1"/>
  <c r="AC2215" i="1"/>
  <c r="Y2215" i="1"/>
  <c r="AG2214" i="1"/>
  <c r="AC2214" i="1"/>
  <c r="Y2214" i="1"/>
  <c r="AG2213" i="1"/>
  <c r="AC2213" i="1"/>
  <c r="Y2213" i="1"/>
  <c r="AG2212" i="1"/>
  <c r="AC2212" i="1"/>
  <c r="Y2212" i="1"/>
  <c r="AG2211" i="1"/>
  <c r="AC2211" i="1"/>
  <c r="Y2211" i="1"/>
  <c r="AG2210" i="1"/>
  <c r="AC2210" i="1"/>
  <c r="Y2210" i="1"/>
  <c r="AG2209" i="1"/>
  <c r="AC2209" i="1"/>
  <c r="Y2209" i="1"/>
  <c r="AG2207" i="1"/>
  <c r="AC2207" i="1"/>
  <c r="Y2207" i="1"/>
  <c r="AG2206" i="1"/>
  <c r="AC2206" i="1"/>
  <c r="Y2206" i="1"/>
  <c r="AG2205" i="1"/>
  <c r="AC2205" i="1"/>
  <c r="Y2205" i="1"/>
  <c r="AG2204" i="1"/>
  <c r="AC2204" i="1"/>
  <c r="Y2204" i="1"/>
  <c r="AG2203" i="1"/>
  <c r="AC2203" i="1"/>
  <c r="Y2203" i="1"/>
  <c r="AG2202" i="1"/>
  <c r="AC2202" i="1"/>
  <c r="Y2202" i="1"/>
  <c r="AG2200" i="1"/>
  <c r="AC2200" i="1"/>
  <c r="Y2200" i="1"/>
  <c r="AG2199" i="1"/>
  <c r="AC2199" i="1"/>
  <c r="Y2199" i="1"/>
  <c r="AG2198" i="1"/>
  <c r="AC2198" i="1"/>
  <c r="Y2198" i="1"/>
  <c r="AF2190" i="1"/>
  <c r="AE2190" i="1"/>
  <c r="AD2190" i="1"/>
  <c r="AB2190" i="1"/>
  <c r="AA2190" i="1"/>
  <c r="Z2190" i="1"/>
  <c r="X2190" i="1"/>
  <c r="W2190" i="1"/>
  <c r="V2190" i="1"/>
  <c r="AG2188" i="1"/>
  <c r="AC2188" i="1"/>
  <c r="Y2188" i="1"/>
  <c r="AG2187" i="1"/>
  <c r="AC2187" i="1"/>
  <c r="Y2187" i="1"/>
  <c r="AG2186" i="1"/>
  <c r="AC2186" i="1"/>
  <c r="Y2186" i="1"/>
  <c r="AG2185" i="1"/>
  <c r="AC2185" i="1"/>
  <c r="Y2185" i="1"/>
  <c r="AG2184" i="1"/>
  <c r="AC2184" i="1"/>
  <c r="Y2184" i="1"/>
  <c r="AG2183" i="1"/>
  <c r="AC2183" i="1"/>
  <c r="Y2183" i="1"/>
  <c r="AG2182" i="1"/>
  <c r="AC2182" i="1"/>
  <c r="Y2182" i="1"/>
  <c r="AG2181" i="1"/>
  <c r="AC2181" i="1"/>
  <c r="Y2181" i="1"/>
  <c r="AG2180" i="1"/>
  <c r="AC2180" i="1"/>
  <c r="Y2180" i="1"/>
  <c r="AG2179" i="1"/>
  <c r="AC2179" i="1"/>
  <c r="Y2179" i="1"/>
  <c r="AG2178" i="1"/>
  <c r="AC2178" i="1"/>
  <c r="Y2178" i="1"/>
  <c r="AG2177" i="1"/>
  <c r="AC2177" i="1"/>
  <c r="Y2177" i="1"/>
  <c r="AG2176" i="1"/>
  <c r="AC2176" i="1"/>
  <c r="Y2176" i="1"/>
  <c r="AG2175" i="1"/>
  <c r="AC2175" i="1"/>
  <c r="Y2175" i="1"/>
  <c r="AG2174" i="1"/>
  <c r="AC2174" i="1"/>
  <c r="Y2174" i="1"/>
  <c r="AG2173" i="1"/>
  <c r="AC2173" i="1"/>
  <c r="Y2173" i="1"/>
  <c r="AG2172" i="1"/>
  <c r="AC2172" i="1"/>
  <c r="Y2172" i="1"/>
  <c r="AG2171" i="1"/>
  <c r="AC2171" i="1"/>
  <c r="Y2171" i="1"/>
  <c r="AG2170" i="1"/>
  <c r="AC2170" i="1"/>
  <c r="Y2170" i="1"/>
  <c r="AG2169" i="1"/>
  <c r="AC2169" i="1"/>
  <c r="Y2169" i="1"/>
  <c r="AG2168" i="1"/>
  <c r="AC2168" i="1"/>
  <c r="Y2168" i="1"/>
  <c r="AG2167" i="1"/>
  <c r="AC2167" i="1"/>
  <c r="Y2167" i="1"/>
  <c r="AG2166" i="1"/>
  <c r="AC2166" i="1"/>
  <c r="Y2166" i="1"/>
  <c r="AG2164" i="1"/>
  <c r="AC2164" i="1"/>
  <c r="Y2164" i="1"/>
  <c r="AG2163" i="1"/>
  <c r="AC2163" i="1"/>
  <c r="Y2163" i="1"/>
  <c r="AG2162" i="1"/>
  <c r="AC2162" i="1"/>
  <c r="Y2162" i="1"/>
  <c r="AG2161" i="1"/>
  <c r="AC2161" i="1"/>
  <c r="Y2161" i="1"/>
  <c r="AG2160" i="1"/>
  <c r="AC2160" i="1"/>
  <c r="Y2160" i="1"/>
  <c r="AG2159" i="1"/>
  <c r="AC2159" i="1"/>
  <c r="Y2159" i="1"/>
  <c r="AG2157" i="1"/>
  <c r="AC2157" i="1"/>
  <c r="Y2157" i="1"/>
  <c r="AG2156" i="1"/>
  <c r="AC2156" i="1"/>
  <c r="Y2156" i="1"/>
  <c r="AG2155" i="1"/>
  <c r="AC2155" i="1"/>
  <c r="Y2155" i="1"/>
  <c r="AF2147" i="1"/>
  <c r="AE2147" i="1"/>
  <c r="AD2147" i="1"/>
  <c r="AB2147" i="1"/>
  <c r="X2147" i="1"/>
  <c r="W2147" i="1"/>
  <c r="V2147" i="1"/>
  <c r="AG2144" i="1"/>
  <c r="AC2144" i="1"/>
  <c r="Y2144" i="1"/>
  <c r="AG2143" i="1"/>
  <c r="AC2143" i="1"/>
  <c r="Y2143" i="1"/>
  <c r="AG2142" i="1"/>
  <c r="AC2142" i="1"/>
  <c r="Y2142" i="1"/>
  <c r="AG2141" i="1"/>
  <c r="AC2141" i="1"/>
  <c r="Y2141" i="1"/>
  <c r="AG2140" i="1"/>
  <c r="AC2140" i="1"/>
  <c r="Y2140" i="1"/>
  <c r="AG2139" i="1"/>
  <c r="AC2139" i="1"/>
  <c r="Y2139" i="1"/>
  <c r="AG2138" i="1"/>
  <c r="AC2138" i="1"/>
  <c r="Y2138" i="1"/>
  <c r="AG2137" i="1"/>
  <c r="AC2137" i="1"/>
  <c r="Y2137" i="1"/>
  <c r="AG2136" i="1"/>
  <c r="AC2136" i="1"/>
  <c r="Y2136" i="1"/>
  <c r="AG2135" i="1"/>
  <c r="AC2135" i="1"/>
  <c r="Y2135" i="1"/>
  <c r="AG2134" i="1"/>
  <c r="AC2134" i="1"/>
  <c r="Y2134" i="1"/>
  <c r="AG2133" i="1"/>
  <c r="AC2133" i="1"/>
  <c r="Y2133" i="1"/>
  <c r="AG2132" i="1"/>
  <c r="AC2132" i="1"/>
  <c r="Y2132" i="1"/>
  <c r="AG2131" i="1"/>
  <c r="AC2131" i="1"/>
  <c r="Y2131" i="1"/>
  <c r="AG2130" i="1"/>
  <c r="AC2130" i="1"/>
  <c r="Y2130" i="1"/>
  <c r="AG2129" i="1"/>
  <c r="AC2129" i="1"/>
  <c r="Y2129" i="1"/>
  <c r="AG2128" i="1"/>
  <c r="AC2128" i="1"/>
  <c r="Y2128" i="1"/>
  <c r="AG2127" i="1"/>
  <c r="AC2127" i="1"/>
  <c r="Y2127" i="1"/>
  <c r="AG2126" i="1"/>
  <c r="AC2126" i="1"/>
  <c r="Y2126" i="1"/>
  <c r="AG2125" i="1"/>
  <c r="AC2125" i="1"/>
  <c r="Y2125" i="1"/>
  <c r="AG2124" i="1"/>
  <c r="AC2124" i="1"/>
  <c r="Y2124" i="1"/>
  <c r="AG2123" i="1"/>
  <c r="AC2123" i="1"/>
  <c r="Y2123" i="1"/>
  <c r="AG2121" i="1"/>
  <c r="AC2121" i="1"/>
  <c r="Y2121" i="1"/>
  <c r="AG2120" i="1"/>
  <c r="AC2120" i="1"/>
  <c r="Y2120" i="1"/>
  <c r="AG2119" i="1"/>
  <c r="AC2119" i="1"/>
  <c r="Y2119" i="1"/>
  <c r="AG2118" i="1"/>
  <c r="AC2118" i="1"/>
  <c r="Y2118" i="1"/>
  <c r="AG2117" i="1"/>
  <c r="AC2117" i="1"/>
  <c r="Y2117" i="1"/>
  <c r="AG2116" i="1"/>
  <c r="AC2116" i="1"/>
  <c r="Y2116" i="1"/>
  <c r="AG2113" i="1"/>
  <c r="AC2113" i="1"/>
  <c r="Y2113" i="1"/>
  <c r="AG2112" i="1"/>
  <c r="AC2112" i="1"/>
  <c r="Y2112" i="1"/>
  <c r="O2201" i="1"/>
  <c r="S2201" i="1"/>
  <c r="S2157" i="1"/>
  <c r="O2157" i="1"/>
  <c r="S2116" i="1"/>
  <c r="O2116" i="1"/>
  <c r="H2233" i="1"/>
  <c r="G2233" i="1"/>
  <c r="F2233" i="1"/>
  <c r="I2233" i="1" s="1"/>
  <c r="D2233" i="1"/>
  <c r="C2233" i="1"/>
  <c r="B2233" i="1"/>
  <c r="I2232" i="1"/>
  <c r="E2232" i="1"/>
  <c r="I2231" i="1"/>
  <c r="E2231" i="1"/>
  <c r="I2230" i="1"/>
  <c r="E2230" i="1"/>
  <c r="I2229" i="1"/>
  <c r="E2229" i="1"/>
  <c r="I2228" i="1"/>
  <c r="E2228" i="1"/>
  <c r="I2227" i="1"/>
  <c r="E2227" i="1"/>
  <c r="I2226" i="1"/>
  <c r="E2226" i="1"/>
  <c r="I2225" i="1"/>
  <c r="E2225" i="1"/>
  <c r="I2224" i="1"/>
  <c r="E2224" i="1"/>
  <c r="I2223" i="1"/>
  <c r="E2223" i="1"/>
  <c r="I2222" i="1"/>
  <c r="E2222" i="1"/>
  <c r="I2221" i="1"/>
  <c r="E2221" i="1"/>
  <c r="I2220" i="1"/>
  <c r="E2220" i="1"/>
  <c r="I2219" i="1"/>
  <c r="E2219" i="1"/>
  <c r="I2218" i="1"/>
  <c r="E2218" i="1"/>
  <c r="I2217" i="1"/>
  <c r="E2217" i="1"/>
  <c r="I2216" i="1"/>
  <c r="E2216" i="1"/>
  <c r="I2215" i="1"/>
  <c r="E2215" i="1"/>
  <c r="I2214" i="1"/>
  <c r="E2214" i="1"/>
  <c r="I2213" i="1"/>
  <c r="E2213" i="1"/>
  <c r="I2212" i="1"/>
  <c r="E2212" i="1"/>
  <c r="I2211" i="1"/>
  <c r="E2211" i="1"/>
  <c r="I2210" i="1"/>
  <c r="E2210" i="1"/>
  <c r="I2209" i="1"/>
  <c r="E2209" i="1"/>
  <c r="I2207" i="1"/>
  <c r="E2207" i="1"/>
  <c r="I2206" i="1"/>
  <c r="E2206" i="1"/>
  <c r="I2205" i="1"/>
  <c r="E2205" i="1"/>
  <c r="I2204" i="1"/>
  <c r="E2204" i="1"/>
  <c r="I2203" i="1"/>
  <c r="E2203" i="1"/>
  <c r="I2202" i="1"/>
  <c r="E2202" i="1"/>
  <c r="I2201" i="1"/>
  <c r="E2201" i="1"/>
  <c r="I2200" i="1"/>
  <c r="E2200" i="1"/>
  <c r="I2199" i="1"/>
  <c r="E2199" i="1"/>
  <c r="I2198" i="1"/>
  <c r="E2198" i="1"/>
  <c r="H2190" i="1"/>
  <c r="G2190" i="1"/>
  <c r="F2190" i="1"/>
  <c r="I2190" i="1" s="1"/>
  <c r="D2190" i="1"/>
  <c r="C2190" i="1"/>
  <c r="B2190" i="1"/>
  <c r="I2189" i="1"/>
  <c r="E2189" i="1"/>
  <c r="I2188" i="1"/>
  <c r="E2188" i="1"/>
  <c r="I2187" i="1"/>
  <c r="E2187" i="1"/>
  <c r="I2186" i="1"/>
  <c r="E2186" i="1"/>
  <c r="I2185" i="1"/>
  <c r="E2185" i="1"/>
  <c r="I2184" i="1"/>
  <c r="E2184" i="1"/>
  <c r="I2183" i="1"/>
  <c r="E2183" i="1"/>
  <c r="I2182" i="1"/>
  <c r="E2182" i="1"/>
  <c r="I2181" i="1"/>
  <c r="E2181" i="1"/>
  <c r="I2180" i="1"/>
  <c r="E2180" i="1"/>
  <c r="I2179" i="1"/>
  <c r="E2179" i="1"/>
  <c r="I2178" i="1"/>
  <c r="E2178" i="1"/>
  <c r="I2177" i="1"/>
  <c r="E2177" i="1"/>
  <c r="I2176" i="1"/>
  <c r="E2176" i="1"/>
  <c r="I2175" i="1"/>
  <c r="E2175" i="1"/>
  <c r="I2174" i="1"/>
  <c r="E2174" i="1"/>
  <c r="I2173" i="1"/>
  <c r="E2173" i="1"/>
  <c r="I2172" i="1"/>
  <c r="E2172" i="1"/>
  <c r="I2171" i="1"/>
  <c r="E2171" i="1"/>
  <c r="I2170" i="1"/>
  <c r="E2170" i="1"/>
  <c r="I2169" i="1"/>
  <c r="E2169" i="1"/>
  <c r="I2168" i="1"/>
  <c r="E2168" i="1"/>
  <c r="I2164" i="1"/>
  <c r="E2164" i="1"/>
  <c r="I2163" i="1"/>
  <c r="E2163" i="1"/>
  <c r="I2162" i="1"/>
  <c r="E2162" i="1"/>
  <c r="I2161" i="1"/>
  <c r="E2161" i="1"/>
  <c r="I2160" i="1"/>
  <c r="E2160" i="1"/>
  <c r="I2159" i="1"/>
  <c r="E2159" i="1"/>
  <c r="I2158" i="1"/>
  <c r="E2158" i="1"/>
  <c r="I2157" i="1"/>
  <c r="E2157" i="1"/>
  <c r="I2156" i="1"/>
  <c r="E2156" i="1"/>
  <c r="I2155" i="1"/>
  <c r="E2155" i="1"/>
  <c r="H2147" i="1"/>
  <c r="G2147" i="1"/>
  <c r="F2147" i="1"/>
  <c r="I2147" i="1" s="1"/>
  <c r="D2147" i="1"/>
  <c r="C2147" i="1"/>
  <c r="B2147" i="1"/>
  <c r="I2146" i="1"/>
  <c r="E2146" i="1"/>
  <c r="I2145" i="1"/>
  <c r="E2145" i="1"/>
  <c r="I2144" i="1"/>
  <c r="E2144" i="1"/>
  <c r="I2143" i="1"/>
  <c r="E2143" i="1"/>
  <c r="I2142" i="1"/>
  <c r="E2142" i="1"/>
  <c r="I2141" i="1"/>
  <c r="E2141" i="1"/>
  <c r="I2140" i="1"/>
  <c r="E2140" i="1"/>
  <c r="I2139" i="1"/>
  <c r="E2139" i="1"/>
  <c r="I2138" i="1"/>
  <c r="E2138" i="1"/>
  <c r="I2137" i="1"/>
  <c r="E2137" i="1"/>
  <c r="I2136" i="1"/>
  <c r="E2136" i="1"/>
  <c r="I2135" i="1"/>
  <c r="E2135" i="1"/>
  <c r="I2134" i="1"/>
  <c r="E2134" i="1"/>
  <c r="I2133" i="1"/>
  <c r="E2133" i="1"/>
  <c r="I2132" i="1"/>
  <c r="E2132" i="1"/>
  <c r="I2131" i="1"/>
  <c r="E2131" i="1"/>
  <c r="I2130" i="1"/>
  <c r="E2130" i="1"/>
  <c r="I2129" i="1"/>
  <c r="E2129" i="1"/>
  <c r="I2128" i="1"/>
  <c r="E2128" i="1"/>
  <c r="I2127" i="1"/>
  <c r="E2127" i="1"/>
  <c r="I2126" i="1"/>
  <c r="E2126" i="1"/>
  <c r="I2125" i="1"/>
  <c r="E2125" i="1"/>
  <c r="I2121" i="1"/>
  <c r="E2121" i="1"/>
  <c r="I2120" i="1"/>
  <c r="E2120" i="1"/>
  <c r="I2119" i="1"/>
  <c r="E2119" i="1"/>
  <c r="I2118" i="1"/>
  <c r="E2118" i="1"/>
  <c r="I2117" i="1"/>
  <c r="E2117" i="1"/>
  <c r="I2116" i="1"/>
  <c r="E2116" i="1"/>
  <c r="I2115" i="1"/>
  <c r="E2115" i="1"/>
  <c r="I2114" i="1"/>
  <c r="E2114" i="1"/>
  <c r="I2113" i="1"/>
  <c r="E2113" i="1"/>
  <c r="I2112" i="1"/>
  <c r="E2112" i="1"/>
  <c r="O2224" i="1"/>
  <c r="S2224" i="1"/>
  <c r="O2225" i="1"/>
  <c r="S2225" i="1"/>
  <c r="O2226" i="1"/>
  <c r="S2226" i="1"/>
  <c r="O2181" i="1"/>
  <c r="S2181" i="1"/>
  <c r="O2138" i="1"/>
  <c r="S2138" i="1"/>
  <c r="O2139" i="1"/>
  <c r="S2139" i="1"/>
  <c r="O2140" i="1"/>
  <c r="S2140" i="1"/>
  <c r="O2158" i="1"/>
  <c r="S2158" i="1"/>
  <c r="R2233" i="1"/>
  <c r="N2233" i="1"/>
  <c r="M2233" i="1"/>
  <c r="S2223" i="1"/>
  <c r="O2223" i="1"/>
  <c r="S2222" i="1"/>
  <c r="O2222" i="1"/>
  <c r="S2221" i="1"/>
  <c r="O2221" i="1"/>
  <c r="S2220" i="1"/>
  <c r="O2220" i="1"/>
  <c r="S2219" i="1"/>
  <c r="O2219" i="1"/>
  <c r="S2218" i="1"/>
  <c r="O2218" i="1"/>
  <c r="S2217" i="1"/>
  <c r="O2217" i="1"/>
  <c r="S2216" i="1"/>
  <c r="O2216" i="1"/>
  <c r="S2215" i="1"/>
  <c r="O2215" i="1"/>
  <c r="S2214" i="1"/>
  <c r="O2214" i="1"/>
  <c r="S2213" i="1"/>
  <c r="O2213" i="1"/>
  <c r="S2212" i="1"/>
  <c r="O2212" i="1"/>
  <c r="S2211" i="1"/>
  <c r="O2211" i="1"/>
  <c r="S2210" i="1"/>
  <c r="O2210" i="1"/>
  <c r="S2209" i="1"/>
  <c r="O2209" i="1"/>
  <c r="S2207" i="1"/>
  <c r="O2207" i="1"/>
  <c r="S2206" i="1"/>
  <c r="O2206" i="1"/>
  <c r="S2205" i="1"/>
  <c r="O2205" i="1"/>
  <c r="S2204" i="1"/>
  <c r="O2204" i="1"/>
  <c r="S2203" i="1"/>
  <c r="O2203" i="1"/>
  <c r="S2202" i="1"/>
  <c r="O2202" i="1"/>
  <c r="S2199" i="1"/>
  <c r="O2199" i="1"/>
  <c r="S2198" i="1"/>
  <c r="O2198" i="1"/>
  <c r="O2114" i="1"/>
  <c r="S2114" i="1"/>
  <c r="O2115" i="1"/>
  <c r="S2115" i="1"/>
  <c r="O2156" i="1"/>
  <c r="S2156" i="1"/>
  <c r="R2190" i="1"/>
  <c r="P2190" i="1"/>
  <c r="N2190" i="1"/>
  <c r="M2190" i="1"/>
  <c r="L2190" i="1"/>
  <c r="S2180" i="1"/>
  <c r="O2180" i="1"/>
  <c r="S2179" i="1"/>
  <c r="O2179" i="1"/>
  <c r="S2178" i="1"/>
  <c r="O2178" i="1"/>
  <c r="S2177" i="1"/>
  <c r="O2177" i="1"/>
  <c r="S2176" i="1"/>
  <c r="O2176" i="1"/>
  <c r="S2175" i="1"/>
  <c r="O2175" i="1"/>
  <c r="S2174" i="1"/>
  <c r="O2174" i="1"/>
  <c r="S2173" i="1"/>
  <c r="O2173" i="1"/>
  <c r="S2172" i="1"/>
  <c r="O2172" i="1"/>
  <c r="S2171" i="1"/>
  <c r="O2171" i="1"/>
  <c r="S2170" i="1"/>
  <c r="O2170" i="1"/>
  <c r="S2169" i="1"/>
  <c r="O2169" i="1"/>
  <c r="S2168" i="1"/>
  <c r="O2168" i="1"/>
  <c r="S2167" i="1"/>
  <c r="O2167" i="1"/>
  <c r="S2164" i="1"/>
  <c r="O2164" i="1"/>
  <c r="S2163" i="1"/>
  <c r="O2163" i="1"/>
  <c r="S2162" i="1"/>
  <c r="O2162" i="1"/>
  <c r="S2161" i="1"/>
  <c r="O2161" i="1"/>
  <c r="S2160" i="1"/>
  <c r="O2160" i="1"/>
  <c r="S2159" i="1"/>
  <c r="O2159" i="1"/>
  <c r="S2155" i="1"/>
  <c r="O2155" i="1"/>
  <c r="O2094" i="1"/>
  <c r="S2094" i="1"/>
  <c r="O2095" i="1"/>
  <c r="S2095" i="1"/>
  <c r="O2096" i="1"/>
  <c r="S2096" i="1"/>
  <c r="O2097" i="1"/>
  <c r="S2097" i="1"/>
  <c r="O2098" i="1"/>
  <c r="S2098" i="1"/>
  <c r="O2099" i="1"/>
  <c r="S2099" i="1"/>
  <c r="O2100" i="1"/>
  <c r="S2100" i="1"/>
  <c r="O2070" i="1"/>
  <c r="S2070" i="1"/>
  <c r="O2071" i="1"/>
  <c r="S2071" i="1"/>
  <c r="O2072" i="1"/>
  <c r="S2072" i="1"/>
  <c r="O2073" i="1"/>
  <c r="S2073" i="1"/>
  <c r="R2147" i="1"/>
  <c r="P2147" i="1"/>
  <c r="N2147" i="1"/>
  <c r="M2147" i="1"/>
  <c r="L2147" i="1"/>
  <c r="S2137" i="1"/>
  <c r="O2137" i="1"/>
  <c r="S2136" i="1"/>
  <c r="O2136" i="1"/>
  <c r="S2135" i="1"/>
  <c r="O2135" i="1"/>
  <c r="S2134" i="1"/>
  <c r="O2134" i="1"/>
  <c r="S2133" i="1"/>
  <c r="O2133" i="1"/>
  <c r="S2132" i="1"/>
  <c r="O2132" i="1"/>
  <c r="S2131" i="1"/>
  <c r="O2131" i="1"/>
  <c r="S2130" i="1"/>
  <c r="O2130" i="1"/>
  <c r="S2129" i="1"/>
  <c r="O2129" i="1"/>
  <c r="S2128" i="1"/>
  <c r="O2128" i="1"/>
  <c r="S2127" i="1"/>
  <c r="O2127" i="1"/>
  <c r="S2126" i="1"/>
  <c r="O2126" i="1"/>
  <c r="S2121" i="1"/>
  <c r="O2121" i="1"/>
  <c r="S2120" i="1"/>
  <c r="O2120" i="1"/>
  <c r="S2119" i="1"/>
  <c r="O2119" i="1"/>
  <c r="S2118" i="1"/>
  <c r="O2118" i="1"/>
  <c r="S2117" i="1"/>
  <c r="O2117" i="1"/>
  <c r="S2113" i="1"/>
  <c r="O2113" i="1"/>
  <c r="S2112" i="1"/>
  <c r="O2112" i="1"/>
  <c r="AC2072" i="1"/>
  <c r="Y2072" i="1"/>
  <c r="O2091" i="1"/>
  <c r="S2091" i="1"/>
  <c r="O2092" i="1"/>
  <c r="S2092" i="1"/>
  <c r="S2080" i="1"/>
  <c r="O2080" i="1"/>
  <c r="O2053" i="1"/>
  <c r="S2053" i="1"/>
  <c r="O2054" i="1"/>
  <c r="S2054" i="1"/>
  <c r="O2055" i="1"/>
  <c r="S2055" i="1"/>
  <c r="O2056" i="1"/>
  <c r="S2056" i="1"/>
  <c r="S2052" i="1"/>
  <c r="O2052" i="1"/>
  <c r="S2051" i="1"/>
  <c r="O2051" i="1"/>
  <c r="S2050" i="1"/>
  <c r="O2050" i="1"/>
  <c r="S2049" i="1"/>
  <c r="O2049" i="1"/>
  <c r="S2048" i="1"/>
  <c r="O2048" i="1"/>
  <c r="S2047" i="1"/>
  <c r="O2047" i="1"/>
  <c r="S2046" i="1"/>
  <c r="O2046" i="1"/>
  <c r="S2045" i="1"/>
  <c r="O2045" i="1"/>
  <c r="S2044" i="1"/>
  <c r="O2044" i="1"/>
  <c r="S2043" i="1"/>
  <c r="O2043" i="1"/>
  <c r="S2042" i="1"/>
  <c r="O2042" i="1"/>
  <c r="S2041" i="1"/>
  <c r="O2041" i="1"/>
  <c r="S2040" i="1"/>
  <c r="O2040" i="1"/>
  <c r="S2039" i="1"/>
  <c r="O2039" i="1"/>
  <c r="S2038" i="1"/>
  <c r="O2038" i="1"/>
  <c r="S2012" i="1"/>
  <c r="O2012" i="1"/>
  <c r="S2011" i="1"/>
  <c r="O2011" i="1"/>
  <c r="S2010" i="1"/>
  <c r="O2010" i="1"/>
  <c r="S2009" i="1"/>
  <c r="O2009" i="1"/>
  <c r="S2008" i="1"/>
  <c r="O2008" i="1"/>
  <c r="S2007" i="1"/>
  <c r="O2007" i="1"/>
  <c r="S2006" i="1"/>
  <c r="O2006" i="1"/>
  <c r="S2005" i="1"/>
  <c r="O2005" i="1"/>
  <c r="S2004" i="1"/>
  <c r="O2004" i="1"/>
  <c r="S2003" i="1"/>
  <c r="O2003" i="1"/>
  <c r="S2002" i="1"/>
  <c r="O2002" i="1"/>
  <c r="S2001" i="1"/>
  <c r="O2001" i="1"/>
  <c r="S2000" i="1"/>
  <c r="O2000" i="1"/>
  <c r="S1999" i="1"/>
  <c r="O1999" i="1"/>
  <c r="S1998" i="1"/>
  <c r="O1998" i="1"/>
  <c r="S1997" i="1"/>
  <c r="O1997" i="1"/>
  <c r="S1996" i="1"/>
  <c r="O1996" i="1"/>
  <c r="S1995" i="1"/>
  <c r="O1995" i="1"/>
  <c r="S1994" i="1"/>
  <c r="O1994" i="1"/>
  <c r="S1968" i="1"/>
  <c r="O1968" i="1"/>
  <c r="S1967" i="1"/>
  <c r="O1967" i="1"/>
  <c r="S1966" i="1"/>
  <c r="O1966" i="1"/>
  <c r="S1965" i="1"/>
  <c r="O1965" i="1"/>
  <c r="S1964" i="1"/>
  <c r="O1964" i="1"/>
  <c r="S1963" i="1"/>
  <c r="O1963" i="1"/>
  <c r="S1962" i="1"/>
  <c r="O1962" i="1"/>
  <c r="S1961" i="1"/>
  <c r="O1961" i="1"/>
  <c r="S1960" i="1"/>
  <c r="O1960" i="1"/>
  <c r="S1959" i="1"/>
  <c r="O1959" i="1"/>
  <c r="S1958" i="1"/>
  <c r="O1958" i="1"/>
  <c r="S1957" i="1"/>
  <c r="O1957" i="1"/>
  <c r="S1956" i="1"/>
  <c r="O1956" i="1"/>
  <c r="S1955" i="1"/>
  <c r="O1955" i="1"/>
  <c r="S1954" i="1"/>
  <c r="O1954" i="1"/>
  <c r="S1953" i="1"/>
  <c r="O1953" i="1"/>
  <c r="S1952" i="1"/>
  <c r="O1952" i="1"/>
  <c r="S1951" i="1"/>
  <c r="O1951" i="1"/>
  <c r="S1924" i="1"/>
  <c r="O1924" i="1"/>
  <c r="S1923" i="1"/>
  <c r="O1923" i="1"/>
  <c r="S1922" i="1"/>
  <c r="O1922" i="1"/>
  <c r="S1921" i="1"/>
  <c r="O1921" i="1"/>
  <c r="S1920" i="1"/>
  <c r="O1920" i="1"/>
  <c r="S1919" i="1"/>
  <c r="O1919" i="1"/>
  <c r="S1918" i="1"/>
  <c r="O1918" i="1"/>
  <c r="S1917" i="1"/>
  <c r="O1917" i="1"/>
  <c r="S1916" i="1"/>
  <c r="O1916" i="1"/>
  <c r="S1915" i="1"/>
  <c r="O1915" i="1"/>
  <c r="S1914" i="1"/>
  <c r="O1914" i="1"/>
  <c r="S1913" i="1"/>
  <c r="O1913" i="1"/>
  <c r="S1912" i="1"/>
  <c r="O1912" i="1"/>
  <c r="S1911" i="1"/>
  <c r="O1911" i="1"/>
  <c r="S1910" i="1"/>
  <c r="O1910" i="1"/>
  <c r="S1909" i="1"/>
  <c r="O1909" i="1"/>
  <c r="S1908" i="1"/>
  <c r="O1908" i="1"/>
  <c r="S1884" i="1"/>
  <c r="O1884" i="1"/>
  <c r="S1883" i="1"/>
  <c r="O1883" i="1"/>
  <c r="S1882" i="1"/>
  <c r="O1882" i="1"/>
  <c r="S1881" i="1"/>
  <c r="O1881" i="1"/>
  <c r="O2107" i="1"/>
  <c r="AG2060" i="1"/>
  <c r="AC2060" i="1"/>
  <c r="S1681" i="1"/>
  <c r="R1681" i="1"/>
  <c r="Q1681" i="1"/>
  <c r="P1681" i="1"/>
  <c r="O1681" i="1"/>
  <c r="N1681" i="1"/>
  <c r="M1681" i="1"/>
  <c r="L1681" i="1"/>
  <c r="S1760" i="1"/>
  <c r="R1760" i="1"/>
  <c r="Q1760" i="1"/>
  <c r="P1760" i="1"/>
  <c r="O1760" i="1"/>
  <c r="N1760" i="1"/>
  <c r="M1760" i="1"/>
  <c r="L1760" i="1"/>
  <c r="S1803" i="1"/>
  <c r="R1803" i="1"/>
  <c r="Q1803" i="1"/>
  <c r="P1803" i="1"/>
  <c r="O1803" i="1"/>
  <c r="N1803" i="1"/>
  <c r="M1803" i="1"/>
  <c r="L1803" i="1"/>
  <c r="S1846" i="1"/>
  <c r="R1846" i="1"/>
  <c r="Q1846" i="1"/>
  <c r="P1846" i="1"/>
  <c r="O1846" i="1"/>
  <c r="N1846" i="1"/>
  <c r="M1846" i="1"/>
  <c r="L1846" i="1"/>
  <c r="S1889" i="1"/>
  <c r="R1889" i="1"/>
  <c r="Q1889" i="1"/>
  <c r="P1889" i="1"/>
  <c r="O1889" i="1"/>
  <c r="N1889" i="1"/>
  <c r="M1889" i="1"/>
  <c r="L1889" i="1"/>
  <c r="S1932" i="1"/>
  <c r="R1932" i="1"/>
  <c r="Q1932" i="1"/>
  <c r="P1932" i="1"/>
  <c r="O1932" i="1"/>
  <c r="N1932" i="1"/>
  <c r="M1932" i="1"/>
  <c r="L1932" i="1"/>
  <c r="S1975" i="1"/>
  <c r="R1975" i="1"/>
  <c r="Q1975" i="1"/>
  <c r="P1975" i="1"/>
  <c r="O1975" i="1"/>
  <c r="N1975" i="1"/>
  <c r="M1975" i="1"/>
  <c r="L1975" i="1"/>
  <c r="R2018" i="1"/>
  <c r="Q2018" i="1"/>
  <c r="P2018" i="1"/>
  <c r="N2018" i="1"/>
  <c r="M2018" i="1"/>
  <c r="L2018" i="1"/>
  <c r="R2061" i="1"/>
  <c r="R2063" i="1" s="1"/>
  <c r="Q2061" i="1"/>
  <c r="P2061" i="1"/>
  <c r="N2061" i="1"/>
  <c r="M2061" i="1"/>
  <c r="L2061" i="1"/>
  <c r="M2104" i="1"/>
  <c r="N2104" i="1"/>
  <c r="P2104" i="1"/>
  <c r="Q2104" i="1"/>
  <c r="R2104" i="1"/>
  <c r="L2104" i="1"/>
  <c r="S2017" i="1"/>
  <c r="S2018" i="1" s="1"/>
  <c r="I1994" i="1"/>
  <c r="E1994" i="1"/>
  <c r="O2013" i="1"/>
  <c r="S2013" i="1"/>
  <c r="O2017" i="1"/>
  <c r="S2016" i="1"/>
  <c r="O2016" i="1"/>
  <c r="S2059" i="1"/>
  <c r="O2059" i="1"/>
  <c r="S2058" i="1"/>
  <c r="O2058" i="1"/>
  <c r="O1969" i="1"/>
  <c r="S1969" i="1"/>
  <c r="S1880" i="1"/>
  <c r="O1880" i="1"/>
  <c r="S1879" i="1"/>
  <c r="O1879" i="1"/>
  <c r="S1878" i="1"/>
  <c r="O1878" i="1"/>
  <c r="AF2063" i="1"/>
  <c r="AE2063" i="1"/>
  <c r="AD2063" i="1"/>
  <c r="AG2064" i="1"/>
  <c r="Y2064" i="1"/>
  <c r="V2021" i="1"/>
  <c r="W2021" i="1"/>
  <c r="X2021" i="1"/>
  <c r="Y2021" i="1"/>
  <c r="AD2021" i="1"/>
  <c r="S1970" i="1"/>
  <c r="O1970" i="1"/>
  <c r="S2037" i="1"/>
  <c r="O2037" i="1"/>
  <c r="Y1992" i="1"/>
  <c r="AC1992" i="1"/>
  <c r="AG1992" i="1"/>
  <c r="AG2034" i="1"/>
  <c r="AC2034" i="1"/>
  <c r="Y2034" i="1"/>
  <c r="Y2078" i="1"/>
  <c r="AC2078" i="1"/>
  <c r="AG2078" i="1"/>
  <c r="Y2035" i="1"/>
  <c r="AC2035" i="1"/>
  <c r="AG2035" i="1"/>
  <c r="Y2017" i="1"/>
  <c r="AC2017" i="1"/>
  <c r="AG2017" i="1"/>
  <c r="AF2104" i="1"/>
  <c r="AD2104" i="1"/>
  <c r="X2104" i="1"/>
  <c r="W2104" i="1"/>
  <c r="V2104" i="1"/>
  <c r="AG2100" i="1"/>
  <c r="AC2100" i="1"/>
  <c r="Y2100" i="1"/>
  <c r="AG2099" i="1"/>
  <c r="AC2099" i="1"/>
  <c r="Y2099" i="1"/>
  <c r="AG2098" i="1"/>
  <c r="AC2098" i="1"/>
  <c r="Y2098" i="1"/>
  <c r="AG2097" i="1"/>
  <c r="AC2097" i="1"/>
  <c r="Y2097" i="1"/>
  <c r="AG2096" i="1"/>
  <c r="AC2096" i="1"/>
  <c r="Y2096" i="1"/>
  <c r="AG2095" i="1"/>
  <c r="AC2095" i="1"/>
  <c r="Y2095" i="1"/>
  <c r="AG2094" i="1"/>
  <c r="AC2094" i="1"/>
  <c r="Y2094" i="1"/>
  <c r="AG2093" i="1"/>
  <c r="AC2093" i="1"/>
  <c r="Y2093" i="1"/>
  <c r="AG2092" i="1"/>
  <c r="AC2092" i="1"/>
  <c r="Y2092" i="1"/>
  <c r="AG2091" i="1"/>
  <c r="AC2091" i="1"/>
  <c r="Y2091" i="1"/>
  <c r="AG2090" i="1"/>
  <c r="AC2090" i="1"/>
  <c r="Y2090" i="1"/>
  <c r="AG2089" i="1"/>
  <c r="AC2089" i="1"/>
  <c r="Y2089" i="1"/>
  <c r="AG2088" i="1"/>
  <c r="AC2088" i="1"/>
  <c r="Y2088" i="1"/>
  <c r="AG2087" i="1"/>
  <c r="AC2087" i="1"/>
  <c r="Y2087" i="1"/>
  <c r="AG2086" i="1"/>
  <c r="AC2086" i="1"/>
  <c r="Y2086" i="1"/>
  <c r="AG2085" i="1"/>
  <c r="AC2085" i="1"/>
  <c r="Y2085" i="1"/>
  <c r="AG2084" i="1"/>
  <c r="AC2084" i="1"/>
  <c r="Y2084" i="1"/>
  <c r="AG2083" i="1"/>
  <c r="AC2083" i="1"/>
  <c r="Y2083" i="1"/>
  <c r="AG2082" i="1"/>
  <c r="AC2082" i="1"/>
  <c r="Y2082" i="1"/>
  <c r="AG2081" i="1"/>
  <c r="AC2081" i="1"/>
  <c r="Y2081" i="1"/>
  <c r="AG2080" i="1"/>
  <c r="AC2080" i="1"/>
  <c r="Y2080" i="1"/>
  <c r="AG2077" i="1"/>
  <c r="AC2077" i="1"/>
  <c r="Y2077" i="1"/>
  <c r="AG2076" i="1"/>
  <c r="AC2076" i="1"/>
  <c r="Y2076" i="1"/>
  <c r="AG2074" i="1"/>
  <c r="AC2074" i="1"/>
  <c r="Y2074" i="1"/>
  <c r="AG2073" i="1"/>
  <c r="AG2072" i="1"/>
  <c r="AG2071" i="1"/>
  <c r="AC2071" i="1"/>
  <c r="Y2071" i="1"/>
  <c r="AG2070" i="1"/>
  <c r="AC2070" i="1"/>
  <c r="Y2070" i="1"/>
  <c r="AG2069" i="1"/>
  <c r="AC2069" i="1"/>
  <c r="Y2069" i="1"/>
  <c r="AF2061" i="1"/>
  <c r="AE2061" i="1"/>
  <c r="AD2061" i="1"/>
  <c r="AB2061" i="1"/>
  <c r="X2061" i="1"/>
  <c r="W2061" i="1"/>
  <c r="V2061" i="1"/>
  <c r="Y2060" i="1"/>
  <c r="AG2059" i="1"/>
  <c r="AC2059" i="1"/>
  <c r="Y2059" i="1"/>
  <c r="AG2058" i="1"/>
  <c r="AC2058" i="1"/>
  <c r="Y2058" i="1"/>
  <c r="AG2057" i="1"/>
  <c r="AC2057" i="1"/>
  <c r="Y2057" i="1"/>
  <c r="AG2056" i="1"/>
  <c r="AC2056" i="1"/>
  <c r="Y2056" i="1"/>
  <c r="AG2055" i="1"/>
  <c r="AC2055" i="1"/>
  <c r="Y2055" i="1"/>
  <c r="AG2054" i="1"/>
  <c r="AC2054" i="1"/>
  <c r="Y2054" i="1"/>
  <c r="AG2053" i="1"/>
  <c r="AC2053" i="1"/>
  <c r="Y2053" i="1"/>
  <c r="AG2052" i="1"/>
  <c r="AC2052" i="1"/>
  <c r="Y2052" i="1"/>
  <c r="AG2051" i="1"/>
  <c r="AC2051" i="1"/>
  <c r="Y2051" i="1"/>
  <c r="AG2050" i="1"/>
  <c r="AC2050" i="1"/>
  <c r="Y2050" i="1"/>
  <c r="AG2049" i="1"/>
  <c r="AC2049" i="1"/>
  <c r="Y2049" i="1"/>
  <c r="AG2048" i="1"/>
  <c r="AC2048" i="1"/>
  <c r="Y2048" i="1"/>
  <c r="AG2047" i="1"/>
  <c r="AC2047" i="1"/>
  <c r="Y2047" i="1"/>
  <c r="AG2046" i="1"/>
  <c r="AC2046" i="1"/>
  <c r="Y2046" i="1"/>
  <c r="AG2045" i="1"/>
  <c r="AC2045" i="1"/>
  <c r="Y2045" i="1"/>
  <c r="AG2044" i="1"/>
  <c r="AC2044" i="1"/>
  <c r="Y2044" i="1"/>
  <c r="AG2043" i="1"/>
  <c r="AC2043" i="1"/>
  <c r="Y2043" i="1"/>
  <c r="AG2042" i="1"/>
  <c r="AC2042" i="1"/>
  <c r="Y2042" i="1"/>
  <c r="AG2041" i="1"/>
  <c r="AC2041" i="1"/>
  <c r="Y2041" i="1"/>
  <c r="AG2040" i="1"/>
  <c r="AC2040" i="1"/>
  <c r="Y2040" i="1"/>
  <c r="AG2039" i="1"/>
  <c r="AC2039" i="1"/>
  <c r="Y2039" i="1"/>
  <c r="AG2038" i="1"/>
  <c r="AC2038" i="1"/>
  <c r="Y2038" i="1"/>
  <c r="AG2037" i="1"/>
  <c r="AC2037" i="1"/>
  <c r="Y2037" i="1"/>
  <c r="AG2033" i="1"/>
  <c r="AC2033" i="1"/>
  <c r="Y2033" i="1"/>
  <c r="AG2032" i="1"/>
  <c r="AC2032" i="1"/>
  <c r="Y2032" i="1"/>
  <c r="AG2031" i="1"/>
  <c r="AC2031" i="1"/>
  <c r="Y2031" i="1"/>
  <c r="AG2030" i="1"/>
  <c r="AC2030" i="1"/>
  <c r="Y2030" i="1"/>
  <c r="AG2029" i="1"/>
  <c r="AC2029" i="1"/>
  <c r="Y2029" i="1"/>
  <c r="AG2028" i="1"/>
  <c r="AC2028" i="1"/>
  <c r="Y2028" i="1"/>
  <c r="AG2027" i="1"/>
  <c r="AC2027" i="1"/>
  <c r="Y2027" i="1"/>
  <c r="AG2026" i="1"/>
  <c r="AC2026" i="1"/>
  <c r="Y2026" i="1"/>
  <c r="S1972" i="1"/>
  <c r="O1972" i="1"/>
  <c r="S1971" i="1"/>
  <c r="O1971" i="1"/>
  <c r="O2014" i="1"/>
  <c r="S2014" i="1"/>
  <c r="O2015" i="1"/>
  <c r="S2015" i="1"/>
  <c r="S2060" i="1"/>
  <c r="O2060" i="1"/>
  <c r="S1973" i="1"/>
  <c r="E1974" i="1"/>
  <c r="I1974" i="1"/>
  <c r="O1949" i="1"/>
  <c r="S1949" i="1"/>
  <c r="E2017" i="1"/>
  <c r="I2017" i="1"/>
  <c r="Y2015" i="1"/>
  <c r="AC2015" i="1"/>
  <c r="AG2015" i="1"/>
  <c r="I1941" i="1"/>
  <c r="E1941" i="1"/>
  <c r="S1974" i="1"/>
  <c r="S1926" i="1"/>
  <c r="O1926" i="1"/>
  <c r="S1929" i="1"/>
  <c r="O1929" i="1"/>
  <c r="S1928" i="1"/>
  <c r="O1928" i="1"/>
  <c r="S1927" i="1"/>
  <c r="O1927" i="1"/>
  <c r="S1925" i="1"/>
  <c r="O1925" i="1"/>
  <c r="O1930" i="1"/>
  <c r="S1930" i="1"/>
  <c r="O1931" i="1"/>
  <c r="H2104" i="1"/>
  <c r="G2104" i="1"/>
  <c r="F2104" i="1"/>
  <c r="D2104" i="1"/>
  <c r="C2104" i="1"/>
  <c r="B2104" i="1"/>
  <c r="I2103" i="1"/>
  <c r="E2103" i="1"/>
  <c r="I2102" i="1"/>
  <c r="E2102" i="1"/>
  <c r="I2101" i="1"/>
  <c r="E2101" i="1"/>
  <c r="I2100" i="1"/>
  <c r="E2100" i="1"/>
  <c r="I2099" i="1"/>
  <c r="E2099" i="1"/>
  <c r="I2098" i="1"/>
  <c r="E2098" i="1"/>
  <c r="I2097" i="1"/>
  <c r="E2097" i="1"/>
  <c r="I2096" i="1"/>
  <c r="E2096" i="1"/>
  <c r="I2095" i="1"/>
  <c r="E2095" i="1"/>
  <c r="I2094" i="1"/>
  <c r="E2094" i="1"/>
  <c r="I2093" i="1"/>
  <c r="E2093" i="1"/>
  <c r="I2092" i="1"/>
  <c r="E2092" i="1"/>
  <c r="I2091" i="1"/>
  <c r="E2091" i="1"/>
  <c r="I2090" i="1"/>
  <c r="E2090" i="1"/>
  <c r="I2089" i="1"/>
  <c r="E2089" i="1"/>
  <c r="I2088" i="1"/>
  <c r="E2088" i="1"/>
  <c r="I2087" i="1"/>
  <c r="E2087" i="1"/>
  <c r="I2086" i="1"/>
  <c r="E2086" i="1"/>
  <c r="I2085" i="1"/>
  <c r="E2085" i="1"/>
  <c r="I2084" i="1"/>
  <c r="E2084" i="1"/>
  <c r="I2083" i="1"/>
  <c r="E2083" i="1"/>
  <c r="I2082" i="1"/>
  <c r="E2082" i="1"/>
  <c r="I2081" i="1"/>
  <c r="E2081" i="1"/>
  <c r="I2080" i="1"/>
  <c r="E2080" i="1"/>
  <c r="I2078" i="1"/>
  <c r="E2078" i="1"/>
  <c r="I2077" i="1"/>
  <c r="E2077" i="1"/>
  <c r="I2076" i="1"/>
  <c r="E2076" i="1"/>
  <c r="I2075" i="1"/>
  <c r="E2075" i="1"/>
  <c r="I2074" i="1"/>
  <c r="E2074" i="1"/>
  <c r="I2073" i="1"/>
  <c r="E2073" i="1"/>
  <c r="I2072" i="1"/>
  <c r="E2072" i="1"/>
  <c r="I2071" i="1"/>
  <c r="E2071" i="1"/>
  <c r="H2061" i="1"/>
  <c r="G2061" i="1"/>
  <c r="F2061" i="1"/>
  <c r="D2061" i="1"/>
  <c r="C2061" i="1"/>
  <c r="B2061" i="1"/>
  <c r="I2060" i="1"/>
  <c r="E2060" i="1"/>
  <c r="I2059" i="1"/>
  <c r="E2059" i="1"/>
  <c r="I2058" i="1"/>
  <c r="E2058" i="1"/>
  <c r="I2057" i="1"/>
  <c r="E2057" i="1"/>
  <c r="I2056" i="1"/>
  <c r="E2056" i="1"/>
  <c r="I2055" i="1"/>
  <c r="E2055" i="1"/>
  <c r="I2054" i="1"/>
  <c r="E2054" i="1"/>
  <c r="I2053" i="1"/>
  <c r="E2053" i="1"/>
  <c r="I2052" i="1"/>
  <c r="E2052" i="1"/>
  <c r="I2051" i="1"/>
  <c r="E2051" i="1"/>
  <c r="I2050" i="1"/>
  <c r="E2050" i="1"/>
  <c r="I2049" i="1"/>
  <c r="E2049" i="1"/>
  <c r="I2048" i="1"/>
  <c r="E2048" i="1"/>
  <c r="I2047" i="1"/>
  <c r="E2047" i="1"/>
  <c r="I2046" i="1"/>
  <c r="E2046" i="1"/>
  <c r="I2045" i="1"/>
  <c r="E2045" i="1"/>
  <c r="I2044" i="1"/>
  <c r="E2044" i="1"/>
  <c r="I2043" i="1"/>
  <c r="E2043" i="1"/>
  <c r="I2042" i="1"/>
  <c r="E2042" i="1"/>
  <c r="I2041" i="1"/>
  <c r="E2041" i="1"/>
  <c r="I2040" i="1"/>
  <c r="E2040" i="1"/>
  <c r="I2039" i="1"/>
  <c r="E2039" i="1"/>
  <c r="I2038" i="1"/>
  <c r="E2038" i="1"/>
  <c r="I2037" i="1"/>
  <c r="E2037" i="1"/>
  <c r="I2035" i="1"/>
  <c r="E2035" i="1"/>
  <c r="I2034" i="1"/>
  <c r="E2034" i="1"/>
  <c r="I2033" i="1"/>
  <c r="E2033" i="1"/>
  <c r="I2032" i="1"/>
  <c r="E2032" i="1"/>
  <c r="I2031" i="1"/>
  <c r="E2031" i="1"/>
  <c r="I2030" i="1"/>
  <c r="E2030" i="1"/>
  <c r="I2029" i="1"/>
  <c r="E2029" i="1"/>
  <c r="I2028" i="1"/>
  <c r="E2028" i="1"/>
  <c r="I2027" i="1"/>
  <c r="E2027" i="1"/>
  <c r="I2026" i="1"/>
  <c r="E2026" i="1"/>
  <c r="S2093" i="1"/>
  <c r="O2093" i="1"/>
  <c r="S2090" i="1"/>
  <c r="O2090" i="1"/>
  <c r="S2089" i="1"/>
  <c r="O2089" i="1"/>
  <c r="S2088" i="1"/>
  <c r="O2088" i="1"/>
  <c r="S2087" i="1"/>
  <c r="O2087" i="1"/>
  <c r="S2086" i="1"/>
  <c r="O2086" i="1"/>
  <c r="S2084" i="1"/>
  <c r="O2084" i="1"/>
  <c r="S2083" i="1"/>
  <c r="O2083" i="1"/>
  <c r="S2082" i="1"/>
  <c r="O2082" i="1"/>
  <c r="S2081" i="1"/>
  <c r="O2081" i="1"/>
  <c r="S2078" i="1"/>
  <c r="O2078" i="1"/>
  <c r="S2077" i="1"/>
  <c r="O2077" i="1"/>
  <c r="S2076" i="1"/>
  <c r="O2076" i="1"/>
  <c r="S2075" i="1"/>
  <c r="O2075" i="1"/>
  <c r="S2074" i="1"/>
  <c r="O2074" i="1"/>
  <c r="S2069" i="1"/>
  <c r="O2069" i="1"/>
  <c r="O2028" i="1"/>
  <c r="S2028" i="1"/>
  <c r="O2029" i="1"/>
  <c r="S2029" i="1"/>
  <c r="O2030" i="1"/>
  <c r="S2030" i="1"/>
  <c r="O2031" i="1"/>
  <c r="S2031" i="1"/>
  <c r="O2032" i="1"/>
  <c r="S2032" i="1"/>
  <c r="O2033" i="1"/>
  <c r="S2033" i="1"/>
  <c r="O2034" i="1"/>
  <c r="S2034" i="1"/>
  <c r="S2057" i="1"/>
  <c r="O2057" i="1"/>
  <c r="O2061" i="1"/>
  <c r="S2035" i="1"/>
  <c r="O2035" i="1"/>
  <c r="S2027" i="1"/>
  <c r="O2027" i="1"/>
  <c r="S2026" i="1"/>
  <c r="O2026" i="1"/>
  <c r="S1873" i="1"/>
  <c r="O1873" i="1"/>
  <c r="Y1949" i="1"/>
  <c r="AC1949" i="1"/>
  <c r="AG1949" i="1"/>
  <c r="Y1974" i="1"/>
  <c r="AC1974" i="1"/>
  <c r="AG1974" i="1"/>
  <c r="Y1906" i="1"/>
  <c r="AC1906" i="1"/>
  <c r="AG1906" i="1"/>
  <c r="Y1931" i="1"/>
  <c r="AC1931" i="1"/>
  <c r="AG1931" i="1"/>
  <c r="AB1932" i="1"/>
  <c r="X1975" i="1"/>
  <c r="O1903" i="1"/>
  <c r="S1903" i="1"/>
  <c r="S1941" i="1"/>
  <c r="O1941" i="1"/>
  <c r="S1887" i="1"/>
  <c r="S1886" i="1"/>
  <c r="O1886" i="1"/>
  <c r="O1973" i="1"/>
  <c r="O1974" i="1"/>
  <c r="AG1935" i="1"/>
  <c r="Y1935" i="1"/>
  <c r="AG1934" i="1"/>
  <c r="Y1820" i="1"/>
  <c r="AC1820" i="1"/>
  <c r="AG1820" i="1"/>
  <c r="Y1845" i="1"/>
  <c r="AC1845" i="1"/>
  <c r="AG1845" i="1"/>
  <c r="O1944" i="1"/>
  <c r="S1944" i="1"/>
  <c r="S1985" i="1"/>
  <c r="O1985" i="1"/>
  <c r="S1845" i="1"/>
  <c r="S1842" i="1"/>
  <c r="O1842" i="1"/>
  <c r="O1812" i="1"/>
  <c r="S1812" i="1"/>
  <c r="O1813" i="1"/>
  <c r="S1813" i="1"/>
  <c r="O1814" i="1"/>
  <c r="S1814" i="1"/>
  <c r="O1815" i="1"/>
  <c r="S1815" i="1"/>
  <c r="O1816" i="1"/>
  <c r="S1816" i="1"/>
  <c r="O1817" i="1"/>
  <c r="S1817" i="1"/>
  <c r="O1818" i="1"/>
  <c r="S1818" i="1"/>
  <c r="S1943" i="1"/>
  <c r="O1943" i="1"/>
  <c r="S1942" i="1"/>
  <c r="O1942" i="1"/>
  <c r="S1899" i="1"/>
  <c r="O1899" i="1"/>
  <c r="O1841" i="1"/>
  <c r="S1841" i="1"/>
  <c r="O1828" i="1"/>
  <c r="S1828" i="1"/>
  <c r="O1829" i="1"/>
  <c r="S1829" i="1"/>
  <c r="O1830" i="1"/>
  <c r="S1830" i="1"/>
  <c r="O1831" i="1"/>
  <c r="S1831" i="1"/>
  <c r="O1832" i="1"/>
  <c r="S1832" i="1"/>
  <c r="O1833" i="1"/>
  <c r="S1833" i="1"/>
  <c r="O1834" i="1"/>
  <c r="S1834" i="1"/>
  <c r="O1835" i="1"/>
  <c r="S1835" i="1"/>
  <c r="O1836" i="1"/>
  <c r="S1836" i="1"/>
  <c r="O1837" i="1"/>
  <c r="S1837" i="1"/>
  <c r="O1838" i="1"/>
  <c r="S1838" i="1"/>
  <c r="O1839" i="1"/>
  <c r="S1839" i="1"/>
  <c r="O1840" i="1"/>
  <c r="S1840" i="1"/>
  <c r="S1843" i="1"/>
  <c r="O1843" i="1"/>
  <c r="O1887" i="1"/>
  <c r="S1888" i="1"/>
  <c r="O1888" i="1"/>
  <c r="O1845" i="1"/>
  <c r="S1844" i="1"/>
  <c r="O1844" i="1"/>
  <c r="AF2018" i="1"/>
  <c r="AE2018" i="1"/>
  <c r="AD2018" i="1"/>
  <c r="AB2018" i="1"/>
  <c r="AA2018" i="1"/>
  <c r="Z2018" i="1"/>
  <c r="X2018" i="1"/>
  <c r="W2018" i="1"/>
  <c r="V2018" i="1"/>
  <c r="AG2016" i="1"/>
  <c r="AC2016" i="1"/>
  <c r="Y2016" i="1"/>
  <c r="AG2014" i="1"/>
  <c r="AC2014" i="1"/>
  <c r="Y2014" i="1"/>
  <c r="AG2013" i="1"/>
  <c r="AC2013" i="1"/>
  <c r="Y2013" i="1"/>
  <c r="AG2012" i="1"/>
  <c r="AC2012" i="1"/>
  <c r="Y2012" i="1"/>
  <c r="AG2011" i="1"/>
  <c r="AC2011" i="1"/>
  <c r="Y2011" i="1"/>
  <c r="AG2010" i="1"/>
  <c r="AC2010" i="1"/>
  <c r="Y2010" i="1"/>
  <c r="AG2009" i="1"/>
  <c r="AC2009" i="1"/>
  <c r="Y2009" i="1"/>
  <c r="AG2008" i="1"/>
  <c r="AC2008" i="1"/>
  <c r="Y2008" i="1"/>
  <c r="AG2007" i="1"/>
  <c r="AC2007" i="1"/>
  <c r="Y2007" i="1"/>
  <c r="AG2006" i="1"/>
  <c r="AC2006" i="1"/>
  <c r="Y2006" i="1"/>
  <c r="AG2005" i="1"/>
  <c r="AC2005" i="1"/>
  <c r="Y2005" i="1"/>
  <c r="AG2004" i="1"/>
  <c r="AC2004" i="1"/>
  <c r="Y2004" i="1"/>
  <c r="AG2003" i="1"/>
  <c r="AC2003" i="1"/>
  <c r="Y2003" i="1"/>
  <c r="AG2002" i="1"/>
  <c r="AC2002" i="1"/>
  <c r="Y2002" i="1"/>
  <c r="AG2001" i="1"/>
  <c r="AC2001" i="1"/>
  <c r="Y2001" i="1"/>
  <c r="AG2000" i="1"/>
  <c r="AC2000" i="1"/>
  <c r="Y2000" i="1"/>
  <c r="AG1999" i="1"/>
  <c r="AC1999" i="1"/>
  <c r="Y1999" i="1"/>
  <c r="AG1998" i="1"/>
  <c r="AC1998" i="1"/>
  <c r="Y1998" i="1"/>
  <c r="AG1997" i="1"/>
  <c r="AC1997" i="1"/>
  <c r="Y1997" i="1"/>
  <c r="AG1996" i="1"/>
  <c r="AC1996" i="1"/>
  <c r="Y1996" i="1"/>
  <c r="AG1995" i="1"/>
  <c r="AC1995" i="1"/>
  <c r="Y1995" i="1"/>
  <c r="AG1994" i="1"/>
  <c r="AC1994" i="1"/>
  <c r="Y1994" i="1"/>
  <c r="AG1991" i="1"/>
  <c r="AC1991" i="1"/>
  <c r="Y1991" i="1"/>
  <c r="AG1990" i="1"/>
  <c r="AC1990" i="1"/>
  <c r="Y1990" i="1"/>
  <c r="AG1989" i="1"/>
  <c r="AC1989" i="1"/>
  <c r="Y1989" i="1"/>
  <c r="AG1988" i="1"/>
  <c r="AC1988" i="1"/>
  <c r="Y1988" i="1"/>
  <c r="AG1987" i="1"/>
  <c r="AC1987" i="1"/>
  <c r="Y1987" i="1"/>
  <c r="AG1986" i="1"/>
  <c r="AC1986" i="1"/>
  <c r="Y1986" i="1"/>
  <c r="AG1985" i="1"/>
  <c r="AC1985" i="1"/>
  <c r="Y1985" i="1"/>
  <c r="AG1984" i="1"/>
  <c r="AC1984" i="1"/>
  <c r="Y1984" i="1"/>
  <c r="AG1983" i="1"/>
  <c r="AC1983" i="1"/>
  <c r="Y1983" i="1"/>
  <c r="H2018" i="1"/>
  <c r="G2018" i="1"/>
  <c r="F2018" i="1"/>
  <c r="D2018" i="1"/>
  <c r="C2018" i="1"/>
  <c r="B2018" i="1"/>
  <c r="I2016" i="1"/>
  <c r="E2016" i="1"/>
  <c r="I2015" i="1"/>
  <c r="E2015" i="1"/>
  <c r="I2014" i="1"/>
  <c r="E2014" i="1"/>
  <c r="I2013" i="1"/>
  <c r="E2013" i="1"/>
  <c r="I2012" i="1"/>
  <c r="E2012" i="1"/>
  <c r="I2011" i="1"/>
  <c r="E2011" i="1"/>
  <c r="I2010" i="1"/>
  <c r="E2010" i="1"/>
  <c r="I2009" i="1"/>
  <c r="E2009" i="1"/>
  <c r="I2008" i="1"/>
  <c r="E2008" i="1"/>
  <c r="I2007" i="1"/>
  <c r="E2007" i="1"/>
  <c r="I2006" i="1"/>
  <c r="E2006" i="1"/>
  <c r="I2005" i="1"/>
  <c r="E2005" i="1"/>
  <c r="I2004" i="1"/>
  <c r="E2004" i="1"/>
  <c r="I2003" i="1"/>
  <c r="E2003" i="1"/>
  <c r="I2002" i="1"/>
  <c r="E2002" i="1"/>
  <c r="I2001" i="1"/>
  <c r="E2001" i="1"/>
  <c r="I2000" i="1"/>
  <c r="E2000" i="1"/>
  <c r="I1999" i="1"/>
  <c r="E1999" i="1"/>
  <c r="I1998" i="1"/>
  <c r="E1998" i="1"/>
  <c r="I1997" i="1"/>
  <c r="E1997" i="1"/>
  <c r="I1996" i="1"/>
  <c r="E1996" i="1"/>
  <c r="I1995" i="1"/>
  <c r="E1995" i="1"/>
  <c r="S1992" i="1"/>
  <c r="O1992" i="1"/>
  <c r="I1992" i="1"/>
  <c r="E1992" i="1"/>
  <c r="S1991" i="1"/>
  <c r="O1991" i="1"/>
  <c r="I1991" i="1"/>
  <c r="E1991" i="1"/>
  <c r="S1990" i="1"/>
  <c r="O1990" i="1"/>
  <c r="I1990" i="1"/>
  <c r="E1990" i="1"/>
  <c r="S1989" i="1"/>
  <c r="O1989" i="1"/>
  <c r="I1989" i="1"/>
  <c r="E1989" i="1"/>
  <c r="S1988" i="1"/>
  <c r="O1988" i="1"/>
  <c r="I1988" i="1"/>
  <c r="E1988" i="1"/>
  <c r="S1987" i="1"/>
  <c r="O1987" i="1"/>
  <c r="I1987" i="1"/>
  <c r="E1987" i="1"/>
  <c r="S1986" i="1"/>
  <c r="O1986" i="1"/>
  <c r="I1986" i="1"/>
  <c r="E1986" i="1"/>
  <c r="I1985" i="1"/>
  <c r="E1985" i="1"/>
  <c r="S1984" i="1"/>
  <c r="O1984" i="1"/>
  <c r="I1984" i="1"/>
  <c r="E1984" i="1"/>
  <c r="S1983" i="1"/>
  <c r="O1983" i="1"/>
  <c r="I1983" i="1"/>
  <c r="E1983" i="1"/>
  <c r="AF1975" i="1"/>
  <c r="AE1975" i="1"/>
  <c r="AD1975" i="1"/>
  <c r="AB1975" i="1"/>
  <c r="AA1975" i="1"/>
  <c r="Z1975" i="1"/>
  <c r="W1975" i="1"/>
  <c r="V1975" i="1"/>
  <c r="H1975" i="1"/>
  <c r="G1975" i="1"/>
  <c r="D1975" i="1"/>
  <c r="C1975" i="1"/>
  <c r="B1975" i="1"/>
  <c r="AG1973" i="1"/>
  <c r="AC1973" i="1"/>
  <c r="Y1973" i="1"/>
  <c r="I1973" i="1"/>
  <c r="E1973" i="1"/>
  <c r="AG1972" i="1"/>
  <c r="AC1972" i="1"/>
  <c r="Y1972" i="1"/>
  <c r="I1972" i="1"/>
  <c r="E1972" i="1"/>
  <c r="AG1971" i="1"/>
  <c r="AC1971" i="1"/>
  <c r="Y1971" i="1"/>
  <c r="I1971" i="1"/>
  <c r="E1971" i="1"/>
  <c r="AG1970" i="1"/>
  <c r="AC1970" i="1"/>
  <c r="Y1970" i="1"/>
  <c r="I1970" i="1"/>
  <c r="E1970" i="1"/>
  <c r="AG1969" i="1"/>
  <c r="AC1969" i="1"/>
  <c r="Y1969" i="1"/>
  <c r="I1969" i="1"/>
  <c r="E1969" i="1"/>
  <c r="AG1968" i="1"/>
  <c r="AC1968" i="1"/>
  <c r="Y1968" i="1"/>
  <c r="I1968" i="1"/>
  <c r="E1968" i="1"/>
  <c r="AG1967" i="1"/>
  <c r="AC1967" i="1"/>
  <c r="Y1967" i="1"/>
  <c r="I1967" i="1"/>
  <c r="E1967" i="1"/>
  <c r="AG1966" i="1"/>
  <c r="AC1966" i="1"/>
  <c r="Y1966" i="1"/>
  <c r="I1966" i="1"/>
  <c r="E1966" i="1"/>
  <c r="AG1965" i="1"/>
  <c r="AC1965" i="1"/>
  <c r="Y1965" i="1"/>
  <c r="I1965" i="1"/>
  <c r="E1965" i="1"/>
  <c r="AG1964" i="1"/>
  <c r="AC1964" i="1"/>
  <c r="Y1964" i="1"/>
  <c r="I1964" i="1"/>
  <c r="E1964" i="1"/>
  <c r="AG1963" i="1"/>
  <c r="AC1963" i="1"/>
  <c r="Y1963" i="1"/>
  <c r="I1963" i="1"/>
  <c r="E1963" i="1"/>
  <c r="AG1962" i="1"/>
  <c r="AC1962" i="1"/>
  <c r="Y1962" i="1"/>
  <c r="I1962" i="1"/>
  <c r="E1962" i="1"/>
  <c r="AG1961" i="1"/>
  <c r="AC1961" i="1"/>
  <c r="Y1961" i="1"/>
  <c r="I1961" i="1"/>
  <c r="E1961" i="1"/>
  <c r="AG1960" i="1"/>
  <c r="AC1960" i="1"/>
  <c r="Y1960" i="1"/>
  <c r="I1960" i="1"/>
  <c r="E1960" i="1"/>
  <c r="AG1959" i="1"/>
  <c r="AC1959" i="1"/>
  <c r="Y1959" i="1"/>
  <c r="I1959" i="1"/>
  <c r="E1959" i="1"/>
  <c r="AG1958" i="1"/>
  <c r="AC1958" i="1"/>
  <c r="Y1958" i="1"/>
  <c r="I1958" i="1"/>
  <c r="E1958" i="1"/>
  <c r="AG1957" i="1"/>
  <c r="AC1957" i="1"/>
  <c r="Y1957" i="1"/>
  <c r="I1957" i="1"/>
  <c r="E1957" i="1"/>
  <c r="AG1956" i="1"/>
  <c r="AC1956" i="1"/>
  <c r="Y1956" i="1"/>
  <c r="I1956" i="1"/>
  <c r="E1956" i="1"/>
  <c r="AG1955" i="1"/>
  <c r="AC1955" i="1"/>
  <c r="Y1955" i="1"/>
  <c r="I1955" i="1"/>
  <c r="E1955" i="1"/>
  <c r="AG1954" i="1"/>
  <c r="AC1954" i="1"/>
  <c r="Y1954" i="1"/>
  <c r="I1954" i="1"/>
  <c r="AG1953" i="1"/>
  <c r="AC1953" i="1"/>
  <c r="Y1953" i="1"/>
  <c r="I1953" i="1"/>
  <c r="E1953" i="1"/>
  <c r="AG1952" i="1"/>
  <c r="AC1952" i="1"/>
  <c r="Y1952" i="1"/>
  <c r="I1952" i="1"/>
  <c r="E1952" i="1"/>
  <c r="AG1951" i="1"/>
  <c r="AC1951" i="1"/>
  <c r="Y1951" i="1"/>
  <c r="I1951" i="1"/>
  <c r="E1951" i="1"/>
  <c r="I1949" i="1"/>
  <c r="E1949" i="1"/>
  <c r="AG1948" i="1"/>
  <c r="AC1948" i="1"/>
  <c r="Y1948" i="1"/>
  <c r="S1948" i="1"/>
  <c r="O1948" i="1"/>
  <c r="I1948" i="1"/>
  <c r="E1948" i="1"/>
  <c r="AG1947" i="1"/>
  <c r="AC1947" i="1"/>
  <c r="Y1947" i="1"/>
  <c r="S1947" i="1"/>
  <c r="O1947" i="1"/>
  <c r="I1947" i="1"/>
  <c r="E1947" i="1"/>
  <c r="AG1946" i="1"/>
  <c r="AC1946" i="1"/>
  <c r="Y1946" i="1"/>
  <c r="S1946" i="1"/>
  <c r="O1946" i="1"/>
  <c r="I1946" i="1"/>
  <c r="E1946" i="1"/>
  <c r="AG1945" i="1"/>
  <c r="AC1945" i="1"/>
  <c r="Y1945" i="1"/>
  <c r="S1945" i="1"/>
  <c r="O1945" i="1"/>
  <c r="I1945" i="1"/>
  <c r="E1945" i="1"/>
  <c r="AG1944" i="1"/>
  <c r="AC1944" i="1"/>
  <c r="Y1944" i="1"/>
  <c r="I1944" i="1"/>
  <c r="E1944" i="1"/>
  <c r="AG1943" i="1"/>
  <c r="AC1943" i="1"/>
  <c r="Y1943" i="1"/>
  <c r="I1943" i="1"/>
  <c r="E1943" i="1"/>
  <c r="AG1942" i="1"/>
  <c r="AC1942" i="1"/>
  <c r="Y1942" i="1"/>
  <c r="I1942" i="1"/>
  <c r="E1942" i="1"/>
  <c r="AG1941" i="1"/>
  <c r="AC1941" i="1"/>
  <c r="Y1941" i="1"/>
  <c r="AG1940" i="1"/>
  <c r="AC1940" i="1"/>
  <c r="Y1940" i="1"/>
  <c r="S1940" i="1"/>
  <c r="O1940" i="1"/>
  <c r="I1940" i="1"/>
  <c r="E1940" i="1"/>
  <c r="AF1932" i="1"/>
  <c r="AE1932" i="1"/>
  <c r="AD1932" i="1"/>
  <c r="AA1932" i="1"/>
  <c r="Z1932" i="1"/>
  <c r="X1932" i="1"/>
  <c r="W1932" i="1"/>
  <c r="V1932" i="1"/>
  <c r="Y1932" i="1" s="1"/>
  <c r="H1932" i="1"/>
  <c r="G1932" i="1"/>
  <c r="F1932" i="1"/>
  <c r="D1932" i="1"/>
  <c r="C1932" i="1"/>
  <c r="B1932" i="1"/>
  <c r="I1931" i="1"/>
  <c r="E1931" i="1"/>
  <c r="AG1930" i="1"/>
  <c r="AC1930" i="1"/>
  <c r="Y1930" i="1"/>
  <c r="I1930" i="1"/>
  <c r="E1930" i="1"/>
  <c r="AG1929" i="1"/>
  <c r="AC1929" i="1"/>
  <c r="Y1929" i="1"/>
  <c r="I1929" i="1"/>
  <c r="E1929" i="1"/>
  <c r="AG1928" i="1"/>
  <c r="AC1928" i="1"/>
  <c r="Y1928" i="1"/>
  <c r="I1928" i="1"/>
  <c r="E1928" i="1"/>
  <c r="AG1927" i="1"/>
  <c r="AC1927" i="1"/>
  <c r="Y1927" i="1"/>
  <c r="I1927" i="1"/>
  <c r="E1927" i="1"/>
  <c r="AG1926" i="1"/>
  <c r="AC1926" i="1"/>
  <c r="Y1926" i="1"/>
  <c r="I1926" i="1"/>
  <c r="E1926" i="1"/>
  <c r="AG1925" i="1"/>
  <c r="AC1925" i="1"/>
  <c r="Y1925" i="1"/>
  <c r="I1925" i="1"/>
  <c r="E1925" i="1"/>
  <c r="AG1924" i="1"/>
  <c r="AC1924" i="1"/>
  <c r="Y1924" i="1"/>
  <c r="I1924" i="1"/>
  <c r="E1924" i="1"/>
  <c r="AG1923" i="1"/>
  <c r="AC1923" i="1"/>
  <c r="Y1923" i="1"/>
  <c r="I1923" i="1"/>
  <c r="E1923" i="1"/>
  <c r="AG1922" i="1"/>
  <c r="AC1922" i="1"/>
  <c r="Y1922" i="1"/>
  <c r="I1922" i="1"/>
  <c r="E1922" i="1"/>
  <c r="AG1921" i="1"/>
  <c r="AC1921" i="1"/>
  <c r="Y1921" i="1"/>
  <c r="I1921" i="1"/>
  <c r="E1921" i="1"/>
  <c r="AG1920" i="1"/>
  <c r="AC1920" i="1"/>
  <c r="Y1920" i="1"/>
  <c r="I1920" i="1"/>
  <c r="E1920" i="1"/>
  <c r="AG1919" i="1"/>
  <c r="AC1919" i="1"/>
  <c r="Y1919" i="1"/>
  <c r="I1919" i="1"/>
  <c r="E1919" i="1"/>
  <c r="AG1918" i="1"/>
  <c r="AC1918" i="1"/>
  <c r="Y1918" i="1"/>
  <c r="I1918" i="1"/>
  <c r="E1918" i="1"/>
  <c r="AG1917" i="1"/>
  <c r="AC1917" i="1"/>
  <c r="Y1917" i="1"/>
  <c r="I1917" i="1"/>
  <c r="E1917" i="1"/>
  <c r="AG1916" i="1"/>
  <c r="AC1916" i="1"/>
  <c r="Y1916" i="1"/>
  <c r="I1916" i="1"/>
  <c r="E1916" i="1"/>
  <c r="AG1915" i="1"/>
  <c r="AC1915" i="1"/>
  <c r="Y1915" i="1"/>
  <c r="I1915" i="1"/>
  <c r="E1915" i="1"/>
  <c r="AG1914" i="1"/>
  <c r="AC1914" i="1"/>
  <c r="Y1914" i="1"/>
  <c r="I1914" i="1"/>
  <c r="E1914" i="1"/>
  <c r="AG1913" i="1"/>
  <c r="AC1913" i="1"/>
  <c r="Y1913" i="1"/>
  <c r="I1913" i="1"/>
  <c r="E1913" i="1"/>
  <c r="AG1912" i="1"/>
  <c r="AC1912" i="1"/>
  <c r="Y1912" i="1"/>
  <c r="I1912" i="1"/>
  <c r="E1912" i="1"/>
  <c r="AG1911" i="1"/>
  <c r="AC1911" i="1"/>
  <c r="Y1911" i="1"/>
  <c r="I1911" i="1"/>
  <c r="E1911" i="1"/>
  <c r="AG1910" i="1"/>
  <c r="AC1910" i="1"/>
  <c r="Y1910" i="1"/>
  <c r="I1910" i="1"/>
  <c r="E1910" i="1"/>
  <c r="AG1909" i="1"/>
  <c r="AC1909" i="1"/>
  <c r="Y1909" i="1"/>
  <c r="I1909" i="1"/>
  <c r="E1909" i="1"/>
  <c r="AG1908" i="1"/>
  <c r="AC1908" i="1"/>
  <c r="Y1908" i="1"/>
  <c r="I1908" i="1"/>
  <c r="E1908" i="1"/>
  <c r="S1906" i="1"/>
  <c r="O1906" i="1"/>
  <c r="I1906" i="1"/>
  <c r="E1906" i="1"/>
  <c r="AG1905" i="1"/>
  <c r="AC1905" i="1"/>
  <c r="Y1905" i="1"/>
  <c r="S1905" i="1"/>
  <c r="O1905" i="1"/>
  <c r="I1905" i="1"/>
  <c r="E1905" i="1"/>
  <c r="AG1904" i="1"/>
  <c r="AC1904" i="1"/>
  <c r="Y1904" i="1"/>
  <c r="S1904" i="1"/>
  <c r="O1904" i="1"/>
  <c r="I1904" i="1"/>
  <c r="E1904" i="1"/>
  <c r="AG1903" i="1"/>
  <c r="AC1903" i="1"/>
  <c r="Y1903" i="1"/>
  <c r="I1903" i="1"/>
  <c r="E1903" i="1"/>
  <c r="AG1902" i="1"/>
  <c r="AC1902" i="1"/>
  <c r="Y1902" i="1"/>
  <c r="S1902" i="1"/>
  <c r="O1902" i="1"/>
  <c r="I1902" i="1"/>
  <c r="E1902" i="1"/>
  <c r="AG1901" i="1"/>
  <c r="AC1901" i="1"/>
  <c r="Y1901" i="1"/>
  <c r="S1901" i="1"/>
  <c r="O1901" i="1"/>
  <c r="I1901" i="1"/>
  <c r="E1901" i="1"/>
  <c r="AG1900" i="1"/>
  <c r="AC1900" i="1"/>
  <c r="Y1900" i="1"/>
  <c r="S1900" i="1"/>
  <c r="O1900" i="1"/>
  <c r="I1900" i="1"/>
  <c r="E1900" i="1"/>
  <c r="AG1899" i="1"/>
  <c r="AC1899" i="1"/>
  <c r="Y1899" i="1"/>
  <c r="I1899" i="1"/>
  <c r="E1899" i="1"/>
  <c r="AG1898" i="1"/>
  <c r="AC1898" i="1"/>
  <c r="Y1898" i="1"/>
  <c r="S1898" i="1"/>
  <c r="O1898" i="1"/>
  <c r="I1898" i="1"/>
  <c r="E1898" i="1"/>
  <c r="AG1897" i="1"/>
  <c r="AC1897" i="1"/>
  <c r="Y1897" i="1"/>
  <c r="S1897" i="1"/>
  <c r="O1897" i="1"/>
  <c r="I1897" i="1"/>
  <c r="E1897" i="1"/>
  <c r="Y1887" i="1"/>
  <c r="AC1887" i="1"/>
  <c r="AG1887" i="1"/>
  <c r="Y1888" i="1"/>
  <c r="AC1888" i="1"/>
  <c r="AG1888" i="1"/>
  <c r="S1885" i="1"/>
  <c r="O1885" i="1"/>
  <c r="S1877" i="1"/>
  <c r="O1877" i="1"/>
  <c r="S1876" i="1"/>
  <c r="O1876" i="1"/>
  <c r="S1875" i="1"/>
  <c r="O1875" i="1"/>
  <c r="S1874" i="1"/>
  <c r="O1874" i="1"/>
  <c r="S1872" i="1"/>
  <c r="O1872" i="1"/>
  <c r="S1871" i="1"/>
  <c r="O1871" i="1"/>
  <c r="S1870" i="1"/>
  <c r="O1870" i="1"/>
  <c r="S1869" i="1"/>
  <c r="O1869" i="1"/>
  <c r="S1868" i="1"/>
  <c r="O1868" i="1"/>
  <c r="S1867" i="1"/>
  <c r="O1867" i="1"/>
  <c r="S1866" i="1"/>
  <c r="O1866" i="1"/>
  <c r="S1865" i="1"/>
  <c r="O1865" i="1"/>
  <c r="Y1860" i="1"/>
  <c r="AC1860" i="1"/>
  <c r="AG1860" i="1"/>
  <c r="Y1861" i="1"/>
  <c r="AC1861" i="1"/>
  <c r="AG1861" i="1"/>
  <c r="Y1862" i="1"/>
  <c r="AC1862" i="1"/>
  <c r="AG1862" i="1"/>
  <c r="Y1863" i="1"/>
  <c r="AC1863" i="1"/>
  <c r="AG1863" i="1"/>
  <c r="Y1854" i="1"/>
  <c r="AC1854" i="1"/>
  <c r="Y1855" i="1"/>
  <c r="AC1855" i="1"/>
  <c r="Y1856" i="1"/>
  <c r="AC1856" i="1"/>
  <c r="Y1857" i="1"/>
  <c r="AC1857" i="1"/>
  <c r="Y1858" i="1"/>
  <c r="AC1858" i="1"/>
  <c r="Y1859" i="1"/>
  <c r="AC1859" i="1"/>
  <c r="S1863" i="1"/>
  <c r="O1863" i="1"/>
  <c r="S1862" i="1"/>
  <c r="O1862" i="1"/>
  <c r="S1861" i="1"/>
  <c r="O1861" i="1"/>
  <c r="S1860" i="1"/>
  <c r="O1860" i="1"/>
  <c r="S1859" i="1"/>
  <c r="O1859" i="1"/>
  <c r="S1858" i="1"/>
  <c r="O1858" i="1"/>
  <c r="S1857" i="1"/>
  <c r="O1857" i="1"/>
  <c r="S1856" i="1"/>
  <c r="O1856" i="1"/>
  <c r="S1855" i="1"/>
  <c r="O1855" i="1"/>
  <c r="S1854" i="1"/>
  <c r="O1854" i="1"/>
  <c r="E1854" i="1"/>
  <c r="I1854" i="1"/>
  <c r="E1855" i="1"/>
  <c r="I1855" i="1"/>
  <c r="E1856" i="1"/>
  <c r="I1856" i="1"/>
  <c r="AF1889" i="1"/>
  <c r="AE1889" i="1"/>
  <c r="AD1889" i="1"/>
  <c r="AB1889" i="1"/>
  <c r="AA1889" i="1"/>
  <c r="Z1889" i="1"/>
  <c r="X1889" i="1"/>
  <c r="W1889" i="1"/>
  <c r="V1889" i="1"/>
  <c r="H1889" i="1"/>
  <c r="G1889" i="1"/>
  <c r="F1889" i="1"/>
  <c r="D1889" i="1"/>
  <c r="C1889" i="1"/>
  <c r="B1889" i="1"/>
  <c r="I1888" i="1"/>
  <c r="E1888" i="1"/>
  <c r="I1887" i="1"/>
  <c r="E1887" i="1"/>
  <c r="AG1886" i="1"/>
  <c r="AC1886" i="1"/>
  <c r="Y1886" i="1"/>
  <c r="I1886" i="1"/>
  <c r="E1886" i="1"/>
  <c r="AG1885" i="1"/>
  <c r="AC1885" i="1"/>
  <c r="Y1885" i="1"/>
  <c r="I1885" i="1"/>
  <c r="E1885" i="1"/>
  <c r="AG1884" i="1"/>
  <c r="AC1884" i="1"/>
  <c r="Y1884" i="1"/>
  <c r="I1884" i="1"/>
  <c r="E1884" i="1"/>
  <c r="AG1883" i="1"/>
  <c r="AC1883" i="1"/>
  <c r="Y1883" i="1"/>
  <c r="I1883" i="1"/>
  <c r="E1883" i="1"/>
  <c r="AG1882" i="1"/>
  <c r="AC1882" i="1"/>
  <c r="Y1882" i="1"/>
  <c r="I1882" i="1"/>
  <c r="E1882" i="1"/>
  <c r="AG1881" i="1"/>
  <c r="AC1881" i="1"/>
  <c r="Y1881" i="1"/>
  <c r="I1881" i="1"/>
  <c r="E1881" i="1"/>
  <c r="AG1880" i="1"/>
  <c r="AC1880" i="1"/>
  <c r="Y1880" i="1"/>
  <c r="I1880" i="1"/>
  <c r="E1880" i="1"/>
  <c r="AG1879" i="1"/>
  <c r="AC1879" i="1"/>
  <c r="Y1879" i="1"/>
  <c r="I1879" i="1"/>
  <c r="E1879" i="1"/>
  <c r="AG1878" i="1"/>
  <c r="AC1878" i="1"/>
  <c r="Y1878" i="1"/>
  <c r="I1878" i="1"/>
  <c r="E1878" i="1"/>
  <c r="AG1877" i="1"/>
  <c r="AC1877" i="1"/>
  <c r="Y1877" i="1"/>
  <c r="I1877" i="1"/>
  <c r="E1877" i="1"/>
  <c r="AG1876" i="1"/>
  <c r="AC1876" i="1"/>
  <c r="Y1876" i="1"/>
  <c r="I1876" i="1"/>
  <c r="E1876" i="1"/>
  <c r="AG1875" i="1"/>
  <c r="AC1875" i="1"/>
  <c r="Y1875" i="1"/>
  <c r="I1875" i="1"/>
  <c r="E1875" i="1"/>
  <c r="AG1874" i="1"/>
  <c r="AC1874" i="1"/>
  <c r="Y1874" i="1"/>
  <c r="I1874" i="1"/>
  <c r="E1874" i="1"/>
  <c r="AG1873" i="1"/>
  <c r="AC1873" i="1"/>
  <c r="Y1873" i="1"/>
  <c r="I1873" i="1"/>
  <c r="E1873" i="1"/>
  <c r="AG1872" i="1"/>
  <c r="AC1872" i="1"/>
  <c r="Y1872" i="1"/>
  <c r="I1872" i="1"/>
  <c r="E1872" i="1"/>
  <c r="AG1871" i="1"/>
  <c r="AC1871" i="1"/>
  <c r="Y1871" i="1"/>
  <c r="I1871" i="1"/>
  <c r="E1871" i="1"/>
  <c r="AG1870" i="1"/>
  <c r="AC1870" i="1"/>
  <c r="Y1870" i="1"/>
  <c r="I1870" i="1"/>
  <c r="E1870" i="1"/>
  <c r="AG1869" i="1"/>
  <c r="AC1869" i="1"/>
  <c r="Y1869" i="1"/>
  <c r="I1869" i="1"/>
  <c r="E1869" i="1"/>
  <c r="AG1868" i="1"/>
  <c r="AC1868" i="1"/>
  <c r="Y1868" i="1"/>
  <c r="I1868" i="1"/>
  <c r="E1868" i="1"/>
  <c r="AG1867" i="1"/>
  <c r="AC1867" i="1"/>
  <c r="Y1867" i="1"/>
  <c r="I1867" i="1"/>
  <c r="E1867" i="1"/>
  <c r="AG1866" i="1"/>
  <c r="AC1866" i="1"/>
  <c r="Y1866" i="1"/>
  <c r="I1866" i="1"/>
  <c r="E1866" i="1"/>
  <c r="AG1865" i="1"/>
  <c r="AC1865" i="1"/>
  <c r="Y1865" i="1"/>
  <c r="I1865" i="1"/>
  <c r="E1865" i="1"/>
  <c r="I1863" i="1"/>
  <c r="E1863" i="1"/>
  <c r="I1862" i="1"/>
  <c r="E1862" i="1"/>
  <c r="I1861" i="1"/>
  <c r="E1861" i="1"/>
  <c r="I1860" i="1"/>
  <c r="E1860" i="1"/>
  <c r="AG1859" i="1"/>
  <c r="I1859" i="1"/>
  <c r="E1859" i="1"/>
  <c r="AG1858" i="1"/>
  <c r="I1858" i="1"/>
  <c r="E1858" i="1"/>
  <c r="AG1857" i="1"/>
  <c r="I1857" i="1"/>
  <c r="E1857" i="1"/>
  <c r="AG1856" i="1"/>
  <c r="AG1855" i="1"/>
  <c r="AG1854" i="1"/>
  <c r="AG1848" i="1"/>
  <c r="Y1849" i="1"/>
  <c r="AG1849" i="1"/>
  <c r="O1826" i="1"/>
  <c r="S1826" i="1"/>
  <c r="O1827" i="1"/>
  <c r="S1827" i="1"/>
  <c r="O1822" i="1"/>
  <c r="S1822" i="1"/>
  <c r="S1756" i="1"/>
  <c r="O1756" i="1"/>
  <c r="O1802" i="1"/>
  <c r="S1802" i="1"/>
  <c r="I1734" i="1"/>
  <c r="E1734" i="1"/>
  <c r="E1811" i="1"/>
  <c r="I1811" i="1"/>
  <c r="I1733" i="1"/>
  <c r="E1733" i="1"/>
  <c r="I1732" i="1"/>
  <c r="E1732" i="1"/>
  <c r="E1751" i="1"/>
  <c r="E1752" i="1"/>
  <c r="E1753" i="1"/>
  <c r="E1754" i="1"/>
  <c r="S1753" i="1"/>
  <c r="O1753" i="1"/>
  <c r="I1752" i="1"/>
  <c r="O1793" i="1"/>
  <c r="S1793" i="1"/>
  <c r="O1794" i="1"/>
  <c r="S1794" i="1"/>
  <c r="O1795" i="1"/>
  <c r="S1795" i="1"/>
  <c r="O1796" i="1"/>
  <c r="S1796" i="1"/>
  <c r="O1797" i="1"/>
  <c r="S1797" i="1"/>
  <c r="O1798" i="1"/>
  <c r="S1798" i="1"/>
  <c r="O1799" i="1"/>
  <c r="S1799" i="1"/>
  <c r="O1800" i="1"/>
  <c r="S1800" i="1"/>
  <c r="O1801" i="1"/>
  <c r="S1801" i="1"/>
  <c r="O1770" i="1"/>
  <c r="S1770" i="1"/>
  <c r="O1771" i="1"/>
  <c r="S1771" i="1"/>
  <c r="O1772" i="1"/>
  <c r="S1772" i="1"/>
  <c r="O1773" i="1"/>
  <c r="S1773" i="1"/>
  <c r="O1774" i="1"/>
  <c r="S1774" i="1"/>
  <c r="O1775" i="1"/>
  <c r="S1775" i="1"/>
  <c r="AF1846" i="1"/>
  <c r="AE1846" i="1"/>
  <c r="AD1846" i="1"/>
  <c r="AB1846" i="1"/>
  <c r="AA1846" i="1"/>
  <c r="Z1846" i="1"/>
  <c r="AC1846" i="1" s="1"/>
  <c r="X1846" i="1"/>
  <c r="Y1846" i="1" s="1"/>
  <c r="W1846" i="1"/>
  <c r="V1846" i="1"/>
  <c r="H1846" i="1"/>
  <c r="G1846" i="1"/>
  <c r="F1846" i="1"/>
  <c r="D1846" i="1"/>
  <c r="C1846" i="1"/>
  <c r="B1846" i="1"/>
  <c r="I1845" i="1"/>
  <c r="E1845" i="1"/>
  <c r="AG1844" i="1"/>
  <c r="AC1844" i="1"/>
  <c r="Y1844" i="1"/>
  <c r="I1844" i="1"/>
  <c r="E1844" i="1"/>
  <c r="AG1843" i="1"/>
  <c r="AC1843" i="1"/>
  <c r="Y1843" i="1"/>
  <c r="I1843" i="1"/>
  <c r="E1843" i="1"/>
  <c r="AG1842" i="1"/>
  <c r="AC1842" i="1"/>
  <c r="Y1842" i="1"/>
  <c r="I1842" i="1"/>
  <c r="E1842" i="1"/>
  <c r="AG1841" i="1"/>
  <c r="AC1841" i="1"/>
  <c r="Y1841" i="1"/>
  <c r="I1841" i="1"/>
  <c r="E1841" i="1"/>
  <c r="AG1840" i="1"/>
  <c r="AC1840" i="1"/>
  <c r="Y1840" i="1"/>
  <c r="I1840" i="1"/>
  <c r="E1840" i="1"/>
  <c r="AG1839" i="1"/>
  <c r="AC1839" i="1"/>
  <c r="Y1839" i="1"/>
  <c r="I1839" i="1"/>
  <c r="E1839" i="1"/>
  <c r="AG1838" i="1"/>
  <c r="AC1838" i="1"/>
  <c r="Y1838" i="1"/>
  <c r="I1838" i="1"/>
  <c r="E1838" i="1"/>
  <c r="AG1837" i="1"/>
  <c r="AC1837" i="1"/>
  <c r="Y1837" i="1"/>
  <c r="I1837" i="1"/>
  <c r="E1837" i="1"/>
  <c r="AG1836" i="1"/>
  <c r="AC1836" i="1"/>
  <c r="Y1836" i="1"/>
  <c r="I1836" i="1"/>
  <c r="E1836" i="1"/>
  <c r="AG1835" i="1"/>
  <c r="AC1835" i="1"/>
  <c r="Y1835" i="1"/>
  <c r="I1835" i="1"/>
  <c r="E1835" i="1"/>
  <c r="AG1834" i="1"/>
  <c r="AC1834" i="1"/>
  <c r="Y1834" i="1"/>
  <c r="I1834" i="1"/>
  <c r="E1834" i="1"/>
  <c r="AG1833" i="1"/>
  <c r="AC1833" i="1"/>
  <c r="Y1833" i="1"/>
  <c r="I1833" i="1"/>
  <c r="E1833" i="1"/>
  <c r="AG1832" i="1"/>
  <c r="AC1832" i="1"/>
  <c r="Y1832" i="1"/>
  <c r="I1832" i="1"/>
  <c r="E1832" i="1"/>
  <c r="AG1831" i="1"/>
  <c r="AC1831" i="1"/>
  <c r="Y1831" i="1"/>
  <c r="I1831" i="1"/>
  <c r="E1831" i="1"/>
  <c r="AG1830" i="1"/>
  <c r="AC1830" i="1"/>
  <c r="Y1830" i="1"/>
  <c r="I1830" i="1"/>
  <c r="E1830" i="1"/>
  <c r="AG1829" i="1"/>
  <c r="AC1829" i="1"/>
  <c r="Y1829" i="1"/>
  <c r="I1829" i="1"/>
  <c r="E1829" i="1"/>
  <c r="AG1828" i="1"/>
  <c r="AC1828" i="1"/>
  <c r="Y1828" i="1"/>
  <c r="I1828" i="1"/>
  <c r="E1828" i="1"/>
  <c r="AG1827" i="1"/>
  <c r="AC1827" i="1"/>
  <c r="Y1827" i="1"/>
  <c r="I1827" i="1"/>
  <c r="E1827" i="1"/>
  <c r="AG1826" i="1"/>
  <c r="AC1826" i="1"/>
  <c r="Y1826" i="1"/>
  <c r="I1826" i="1"/>
  <c r="E1826" i="1"/>
  <c r="AG1825" i="1"/>
  <c r="AC1825" i="1"/>
  <c r="Y1825" i="1"/>
  <c r="S1825" i="1"/>
  <c r="O1825" i="1"/>
  <c r="I1825" i="1"/>
  <c r="E1825" i="1"/>
  <c r="AG1824" i="1"/>
  <c r="AC1824" i="1"/>
  <c r="Y1824" i="1"/>
  <c r="S1824" i="1"/>
  <c r="O1824" i="1"/>
  <c r="I1824" i="1"/>
  <c r="E1824" i="1"/>
  <c r="AG1823" i="1"/>
  <c r="AC1823" i="1"/>
  <c r="Y1823" i="1"/>
  <c r="S1823" i="1"/>
  <c r="O1823" i="1"/>
  <c r="I1823" i="1"/>
  <c r="E1823" i="1"/>
  <c r="AG1822" i="1"/>
  <c r="AC1822" i="1"/>
  <c r="Y1822" i="1"/>
  <c r="I1822" i="1"/>
  <c r="E1822" i="1"/>
  <c r="S1820" i="1"/>
  <c r="O1820" i="1"/>
  <c r="I1820" i="1"/>
  <c r="E1820" i="1"/>
  <c r="AG1819" i="1"/>
  <c r="AC1819" i="1"/>
  <c r="Y1819" i="1"/>
  <c r="S1819" i="1"/>
  <c r="O1819" i="1"/>
  <c r="I1819" i="1"/>
  <c r="E1819" i="1"/>
  <c r="AG1818" i="1"/>
  <c r="AC1818" i="1"/>
  <c r="Y1818" i="1"/>
  <c r="I1818" i="1"/>
  <c r="E1818" i="1"/>
  <c r="AG1817" i="1"/>
  <c r="AC1817" i="1"/>
  <c r="Y1817" i="1"/>
  <c r="I1817" i="1"/>
  <c r="E1817" i="1"/>
  <c r="AG1816" i="1"/>
  <c r="AC1816" i="1"/>
  <c r="Y1816" i="1"/>
  <c r="I1816" i="1"/>
  <c r="E1816" i="1"/>
  <c r="AG1815" i="1"/>
  <c r="AC1815" i="1"/>
  <c r="Y1815" i="1"/>
  <c r="I1815" i="1"/>
  <c r="E1815" i="1"/>
  <c r="AG1814" i="1"/>
  <c r="AC1814" i="1"/>
  <c r="Y1814" i="1"/>
  <c r="I1814" i="1"/>
  <c r="E1814" i="1"/>
  <c r="AG1813" i="1"/>
  <c r="AC1813" i="1"/>
  <c r="Y1813" i="1"/>
  <c r="I1813" i="1"/>
  <c r="E1813" i="1"/>
  <c r="AG1812" i="1"/>
  <c r="AC1812" i="1"/>
  <c r="Y1812" i="1"/>
  <c r="I1812" i="1"/>
  <c r="E1812" i="1"/>
  <c r="AG1811" i="1"/>
  <c r="AC1811" i="1"/>
  <c r="Y1811" i="1"/>
  <c r="S1811" i="1"/>
  <c r="O1811" i="1"/>
  <c r="S1752" i="1"/>
  <c r="O1752" i="1"/>
  <c r="O1750" i="1"/>
  <c r="S1750" i="1"/>
  <c r="S1749" i="1"/>
  <c r="O1749" i="1"/>
  <c r="S1748" i="1"/>
  <c r="O1748" i="1"/>
  <c r="I1743" i="1"/>
  <c r="E1743" i="1"/>
  <c r="E1744" i="1"/>
  <c r="I1744" i="1"/>
  <c r="E1745" i="1"/>
  <c r="I1745" i="1"/>
  <c r="E1746" i="1"/>
  <c r="I1746" i="1"/>
  <c r="S1751" i="1"/>
  <c r="O1751" i="1"/>
  <c r="Y1802" i="1"/>
  <c r="AC1802" i="1"/>
  <c r="AG1802" i="1"/>
  <c r="Y1779" i="1"/>
  <c r="AC1779" i="1"/>
  <c r="AG1779" i="1"/>
  <c r="Y1770" i="1"/>
  <c r="AC1770" i="1"/>
  <c r="AG1770" i="1"/>
  <c r="AD1803" i="1"/>
  <c r="AB1803" i="1"/>
  <c r="Z1803" i="1"/>
  <c r="X1803" i="1"/>
  <c r="V1803" i="1"/>
  <c r="AE1803" i="1"/>
  <c r="AA1803" i="1"/>
  <c r="W1803" i="1"/>
  <c r="AG1801" i="1"/>
  <c r="AC1801" i="1"/>
  <c r="Y1801" i="1"/>
  <c r="AG1800" i="1"/>
  <c r="AC1800" i="1"/>
  <c r="Y1800" i="1"/>
  <c r="AG1799" i="1"/>
  <c r="AC1799" i="1"/>
  <c r="Y1799" i="1"/>
  <c r="AG1798" i="1"/>
  <c r="AC1798" i="1"/>
  <c r="Y1798" i="1"/>
  <c r="AG1797" i="1"/>
  <c r="AC1797" i="1"/>
  <c r="Y1797" i="1"/>
  <c r="AG1796" i="1"/>
  <c r="AC1796" i="1"/>
  <c r="Y1796" i="1"/>
  <c r="AG1795" i="1"/>
  <c r="AC1795" i="1"/>
  <c r="Y1795" i="1"/>
  <c r="AG1794" i="1"/>
  <c r="AC1794" i="1"/>
  <c r="Y1794" i="1"/>
  <c r="AG1793" i="1"/>
  <c r="AC1793" i="1"/>
  <c r="Y1793" i="1"/>
  <c r="AG1792" i="1"/>
  <c r="AC1792" i="1"/>
  <c r="Y1792" i="1"/>
  <c r="AG1791" i="1"/>
  <c r="AC1791" i="1"/>
  <c r="Y1791" i="1"/>
  <c r="AG1790" i="1"/>
  <c r="AC1790" i="1"/>
  <c r="Y1790" i="1"/>
  <c r="AG1789" i="1"/>
  <c r="AC1789" i="1"/>
  <c r="Y1789" i="1"/>
  <c r="AG1788" i="1"/>
  <c r="AC1788" i="1"/>
  <c r="Y1788" i="1"/>
  <c r="AG1787" i="1"/>
  <c r="AC1787" i="1"/>
  <c r="Y1787" i="1"/>
  <c r="AG1786" i="1"/>
  <c r="AC1786" i="1"/>
  <c r="Y1786" i="1"/>
  <c r="AG1785" i="1"/>
  <c r="AC1785" i="1"/>
  <c r="Y1785" i="1"/>
  <c r="AG1784" i="1"/>
  <c r="AC1784" i="1"/>
  <c r="Y1784" i="1"/>
  <c r="AG1783" i="1"/>
  <c r="AC1783" i="1"/>
  <c r="Y1783" i="1"/>
  <c r="AG1782" i="1"/>
  <c r="AC1782" i="1"/>
  <c r="Y1782" i="1"/>
  <c r="AG1781" i="1"/>
  <c r="AC1781" i="1"/>
  <c r="Y1781" i="1"/>
  <c r="AG1780" i="1"/>
  <c r="AC1780" i="1"/>
  <c r="Y1780" i="1"/>
  <c r="AG1777" i="1"/>
  <c r="AC1777" i="1"/>
  <c r="Y1777" i="1"/>
  <c r="AG1776" i="1"/>
  <c r="AC1776" i="1"/>
  <c r="Y1776" i="1"/>
  <c r="AG1775" i="1"/>
  <c r="AC1775" i="1"/>
  <c r="Y1775" i="1"/>
  <c r="AG1774" i="1"/>
  <c r="AC1774" i="1"/>
  <c r="Y1774" i="1"/>
  <c r="AG1773" i="1"/>
  <c r="AC1773" i="1"/>
  <c r="Y1773" i="1"/>
  <c r="AG1772" i="1"/>
  <c r="AC1772" i="1"/>
  <c r="Y1772" i="1"/>
  <c r="AG1771" i="1"/>
  <c r="AC1771" i="1"/>
  <c r="Y1771" i="1"/>
  <c r="AG1769" i="1"/>
  <c r="AC1769" i="1"/>
  <c r="Y1769" i="1"/>
  <c r="AG1768" i="1"/>
  <c r="AC1768" i="1"/>
  <c r="Y1768" i="1"/>
  <c r="O1779" i="1"/>
  <c r="S1779" i="1"/>
  <c r="O1780" i="1"/>
  <c r="S1780" i="1"/>
  <c r="O1781" i="1"/>
  <c r="S1781" i="1"/>
  <c r="O1782" i="1"/>
  <c r="S1782" i="1"/>
  <c r="O1783" i="1"/>
  <c r="S1783" i="1"/>
  <c r="O1784" i="1"/>
  <c r="S1784" i="1"/>
  <c r="O1785" i="1"/>
  <c r="S1785" i="1"/>
  <c r="O1786" i="1"/>
  <c r="S1786" i="1"/>
  <c r="O1787" i="1"/>
  <c r="S1787" i="1"/>
  <c r="O1788" i="1"/>
  <c r="S1788" i="1"/>
  <c r="O1789" i="1"/>
  <c r="S1789" i="1"/>
  <c r="O1790" i="1"/>
  <c r="S1790" i="1"/>
  <c r="E1779" i="1"/>
  <c r="I1779" i="1"/>
  <c r="E1780" i="1"/>
  <c r="I1780" i="1"/>
  <c r="E1781" i="1"/>
  <c r="I1781" i="1"/>
  <c r="E1782" i="1"/>
  <c r="I1782" i="1"/>
  <c r="E1783" i="1"/>
  <c r="I1783" i="1"/>
  <c r="E1784" i="1"/>
  <c r="I1784" i="1"/>
  <c r="E1785" i="1"/>
  <c r="I1785" i="1"/>
  <c r="E1786" i="1"/>
  <c r="I1786" i="1"/>
  <c r="E1768" i="1"/>
  <c r="I1768" i="1"/>
  <c r="E1769" i="1"/>
  <c r="I1769" i="1"/>
  <c r="E1770" i="1"/>
  <c r="I1770" i="1"/>
  <c r="H1803" i="1"/>
  <c r="G1803" i="1"/>
  <c r="F1803" i="1"/>
  <c r="D1803" i="1"/>
  <c r="C1803" i="1"/>
  <c r="B1803" i="1"/>
  <c r="E1803" i="1" s="1"/>
  <c r="I1802" i="1"/>
  <c r="E1802" i="1"/>
  <c r="I1801" i="1"/>
  <c r="E1801" i="1"/>
  <c r="I1800" i="1"/>
  <c r="E1800" i="1"/>
  <c r="I1799" i="1"/>
  <c r="E1799" i="1"/>
  <c r="I1798" i="1"/>
  <c r="E1798" i="1"/>
  <c r="I1797" i="1"/>
  <c r="E1797" i="1"/>
  <c r="I1796" i="1"/>
  <c r="E1796" i="1"/>
  <c r="I1795" i="1"/>
  <c r="E1795" i="1"/>
  <c r="I1794" i="1"/>
  <c r="E1794" i="1"/>
  <c r="I1793" i="1"/>
  <c r="E1793" i="1"/>
  <c r="S1792" i="1"/>
  <c r="O1792" i="1"/>
  <c r="I1792" i="1"/>
  <c r="E1792" i="1"/>
  <c r="S1791" i="1"/>
  <c r="O1791" i="1"/>
  <c r="I1791" i="1"/>
  <c r="E1791" i="1"/>
  <c r="I1790" i="1"/>
  <c r="E1790" i="1"/>
  <c r="I1789" i="1"/>
  <c r="E1789" i="1"/>
  <c r="I1788" i="1"/>
  <c r="E1788" i="1"/>
  <c r="I1787" i="1"/>
  <c r="E1787" i="1"/>
  <c r="S1777" i="1"/>
  <c r="O1777" i="1"/>
  <c r="I1777" i="1"/>
  <c r="E1777" i="1"/>
  <c r="S1776" i="1"/>
  <c r="O1776" i="1"/>
  <c r="I1776" i="1"/>
  <c r="E1776" i="1"/>
  <c r="I1775" i="1"/>
  <c r="E1775" i="1"/>
  <c r="I1774" i="1"/>
  <c r="E1774" i="1"/>
  <c r="I1773" i="1"/>
  <c r="E1773" i="1"/>
  <c r="I1772" i="1"/>
  <c r="E1772" i="1"/>
  <c r="I1771" i="1"/>
  <c r="E1771" i="1"/>
  <c r="S1769" i="1"/>
  <c r="O1769" i="1"/>
  <c r="S1768" i="1"/>
  <c r="O1768" i="1"/>
  <c r="S1746" i="1"/>
  <c r="O1746" i="1"/>
  <c r="AC1759" i="1"/>
  <c r="AG1716" i="1"/>
  <c r="AC1716" i="1"/>
  <c r="Y1693" i="1"/>
  <c r="AC1693" i="1"/>
  <c r="AG1693" i="1"/>
  <c r="O1714" i="1"/>
  <c r="S1714" i="1"/>
  <c r="S1715" i="1"/>
  <c r="O1715" i="1"/>
  <c r="Y1758" i="1"/>
  <c r="AC1758" i="1"/>
  <c r="AG1758" i="1"/>
  <c r="AG1715" i="1"/>
  <c r="AC1715" i="1"/>
  <c r="Y1715" i="1"/>
  <c r="AB1717" i="1"/>
  <c r="Y1716" i="1"/>
  <c r="Y1730" i="1"/>
  <c r="AC1730" i="1"/>
  <c r="AG1730" i="1"/>
  <c r="Y1731" i="1"/>
  <c r="AC1731" i="1"/>
  <c r="AG1731" i="1"/>
  <c r="Y1732" i="1"/>
  <c r="AC1732" i="1"/>
  <c r="AG1732" i="1"/>
  <c r="AG1727" i="1"/>
  <c r="AC1727" i="1"/>
  <c r="Y1727" i="1"/>
  <c r="Y1728" i="1"/>
  <c r="AC1728" i="1"/>
  <c r="AG1728" i="1"/>
  <c r="Y1689" i="1"/>
  <c r="AC1689" i="1"/>
  <c r="AG1689" i="1"/>
  <c r="AE1760" i="1"/>
  <c r="AD1760" i="1"/>
  <c r="AA1760" i="1"/>
  <c r="Z1760" i="1"/>
  <c r="X1760" i="1"/>
  <c r="W1760" i="1"/>
  <c r="AG1759" i="1"/>
  <c r="Y1759" i="1"/>
  <c r="AF1760" i="1"/>
  <c r="AB1760" i="1"/>
  <c r="AG1757" i="1"/>
  <c r="AC1757" i="1"/>
  <c r="Y1757" i="1"/>
  <c r="AG1756" i="1"/>
  <c r="AC1756" i="1"/>
  <c r="Y1756" i="1"/>
  <c r="AG1755" i="1"/>
  <c r="AC1755" i="1"/>
  <c r="Y1755" i="1"/>
  <c r="AG1754" i="1"/>
  <c r="AC1754" i="1"/>
  <c r="Y1754" i="1"/>
  <c r="AG1753" i="1"/>
  <c r="AC1753" i="1"/>
  <c r="Y1753" i="1"/>
  <c r="AG1752" i="1"/>
  <c r="AC1752" i="1"/>
  <c r="Y1752" i="1"/>
  <c r="AG1751" i="1"/>
  <c r="AC1751" i="1"/>
  <c r="Y1751" i="1"/>
  <c r="AG1750" i="1"/>
  <c r="AC1750" i="1"/>
  <c r="Y1750" i="1"/>
  <c r="AG1749" i="1"/>
  <c r="AC1749" i="1"/>
  <c r="Y1749" i="1"/>
  <c r="AG1748" i="1"/>
  <c r="AC1748" i="1"/>
  <c r="Y1748" i="1"/>
  <c r="AG1747" i="1"/>
  <c r="AC1747" i="1"/>
  <c r="Y1747" i="1"/>
  <c r="AG1746" i="1"/>
  <c r="AC1746" i="1"/>
  <c r="Y1746" i="1"/>
  <c r="AG1745" i="1"/>
  <c r="AC1745" i="1"/>
  <c r="Y1745" i="1"/>
  <c r="AG1744" i="1"/>
  <c r="AC1744" i="1"/>
  <c r="Y1744" i="1"/>
  <c r="AG1743" i="1"/>
  <c r="AC1743" i="1"/>
  <c r="Y1743" i="1"/>
  <c r="AG1742" i="1"/>
  <c r="AC1742" i="1"/>
  <c r="Y1742" i="1"/>
  <c r="AG1741" i="1"/>
  <c r="AC1741" i="1"/>
  <c r="Y1741" i="1"/>
  <c r="AG1740" i="1"/>
  <c r="AC1740" i="1"/>
  <c r="Y1740" i="1"/>
  <c r="AG1739" i="1"/>
  <c r="AC1739" i="1"/>
  <c r="Y1739" i="1"/>
  <c r="AG1738" i="1"/>
  <c r="AC1738" i="1"/>
  <c r="Y1738" i="1"/>
  <c r="AG1737" i="1"/>
  <c r="AC1737" i="1"/>
  <c r="Y1737" i="1"/>
  <c r="AG1736" i="1"/>
  <c r="AC1736" i="1"/>
  <c r="Y1736" i="1"/>
  <c r="AG1734" i="1"/>
  <c r="AC1734" i="1"/>
  <c r="Y1734" i="1"/>
  <c r="AG1733" i="1"/>
  <c r="AC1733" i="1"/>
  <c r="Y1733" i="1"/>
  <c r="AG1729" i="1"/>
  <c r="AC1729" i="1"/>
  <c r="Y1729" i="1"/>
  <c r="AG1726" i="1"/>
  <c r="AC1726" i="1"/>
  <c r="Y1726" i="1"/>
  <c r="AG1725" i="1"/>
  <c r="AC1725" i="1"/>
  <c r="Y1725" i="1"/>
  <c r="O1712" i="1"/>
  <c r="S1712" i="1"/>
  <c r="S1716" i="1"/>
  <c r="O1716" i="1"/>
  <c r="O1757" i="1"/>
  <c r="S1757" i="1"/>
  <c r="O1755" i="1"/>
  <c r="S1755" i="1"/>
  <c r="O1736" i="1"/>
  <c r="S1736" i="1"/>
  <c r="O1737" i="1"/>
  <c r="S1737" i="1"/>
  <c r="O1738" i="1"/>
  <c r="S1738" i="1"/>
  <c r="O1739" i="1"/>
  <c r="S1739" i="1"/>
  <c r="O1740" i="1"/>
  <c r="S1740" i="1"/>
  <c r="O1741" i="1"/>
  <c r="S1741" i="1"/>
  <c r="O1742" i="1"/>
  <c r="S1742" i="1"/>
  <c r="O1743" i="1"/>
  <c r="S1743" i="1"/>
  <c r="O1744" i="1"/>
  <c r="S1744" i="1"/>
  <c r="O1745" i="1"/>
  <c r="S1745" i="1"/>
  <c r="O1747" i="1"/>
  <c r="S1747" i="1"/>
  <c r="E1736" i="1"/>
  <c r="I1736" i="1"/>
  <c r="E1737" i="1"/>
  <c r="I1737" i="1"/>
  <c r="E1738" i="1"/>
  <c r="I1738" i="1"/>
  <c r="E1739" i="1"/>
  <c r="I1739" i="1"/>
  <c r="E1740" i="1"/>
  <c r="I1740" i="1"/>
  <c r="E1725" i="1"/>
  <c r="I1725" i="1"/>
  <c r="E1726" i="1"/>
  <c r="I1726" i="1"/>
  <c r="E1727" i="1"/>
  <c r="I1727" i="1"/>
  <c r="H1760" i="1"/>
  <c r="G1760" i="1"/>
  <c r="F1760" i="1"/>
  <c r="D1760" i="1"/>
  <c r="C1760" i="1"/>
  <c r="B1760" i="1"/>
  <c r="S1759" i="1"/>
  <c r="N1719" i="1"/>
  <c r="O1759" i="1"/>
  <c r="I1759" i="1"/>
  <c r="E1759" i="1"/>
  <c r="S1758" i="1"/>
  <c r="O1758" i="1"/>
  <c r="I1758" i="1"/>
  <c r="E1758" i="1"/>
  <c r="I1757" i="1"/>
  <c r="E1757" i="1"/>
  <c r="I1756" i="1"/>
  <c r="E1756" i="1"/>
  <c r="I1755" i="1"/>
  <c r="E1755" i="1"/>
  <c r="S1754" i="1"/>
  <c r="O1754" i="1"/>
  <c r="I1754" i="1"/>
  <c r="I1753" i="1"/>
  <c r="I1751" i="1"/>
  <c r="I1750" i="1"/>
  <c r="E1750" i="1"/>
  <c r="I1749" i="1"/>
  <c r="E1749" i="1"/>
  <c r="I1748" i="1"/>
  <c r="E1748" i="1"/>
  <c r="I1747" i="1"/>
  <c r="E1747" i="1"/>
  <c r="I1742" i="1"/>
  <c r="E1742" i="1"/>
  <c r="I1741" i="1"/>
  <c r="E1741" i="1"/>
  <c r="S1734" i="1"/>
  <c r="O1734" i="1"/>
  <c r="S1733" i="1"/>
  <c r="O1733" i="1"/>
  <c r="S1732" i="1"/>
  <c r="O1732" i="1"/>
  <c r="S1731" i="1"/>
  <c r="O1731" i="1"/>
  <c r="I1731" i="1"/>
  <c r="E1731" i="1"/>
  <c r="S1730" i="1"/>
  <c r="O1730" i="1"/>
  <c r="I1730" i="1"/>
  <c r="E1730" i="1"/>
  <c r="S1729" i="1"/>
  <c r="O1729" i="1"/>
  <c r="I1729" i="1"/>
  <c r="E1729" i="1"/>
  <c r="S1728" i="1"/>
  <c r="O1728" i="1"/>
  <c r="I1728" i="1"/>
  <c r="E1728" i="1"/>
  <c r="S1727" i="1"/>
  <c r="O1727" i="1"/>
  <c r="S1726" i="1"/>
  <c r="O1726" i="1"/>
  <c r="S1725" i="1"/>
  <c r="O1725" i="1"/>
  <c r="H1724" i="1"/>
  <c r="D1724" i="1"/>
  <c r="AG1684" i="1"/>
  <c r="AC1684" i="1"/>
  <c r="Y1684" i="1"/>
  <c r="AF1717" i="1"/>
  <c r="Z1717" i="1"/>
  <c r="S1697" i="1"/>
  <c r="O1697" i="1"/>
  <c r="Y1672" i="1"/>
  <c r="AC1672" i="1"/>
  <c r="AG1672" i="1"/>
  <c r="AF1673" i="1"/>
  <c r="AE1673" i="1"/>
  <c r="AD1673" i="1"/>
  <c r="AG1673" i="1" s="1"/>
  <c r="AB1673" i="1"/>
  <c r="AA1673" i="1"/>
  <c r="AA1674" i="1" s="1"/>
  <c r="Z1673" i="1"/>
  <c r="AC1673" i="1" s="1"/>
  <c r="X1673" i="1"/>
  <c r="W1673" i="1"/>
  <c r="W1674" i="1" s="1"/>
  <c r="V1673" i="1"/>
  <c r="Y1673" i="1" s="1"/>
  <c r="X1674" i="1"/>
  <c r="AB1674" i="1"/>
  <c r="AF1674" i="1"/>
  <c r="O1698" i="1"/>
  <c r="S1698" i="1"/>
  <c r="S1696" i="1"/>
  <c r="O1696" i="1"/>
  <c r="S1695" i="1"/>
  <c r="O1695" i="1"/>
  <c r="S1694" i="1"/>
  <c r="O1694" i="1"/>
  <c r="S1693" i="1"/>
  <c r="O1693" i="1"/>
  <c r="S1670" i="1"/>
  <c r="O1670" i="1"/>
  <c r="S1669" i="1"/>
  <c r="O1669" i="1"/>
  <c r="O1671" i="1"/>
  <c r="S1671" i="1"/>
  <c r="Q1717" i="1"/>
  <c r="L1673" i="1"/>
  <c r="R1673" i="1"/>
  <c r="Q1673" i="1"/>
  <c r="Q1674" i="1" s="1"/>
  <c r="P1673" i="1"/>
  <c r="N1673" i="1"/>
  <c r="M1673" i="1"/>
  <c r="R1672" i="1"/>
  <c r="Q1672" i="1"/>
  <c r="P1672" i="1"/>
  <c r="P1674" i="1" s="1"/>
  <c r="M1672" i="1"/>
  <c r="L1672" i="1"/>
  <c r="N1672" i="1"/>
  <c r="S1666" i="1"/>
  <c r="O1666" i="1"/>
  <c r="O1663" i="1"/>
  <c r="S1663" i="1"/>
  <c r="I1651" i="1"/>
  <c r="E1651" i="1"/>
  <c r="Y1685" i="1"/>
  <c r="AC1685" i="1"/>
  <c r="AG1685" i="1"/>
  <c r="Y1686" i="1"/>
  <c r="AC1686" i="1"/>
  <c r="AG1686" i="1"/>
  <c r="Y1687" i="1"/>
  <c r="AC1687" i="1"/>
  <c r="AG1687" i="1"/>
  <c r="O1685" i="1"/>
  <c r="S1685" i="1"/>
  <c r="L1717" i="1"/>
  <c r="H1717" i="1"/>
  <c r="G1717" i="1"/>
  <c r="F1717" i="1"/>
  <c r="D1717" i="1"/>
  <c r="C1717" i="1"/>
  <c r="B1717" i="1"/>
  <c r="I1716" i="1"/>
  <c r="E1716" i="1"/>
  <c r="W1717" i="1"/>
  <c r="R1717" i="1"/>
  <c r="P1717" i="1"/>
  <c r="N1717" i="1"/>
  <c r="M1717" i="1"/>
  <c r="I1715" i="1"/>
  <c r="E1715" i="1"/>
  <c r="AG1714" i="1"/>
  <c r="AC1714" i="1"/>
  <c r="Y1714" i="1"/>
  <c r="I1714" i="1"/>
  <c r="E1714" i="1"/>
  <c r="AG1713" i="1"/>
  <c r="AC1713" i="1"/>
  <c r="Y1713" i="1"/>
  <c r="S1713" i="1"/>
  <c r="O1713" i="1"/>
  <c r="I1713" i="1"/>
  <c r="E1713" i="1"/>
  <c r="AG1712" i="1"/>
  <c r="AC1712" i="1"/>
  <c r="Y1712" i="1"/>
  <c r="I1712" i="1"/>
  <c r="E1712" i="1"/>
  <c r="AG1711" i="1"/>
  <c r="AC1711" i="1"/>
  <c r="Y1711" i="1"/>
  <c r="S1711" i="1"/>
  <c r="O1711" i="1"/>
  <c r="I1711" i="1"/>
  <c r="E1711" i="1"/>
  <c r="AG1710" i="1"/>
  <c r="AC1710" i="1"/>
  <c r="Y1710" i="1"/>
  <c r="S1710" i="1"/>
  <c r="O1710" i="1"/>
  <c r="I1710" i="1"/>
  <c r="E1710" i="1"/>
  <c r="AG1709" i="1"/>
  <c r="AC1709" i="1"/>
  <c r="Y1709" i="1"/>
  <c r="S1709" i="1"/>
  <c r="O1709" i="1"/>
  <c r="I1709" i="1"/>
  <c r="E1709" i="1"/>
  <c r="AG1708" i="1"/>
  <c r="AC1708" i="1"/>
  <c r="Y1708" i="1"/>
  <c r="S1708" i="1"/>
  <c r="O1708" i="1"/>
  <c r="I1708" i="1"/>
  <c r="E1708" i="1"/>
  <c r="AG1707" i="1"/>
  <c r="AC1707" i="1"/>
  <c r="Y1707" i="1"/>
  <c r="S1707" i="1"/>
  <c r="O1707" i="1"/>
  <c r="I1707" i="1"/>
  <c r="E1707" i="1"/>
  <c r="AG1706" i="1"/>
  <c r="AC1706" i="1"/>
  <c r="Y1706" i="1"/>
  <c r="S1706" i="1"/>
  <c r="O1706" i="1"/>
  <c r="I1706" i="1"/>
  <c r="E1706" i="1"/>
  <c r="AG1705" i="1"/>
  <c r="AC1705" i="1"/>
  <c r="Y1705" i="1"/>
  <c r="S1705" i="1"/>
  <c r="O1705" i="1"/>
  <c r="I1705" i="1"/>
  <c r="E1705" i="1"/>
  <c r="AG1704" i="1"/>
  <c r="AC1704" i="1"/>
  <c r="Y1704" i="1"/>
  <c r="S1704" i="1"/>
  <c r="O1704" i="1"/>
  <c r="I1704" i="1"/>
  <c r="E1704" i="1"/>
  <c r="AG1703" i="1"/>
  <c r="AC1703" i="1"/>
  <c r="Y1703" i="1"/>
  <c r="S1703" i="1"/>
  <c r="O1703" i="1"/>
  <c r="I1703" i="1"/>
  <c r="E1703" i="1"/>
  <c r="AG1702" i="1"/>
  <c r="AC1702" i="1"/>
  <c r="Y1702" i="1"/>
  <c r="S1702" i="1"/>
  <c r="O1702" i="1"/>
  <c r="I1702" i="1"/>
  <c r="E1702" i="1"/>
  <c r="AG1701" i="1"/>
  <c r="AC1701" i="1"/>
  <c r="Y1701" i="1"/>
  <c r="S1701" i="1"/>
  <c r="O1701" i="1"/>
  <c r="I1701" i="1"/>
  <c r="E1701" i="1"/>
  <c r="AG1700" i="1"/>
  <c r="AC1700" i="1"/>
  <c r="Y1700" i="1"/>
  <c r="S1700" i="1"/>
  <c r="O1700" i="1"/>
  <c r="I1700" i="1"/>
  <c r="E1700" i="1"/>
  <c r="AG1699" i="1"/>
  <c r="AC1699" i="1"/>
  <c r="Y1699" i="1"/>
  <c r="S1699" i="1"/>
  <c r="O1699" i="1"/>
  <c r="I1699" i="1"/>
  <c r="E1699" i="1"/>
  <c r="AG1698" i="1"/>
  <c r="AC1698" i="1"/>
  <c r="Y1698" i="1"/>
  <c r="I1698" i="1"/>
  <c r="E1698" i="1"/>
  <c r="AG1697" i="1"/>
  <c r="AC1697" i="1"/>
  <c r="Y1697" i="1"/>
  <c r="I1697" i="1"/>
  <c r="E1697" i="1"/>
  <c r="AG1696" i="1"/>
  <c r="AC1696" i="1"/>
  <c r="Y1696" i="1"/>
  <c r="I1696" i="1"/>
  <c r="E1696" i="1"/>
  <c r="AG1695" i="1"/>
  <c r="AC1695" i="1"/>
  <c r="Y1695" i="1"/>
  <c r="I1695" i="1"/>
  <c r="E1695" i="1"/>
  <c r="AG1694" i="1"/>
  <c r="AC1694" i="1"/>
  <c r="Y1694" i="1"/>
  <c r="I1694" i="1"/>
  <c r="E1694" i="1"/>
  <c r="I1693" i="1"/>
  <c r="E1693" i="1"/>
  <c r="AG1691" i="1"/>
  <c r="AC1691" i="1"/>
  <c r="Y1691" i="1"/>
  <c r="S1691" i="1"/>
  <c r="O1691" i="1"/>
  <c r="I1691" i="1"/>
  <c r="E1691" i="1"/>
  <c r="AG1690" i="1"/>
  <c r="AC1690" i="1"/>
  <c r="Y1690" i="1"/>
  <c r="S1690" i="1"/>
  <c r="O1690" i="1"/>
  <c r="I1690" i="1"/>
  <c r="E1690" i="1"/>
  <c r="S1689" i="1"/>
  <c r="O1689" i="1"/>
  <c r="I1689" i="1"/>
  <c r="E1689" i="1"/>
  <c r="AG1688" i="1"/>
  <c r="AC1688" i="1"/>
  <c r="Y1688" i="1"/>
  <c r="S1688" i="1"/>
  <c r="O1688" i="1"/>
  <c r="I1688" i="1"/>
  <c r="E1688" i="1"/>
  <c r="S1687" i="1"/>
  <c r="O1687" i="1"/>
  <c r="I1687" i="1"/>
  <c r="E1687" i="1"/>
  <c r="S1686" i="1"/>
  <c r="O1686" i="1"/>
  <c r="I1686" i="1"/>
  <c r="E1686" i="1"/>
  <c r="I1685" i="1"/>
  <c r="E1685" i="1"/>
  <c r="S1684" i="1"/>
  <c r="O1684" i="1"/>
  <c r="I1684" i="1"/>
  <c r="E1684" i="1"/>
  <c r="AG1683" i="1"/>
  <c r="AC1683" i="1"/>
  <c r="Y1683" i="1"/>
  <c r="S1683" i="1"/>
  <c r="O1683" i="1"/>
  <c r="I1683" i="1"/>
  <c r="E1683" i="1"/>
  <c r="AG1682" i="1"/>
  <c r="AC1682" i="1"/>
  <c r="Y1682" i="1"/>
  <c r="S1682" i="1"/>
  <c r="O1682" i="1"/>
  <c r="I1682" i="1"/>
  <c r="E1682" i="1"/>
  <c r="S1625" i="1"/>
  <c r="O1625" i="1"/>
  <c r="O1623" i="1"/>
  <c r="S1623" i="1"/>
  <c r="O1624" i="1"/>
  <c r="S1624" i="1"/>
  <c r="S1622" i="1"/>
  <c r="O1622" i="1"/>
  <c r="S1621" i="1"/>
  <c r="O1621" i="1"/>
  <c r="S1620" i="1"/>
  <c r="O1620" i="1"/>
  <c r="S1619" i="1"/>
  <c r="O1619" i="1"/>
  <c r="S1618" i="1"/>
  <c r="O1618" i="1"/>
  <c r="S1617" i="1"/>
  <c r="O1617" i="1"/>
  <c r="S1616" i="1"/>
  <c r="O1616" i="1"/>
  <c r="S1615" i="1"/>
  <c r="O1615" i="1"/>
  <c r="S1614" i="1"/>
  <c r="O1614" i="1"/>
  <c r="S1613" i="1"/>
  <c r="O1613" i="1"/>
  <c r="S1612" i="1"/>
  <c r="O1612" i="1"/>
  <c r="S1611" i="1"/>
  <c r="O1611" i="1"/>
  <c r="S1610" i="1"/>
  <c r="O1610" i="1"/>
  <c r="S1609" i="1"/>
  <c r="O1609" i="1"/>
  <c r="S1608" i="1"/>
  <c r="O1608" i="1"/>
  <c r="S1607" i="1"/>
  <c r="O1607" i="1"/>
  <c r="S1579" i="1"/>
  <c r="O1579" i="1"/>
  <c r="S1578" i="1"/>
  <c r="O1578" i="1"/>
  <c r="S1577" i="1"/>
  <c r="O1577" i="1"/>
  <c r="I1597" i="1"/>
  <c r="E1597" i="1"/>
  <c r="I1613" i="1"/>
  <c r="E1613" i="1"/>
  <c r="I1612" i="1"/>
  <c r="E1612" i="1"/>
  <c r="I1611" i="1"/>
  <c r="E1611" i="1"/>
  <c r="I1610" i="1"/>
  <c r="E1610" i="1"/>
  <c r="I1609" i="1"/>
  <c r="E1609" i="1"/>
  <c r="I1607" i="1"/>
  <c r="E1607" i="1"/>
  <c r="S1576" i="1"/>
  <c r="O1576" i="1"/>
  <c r="S1575" i="1"/>
  <c r="O1575" i="1"/>
  <c r="S1574" i="1"/>
  <c r="O1574" i="1"/>
  <c r="S1573" i="1"/>
  <c r="O1573" i="1"/>
  <c r="S1584" i="1"/>
  <c r="L1586" i="1"/>
  <c r="M1586" i="1"/>
  <c r="M1588" i="1" s="1"/>
  <c r="N1586" i="1"/>
  <c r="N1588" i="1" s="1"/>
  <c r="L1587" i="1"/>
  <c r="M1587" i="1"/>
  <c r="O1587" i="1" s="1"/>
  <c r="N1587" i="1"/>
  <c r="P1586" i="1"/>
  <c r="S1586" i="1" s="1"/>
  <c r="Q1586" i="1"/>
  <c r="R1586" i="1"/>
  <c r="P1587" i="1"/>
  <c r="Q1587" i="1"/>
  <c r="R1587" i="1"/>
  <c r="R1588" i="1"/>
  <c r="AG1630" i="1"/>
  <c r="AC1630" i="1"/>
  <c r="Y1646" i="1"/>
  <c r="AC1646" i="1"/>
  <c r="AG1646" i="1"/>
  <c r="AG1644" i="1"/>
  <c r="AC1644" i="1"/>
  <c r="Y1644" i="1"/>
  <c r="Y1544" i="1"/>
  <c r="AC1544" i="1"/>
  <c r="AG1544" i="1"/>
  <c r="Y1587" i="1"/>
  <c r="AC1587" i="1"/>
  <c r="AG1587" i="1"/>
  <c r="Y1630" i="1"/>
  <c r="V1588" i="1"/>
  <c r="W1588" i="1"/>
  <c r="X1588" i="1"/>
  <c r="Z1588" i="1"/>
  <c r="AA1588" i="1"/>
  <c r="AB1588" i="1"/>
  <c r="AD1588" i="1"/>
  <c r="AE1588" i="1"/>
  <c r="AF1588" i="1"/>
  <c r="Y1597" i="1"/>
  <c r="AC1597" i="1"/>
  <c r="AG1597" i="1"/>
  <c r="Y1598" i="1"/>
  <c r="AC1598" i="1"/>
  <c r="AG1598" i="1"/>
  <c r="Y1599" i="1"/>
  <c r="AC1599" i="1"/>
  <c r="AG1599" i="1"/>
  <c r="AG1671" i="1"/>
  <c r="AC1671" i="1"/>
  <c r="Y1671" i="1"/>
  <c r="AG1670" i="1"/>
  <c r="AC1670" i="1"/>
  <c r="Y1670" i="1"/>
  <c r="AG1669" i="1"/>
  <c r="AC1669" i="1"/>
  <c r="Y1669" i="1"/>
  <c r="AG1668" i="1"/>
  <c r="AC1668" i="1"/>
  <c r="Y1668" i="1"/>
  <c r="AG1667" i="1"/>
  <c r="AC1667" i="1"/>
  <c r="Y1667" i="1"/>
  <c r="AG1666" i="1"/>
  <c r="AC1666" i="1"/>
  <c r="Y1666" i="1"/>
  <c r="AG1665" i="1"/>
  <c r="AC1665" i="1"/>
  <c r="Y1665" i="1"/>
  <c r="AG1664" i="1"/>
  <c r="AC1664" i="1"/>
  <c r="Y1664" i="1"/>
  <c r="AG1663" i="1"/>
  <c r="AC1663" i="1"/>
  <c r="Y1663" i="1"/>
  <c r="AG1662" i="1"/>
  <c r="AC1662" i="1"/>
  <c r="Y1662" i="1"/>
  <c r="AG1661" i="1"/>
  <c r="AC1661" i="1"/>
  <c r="Y1661" i="1"/>
  <c r="AG1660" i="1"/>
  <c r="AC1660" i="1"/>
  <c r="Y1660" i="1"/>
  <c r="AG1659" i="1"/>
  <c r="AC1659" i="1"/>
  <c r="Y1659" i="1"/>
  <c r="AG1658" i="1"/>
  <c r="AC1658" i="1"/>
  <c r="Y1658" i="1"/>
  <c r="AG1657" i="1"/>
  <c r="AC1657" i="1"/>
  <c r="Y1657" i="1"/>
  <c r="AG1656" i="1"/>
  <c r="AC1656" i="1"/>
  <c r="Y1656" i="1"/>
  <c r="AG1655" i="1"/>
  <c r="AC1655" i="1"/>
  <c r="Y1655" i="1"/>
  <c r="AG1654" i="1"/>
  <c r="AC1654" i="1"/>
  <c r="Y1654" i="1"/>
  <c r="AG1653" i="1"/>
  <c r="AC1653" i="1"/>
  <c r="Y1653" i="1"/>
  <c r="AG1652" i="1"/>
  <c r="AC1652" i="1"/>
  <c r="Y1652" i="1"/>
  <c r="AG1651" i="1"/>
  <c r="AC1651" i="1"/>
  <c r="Y1651" i="1"/>
  <c r="AG1650" i="1"/>
  <c r="AC1650" i="1"/>
  <c r="Y1650" i="1"/>
  <c r="AG1648" i="1"/>
  <c r="AC1648" i="1"/>
  <c r="Y1648" i="1"/>
  <c r="AG1647" i="1"/>
  <c r="AC1647" i="1"/>
  <c r="Y1647" i="1"/>
  <c r="AG1645" i="1"/>
  <c r="AC1645" i="1"/>
  <c r="Y1645" i="1"/>
  <c r="AG1643" i="1"/>
  <c r="AC1643" i="1"/>
  <c r="Y1643" i="1"/>
  <c r="AG1642" i="1"/>
  <c r="AC1642" i="1"/>
  <c r="Y1642" i="1"/>
  <c r="AG1641" i="1"/>
  <c r="AC1641" i="1"/>
  <c r="Y1641" i="1"/>
  <c r="AG1640" i="1"/>
  <c r="AC1640" i="1"/>
  <c r="Y1640" i="1"/>
  <c r="AG1639" i="1"/>
  <c r="AC1639" i="1"/>
  <c r="Y1639" i="1"/>
  <c r="H1674" i="1"/>
  <c r="G1674" i="1"/>
  <c r="F1674" i="1"/>
  <c r="I1674" i="1" s="1"/>
  <c r="D1674" i="1"/>
  <c r="C1674" i="1"/>
  <c r="B1674" i="1"/>
  <c r="I1673" i="1"/>
  <c r="E1673" i="1"/>
  <c r="I1672" i="1"/>
  <c r="E1672" i="1"/>
  <c r="I1671" i="1"/>
  <c r="E1671" i="1"/>
  <c r="I1670" i="1"/>
  <c r="E1670" i="1"/>
  <c r="I1669" i="1"/>
  <c r="E1669" i="1"/>
  <c r="I1668" i="1"/>
  <c r="E1668" i="1"/>
  <c r="I1667" i="1"/>
  <c r="E1667" i="1"/>
  <c r="I1666" i="1"/>
  <c r="E1666" i="1"/>
  <c r="I1665" i="1"/>
  <c r="E1665" i="1"/>
  <c r="I1664" i="1"/>
  <c r="E1664" i="1"/>
  <c r="I1663" i="1"/>
  <c r="E1663" i="1"/>
  <c r="I1662" i="1"/>
  <c r="E1662" i="1"/>
  <c r="I1661" i="1"/>
  <c r="E1661" i="1"/>
  <c r="I1660" i="1"/>
  <c r="E1660" i="1"/>
  <c r="I1659" i="1"/>
  <c r="E1659" i="1"/>
  <c r="I1658" i="1"/>
  <c r="E1658" i="1"/>
  <c r="I1657" i="1"/>
  <c r="E1657" i="1"/>
  <c r="I1656" i="1"/>
  <c r="E1656" i="1"/>
  <c r="I1655" i="1"/>
  <c r="E1655" i="1"/>
  <c r="I1654" i="1"/>
  <c r="E1654" i="1"/>
  <c r="I1653" i="1"/>
  <c r="E1653" i="1"/>
  <c r="I1652" i="1"/>
  <c r="E1652" i="1"/>
  <c r="I1650" i="1"/>
  <c r="E1650" i="1"/>
  <c r="I1648" i="1"/>
  <c r="E1648" i="1"/>
  <c r="I1647" i="1"/>
  <c r="E1647" i="1"/>
  <c r="I1646" i="1"/>
  <c r="E1646" i="1"/>
  <c r="I1645" i="1"/>
  <c r="E1645" i="1"/>
  <c r="I1644" i="1"/>
  <c r="E1644" i="1"/>
  <c r="I1643" i="1"/>
  <c r="E1643" i="1"/>
  <c r="I1642" i="1"/>
  <c r="E1642" i="1"/>
  <c r="I1641" i="1"/>
  <c r="E1641" i="1"/>
  <c r="I1640" i="1"/>
  <c r="E1640" i="1"/>
  <c r="I1639" i="1"/>
  <c r="E1639" i="1"/>
  <c r="O1533" i="1"/>
  <c r="S1533" i="1"/>
  <c r="S1566" i="1"/>
  <c r="O1566" i="1"/>
  <c r="O1538" i="1"/>
  <c r="S1538" i="1"/>
  <c r="O1539" i="1"/>
  <c r="S1539" i="1"/>
  <c r="O1540" i="1"/>
  <c r="P1545" i="1"/>
  <c r="O1541" i="1"/>
  <c r="S1541" i="1"/>
  <c r="O1542" i="1"/>
  <c r="S1542" i="1"/>
  <c r="O1584" i="1"/>
  <c r="O1555" i="1"/>
  <c r="S1555" i="1"/>
  <c r="O1556" i="1"/>
  <c r="S1556" i="1"/>
  <c r="S1598" i="1"/>
  <c r="O1598" i="1"/>
  <c r="O1581" i="1"/>
  <c r="S1581" i="1"/>
  <c r="O1582" i="1"/>
  <c r="S1582" i="1"/>
  <c r="O1583" i="1"/>
  <c r="S1583" i="1"/>
  <c r="S1585" i="1"/>
  <c r="O1585" i="1"/>
  <c r="S1630" i="1"/>
  <c r="O1630" i="1"/>
  <c r="S1629" i="1"/>
  <c r="O1629" i="1"/>
  <c r="S1628" i="1"/>
  <c r="O1628" i="1"/>
  <c r="S1627" i="1"/>
  <c r="O1627" i="1"/>
  <c r="O1599" i="1"/>
  <c r="S1599" i="1"/>
  <c r="R1674" i="1"/>
  <c r="N1674" i="1"/>
  <c r="M1674" i="1"/>
  <c r="L1674" i="1"/>
  <c r="O1673" i="1"/>
  <c r="O1672" i="1"/>
  <c r="S1668" i="1"/>
  <c r="O1668" i="1"/>
  <c r="S1667" i="1"/>
  <c r="O1667" i="1"/>
  <c r="S1665" i="1"/>
  <c r="O1665" i="1"/>
  <c r="S1664" i="1"/>
  <c r="O1664" i="1"/>
  <c r="S1662" i="1"/>
  <c r="O1662" i="1"/>
  <c r="S1661" i="1"/>
  <c r="O1661" i="1"/>
  <c r="S1660" i="1"/>
  <c r="O1660" i="1"/>
  <c r="S1659" i="1"/>
  <c r="O1659" i="1"/>
  <c r="S1658" i="1"/>
  <c r="O1658" i="1"/>
  <c r="S1657" i="1"/>
  <c r="O1657" i="1"/>
  <c r="S1656" i="1"/>
  <c r="O1656" i="1"/>
  <c r="S1655" i="1"/>
  <c r="O1655" i="1"/>
  <c r="S1654" i="1"/>
  <c r="O1654" i="1"/>
  <c r="S1653" i="1"/>
  <c r="O1653" i="1"/>
  <c r="S1652" i="1"/>
  <c r="O1652" i="1"/>
  <c r="S1651" i="1"/>
  <c r="O1651" i="1"/>
  <c r="S1650" i="1"/>
  <c r="O1650" i="1"/>
  <c r="S1648" i="1"/>
  <c r="O1648" i="1"/>
  <c r="S1647" i="1"/>
  <c r="O1647" i="1"/>
  <c r="S1646" i="1"/>
  <c r="O1646" i="1"/>
  <c r="S1645" i="1"/>
  <c r="O1645" i="1"/>
  <c r="S1644" i="1"/>
  <c r="O1644" i="1"/>
  <c r="S1643" i="1"/>
  <c r="O1643" i="1"/>
  <c r="S1642" i="1"/>
  <c r="O1642" i="1"/>
  <c r="S1641" i="1"/>
  <c r="O1641" i="1"/>
  <c r="S1640" i="1"/>
  <c r="O1640" i="1"/>
  <c r="S1639" i="1"/>
  <c r="O1639" i="1"/>
  <c r="O1534" i="1"/>
  <c r="S1534" i="1"/>
  <c r="S1532" i="1"/>
  <c r="O1532" i="1"/>
  <c r="S1531" i="1"/>
  <c r="O1531" i="1"/>
  <c r="S1564" i="1"/>
  <c r="O1564" i="1"/>
  <c r="S1565" i="1"/>
  <c r="O1565" i="1"/>
  <c r="O1535" i="1"/>
  <c r="S1535" i="1"/>
  <c r="O1536" i="1"/>
  <c r="S1536" i="1"/>
  <c r="O1530" i="1"/>
  <c r="S1530" i="1"/>
  <c r="I1521" i="1"/>
  <c r="E1521" i="1"/>
  <c r="Y1556" i="1"/>
  <c r="AC1556" i="1"/>
  <c r="AG1556" i="1"/>
  <c r="Y1543" i="1"/>
  <c r="AC1543" i="1"/>
  <c r="AG1543" i="1"/>
  <c r="N1545" i="1"/>
  <c r="R1545" i="1"/>
  <c r="O1482" i="1"/>
  <c r="S1482" i="1"/>
  <c r="S1481" i="1"/>
  <c r="O1481" i="1"/>
  <c r="O1523" i="1"/>
  <c r="S1523" i="1"/>
  <c r="O1524" i="1"/>
  <c r="S1524" i="1"/>
  <c r="S1522" i="1"/>
  <c r="O1522" i="1"/>
  <c r="S1521" i="1"/>
  <c r="O1521" i="1"/>
  <c r="O1586" i="1"/>
  <c r="X1504" i="1"/>
  <c r="W1504" i="1"/>
  <c r="V1504" i="1"/>
  <c r="AG1501" i="1"/>
  <c r="S1587" i="1"/>
  <c r="Y1504" i="1"/>
  <c r="O1467" i="1"/>
  <c r="S1467" i="1"/>
  <c r="S1479" i="1"/>
  <c r="O1479" i="1"/>
  <c r="S1478" i="1"/>
  <c r="O1478" i="1"/>
  <c r="O1458" i="1"/>
  <c r="S1458" i="1"/>
  <c r="S1501" i="1"/>
  <c r="O1501" i="1"/>
  <c r="AF1631" i="1"/>
  <c r="AE1631" i="1"/>
  <c r="AD1631" i="1"/>
  <c r="AB1631" i="1"/>
  <c r="Z1631" i="1"/>
  <c r="X1631" i="1"/>
  <c r="W1631" i="1"/>
  <c r="V1631" i="1"/>
  <c r="AG1629" i="1"/>
  <c r="AC1629" i="1"/>
  <c r="Y1629" i="1"/>
  <c r="AG1628" i="1"/>
  <c r="AC1628" i="1"/>
  <c r="Y1628" i="1"/>
  <c r="AG1627" i="1"/>
  <c r="AC1627" i="1"/>
  <c r="Y1627" i="1"/>
  <c r="AG1626" i="1"/>
  <c r="AC1626" i="1"/>
  <c r="Y1626" i="1"/>
  <c r="AG1625" i="1"/>
  <c r="AC1625" i="1"/>
  <c r="Y1625" i="1"/>
  <c r="AG1624" i="1"/>
  <c r="AC1624" i="1"/>
  <c r="Y1624" i="1"/>
  <c r="AG1623" i="1"/>
  <c r="AC1623" i="1"/>
  <c r="Y1623" i="1"/>
  <c r="AG1622" i="1"/>
  <c r="AC1622" i="1"/>
  <c r="Y1622" i="1"/>
  <c r="AG1621" i="1"/>
  <c r="AC1621" i="1"/>
  <c r="Y1621" i="1"/>
  <c r="AG1620" i="1"/>
  <c r="AC1620" i="1"/>
  <c r="Y1620" i="1"/>
  <c r="AG1619" i="1"/>
  <c r="AC1619" i="1"/>
  <c r="Y1619" i="1"/>
  <c r="AG1618" i="1"/>
  <c r="AC1618" i="1"/>
  <c r="Y1618" i="1"/>
  <c r="AG1617" i="1"/>
  <c r="AC1617" i="1"/>
  <c r="Y1617" i="1"/>
  <c r="AG1616" i="1"/>
  <c r="AC1616" i="1"/>
  <c r="Y1616" i="1"/>
  <c r="AG1615" i="1"/>
  <c r="AC1615" i="1"/>
  <c r="Y1615" i="1"/>
  <c r="AG1614" i="1"/>
  <c r="AC1614" i="1"/>
  <c r="Y1614" i="1"/>
  <c r="AG1613" i="1"/>
  <c r="AC1613" i="1"/>
  <c r="Y1613" i="1"/>
  <c r="AG1612" i="1"/>
  <c r="AC1612" i="1"/>
  <c r="Y1612" i="1"/>
  <c r="AG1611" i="1"/>
  <c r="AC1611" i="1"/>
  <c r="Y1611" i="1"/>
  <c r="AG1610" i="1"/>
  <c r="AC1610" i="1"/>
  <c r="Y1610" i="1"/>
  <c r="AG1609" i="1"/>
  <c r="AC1609" i="1"/>
  <c r="Y1609" i="1"/>
  <c r="AG1608" i="1"/>
  <c r="AC1608" i="1"/>
  <c r="Y1608" i="1"/>
  <c r="AG1607" i="1"/>
  <c r="AC1607" i="1"/>
  <c r="Y1607" i="1"/>
  <c r="AG1605" i="1"/>
  <c r="AC1605" i="1"/>
  <c r="Y1605" i="1"/>
  <c r="AG1604" i="1"/>
  <c r="AC1604" i="1"/>
  <c r="Y1604" i="1"/>
  <c r="AG1603" i="1"/>
  <c r="AC1603" i="1"/>
  <c r="Y1603" i="1"/>
  <c r="AG1602" i="1"/>
  <c r="AC1602" i="1"/>
  <c r="Y1602" i="1"/>
  <c r="AG1601" i="1"/>
  <c r="AC1601" i="1"/>
  <c r="Y1601" i="1"/>
  <c r="AG1600" i="1"/>
  <c r="AC1600" i="1"/>
  <c r="Y1600" i="1"/>
  <c r="AG1596" i="1"/>
  <c r="AC1596" i="1"/>
  <c r="Y1596" i="1"/>
  <c r="H1631" i="1"/>
  <c r="G1631" i="1"/>
  <c r="F1631" i="1"/>
  <c r="D1631" i="1"/>
  <c r="C1631" i="1"/>
  <c r="B1631" i="1"/>
  <c r="I1630" i="1"/>
  <c r="E1630" i="1"/>
  <c r="I1629" i="1"/>
  <c r="E1629" i="1"/>
  <c r="I1628" i="1"/>
  <c r="E1628" i="1"/>
  <c r="I1627" i="1"/>
  <c r="E1627" i="1"/>
  <c r="I1626" i="1"/>
  <c r="E1626" i="1"/>
  <c r="I1625" i="1"/>
  <c r="E1625" i="1"/>
  <c r="I1624" i="1"/>
  <c r="E1624" i="1"/>
  <c r="I1623" i="1"/>
  <c r="E1623" i="1"/>
  <c r="I1622" i="1"/>
  <c r="E1622" i="1"/>
  <c r="I1621" i="1"/>
  <c r="E1621" i="1"/>
  <c r="I1620" i="1"/>
  <c r="E1620" i="1"/>
  <c r="I1619" i="1"/>
  <c r="E1619" i="1"/>
  <c r="I1618" i="1"/>
  <c r="E1618" i="1"/>
  <c r="I1617" i="1"/>
  <c r="E1617" i="1"/>
  <c r="I1616" i="1"/>
  <c r="E1616" i="1"/>
  <c r="I1615" i="1"/>
  <c r="E1615" i="1"/>
  <c r="I1614" i="1"/>
  <c r="E1614" i="1"/>
  <c r="I1608" i="1"/>
  <c r="E1608" i="1"/>
  <c r="I1605" i="1"/>
  <c r="E1605" i="1"/>
  <c r="I1604" i="1"/>
  <c r="E1604" i="1"/>
  <c r="I1603" i="1"/>
  <c r="E1603" i="1"/>
  <c r="I1602" i="1"/>
  <c r="E1602" i="1"/>
  <c r="I1601" i="1"/>
  <c r="E1601" i="1"/>
  <c r="I1600" i="1"/>
  <c r="E1600" i="1"/>
  <c r="I1599" i="1"/>
  <c r="E1599" i="1"/>
  <c r="I1598" i="1"/>
  <c r="E1598" i="1"/>
  <c r="I1596" i="1"/>
  <c r="E1596" i="1"/>
  <c r="O1448" i="1"/>
  <c r="S1448" i="1"/>
  <c r="O1498" i="1"/>
  <c r="S1498" i="1"/>
  <c r="O1499" i="1"/>
  <c r="S1499" i="1"/>
  <c r="O1500" i="1"/>
  <c r="S1500" i="1"/>
  <c r="O1469" i="1"/>
  <c r="S1469" i="1"/>
  <c r="O1510" i="1"/>
  <c r="S1510" i="1"/>
  <c r="O1511" i="1"/>
  <c r="S1511" i="1"/>
  <c r="O1512" i="1"/>
  <c r="S1512" i="1"/>
  <c r="O1513" i="1"/>
  <c r="S1513" i="1"/>
  <c r="O1514" i="1"/>
  <c r="S1514" i="1"/>
  <c r="O1515" i="1"/>
  <c r="S1515" i="1"/>
  <c r="O1516" i="1"/>
  <c r="S1516" i="1"/>
  <c r="O1517" i="1"/>
  <c r="S1517" i="1"/>
  <c r="O1518" i="1"/>
  <c r="S1518" i="1"/>
  <c r="O1519" i="1"/>
  <c r="S1519" i="1"/>
  <c r="O1525" i="1"/>
  <c r="S1525" i="1"/>
  <c r="O1526" i="1"/>
  <c r="S1526" i="1"/>
  <c r="O1527" i="1"/>
  <c r="S1527" i="1"/>
  <c r="O1528" i="1"/>
  <c r="S1528" i="1"/>
  <c r="O1529" i="1"/>
  <c r="S1529" i="1"/>
  <c r="O1537" i="1"/>
  <c r="S1537" i="1"/>
  <c r="O1543" i="1"/>
  <c r="S1543" i="1"/>
  <c r="O1544" i="1"/>
  <c r="S1544" i="1"/>
  <c r="L1545" i="1"/>
  <c r="M1545" i="1"/>
  <c r="O1553" i="1"/>
  <c r="S1553" i="1"/>
  <c r="O1554" i="1"/>
  <c r="S1554" i="1"/>
  <c r="O1557" i="1"/>
  <c r="S1557" i="1"/>
  <c r="O1558" i="1"/>
  <c r="S1558" i="1"/>
  <c r="O1559" i="1"/>
  <c r="S1559" i="1"/>
  <c r="O1560" i="1"/>
  <c r="S1560" i="1"/>
  <c r="O1561" i="1"/>
  <c r="S1561" i="1"/>
  <c r="O1562" i="1"/>
  <c r="S1562" i="1"/>
  <c r="O1567" i="1"/>
  <c r="S1567" i="1"/>
  <c r="O1568" i="1"/>
  <c r="S1568" i="1"/>
  <c r="O1569" i="1"/>
  <c r="S1569" i="1"/>
  <c r="O1570" i="1"/>
  <c r="S1570" i="1"/>
  <c r="O1571" i="1"/>
  <c r="S1571" i="1"/>
  <c r="O1572" i="1"/>
  <c r="S1572" i="1"/>
  <c r="O1580" i="1"/>
  <c r="S1580" i="1"/>
  <c r="L1588" i="1"/>
  <c r="O1596" i="1"/>
  <c r="S1596" i="1"/>
  <c r="O1597" i="1"/>
  <c r="S1597" i="1"/>
  <c r="O1600" i="1"/>
  <c r="S1600" i="1"/>
  <c r="O1601" i="1"/>
  <c r="S1601" i="1"/>
  <c r="O1602" i="1"/>
  <c r="S1602" i="1"/>
  <c r="O1603" i="1"/>
  <c r="S1603" i="1"/>
  <c r="O1604" i="1"/>
  <c r="S1604" i="1"/>
  <c r="O1605" i="1"/>
  <c r="S1605" i="1"/>
  <c r="O1626" i="1"/>
  <c r="S1626" i="1"/>
  <c r="L1631" i="1"/>
  <c r="M1631" i="1"/>
  <c r="N1631" i="1"/>
  <c r="P1631" i="1"/>
  <c r="Q1631" i="1"/>
  <c r="R1631" i="1"/>
  <c r="I1467" i="1"/>
  <c r="E1467" i="1"/>
  <c r="E1450" i="1"/>
  <c r="I1450" i="1"/>
  <c r="E1451" i="1"/>
  <c r="I1451" i="1"/>
  <c r="I1479" i="1"/>
  <c r="E1479" i="1"/>
  <c r="I1478" i="1"/>
  <c r="E1478" i="1"/>
  <c r="AC1501" i="1"/>
  <c r="Y1501" i="1"/>
  <c r="AG1586" i="1"/>
  <c r="AC1586" i="1"/>
  <c r="Y1586" i="1"/>
  <c r="AG1585" i="1"/>
  <c r="AC1585" i="1"/>
  <c r="Y1585" i="1"/>
  <c r="AG1584" i="1"/>
  <c r="AC1584" i="1"/>
  <c r="Y1584" i="1"/>
  <c r="AG1583" i="1"/>
  <c r="AC1583" i="1"/>
  <c r="Y1583" i="1"/>
  <c r="AG1582" i="1"/>
  <c r="AC1582" i="1"/>
  <c r="Y1582" i="1"/>
  <c r="AG1581" i="1"/>
  <c r="AC1581" i="1"/>
  <c r="Y1581" i="1"/>
  <c r="AG1580" i="1"/>
  <c r="AC1580" i="1"/>
  <c r="Y1580" i="1"/>
  <c r="AG1579" i="1"/>
  <c r="AC1579" i="1"/>
  <c r="Y1579" i="1"/>
  <c r="AG1578" i="1"/>
  <c r="AC1578" i="1"/>
  <c r="Y1578" i="1"/>
  <c r="AG1577" i="1"/>
  <c r="AC1577" i="1"/>
  <c r="Y1577" i="1"/>
  <c r="AG1576" i="1"/>
  <c r="AC1576" i="1"/>
  <c r="Y1576" i="1"/>
  <c r="AG1575" i="1"/>
  <c r="AC1575" i="1"/>
  <c r="Y1575" i="1"/>
  <c r="AG1574" i="1"/>
  <c r="AC1574" i="1"/>
  <c r="Y1574" i="1"/>
  <c r="AG1573" i="1"/>
  <c r="AC1573" i="1"/>
  <c r="Y1573" i="1"/>
  <c r="AG1572" i="1"/>
  <c r="AC1572" i="1"/>
  <c r="Y1572" i="1"/>
  <c r="AG1571" i="1"/>
  <c r="AC1571" i="1"/>
  <c r="Y1571" i="1"/>
  <c r="AG1570" i="1"/>
  <c r="AC1570" i="1"/>
  <c r="Y1570" i="1"/>
  <c r="AG1569" i="1"/>
  <c r="AC1569" i="1"/>
  <c r="Y1569" i="1"/>
  <c r="AG1568" i="1"/>
  <c r="AC1568" i="1"/>
  <c r="Y1568" i="1"/>
  <c r="AG1567" i="1"/>
  <c r="AC1567" i="1"/>
  <c r="Y1567" i="1"/>
  <c r="AG1566" i="1"/>
  <c r="AC1566" i="1"/>
  <c r="Y1566" i="1"/>
  <c r="AG1565" i="1"/>
  <c r="AC1565" i="1"/>
  <c r="Y1565" i="1"/>
  <c r="AG1564" i="1"/>
  <c r="AC1564" i="1"/>
  <c r="Y1564" i="1"/>
  <c r="AG1562" i="1"/>
  <c r="AC1562" i="1"/>
  <c r="Y1562" i="1"/>
  <c r="AG1561" i="1"/>
  <c r="AC1561" i="1"/>
  <c r="Y1561" i="1"/>
  <c r="AG1560" i="1"/>
  <c r="AC1560" i="1"/>
  <c r="Y1560" i="1"/>
  <c r="AG1559" i="1"/>
  <c r="AC1559" i="1"/>
  <c r="Y1559" i="1"/>
  <c r="AG1558" i="1"/>
  <c r="AC1558" i="1"/>
  <c r="Y1558" i="1"/>
  <c r="AG1557" i="1"/>
  <c r="AC1557" i="1"/>
  <c r="Y1557" i="1"/>
  <c r="AG1555" i="1"/>
  <c r="AC1555" i="1"/>
  <c r="Y1555" i="1"/>
  <c r="AG1554" i="1"/>
  <c r="AC1554" i="1"/>
  <c r="Y1554" i="1"/>
  <c r="AG1553" i="1"/>
  <c r="AC1553" i="1"/>
  <c r="Y1553" i="1"/>
  <c r="O1496" i="1"/>
  <c r="S1496" i="1"/>
  <c r="O1497" i="1"/>
  <c r="S1497" i="1"/>
  <c r="O1471" i="1"/>
  <c r="S1471" i="1"/>
  <c r="H1588" i="1"/>
  <c r="G1588" i="1"/>
  <c r="F1588" i="1"/>
  <c r="D1588" i="1"/>
  <c r="C1588" i="1"/>
  <c r="B1588" i="1"/>
  <c r="I1587" i="1"/>
  <c r="E1587" i="1"/>
  <c r="I1586" i="1"/>
  <c r="E1586" i="1"/>
  <c r="I1585" i="1"/>
  <c r="E1585" i="1"/>
  <c r="I1584" i="1"/>
  <c r="E1584" i="1"/>
  <c r="I1583" i="1"/>
  <c r="E1583" i="1"/>
  <c r="I1582" i="1"/>
  <c r="E1582" i="1"/>
  <c r="I1581" i="1"/>
  <c r="E1581" i="1"/>
  <c r="I1580" i="1"/>
  <c r="E1580" i="1"/>
  <c r="I1579" i="1"/>
  <c r="E1579" i="1"/>
  <c r="I1578" i="1"/>
  <c r="E1578" i="1"/>
  <c r="I1577" i="1"/>
  <c r="E1577" i="1"/>
  <c r="I1576" i="1"/>
  <c r="E1576" i="1"/>
  <c r="I1575" i="1"/>
  <c r="E1575" i="1"/>
  <c r="I1574" i="1"/>
  <c r="E1574" i="1"/>
  <c r="I1573" i="1"/>
  <c r="E1573" i="1"/>
  <c r="I1572" i="1"/>
  <c r="E1572" i="1"/>
  <c r="I1571" i="1"/>
  <c r="E1571" i="1"/>
  <c r="I1570" i="1"/>
  <c r="E1570" i="1"/>
  <c r="I1569" i="1"/>
  <c r="E1569" i="1"/>
  <c r="I1568" i="1"/>
  <c r="E1568" i="1"/>
  <c r="I1567" i="1"/>
  <c r="E1567" i="1"/>
  <c r="I1566" i="1"/>
  <c r="E1566" i="1"/>
  <c r="I1565" i="1"/>
  <c r="E1565" i="1"/>
  <c r="I1564" i="1"/>
  <c r="E1564" i="1"/>
  <c r="I1562" i="1"/>
  <c r="E1562" i="1"/>
  <c r="I1561" i="1"/>
  <c r="E1561" i="1"/>
  <c r="I1560" i="1"/>
  <c r="E1560" i="1"/>
  <c r="I1559" i="1"/>
  <c r="E1559" i="1"/>
  <c r="I1558" i="1"/>
  <c r="E1558" i="1"/>
  <c r="I1557" i="1"/>
  <c r="E1557" i="1"/>
  <c r="I1556" i="1"/>
  <c r="E1556" i="1"/>
  <c r="I1555" i="1"/>
  <c r="E1555" i="1"/>
  <c r="I1554" i="1"/>
  <c r="E1554" i="1"/>
  <c r="I1553" i="1"/>
  <c r="E1553" i="1"/>
  <c r="O1473" i="1"/>
  <c r="S1473" i="1"/>
  <c r="S2229" i="1" l="1"/>
  <c r="L2233" i="1"/>
  <c r="Q2233" i="1"/>
  <c r="E2190" i="1"/>
  <c r="E2147" i="1"/>
  <c r="E2233" i="1"/>
  <c r="Y2233" i="1"/>
  <c r="Q2147" i="1"/>
  <c r="AG2147" i="1"/>
  <c r="O2233" i="1"/>
  <c r="AC2103" i="1"/>
  <c r="Z2147" i="1"/>
  <c r="AC2147" i="1" s="1"/>
  <c r="AC2102" i="1"/>
  <c r="AC2104" i="1"/>
  <c r="I2104" i="1"/>
  <c r="E2104" i="1"/>
  <c r="Y2147" i="1"/>
  <c r="AG2190" i="1"/>
  <c r="AC2190" i="1"/>
  <c r="Y2190" i="1"/>
  <c r="AG2233" i="1"/>
  <c r="AC2233" i="1"/>
  <c r="O2147" i="1"/>
  <c r="S2233" i="1"/>
  <c r="S2190" i="1"/>
  <c r="O2190" i="1"/>
  <c r="S2147" i="1"/>
  <c r="AG2106" i="1"/>
  <c r="AG2104" i="1"/>
  <c r="O2018" i="1"/>
  <c r="Q2063" i="1"/>
  <c r="M2063" i="1"/>
  <c r="P2063" i="1"/>
  <c r="L2063" i="1"/>
  <c r="O2063" i="1"/>
  <c r="O2064" i="1" s="1"/>
  <c r="N2063" i="1"/>
  <c r="S2104" i="1"/>
  <c r="O2104" i="1"/>
  <c r="S2061" i="1"/>
  <c r="S2063" i="1" s="1"/>
  <c r="Z2061" i="1"/>
  <c r="AA2061" i="1"/>
  <c r="E2061" i="1"/>
  <c r="M1719" i="1"/>
  <c r="I2061" i="1"/>
  <c r="Y2061" i="1"/>
  <c r="AG2061" i="1"/>
  <c r="AG2063" i="1"/>
  <c r="Y2104" i="1"/>
  <c r="F1975" i="1"/>
  <c r="I1975" i="1" s="1"/>
  <c r="I2018" i="1"/>
  <c r="E2018" i="1"/>
  <c r="E1975" i="1"/>
  <c r="AC2018" i="1"/>
  <c r="E1932" i="1"/>
  <c r="I1932" i="1"/>
  <c r="S1931" i="1"/>
  <c r="I1889" i="1"/>
  <c r="E1889" i="1"/>
  <c r="AG2018" i="1"/>
  <c r="Y2018" i="1"/>
  <c r="AC1975" i="1"/>
  <c r="Y1975" i="1"/>
  <c r="AG1975" i="1"/>
  <c r="I1846" i="1"/>
  <c r="E1846" i="1"/>
  <c r="AG1932" i="1"/>
  <c r="AC1932" i="1"/>
  <c r="Y1889" i="1"/>
  <c r="AG1889" i="1"/>
  <c r="AC1889" i="1"/>
  <c r="D1864" i="1"/>
  <c r="D1890" i="1" s="1"/>
  <c r="D1896" i="1" s="1"/>
  <c r="D1907" i="1" s="1"/>
  <c r="D1933" i="1" s="1"/>
  <c r="D1939" i="1" s="1"/>
  <c r="D1950" i="1" s="1"/>
  <c r="D1976" i="1" s="1"/>
  <c r="D1982" i="1" s="1"/>
  <c r="D1993" i="1" s="1"/>
  <c r="D2019" i="1" s="1"/>
  <c r="D2025" i="1" s="1"/>
  <c r="D2036" i="1" s="1"/>
  <c r="D2062" i="1" s="1"/>
  <c r="D2068" i="1" s="1"/>
  <c r="D2079" i="1" s="1"/>
  <c r="D2105" i="1" s="1"/>
  <c r="D2111" i="1" s="1"/>
  <c r="D2122" i="1" s="1"/>
  <c r="D2148" i="1" s="1"/>
  <c r="D2154" i="1" s="1"/>
  <c r="D2165" i="1" s="1"/>
  <c r="D2191" i="1" s="1"/>
  <c r="D2197" i="1" s="1"/>
  <c r="D2208" i="1" s="1"/>
  <c r="D2234" i="1" s="1"/>
  <c r="AG1846" i="1"/>
  <c r="AC1803" i="1"/>
  <c r="Y1803" i="1"/>
  <c r="AF1803" i="1"/>
  <c r="AG1803" i="1" s="1"/>
  <c r="I1803" i="1"/>
  <c r="AC1760" i="1"/>
  <c r="AE1717" i="1"/>
  <c r="AA1717" i="1"/>
  <c r="X1717" i="1"/>
  <c r="AG1760" i="1"/>
  <c r="V1760" i="1"/>
  <c r="Y1760" i="1" s="1"/>
  <c r="I1760" i="1"/>
  <c r="E1760" i="1"/>
  <c r="D1735" i="1"/>
  <c r="D1761" i="1" s="1"/>
  <c r="D1767" i="1" s="1"/>
  <c r="D1778" i="1" s="1"/>
  <c r="D1804" i="1" s="1"/>
  <c r="D1810" i="1" s="1"/>
  <c r="D1821" i="1" s="1"/>
  <c r="D1847" i="1" s="1"/>
  <c r="D1853" i="1" s="1"/>
  <c r="H1735" i="1"/>
  <c r="H1761" i="1" s="1"/>
  <c r="H1767" i="1" s="1"/>
  <c r="H1778" i="1" s="1"/>
  <c r="H1804" i="1" s="1"/>
  <c r="H1810" i="1" s="1"/>
  <c r="H1821" i="1" s="1"/>
  <c r="H1847" i="1" s="1"/>
  <c r="H1853" i="1" s="1"/>
  <c r="H1864" i="1" s="1"/>
  <c r="H1890" i="1" s="1"/>
  <c r="H1896" i="1" s="1"/>
  <c r="H1907" i="1" s="1"/>
  <c r="H1933" i="1" s="1"/>
  <c r="H1939" i="1" s="1"/>
  <c r="H1950" i="1" s="1"/>
  <c r="H1976" i="1" s="1"/>
  <c r="H1982" i="1" s="1"/>
  <c r="H1993" i="1" s="1"/>
  <c r="H2019" i="1" s="1"/>
  <c r="H2025" i="1" s="1"/>
  <c r="H2036" i="1" s="1"/>
  <c r="H2062" i="1" s="1"/>
  <c r="H2068" i="1" s="1"/>
  <c r="H2079" i="1" s="1"/>
  <c r="H2105" i="1" s="1"/>
  <c r="H2111" i="1" s="1"/>
  <c r="H2122" i="1" s="1"/>
  <c r="H2148" i="1" s="1"/>
  <c r="H2154" i="1" s="1"/>
  <c r="H2165" i="1" s="1"/>
  <c r="H2191" i="1" s="1"/>
  <c r="H2197" i="1" s="1"/>
  <c r="H2208" i="1" s="1"/>
  <c r="H2234" i="1" s="1"/>
  <c r="AC1717" i="1"/>
  <c r="V1674" i="1"/>
  <c r="AD1674" i="1"/>
  <c r="V1717" i="1"/>
  <c r="Y1717" i="1" s="1"/>
  <c r="AD1717" i="1"/>
  <c r="AE1674" i="1"/>
  <c r="S1673" i="1"/>
  <c r="S1717" i="1"/>
  <c r="E1717" i="1"/>
  <c r="I1717" i="1"/>
  <c r="S1672" i="1"/>
  <c r="E1674" i="1"/>
  <c r="O1717" i="1"/>
  <c r="Z1674" i="1"/>
  <c r="AC1674" i="1" s="1"/>
  <c r="O1674" i="1"/>
  <c r="S1674" i="1"/>
  <c r="E1631" i="1"/>
  <c r="I1631" i="1"/>
  <c r="P1588" i="1"/>
  <c r="S1631" i="1"/>
  <c r="AA1631" i="1"/>
  <c r="AC1631" i="1" s="1"/>
  <c r="AG1631" i="1"/>
  <c r="Y1588" i="1"/>
  <c r="Y1631" i="1"/>
  <c r="AC1588" i="1"/>
  <c r="AG1588" i="1"/>
  <c r="Y1674" i="1"/>
  <c r="S1540" i="1"/>
  <c r="O1631" i="1"/>
  <c r="Q1545" i="1"/>
  <c r="S1545" i="1" s="1"/>
  <c r="Q1588" i="1"/>
  <c r="O1545" i="1"/>
  <c r="O1588" i="1"/>
  <c r="I1588" i="1"/>
  <c r="E1588" i="1"/>
  <c r="AF1545" i="1"/>
  <c r="AE1545" i="1"/>
  <c r="AD1545" i="1"/>
  <c r="AB1545" i="1"/>
  <c r="AA1545" i="1"/>
  <c r="Z1545" i="1"/>
  <c r="X1545" i="1"/>
  <c r="W1545" i="1"/>
  <c r="V1545" i="1"/>
  <c r="H1545" i="1"/>
  <c r="G1545" i="1"/>
  <c r="F1545" i="1"/>
  <c r="D1545" i="1"/>
  <c r="C1545" i="1"/>
  <c r="B1545" i="1"/>
  <c r="I1544" i="1"/>
  <c r="E1544" i="1"/>
  <c r="I1543" i="1"/>
  <c r="E1543" i="1"/>
  <c r="AG1542" i="1"/>
  <c r="AC1542" i="1"/>
  <c r="Y1542" i="1"/>
  <c r="I1542" i="1"/>
  <c r="E1542" i="1"/>
  <c r="AG1541" i="1"/>
  <c r="AC1541" i="1"/>
  <c r="Y1541" i="1"/>
  <c r="I1541" i="1"/>
  <c r="E1541" i="1"/>
  <c r="AG1540" i="1"/>
  <c r="AC1540" i="1"/>
  <c r="Y1540" i="1"/>
  <c r="I1540" i="1"/>
  <c r="E1540" i="1"/>
  <c r="AG1539" i="1"/>
  <c r="AC1539" i="1"/>
  <c r="Y1539" i="1"/>
  <c r="I1539" i="1"/>
  <c r="E1539" i="1"/>
  <c r="AG1538" i="1"/>
  <c r="AC1538" i="1"/>
  <c r="Y1538" i="1"/>
  <c r="I1538" i="1"/>
  <c r="E1538" i="1"/>
  <c r="AG1537" i="1"/>
  <c r="AC1537" i="1"/>
  <c r="Y1537" i="1"/>
  <c r="I1537" i="1"/>
  <c r="E1537" i="1"/>
  <c r="AG1536" i="1"/>
  <c r="AC1536" i="1"/>
  <c r="Y1536" i="1"/>
  <c r="I1536" i="1"/>
  <c r="E1536" i="1"/>
  <c r="AG1535" i="1"/>
  <c r="AC1535" i="1"/>
  <c r="Y1535" i="1"/>
  <c r="I1535" i="1"/>
  <c r="E1535" i="1"/>
  <c r="AG1534" i="1"/>
  <c r="AC1534" i="1"/>
  <c r="Y1534" i="1"/>
  <c r="I1534" i="1"/>
  <c r="E1534" i="1"/>
  <c r="AG1533" i="1"/>
  <c r="AC1533" i="1"/>
  <c r="Y1533" i="1"/>
  <c r="I1533" i="1"/>
  <c r="E1533" i="1"/>
  <c r="AG1532" i="1"/>
  <c r="AC1532" i="1"/>
  <c r="Y1532" i="1"/>
  <c r="I1532" i="1"/>
  <c r="E1532" i="1"/>
  <c r="AG1531" i="1"/>
  <c r="AC1531" i="1"/>
  <c r="Y1531" i="1"/>
  <c r="I1531" i="1"/>
  <c r="E1531" i="1"/>
  <c r="AG1530" i="1"/>
  <c r="AC1530" i="1"/>
  <c r="Y1530" i="1"/>
  <c r="I1530" i="1"/>
  <c r="E1530" i="1"/>
  <c r="AG1529" i="1"/>
  <c r="AC1529" i="1"/>
  <c r="Y1529" i="1"/>
  <c r="I1529" i="1"/>
  <c r="E1529" i="1"/>
  <c r="AG1528" i="1"/>
  <c r="AC1528" i="1"/>
  <c r="Y1528" i="1"/>
  <c r="I1528" i="1"/>
  <c r="E1528" i="1"/>
  <c r="AG1527" i="1"/>
  <c r="AC1527" i="1"/>
  <c r="Y1527" i="1"/>
  <c r="I1527" i="1"/>
  <c r="E1527" i="1"/>
  <c r="AG1526" i="1"/>
  <c r="AC1526" i="1"/>
  <c r="Y1526" i="1"/>
  <c r="I1526" i="1"/>
  <c r="E1526" i="1"/>
  <c r="AG1525" i="1"/>
  <c r="AC1525" i="1"/>
  <c r="Y1525" i="1"/>
  <c r="I1525" i="1"/>
  <c r="E1525" i="1"/>
  <c r="AG1524" i="1"/>
  <c r="AC1524" i="1"/>
  <c r="Y1524" i="1"/>
  <c r="I1524" i="1"/>
  <c r="E1524" i="1"/>
  <c r="AG1523" i="1"/>
  <c r="AC1523" i="1"/>
  <c r="Y1523" i="1"/>
  <c r="I1523" i="1"/>
  <c r="E1523" i="1"/>
  <c r="AG1522" i="1"/>
  <c r="AC1522" i="1"/>
  <c r="Y1522" i="1"/>
  <c r="I1522" i="1"/>
  <c r="E1522" i="1"/>
  <c r="AG1521" i="1"/>
  <c r="AC1521" i="1"/>
  <c r="Y1521" i="1"/>
  <c r="AG1519" i="1"/>
  <c r="AC1519" i="1"/>
  <c r="Y1519" i="1"/>
  <c r="I1519" i="1"/>
  <c r="E1519" i="1"/>
  <c r="AG1518" i="1"/>
  <c r="AC1518" i="1"/>
  <c r="Y1518" i="1"/>
  <c r="I1518" i="1"/>
  <c r="E1518" i="1"/>
  <c r="AG1517" i="1"/>
  <c r="AC1517" i="1"/>
  <c r="Y1517" i="1"/>
  <c r="I1517" i="1"/>
  <c r="E1517" i="1"/>
  <c r="AG1516" i="1"/>
  <c r="AC1516" i="1"/>
  <c r="Y1516" i="1"/>
  <c r="I1516" i="1"/>
  <c r="E1516" i="1"/>
  <c r="AG1515" i="1"/>
  <c r="AC1515" i="1"/>
  <c r="Y1515" i="1"/>
  <c r="I1515" i="1"/>
  <c r="E1515" i="1"/>
  <c r="AG1514" i="1"/>
  <c r="AC1514" i="1"/>
  <c r="Y1514" i="1"/>
  <c r="I1514" i="1"/>
  <c r="E1514" i="1"/>
  <c r="AG1513" i="1"/>
  <c r="AC1513" i="1"/>
  <c r="Y1513" i="1"/>
  <c r="I1513" i="1"/>
  <c r="E1513" i="1"/>
  <c r="AG1512" i="1"/>
  <c r="AC1512" i="1"/>
  <c r="Y1512" i="1"/>
  <c r="I1512" i="1"/>
  <c r="E1512" i="1"/>
  <c r="AG1511" i="1"/>
  <c r="AC1511" i="1"/>
  <c r="Y1511" i="1"/>
  <c r="I1511" i="1"/>
  <c r="E1511" i="1"/>
  <c r="AG1510" i="1"/>
  <c r="AC1510" i="1"/>
  <c r="Y1510" i="1"/>
  <c r="I1510" i="1"/>
  <c r="E1510" i="1"/>
  <c r="I1428" i="1"/>
  <c r="E1428" i="1"/>
  <c r="O1444" i="1"/>
  <c r="S1444" i="1"/>
  <c r="S1443" i="1"/>
  <c r="O1443" i="1"/>
  <c r="I1440" i="1"/>
  <c r="E1440" i="1"/>
  <c r="L2064" i="1" l="1"/>
  <c r="M2064" i="1"/>
  <c r="N2064" i="1"/>
  <c r="AC2061" i="1"/>
  <c r="O1719" i="1"/>
  <c r="L1719" i="1"/>
  <c r="AG1717" i="1"/>
  <c r="AG1674" i="1"/>
  <c r="S1588" i="1"/>
  <c r="I1545" i="1"/>
  <c r="E1545" i="1"/>
  <c r="AC1545" i="1"/>
  <c r="AG1545" i="1"/>
  <c r="Y1545" i="1"/>
  <c r="O1439" i="1"/>
  <c r="S1439" i="1"/>
  <c r="L1720" i="1" l="1"/>
  <c r="M1720" i="1"/>
  <c r="O1720" i="1"/>
  <c r="N1720" i="1"/>
  <c r="O1437" i="1"/>
  <c r="S1437" i="1"/>
  <c r="S1436" i="1"/>
  <c r="O1436" i="1"/>
  <c r="I1435" i="1"/>
  <c r="E1435" i="1"/>
  <c r="AF1502" i="1" l="1"/>
  <c r="AE1502" i="1"/>
  <c r="AD1502" i="1"/>
  <c r="AB1502" i="1"/>
  <c r="AA1502" i="1"/>
  <c r="Z1502" i="1"/>
  <c r="X1502" i="1"/>
  <c r="W1502" i="1"/>
  <c r="V1502" i="1"/>
  <c r="AG1500" i="1"/>
  <c r="AC1500" i="1"/>
  <c r="Y1500" i="1"/>
  <c r="AG1499" i="1"/>
  <c r="AC1499" i="1"/>
  <c r="Y1499" i="1"/>
  <c r="AG1498" i="1"/>
  <c r="AC1498" i="1"/>
  <c r="Y1498" i="1"/>
  <c r="AG1497" i="1"/>
  <c r="AC1497" i="1"/>
  <c r="Y1497" i="1"/>
  <c r="AG1496" i="1"/>
  <c r="AC1496" i="1"/>
  <c r="Y1496" i="1"/>
  <c r="AG1495" i="1"/>
  <c r="AC1495" i="1"/>
  <c r="Y1495" i="1"/>
  <c r="AG1494" i="1"/>
  <c r="AC1494" i="1"/>
  <c r="Y1494" i="1"/>
  <c r="AG1493" i="1"/>
  <c r="AC1493" i="1"/>
  <c r="Y1493" i="1"/>
  <c r="AG1492" i="1"/>
  <c r="AC1492" i="1"/>
  <c r="Y1492" i="1"/>
  <c r="AG1491" i="1"/>
  <c r="AC1491" i="1"/>
  <c r="Y1491" i="1"/>
  <c r="AG1490" i="1"/>
  <c r="AC1490" i="1"/>
  <c r="Y1490" i="1"/>
  <c r="AG1489" i="1"/>
  <c r="AC1489" i="1"/>
  <c r="Y1489" i="1"/>
  <c r="AG1488" i="1"/>
  <c r="AC1488" i="1"/>
  <c r="Y1488" i="1"/>
  <c r="AG1487" i="1"/>
  <c r="AC1487" i="1"/>
  <c r="Y1487" i="1"/>
  <c r="AG1486" i="1"/>
  <c r="AC1486" i="1"/>
  <c r="Y1486" i="1"/>
  <c r="AG1485" i="1"/>
  <c r="AC1485" i="1"/>
  <c r="Y1485" i="1"/>
  <c r="AG1484" i="1"/>
  <c r="AC1484" i="1"/>
  <c r="Y1484" i="1"/>
  <c r="AG1483" i="1"/>
  <c r="AC1483" i="1"/>
  <c r="Y1483" i="1"/>
  <c r="AG1482" i="1"/>
  <c r="AC1482" i="1"/>
  <c r="Y1482" i="1"/>
  <c r="AG1481" i="1"/>
  <c r="AC1481" i="1"/>
  <c r="Y1481" i="1"/>
  <c r="AG1480" i="1"/>
  <c r="AC1480" i="1"/>
  <c r="Y1480" i="1"/>
  <c r="AG1479" i="1"/>
  <c r="AC1479" i="1"/>
  <c r="Y1479" i="1"/>
  <c r="AG1478" i="1"/>
  <c r="AC1478" i="1"/>
  <c r="Y1478" i="1"/>
  <c r="AG1476" i="1"/>
  <c r="AC1476" i="1"/>
  <c r="Y1476" i="1"/>
  <c r="AG1475" i="1"/>
  <c r="AC1475" i="1"/>
  <c r="Y1475" i="1"/>
  <c r="AG1474" i="1"/>
  <c r="AC1474" i="1"/>
  <c r="Y1474" i="1"/>
  <c r="AG1473" i="1"/>
  <c r="AC1473" i="1"/>
  <c r="Y1473" i="1"/>
  <c r="AG1472" i="1"/>
  <c r="AC1472" i="1"/>
  <c r="Y1472" i="1"/>
  <c r="AG1471" i="1"/>
  <c r="AC1471" i="1"/>
  <c r="Y1471" i="1"/>
  <c r="AG1470" i="1"/>
  <c r="AC1470" i="1"/>
  <c r="Y1470" i="1"/>
  <c r="AG1469" i="1"/>
  <c r="AC1469" i="1"/>
  <c r="Y1469" i="1"/>
  <c r="AG1468" i="1"/>
  <c r="AC1468" i="1"/>
  <c r="Y1468" i="1"/>
  <c r="AG1467" i="1"/>
  <c r="AC1467" i="1"/>
  <c r="Y1467" i="1"/>
  <c r="AC1502" i="1" l="1"/>
  <c r="AG1502" i="1"/>
  <c r="Y1502" i="1"/>
  <c r="R1502" i="1" l="1"/>
  <c r="Q1502" i="1"/>
  <c r="P1502" i="1"/>
  <c r="N1502" i="1"/>
  <c r="M1502" i="1"/>
  <c r="L1502" i="1"/>
  <c r="H1502" i="1"/>
  <c r="G1502" i="1"/>
  <c r="F1502" i="1"/>
  <c r="D1502" i="1"/>
  <c r="C1502" i="1"/>
  <c r="B1502" i="1"/>
  <c r="I1501" i="1"/>
  <c r="E1501" i="1"/>
  <c r="I1500" i="1"/>
  <c r="E1500" i="1"/>
  <c r="I1499" i="1"/>
  <c r="E1499" i="1"/>
  <c r="I1498" i="1"/>
  <c r="E1498" i="1"/>
  <c r="I1497" i="1"/>
  <c r="E1497" i="1"/>
  <c r="I1496" i="1"/>
  <c r="E1496" i="1"/>
  <c r="S1495" i="1"/>
  <c r="O1495" i="1"/>
  <c r="I1495" i="1"/>
  <c r="E1495" i="1"/>
  <c r="S1494" i="1"/>
  <c r="O1494" i="1"/>
  <c r="I1494" i="1"/>
  <c r="E1494" i="1"/>
  <c r="S1493" i="1"/>
  <c r="O1493" i="1"/>
  <c r="I1493" i="1"/>
  <c r="E1493" i="1"/>
  <c r="S1492" i="1"/>
  <c r="O1492" i="1"/>
  <c r="I1492" i="1"/>
  <c r="E1492" i="1"/>
  <c r="S1491" i="1"/>
  <c r="O1491" i="1"/>
  <c r="I1491" i="1"/>
  <c r="E1491" i="1"/>
  <c r="S1490" i="1"/>
  <c r="O1490" i="1"/>
  <c r="I1490" i="1"/>
  <c r="E1490" i="1"/>
  <c r="S1489" i="1"/>
  <c r="O1489" i="1"/>
  <c r="I1489" i="1"/>
  <c r="E1489" i="1"/>
  <c r="S1488" i="1"/>
  <c r="O1488" i="1"/>
  <c r="I1488" i="1"/>
  <c r="E1488" i="1"/>
  <c r="S1487" i="1"/>
  <c r="O1487" i="1"/>
  <c r="I1487" i="1"/>
  <c r="E1487" i="1"/>
  <c r="S1486" i="1"/>
  <c r="O1486" i="1"/>
  <c r="I1486" i="1"/>
  <c r="E1486" i="1"/>
  <c r="S1485" i="1"/>
  <c r="O1485" i="1"/>
  <c r="I1485" i="1"/>
  <c r="E1485" i="1"/>
  <c r="S1484" i="1"/>
  <c r="O1484" i="1"/>
  <c r="I1484" i="1"/>
  <c r="E1484" i="1"/>
  <c r="S1483" i="1"/>
  <c r="O1483" i="1"/>
  <c r="I1483" i="1"/>
  <c r="E1483" i="1"/>
  <c r="I1482" i="1"/>
  <c r="E1482" i="1"/>
  <c r="I1481" i="1"/>
  <c r="E1481" i="1"/>
  <c r="S1480" i="1"/>
  <c r="O1480" i="1"/>
  <c r="I1480" i="1"/>
  <c r="E1480" i="1"/>
  <c r="S1476" i="1"/>
  <c r="O1476" i="1"/>
  <c r="I1476" i="1"/>
  <c r="E1476" i="1"/>
  <c r="S1475" i="1"/>
  <c r="O1475" i="1"/>
  <c r="I1475" i="1"/>
  <c r="E1475" i="1"/>
  <c r="S1474" i="1"/>
  <c r="O1474" i="1"/>
  <c r="I1474" i="1"/>
  <c r="E1474" i="1"/>
  <c r="I1473" i="1"/>
  <c r="E1473" i="1"/>
  <c r="S1472" i="1"/>
  <c r="O1472" i="1"/>
  <c r="I1472" i="1"/>
  <c r="E1472" i="1"/>
  <c r="I1471" i="1"/>
  <c r="E1471" i="1"/>
  <c r="S1470" i="1"/>
  <c r="O1470" i="1"/>
  <c r="I1470" i="1"/>
  <c r="E1470" i="1"/>
  <c r="I1469" i="1"/>
  <c r="E1469" i="1"/>
  <c r="S1468" i="1"/>
  <c r="O1468" i="1"/>
  <c r="I1468" i="1"/>
  <c r="E1468" i="1"/>
  <c r="E1502" i="1" l="1"/>
  <c r="I1502" i="1"/>
  <c r="S1502" i="1"/>
  <c r="O1502" i="1"/>
  <c r="E1384" i="1"/>
  <c r="E1385" i="1"/>
  <c r="E1386" i="1"/>
  <c r="E1387" i="1"/>
  <c r="E1397" i="1"/>
  <c r="E1398" i="1"/>
  <c r="E1399" i="1"/>
  <c r="E1400" i="1"/>
  <c r="E1401" i="1"/>
  <c r="E1402" i="1"/>
  <c r="E1403" i="1"/>
  <c r="E1404" i="1"/>
  <c r="E1405" i="1"/>
  <c r="I1385" i="1"/>
  <c r="O1400" i="1" l="1"/>
  <c r="S1400" i="1"/>
  <c r="Y1382" i="1" l="1"/>
  <c r="AC1382" i="1"/>
  <c r="AG1382" i="1"/>
  <c r="Y1392" i="1"/>
  <c r="AC1392" i="1"/>
  <c r="AG1392" i="1"/>
  <c r="S1410" i="1" l="1"/>
  <c r="O1410" i="1"/>
  <c r="I1297" i="1" l="1"/>
  <c r="E1297" i="1"/>
  <c r="I1338" i="1"/>
  <c r="E1338" i="1"/>
  <c r="AG1352" i="1"/>
  <c r="AC1352" i="1"/>
  <c r="O1457" i="1" l="1"/>
  <c r="S1457" i="1"/>
  <c r="S1411" i="1"/>
  <c r="O1411" i="1"/>
  <c r="O1366" i="1" l="1"/>
  <c r="S1366" i="1"/>
  <c r="O1367" i="1"/>
  <c r="S1367" i="1"/>
  <c r="O1368" i="1"/>
  <c r="S1368" i="1"/>
  <c r="O1369" i="1"/>
  <c r="S1369" i="1"/>
  <c r="S1414" i="1"/>
  <c r="O1414" i="1"/>
  <c r="S1412" i="1"/>
  <c r="O1412" i="1"/>
  <c r="AF1459" i="1"/>
  <c r="AE1459" i="1"/>
  <c r="AD1459" i="1"/>
  <c r="AB1459" i="1"/>
  <c r="AA1459" i="1"/>
  <c r="Z1459" i="1"/>
  <c r="X1459" i="1"/>
  <c r="W1459" i="1"/>
  <c r="V1459" i="1"/>
  <c r="R1459" i="1"/>
  <c r="Q1459" i="1"/>
  <c r="P1459" i="1"/>
  <c r="N1459" i="1"/>
  <c r="M1459" i="1"/>
  <c r="L1459" i="1"/>
  <c r="H1459" i="1"/>
  <c r="G1459" i="1"/>
  <c r="F1459" i="1"/>
  <c r="D1459" i="1"/>
  <c r="C1459" i="1"/>
  <c r="B1459" i="1"/>
  <c r="AG1458" i="1"/>
  <c r="AC1458" i="1"/>
  <c r="Y1458" i="1"/>
  <c r="I1458" i="1"/>
  <c r="E1458" i="1"/>
  <c r="AG1457" i="1"/>
  <c r="AC1457" i="1"/>
  <c r="Y1457" i="1"/>
  <c r="I1457" i="1"/>
  <c r="E1457" i="1"/>
  <c r="AG1456" i="1"/>
  <c r="AC1456" i="1"/>
  <c r="Y1456" i="1"/>
  <c r="S1456" i="1"/>
  <c r="O1456" i="1"/>
  <c r="I1456" i="1"/>
  <c r="E1456" i="1"/>
  <c r="AG1455" i="1"/>
  <c r="AC1455" i="1"/>
  <c r="Y1455" i="1"/>
  <c r="S1455" i="1"/>
  <c r="O1455" i="1"/>
  <c r="I1455" i="1"/>
  <c r="E1455" i="1"/>
  <c r="AG1454" i="1"/>
  <c r="AC1454" i="1"/>
  <c r="Y1454" i="1"/>
  <c r="S1454" i="1"/>
  <c r="O1454" i="1"/>
  <c r="I1454" i="1"/>
  <c r="E1454" i="1"/>
  <c r="AG1453" i="1"/>
  <c r="AC1453" i="1"/>
  <c r="Y1453" i="1"/>
  <c r="S1453" i="1"/>
  <c r="O1453" i="1"/>
  <c r="I1453" i="1"/>
  <c r="E1453" i="1"/>
  <c r="AG1452" i="1"/>
  <c r="AC1452" i="1"/>
  <c r="Y1452" i="1"/>
  <c r="S1452" i="1"/>
  <c r="O1452" i="1"/>
  <c r="I1452" i="1"/>
  <c r="E1452" i="1"/>
  <c r="AG1451" i="1"/>
  <c r="AC1451" i="1"/>
  <c r="Y1451" i="1"/>
  <c r="S1451" i="1"/>
  <c r="O1451" i="1"/>
  <c r="AG1450" i="1"/>
  <c r="AC1450" i="1"/>
  <c r="Y1450" i="1"/>
  <c r="S1450" i="1"/>
  <c r="O1450" i="1"/>
  <c r="AG1449" i="1"/>
  <c r="AC1449" i="1"/>
  <c r="Y1449" i="1"/>
  <c r="S1449" i="1"/>
  <c r="O1449" i="1"/>
  <c r="I1449" i="1"/>
  <c r="E1449" i="1"/>
  <c r="AG1448" i="1"/>
  <c r="AC1448" i="1"/>
  <c r="Y1448" i="1"/>
  <c r="I1448" i="1"/>
  <c r="E1448" i="1"/>
  <c r="AG1447" i="1"/>
  <c r="AC1447" i="1"/>
  <c r="Y1447" i="1"/>
  <c r="S1447" i="1"/>
  <c r="O1447" i="1"/>
  <c r="I1447" i="1"/>
  <c r="E1447" i="1"/>
  <c r="AG1446" i="1"/>
  <c r="AC1446" i="1"/>
  <c r="Y1446" i="1"/>
  <c r="S1446" i="1"/>
  <c r="O1446" i="1"/>
  <c r="I1446" i="1"/>
  <c r="E1446" i="1"/>
  <c r="AG1445" i="1"/>
  <c r="AC1445" i="1"/>
  <c r="Y1445" i="1"/>
  <c r="S1445" i="1"/>
  <c r="O1445" i="1"/>
  <c r="I1445" i="1"/>
  <c r="E1445" i="1"/>
  <c r="AG1444" i="1"/>
  <c r="AC1444" i="1"/>
  <c r="Y1444" i="1"/>
  <c r="I1444" i="1"/>
  <c r="E1444" i="1"/>
  <c r="AG1443" i="1"/>
  <c r="AC1443" i="1"/>
  <c r="Y1443" i="1"/>
  <c r="I1443" i="1"/>
  <c r="E1443" i="1"/>
  <c r="AG1442" i="1"/>
  <c r="AC1442" i="1"/>
  <c r="Y1442" i="1"/>
  <c r="S1442" i="1"/>
  <c r="O1442" i="1"/>
  <c r="I1442" i="1"/>
  <c r="E1442" i="1"/>
  <c r="AG1441" i="1"/>
  <c r="AC1441" i="1"/>
  <c r="Y1441" i="1"/>
  <c r="S1441" i="1"/>
  <c r="O1441" i="1"/>
  <c r="I1441" i="1"/>
  <c r="E1441" i="1"/>
  <c r="AG1440" i="1"/>
  <c r="AC1440" i="1"/>
  <c r="Y1440" i="1"/>
  <c r="S1440" i="1"/>
  <c r="O1440" i="1"/>
  <c r="AG1439" i="1"/>
  <c r="AC1439" i="1"/>
  <c r="Y1439" i="1"/>
  <c r="I1439" i="1"/>
  <c r="E1439" i="1"/>
  <c r="AG1438" i="1"/>
  <c r="AC1438" i="1"/>
  <c r="Y1438" i="1"/>
  <c r="S1438" i="1"/>
  <c r="O1438" i="1"/>
  <c r="I1438" i="1"/>
  <c r="E1438" i="1"/>
  <c r="AG1437" i="1"/>
  <c r="AC1437" i="1"/>
  <c r="Y1437" i="1"/>
  <c r="I1437" i="1"/>
  <c r="E1437" i="1"/>
  <c r="AG1436" i="1"/>
  <c r="AC1436" i="1"/>
  <c r="Y1436" i="1"/>
  <c r="I1436" i="1"/>
  <c r="E1436" i="1"/>
  <c r="AG1435" i="1"/>
  <c r="AC1435" i="1"/>
  <c r="Y1435" i="1"/>
  <c r="S1435" i="1"/>
  <c r="O1435" i="1"/>
  <c r="AG1433" i="1"/>
  <c r="AC1433" i="1"/>
  <c r="Y1433" i="1"/>
  <c r="S1433" i="1"/>
  <c r="O1433" i="1"/>
  <c r="I1433" i="1"/>
  <c r="E1433" i="1"/>
  <c r="AG1432" i="1"/>
  <c r="AC1432" i="1"/>
  <c r="Y1432" i="1"/>
  <c r="S1432" i="1"/>
  <c r="O1432" i="1"/>
  <c r="I1432" i="1"/>
  <c r="E1432" i="1"/>
  <c r="AG1431" i="1"/>
  <c r="AC1431" i="1"/>
  <c r="Y1431" i="1"/>
  <c r="S1431" i="1"/>
  <c r="O1431" i="1"/>
  <c r="I1431" i="1"/>
  <c r="E1431" i="1"/>
  <c r="AG1430" i="1"/>
  <c r="AC1430" i="1"/>
  <c r="Y1430" i="1"/>
  <c r="S1430" i="1"/>
  <c r="O1430" i="1"/>
  <c r="I1430" i="1"/>
  <c r="E1430" i="1"/>
  <c r="AG1429" i="1"/>
  <c r="AC1429" i="1"/>
  <c r="Y1429" i="1"/>
  <c r="S1429" i="1"/>
  <c r="O1429" i="1"/>
  <c r="I1429" i="1"/>
  <c r="E1429" i="1"/>
  <c r="AG1428" i="1"/>
  <c r="AC1428" i="1"/>
  <c r="Y1428" i="1"/>
  <c r="S1428" i="1"/>
  <c r="O1428" i="1"/>
  <c r="AG1427" i="1"/>
  <c r="AC1427" i="1"/>
  <c r="Y1427" i="1"/>
  <c r="S1427" i="1"/>
  <c r="O1427" i="1"/>
  <c r="I1427" i="1"/>
  <c r="E1427" i="1"/>
  <c r="AG1426" i="1"/>
  <c r="AC1426" i="1"/>
  <c r="Y1426" i="1"/>
  <c r="S1426" i="1"/>
  <c r="O1426" i="1"/>
  <c r="I1426" i="1"/>
  <c r="E1426" i="1"/>
  <c r="AG1425" i="1"/>
  <c r="AC1425" i="1"/>
  <c r="Y1425" i="1"/>
  <c r="S1425" i="1"/>
  <c r="O1425" i="1"/>
  <c r="I1425" i="1"/>
  <c r="E1425" i="1"/>
  <c r="AG1424" i="1"/>
  <c r="AC1424" i="1"/>
  <c r="Y1424" i="1"/>
  <c r="S1424" i="1"/>
  <c r="O1424" i="1"/>
  <c r="I1424" i="1"/>
  <c r="E1424" i="1"/>
  <c r="AC1459" i="1" l="1"/>
  <c r="E1459" i="1"/>
  <c r="O1415" i="1"/>
  <c r="O1459" i="1"/>
  <c r="AG1459" i="1"/>
  <c r="S1413" i="1"/>
  <c r="S1459" i="1"/>
  <c r="Y1459" i="1"/>
  <c r="O1413" i="1"/>
  <c r="S1415" i="1"/>
  <c r="I1459" i="1"/>
  <c r="O1325" i="1" l="1"/>
  <c r="S1325" i="1"/>
  <c r="O1326" i="1"/>
  <c r="S1326" i="1"/>
  <c r="O1327" i="1"/>
  <c r="S1327" i="1"/>
  <c r="O1328" i="1"/>
  <c r="S1328" i="1"/>
  <c r="S1277" i="1" l="1"/>
  <c r="O1277" i="1"/>
  <c r="E1266" i="1" l="1"/>
  <c r="I1266" i="1"/>
  <c r="I1265" i="1"/>
  <c r="E1265" i="1"/>
  <c r="O1272" i="1" l="1"/>
  <c r="S1272" i="1"/>
  <c r="S1271" i="1"/>
  <c r="O1271" i="1"/>
  <c r="S1270" i="1"/>
  <c r="O1270" i="1"/>
  <c r="S1269" i="1"/>
  <c r="O1269" i="1"/>
  <c r="S1268" i="1"/>
  <c r="O1268" i="1"/>
  <c r="O1255" i="1" l="1"/>
  <c r="S1255" i="1"/>
  <c r="I1210" i="1" l="1"/>
  <c r="E1210" i="1"/>
  <c r="S1370" i="1"/>
  <c r="O1370" i="1"/>
  <c r="S1230" i="1" l="1"/>
  <c r="O1230" i="1"/>
  <c r="S1371" i="1"/>
  <c r="O1371" i="1"/>
  <c r="S1372" i="1"/>
  <c r="O1372" i="1"/>
  <c r="O1384" i="1"/>
  <c r="S1384" i="1"/>
  <c r="S1340" i="1"/>
  <c r="O1340" i="1"/>
  <c r="Y1415" i="1"/>
  <c r="AC1415" i="1"/>
  <c r="AG1415" i="1"/>
  <c r="AG1372" i="1"/>
  <c r="AC1372" i="1"/>
  <c r="Y1372" i="1"/>
  <c r="S1329" i="1"/>
  <c r="O1329" i="1"/>
  <c r="O1339" i="1"/>
  <c r="S1339" i="1"/>
  <c r="S1297" i="1"/>
  <c r="O1297" i="1"/>
  <c r="Y1329" i="1"/>
  <c r="AC1329" i="1"/>
  <c r="AG1329" i="1"/>
  <c r="AG1286" i="1"/>
  <c r="AC1286" i="1"/>
  <c r="Y1286" i="1"/>
  <c r="Y1296" i="1"/>
  <c r="AC1296" i="1"/>
  <c r="AG1296" i="1"/>
  <c r="Y1297" i="1"/>
  <c r="AC1297" i="1"/>
  <c r="AG1297" i="1"/>
  <c r="AG1255" i="1"/>
  <c r="AC1255" i="1"/>
  <c r="Y1255" i="1"/>
  <c r="AG1254" i="1"/>
  <c r="AC1254" i="1"/>
  <c r="Y1254" i="1"/>
  <c r="O1296" i="1"/>
  <c r="S1296" i="1"/>
  <c r="O1298" i="1"/>
  <c r="S1298" i="1"/>
  <c r="S1254" i="1"/>
  <c r="O1254" i="1"/>
  <c r="S1283" i="1"/>
  <c r="O1283" i="1"/>
  <c r="S1284" i="1"/>
  <c r="O1284" i="1"/>
  <c r="S1286" i="1"/>
  <c r="O1286" i="1"/>
  <c r="S1285" i="1"/>
  <c r="O1285" i="1"/>
  <c r="O1324" i="1"/>
  <c r="S1324" i="1"/>
  <c r="O1344" i="1"/>
  <c r="S1344" i="1"/>
  <c r="O1383" i="1" l="1"/>
  <c r="S1383" i="1"/>
  <c r="O1385" i="1"/>
  <c r="S1385" i="1"/>
  <c r="O1386" i="1"/>
  <c r="S1386" i="1"/>
  <c r="O1387" i="1"/>
  <c r="S1387" i="1"/>
  <c r="AF1416" i="1"/>
  <c r="AE1416" i="1"/>
  <c r="AD1416" i="1"/>
  <c r="AB1416" i="1"/>
  <c r="AA1416" i="1"/>
  <c r="Z1416" i="1"/>
  <c r="X1416" i="1"/>
  <c r="W1416" i="1"/>
  <c r="V1416" i="1"/>
  <c r="H1416" i="1"/>
  <c r="G1416" i="1"/>
  <c r="F1416" i="1"/>
  <c r="D1416" i="1"/>
  <c r="C1416" i="1"/>
  <c r="B1416" i="1"/>
  <c r="I1415" i="1"/>
  <c r="E1415" i="1"/>
  <c r="AG1414" i="1"/>
  <c r="AC1414" i="1"/>
  <c r="Y1414" i="1"/>
  <c r="I1414" i="1"/>
  <c r="E1414" i="1"/>
  <c r="AG1413" i="1"/>
  <c r="AC1413" i="1"/>
  <c r="Y1413" i="1"/>
  <c r="R1416" i="1"/>
  <c r="Q1416" i="1"/>
  <c r="P1416" i="1"/>
  <c r="N1416" i="1"/>
  <c r="M1416" i="1"/>
  <c r="I1413" i="1"/>
  <c r="E1413" i="1"/>
  <c r="AG1412" i="1"/>
  <c r="AC1412" i="1"/>
  <c r="Y1412" i="1"/>
  <c r="I1412" i="1"/>
  <c r="E1412" i="1"/>
  <c r="AG1411" i="1"/>
  <c r="AC1411" i="1"/>
  <c r="Y1411" i="1"/>
  <c r="I1411" i="1"/>
  <c r="E1411" i="1"/>
  <c r="AG1410" i="1"/>
  <c r="AC1410" i="1"/>
  <c r="Y1410" i="1"/>
  <c r="I1410" i="1"/>
  <c r="E1410" i="1"/>
  <c r="AG1409" i="1"/>
  <c r="AC1409" i="1"/>
  <c r="Y1409" i="1"/>
  <c r="S1409" i="1"/>
  <c r="O1409" i="1"/>
  <c r="I1409" i="1"/>
  <c r="E1409" i="1"/>
  <c r="AG1408" i="1"/>
  <c r="AC1408" i="1"/>
  <c r="Y1408" i="1"/>
  <c r="S1408" i="1"/>
  <c r="O1408" i="1"/>
  <c r="I1408" i="1"/>
  <c r="E1408" i="1"/>
  <c r="AG1407" i="1"/>
  <c r="AC1407" i="1"/>
  <c r="Y1407" i="1"/>
  <c r="S1407" i="1"/>
  <c r="O1407" i="1"/>
  <c r="I1407" i="1"/>
  <c r="E1407" i="1"/>
  <c r="AG1406" i="1"/>
  <c r="AC1406" i="1"/>
  <c r="Y1406" i="1"/>
  <c r="S1406" i="1"/>
  <c r="O1406" i="1"/>
  <c r="I1406" i="1"/>
  <c r="E1406" i="1"/>
  <c r="AG1405" i="1"/>
  <c r="AC1405" i="1"/>
  <c r="Y1405" i="1"/>
  <c r="S1405" i="1"/>
  <c r="O1405" i="1"/>
  <c r="I1405" i="1"/>
  <c r="AG1404" i="1"/>
  <c r="AC1404" i="1"/>
  <c r="Y1404" i="1"/>
  <c r="S1404" i="1"/>
  <c r="O1404" i="1"/>
  <c r="I1404" i="1"/>
  <c r="AG1403" i="1"/>
  <c r="AC1403" i="1"/>
  <c r="Y1403" i="1"/>
  <c r="S1403" i="1"/>
  <c r="O1403" i="1"/>
  <c r="I1403" i="1"/>
  <c r="AG1402" i="1"/>
  <c r="AC1402" i="1"/>
  <c r="Y1402" i="1"/>
  <c r="S1402" i="1"/>
  <c r="O1402" i="1"/>
  <c r="I1402" i="1"/>
  <c r="AG1401" i="1"/>
  <c r="AC1401" i="1"/>
  <c r="Y1401" i="1"/>
  <c r="S1401" i="1"/>
  <c r="O1401" i="1"/>
  <c r="I1401" i="1"/>
  <c r="AG1400" i="1"/>
  <c r="AC1400" i="1"/>
  <c r="Y1400" i="1"/>
  <c r="I1400" i="1"/>
  <c r="AG1399" i="1"/>
  <c r="AC1399" i="1"/>
  <c r="Y1399" i="1"/>
  <c r="S1399" i="1"/>
  <c r="O1399" i="1"/>
  <c r="I1399" i="1"/>
  <c r="AG1398" i="1"/>
  <c r="AC1398" i="1"/>
  <c r="Y1398" i="1"/>
  <c r="S1398" i="1"/>
  <c r="O1398" i="1"/>
  <c r="I1398" i="1"/>
  <c r="AG1397" i="1"/>
  <c r="AC1397" i="1"/>
  <c r="Y1397" i="1"/>
  <c r="S1397" i="1"/>
  <c r="O1397" i="1"/>
  <c r="I1397" i="1"/>
  <c r="AG1396" i="1"/>
  <c r="AC1396" i="1"/>
  <c r="Y1396" i="1"/>
  <c r="S1396" i="1"/>
  <c r="O1396" i="1"/>
  <c r="I1396" i="1"/>
  <c r="E1396" i="1"/>
  <c r="AG1395" i="1"/>
  <c r="AC1395" i="1"/>
  <c r="Y1395" i="1"/>
  <c r="S1395" i="1"/>
  <c r="O1395" i="1"/>
  <c r="I1395" i="1"/>
  <c r="E1395" i="1"/>
  <c r="AG1394" i="1"/>
  <c r="AC1394" i="1"/>
  <c r="Y1394" i="1"/>
  <c r="S1394" i="1"/>
  <c r="O1394" i="1"/>
  <c r="I1394" i="1"/>
  <c r="E1394" i="1"/>
  <c r="AG1393" i="1"/>
  <c r="AC1393" i="1"/>
  <c r="Y1393" i="1"/>
  <c r="S1393" i="1"/>
  <c r="O1393" i="1"/>
  <c r="I1393" i="1"/>
  <c r="E1393" i="1"/>
  <c r="S1392" i="1"/>
  <c r="O1392" i="1"/>
  <c r="I1392" i="1"/>
  <c r="E1392" i="1"/>
  <c r="AG1390" i="1"/>
  <c r="AC1390" i="1"/>
  <c r="Y1390" i="1"/>
  <c r="S1390" i="1"/>
  <c r="O1390" i="1"/>
  <c r="I1390" i="1"/>
  <c r="E1390" i="1"/>
  <c r="AG1389" i="1"/>
  <c r="AC1389" i="1"/>
  <c r="Y1389" i="1"/>
  <c r="S1389" i="1"/>
  <c r="O1389" i="1"/>
  <c r="I1389" i="1"/>
  <c r="E1389" i="1"/>
  <c r="AG1388" i="1"/>
  <c r="AC1388" i="1"/>
  <c r="Y1388" i="1"/>
  <c r="S1388" i="1"/>
  <c r="O1388" i="1"/>
  <c r="I1388" i="1"/>
  <c r="E1388" i="1"/>
  <c r="AG1387" i="1"/>
  <c r="AC1387" i="1"/>
  <c r="Y1387" i="1"/>
  <c r="I1387" i="1"/>
  <c r="AG1386" i="1"/>
  <c r="AC1386" i="1"/>
  <c r="Y1386" i="1"/>
  <c r="I1386" i="1"/>
  <c r="AG1385" i="1"/>
  <c r="AC1385" i="1"/>
  <c r="Y1385" i="1"/>
  <c r="AG1384" i="1"/>
  <c r="AC1384" i="1"/>
  <c r="Y1384" i="1"/>
  <c r="I1384" i="1"/>
  <c r="AG1383" i="1"/>
  <c r="AC1383" i="1"/>
  <c r="Y1383" i="1"/>
  <c r="I1383" i="1"/>
  <c r="E1383" i="1"/>
  <c r="S1382" i="1"/>
  <c r="O1382" i="1"/>
  <c r="I1382" i="1"/>
  <c r="E1382" i="1"/>
  <c r="AG1381" i="1"/>
  <c r="AC1381" i="1"/>
  <c r="Y1381" i="1"/>
  <c r="S1381" i="1"/>
  <c r="O1381" i="1"/>
  <c r="I1381" i="1"/>
  <c r="E1381" i="1"/>
  <c r="O1323" i="1"/>
  <c r="S1323" i="1"/>
  <c r="E1225" i="1"/>
  <c r="I1225" i="1"/>
  <c r="S1223" i="1"/>
  <c r="O1223" i="1"/>
  <c r="Y1416" i="1" l="1"/>
  <c r="AC1416" i="1"/>
  <c r="E1416" i="1"/>
  <c r="AG1416" i="1"/>
  <c r="I1416" i="1"/>
  <c r="S1416" i="1"/>
  <c r="L1416" i="1"/>
  <c r="S1241" i="1"/>
  <c r="O1241" i="1"/>
  <c r="R1243" i="1"/>
  <c r="Q1243" i="1"/>
  <c r="P1243" i="1"/>
  <c r="N1243" i="1"/>
  <c r="M1243" i="1"/>
  <c r="L1243" i="1"/>
  <c r="S1242" i="1"/>
  <c r="O1242" i="1"/>
  <c r="O1416" i="1" l="1"/>
  <c r="S1243" i="1"/>
  <c r="O1243" i="1"/>
  <c r="O1282" i="1"/>
  <c r="S1282" i="1"/>
  <c r="O1301" i="1"/>
  <c r="S1301" i="1"/>
  <c r="E1243" i="1" l="1"/>
  <c r="I1243" i="1"/>
  <c r="E1183" i="1"/>
  <c r="I1183" i="1"/>
  <c r="I1220" i="1"/>
  <c r="E1220" i="1"/>
  <c r="I1173" i="1" l="1"/>
  <c r="E1173" i="1"/>
  <c r="O1306" i="1"/>
  <c r="S1306" i="1"/>
  <c r="AC1242" i="1" l="1"/>
  <c r="Y1253" i="1" l="1"/>
  <c r="AC1253" i="1"/>
  <c r="AG1253" i="1"/>
  <c r="Y1210" i="1"/>
  <c r="AC1210" i="1"/>
  <c r="AG1210" i="1"/>
  <c r="Y1211" i="1"/>
  <c r="AC1211" i="1"/>
  <c r="AG1211" i="1"/>
  <c r="Y1212" i="1"/>
  <c r="AC1212" i="1"/>
  <c r="AG1212" i="1"/>
  <c r="Y1166" i="1" l="1"/>
  <c r="AC1166" i="1"/>
  <c r="S1166" i="1" l="1"/>
  <c r="O1166" i="1"/>
  <c r="AF1373" i="1" l="1"/>
  <c r="AE1373" i="1"/>
  <c r="AD1373" i="1"/>
  <c r="AB1373" i="1"/>
  <c r="AA1373" i="1"/>
  <c r="Z1373" i="1"/>
  <c r="X1373" i="1"/>
  <c r="W1373" i="1"/>
  <c r="V1373" i="1"/>
  <c r="AG1371" i="1"/>
  <c r="AC1371" i="1"/>
  <c r="Y1371" i="1"/>
  <c r="AG1370" i="1"/>
  <c r="AC1370" i="1"/>
  <c r="Y1370" i="1"/>
  <c r="AG1369" i="1"/>
  <c r="AC1369" i="1"/>
  <c r="Y1369" i="1"/>
  <c r="AG1368" i="1"/>
  <c r="AC1368" i="1"/>
  <c r="Y1368" i="1"/>
  <c r="AG1367" i="1"/>
  <c r="AC1367" i="1"/>
  <c r="Y1367" i="1"/>
  <c r="AG1366" i="1"/>
  <c r="AC1366" i="1"/>
  <c r="Y1366" i="1"/>
  <c r="AG1365" i="1"/>
  <c r="AC1365" i="1"/>
  <c r="Y1365" i="1"/>
  <c r="AG1364" i="1"/>
  <c r="AC1364" i="1"/>
  <c r="Y1364" i="1"/>
  <c r="AG1363" i="1"/>
  <c r="AC1363" i="1"/>
  <c r="Y1363" i="1"/>
  <c r="AG1362" i="1"/>
  <c r="AC1362" i="1"/>
  <c r="Y1362" i="1"/>
  <c r="AG1361" i="1"/>
  <c r="AC1361" i="1"/>
  <c r="Y1361" i="1"/>
  <c r="AG1360" i="1"/>
  <c r="AC1360" i="1"/>
  <c r="Y1360" i="1"/>
  <c r="AG1359" i="1"/>
  <c r="AC1359" i="1"/>
  <c r="Y1359" i="1"/>
  <c r="AG1358" i="1"/>
  <c r="AC1358" i="1"/>
  <c r="Y1358" i="1"/>
  <c r="AG1357" i="1"/>
  <c r="AC1357" i="1"/>
  <c r="Y1357" i="1"/>
  <c r="AG1356" i="1"/>
  <c r="AC1356" i="1"/>
  <c r="Y1356" i="1"/>
  <c r="AG1355" i="1"/>
  <c r="AC1355" i="1"/>
  <c r="Y1355" i="1"/>
  <c r="AG1354" i="1"/>
  <c r="AC1354" i="1"/>
  <c r="Y1354" i="1"/>
  <c r="AG1353" i="1"/>
  <c r="AC1353" i="1"/>
  <c r="Y1353" i="1"/>
  <c r="Y1352" i="1"/>
  <c r="AG1351" i="1"/>
  <c r="AC1351" i="1"/>
  <c r="Y1351" i="1"/>
  <c r="AG1350" i="1"/>
  <c r="AC1350" i="1"/>
  <c r="Y1350" i="1"/>
  <c r="AG1349" i="1"/>
  <c r="AC1349" i="1"/>
  <c r="Y1349" i="1"/>
  <c r="AG1347" i="1"/>
  <c r="AC1347" i="1"/>
  <c r="Y1347" i="1"/>
  <c r="AG1346" i="1"/>
  <c r="AC1346" i="1"/>
  <c r="Y1346" i="1"/>
  <c r="AG1345" i="1"/>
  <c r="AC1345" i="1"/>
  <c r="Y1345" i="1"/>
  <c r="AG1344" i="1"/>
  <c r="AC1344" i="1"/>
  <c r="Y1344" i="1"/>
  <c r="AG1343" i="1"/>
  <c r="AC1343" i="1"/>
  <c r="Y1343" i="1"/>
  <c r="AG1342" i="1"/>
  <c r="AC1342" i="1"/>
  <c r="Y1342" i="1"/>
  <c r="AG1341" i="1"/>
  <c r="AC1341" i="1"/>
  <c r="Y1341" i="1"/>
  <c r="AG1340" i="1"/>
  <c r="AC1340" i="1"/>
  <c r="Y1340" i="1"/>
  <c r="AG1339" i="1"/>
  <c r="AC1339" i="1"/>
  <c r="Y1339" i="1"/>
  <c r="AG1338" i="1"/>
  <c r="AC1338" i="1"/>
  <c r="Y1338" i="1"/>
  <c r="AF1330" i="1"/>
  <c r="AE1330" i="1"/>
  <c r="AD1330" i="1"/>
  <c r="AB1330" i="1"/>
  <c r="AA1330" i="1"/>
  <c r="Z1330" i="1"/>
  <c r="X1330" i="1"/>
  <c r="W1330" i="1"/>
  <c r="V1330" i="1"/>
  <c r="AG1328" i="1"/>
  <c r="AC1328" i="1"/>
  <c r="Y1328" i="1"/>
  <c r="AG1327" i="1"/>
  <c r="AC1327" i="1"/>
  <c r="Y1327" i="1"/>
  <c r="AG1326" i="1"/>
  <c r="AC1326" i="1"/>
  <c r="Y1326" i="1"/>
  <c r="AG1325" i="1"/>
  <c r="AC1325" i="1"/>
  <c r="Y1325" i="1"/>
  <c r="AG1324" i="1"/>
  <c r="AC1324" i="1"/>
  <c r="Y1324" i="1"/>
  <c r="AG1323" i="1"/>
  <c r="AC1323" i="1"/>
  <c r="Y1323" i="1"/>
  <c r="AG1322" i="1"/>
  <c r="AC1322" i="1"/>
  <c r="Y1322" i="1"/>
  <c r="AG1321" i="1"/>
  <c r="AC1321" i="1"/>
  <c r="Y1321" i="1"/>
  <c r="AG1320" i="1"/>
  <c r="AC1320" i="1"/>
  <c r="Y1320" i="1"/>
  <c r="AG1319" i="1"/>
  <c r="AC1319" i="1"/>
  <c r="Y1319" i="1"/>
  <c r="AG1318" i="1"/>
  <c r="AC1318" i="1"/>
  <c r="Y1318" i="1"/>
  <c r="AG1317" i="1"/>
  <c r="AC1317" i="1"/>
  <c r="Y1317" i="1"/>
  <c r="AG1316" i="1"/>
  <c r="AC1316" i="1"/>
  <c r="Y1316" i="1"/>
  <c r="AG1315" i="1"/>
  <c r="AC1315" i="1"/>
  <c r="Y1315" i="1"/>
  <c r="AG1314" i="1"/>
  <c r="AC1314" i="1"/>
  <c r="Y1314" i="1"/>
  <c r="AG1313" i="1"/>
  <c r="AC1313" i="1"/>
  <c r="Y1313" i="1"/>
  <c r="AG1312" i="1"/>
  <c r="AC1312" i="1"/>
  <c r="Y1312" i="1"/>
  <c r="AG1311" i="1"/>
  <c r="AC1311" i="1"/>
  <c r="Y1311" i="1"/>
  <c r="AG1310" i="1"/>
  <c r="AC1310" i="1"/>
  <c r="Y1310" i="1"/>
  <c r="AG1309" i="1"/>
  <c r="AC1309" i="1"/>
  <c r="Y1309" i="1"/>
  <c r="AG1308" i="1"/>
  <c r="AC1308" i="1"/>
  <c r="Y1308" i="1"/>
  <c r="AG1307" i="1"/>
  <c r="AC1307" i="1"/>
  <c r="Y1307" i="1"/>
  <c r="AG1306" i="1"/>
  <c r="AC1306" i="1"/>
  <c r="Y1306" i="1"/>
  <c r="AG1304" i="1"/>
  <c r="AC1304" i="1"/>
  <c r="Y1304" i="1"/>
  <c r="AG1303" i="1"/>
  <c r="AC1303" i="1"/>
  <c r="Y1303" i="1"/>
  <c r="AG1302" i="1"/>
  <c r="AC1302" i="1"/>
  <c r="Y1302" i="1"/>
  <c r="AG1301" i="1"/>
  <c r="AC1301" i="1"/>
  <c r="Y1301" i="1"/>
  <c r="AG1300" i="1"/>
  <c r="AC1300" i="1"/>
  <c r="Y1300" i="1"/>
  <c r="AG1299" i="1"/>
  <c r="AC1299" i="1"/>
  <c r="Y1299" i="1"/>
  <c r="AG1298" i="1"/>
  <c r="AC1298" i="1"/>
  <c r="Y1298" i="1"/>
  <c r="AG1295" i="1"/>
  <c r="AC1295" i="1"/>
  <c r="Y1295" i="1"/>
  <c r="AC1373" i="1" l="1"/>
  <c r="AG1373" i="1"/>
  <c r="Y1330" i="1"/>
  <c r="AG1330" i="1"/>
  <c r="AC1330" i="1"/>
  <c r="Y1373" i="1"/>
  <c r="AG1200" i="1"/>
  <c r="AC1200" i="1"/>
  <c r="AG1243" i="1"/>
  <c r="AC1243" i="1"/>
  <c r="Y1243" i="1"/>
  <c r="AG1168" i="1"/>
  <c r="AC1168" i="1"/>
  <c r="Y1168" i="1"/>
  <c r="Y1200" i="1" l="1"/>
  <c r="S1220" i="1"/>
  <c r="O1220" i="1"/>
  <c r="O1253" i="1"/>
  <c r="S1253" i="1"/>
  <c r="S1211" i="1"/>
  <c r="O1211" i="1"/>
  <c r="Y1242" i="1" l="1"/>
  <c r="AG1242" i="1"/>
  <c r="Y1285" i="1"/>
  <c r="AC1285" i="1"/>
  <c r="AG1285" i="1"/>
  <c r="AF1287" i="1"/>
  <c r="AE1287" i="1"/>
  <c r="AD1287" i="1"/>
  <c r="AB1287" i="1"/>
  <c r="AA1287" i="1"/>
  <c r="Z1287" i="1"/>
  <c r="X1287" i="1"/>
  <c r="W1287" i="1"/>
  <c r="V1287" i="1"/>
  <c r="AG1284" i="1"/>
  <c r="AC1284" i="1"/>
  <c r="Y1284" i="1"/>
  <c r="AG1283" i="1"/>
  <c r="AC1283" i="1"/>
  <c r="Y1283" i="1"/>
  <c r="AG1282" i="1"/>
  <c r="AC1282" i="1"/>
  <c r="Y1282" i="1"/>
  <c r="AG1281" i="1"/>
  <c r="AC1281" i="1"/>
  <c r="Y1281" i="1"/>
  <c r="AG1280" i="1"/>
  <c r="AC1280" i="1"/>
  <c r="Y1280" i="1"/>
  <c r="AG1279" i="1"/>
  <c r="AC1279" i="1"/>
  <c r="Y1279" i="1"/>
  <c r="AG1278" i="1"/>
  <c r="AC1278" i="1"/>
  <c r="Y1278" i="1"/>
  <c r="AG1277" i="1"/>
  <c r="AC1277" i="1"/>
  <c r="Y1277" i="1"/>
  <c r="AG1276" i="1"/>
  <c r="AC1276" i="1"/>
  <c r="Y1276" i="1"/>
  <c r="AG1275" i="1"/>
  <c r="AC1275" i="1"/>
  <c r="Y1275" i="1"/>
  <c r="AG1274" i="1"/>
  <c r="AC1274" i="1"/>
  <c r="Y1274" i="1"/>
  <c r="AG1273" i="1"/>
  <c r="AC1273" i="1"/>
  <c r="Y1273" i="1"/>
  <c r="AG1272" i="1"/>
  <c r="AC1272" i="1"/>
  <c r="Y1272" i="1"/>
  <c r="AG1271" i="1"/>
  <c r="AC1271" i="1"/>
  <c r="Y1271" i="1"/>
  <c r="AG1270" i="1"/>
  <c r="AC1270" i="1"/>
  <c r="Y1270" i="1"/>
  <c r="AG1269" i="1"/>
  <c r="AC1269" i="1"/>
  <c r="Y1269" i="1"/>
  <c r="AG1268" i="1"/>
  <c r="AC1268" i="1"/>
  <c r="Y1268" i="1"/>
  <c r="AG1267" i="1"/>
  <c r="AC1267" i="1"/>
  <c r="Y1267" i="1"/>
  <c r="AG1266" i="1"/>
  <c r="AC1266" i="1"/>
  <c r="Y1266" i="1"/>
  <c r="AG1265" i="1"/>
  <c r="AC1265" i="1"/>
  <c r="Y1265" i="1"/>
  <c r="AG1264" i="1"/>
  <c r="AC1264" i="1"/>
  <c r="Y1264" i="1"/>
  <c r="AG1263" i="1"/>
  <c r="AC1263" i="1"/>
  <c r="Y1263" i="1"/>
  <c r="AG1261" i="1"/>
  <c r="AC1261" i="1"/>
  <c r="Y1261" i="1"/>
  <c r="AG1260" i="1"/>
  <c r="AC1260" i="1"/>
  <c r="Y1260" i="1"/>
  <c r="AG1259" i="1"/>
  <c r="AC1259" i="1"/>
  <c r="Y1259" i="1"/>
  <c r="AG1258" i="1"/>
  <c r="AC1258" i="1"/>
  <c r="Y1258" i="1"/>
  <c r="AG1257" i="1"/>
  <c r="AC1257" i="1"/>
  <c r="Y1257" i="1"/>
  <c r="AG1256" i="1"/>
  <c r="AC1256" i="1"/>
  <c r="Y1256" i="1"/>
  <c r="AG1252" i="1"/>
  <c r="AC1252" i="1"/>
  <c r="Y1252" i="1"/>
  <c r="S1263" i="1"/>
  <c r="O1263" i="1"/>
  <c r="O1240" i="1"/>
  <c r="S1240" i="1"/>
  <c r="R1287" i="1"/>
  <c r="Q1287" i="1"/>
  <c r="P1287" i="1"/>
  <c r="N1287" i="1"/>
  <c r="M1287" i="1"/>
  <c r="L1287" i="1"/>
  <c r="O1195" i="1"/>
  <c r="S1195" i="1"/>
  <c r="O1196" i="1"/>
  <c r="S1196" i="1"/>
  <c r="S1200" i="1"/>
  <c r="O1200" i="1"/>
  <c r="S1199" i="1"/>
  <c r="O1199" i="1"/>
  <c r="O1212" i="1"/>
  <c r="S1212" i="1"/>
  <c r="O1213" i="1"/>
  <c r="S1213" i="1"/>
  <c r="O1214" i="1"/>
  <c r="S1214" i="1"/>
  <c r="O1215" i="1"/>
  <c r="S1215" i="1"/>
  <c r="O1216" i="1"/>
  <c r="S1216" i="1"/>
  <c r="O1217" i="1"/>
  <c r="S1217" i="1"/>
  <c r="O1167" i="1"/>
  <c r="S1167" i="1"/>
  <c r="O1168" i="1"/>
  <c r="S1168" i="1"/>
  <c r="O1169" i="1"/>
  <c r="S1169" i="1"/>
  <c r="O1170" i="1"/>
  <c r="S1170" i="1"/>
  <c r="R1373" i="1"/>
  <c r="Q1373" i="1"/>
  <c r="P1373" i="1"/>
  <c r="N1373" i="1"/>
  <c r="M1373" i="1"/>
  <c r="L1373" i="1"/>
  <c r="S1365" i="1"/>
  <c r="O1365" i="1"/>
  <c r="S1364" i="1"/>
  <c r="O1364" i="1"/>
  <c r="S1363" i="1"/>
  <c r="O1363" i="1"/>
  <c r="S1362" i="1"/>
  <c r="O1362" i="1"/>
  <c r="S1361" i="1"/>
  <c r="O1361" i="1"/>
  <c r="S1360" i="1"/>
  <c r="O1360" i="1"/>
  <c r="S1359" i="1"/>
  <c r="O1359" i="1"/>
  <c r="S1358" i="1"/>
  <c r="O1358" i="1"/>
  <c r="S1357" i="1"/>
  <c r="O1357" i="1"/>
  <c r="S1356" i="1"/>
  <c r="O1356" i="1"/>
  <c r="S1355" i="1"/>
  <c r="O1355" i="1"/>
  <c r="S1354" i="1"/>
  <c r="O1354" i="1"/>
  <c r="S1353" i="1"/>
  <c r="O1353" i="1"/>
  <c r="S1352" i="1"/>
  <c r="O1352" i="1"/>
  <c r="S1351" i="1"/>
  <c r="O1351" i="1"/>
  <c r="S1350" i="1"/>
  <c r="O1350" i="1"/>
  <c r="S1349" i="1"/>
  <c r="O1349" i="1"/>
  <c r="S1347" i="1"/>
  <c r="O1347" i="1"/>
  <c r="S1346" i="1"/>
  <c r="O1346" i="1"/>
  <c r="S1345" i="1"/>
  <c r="O1345" i="1"/>
  <c r="S1343" i="1"/>
  <c r="O1343" i="1"/>
  <c r="S1342" i="1"/>
  <c r="O1342" i="1"/>
  <c r="S1341" i="1"/>
  <c r="O1341" i="1"/>
  <c r="S1338" i="1"/>
  <c r="O1338" i="1"/>
  <c r="R1330" i="1"/>
  <c r="Q1330" i="1"/>
  <c r="P1330" i="1"/>
  <c r="N1330" i="1"/>
  <c r="M1330" i="1"/>
  <c r="L1330" i="1"/>
  <c r="S1322" i="1"/>
  <c r="O1322" i="1"/>
  <c r="S1321" i="1"/>
  <c r="O1321" i="1"/>
  <c r="S1320" i="1"/>
  <c r="O1320" i="1"/>
  <c r="S1319" i="1"/>
  <c r="O1319" i="1"/>
  <c r="S1318" i="1"/>
  <c r="O1318" i="1"/>
  <c r="S1317" i="1"/>
  <c r="O1317" i="1"/>
  <c r="S1316" i="1"/>
  <c r="O1316" i="1"/>
  <c r="S1315" i="1"/>
  <c r="O1315" i="1"/>
  <c r="S1314" i="1"/>
  <c r="O1314" i="1"/>
  <c r="S1313" i="1"/>
  <c r="O1313" i="1"/>
  <c r="S1312" i="1"/>
  <c r="O1312" i="1"/>
  <c r="S1311" i="1"/>
  <c r="O1311" i="1"/>
  <c r="S1310" i="1"/>
  <c r="O1310" i="1"/>
  <c r="S1309" i="1"/>
  <c r="O1309" i="1"/>
  <c r="S1308" i="1"/>
  <c r="O1308" i="1"/>
  <c r="S1307" i="1"/>
  <c r="O1307" i="1"/>
  <c r="S1304" i="1"/>
  <c r="O1304" i="1"/>
  <c r="S1303" i="1"/>
  <c r="O1303" i="1"/>
  <c r="S1302" i="1"/>
  <c r="O1302" i="1"/>
  <c r="S1300" i="1"/>
  <c r="O1300" i="1"/>
  <c r="S1299" i="1"/>
  <c r="O1299" i="1"/>
  <c r="S1295" i="1"/>
  <c r="O1295" i="1"/>
  <c r="S1281" i="1"/>
  <c r="O1281" i="1"/>
  <c r="S1280" i="1"/>
  <c r="O1280" i="1"/>
  <c r="S1279" i="1"/>
  <c r="O1279" i="1"/>
  <c r="S1278" i="1"/>
  <c r="O1278" i="1"/>
  <c r="S1276" i="1"/>
  <c r="O1276" i="1"/>
  <c r="S1275" i="1"/>
  <c r="O1275" i="1"/>
  <c r="S1274" i="1"/>
  <c r="O1274" i="1"/>
  <c r="S1273" i="1"/>
  <c r="O1273" i="1"/>
  <c r="S1267" i="1"/>
  <c r="O1267" i="1"/>
  <c r="S1266" i="1"/>
  <c r="O1266" i="1"/>
  <c r="S1265" i="1"/>
  <c r="O1265" i="1"/>
  <c r="S1264" i="1"/>
  <c r="O1264" i="1"/>
  <c r="S1261" i="1"/>
  <c r="O1261" i="1"/>
  <c r="S1260" i="1"/>
  <c r="O1260" i="1"/>
  <c r="S1259" i="1"/>
  <c r="O1259" i="1"/>
  <c r="S1258" i="1"/>
  <c r="O1258" i="1"/>
  <c r="S1257" i="1"/>
  <c r="O1257" i="1"/>
  <c r="S1256" i="1"/>
  <c r="O1256" i="1"/>
  <c r="S1252" i="1"/>
  <c r="O1252" i="1"/>
  <c r="H1373" i="1"/>
  <c r="G1373" i="1"/>
  <c r="F1373" i="1"/>
  <c r="D1373" i="1"/>
  <c r="C1373" i="1"/>
  <c r="B1373" i="1"/>
  <c r="I1372" i="1"/>
  <c r="E1372" i="1"/>
  <c r="I1371" i="1"/>
  <c r="E1371" i="1"/>
  <c r="I1370" i="1"/>
  <c r="E1370" i="1"/>
  <c r="I1369" i="1"/>
  <c r="E1369" i="1"/>
  <c r="I1368" i="1"/>
  <c r="E1368" i="1"/>
  <c r="I1367" i="1"/>
  <c r="E1367" i="1"/>
  <c r="I1366" i="1"/>
  <c r="E1366" i="1"/>
  <c r="I1365" i="1"/>
  <c r="E1365" i="1"/>
  <c r="I1364" i="1"/>
  <c r="E1364" i="1"/>
  <c r="I1363" i="1"/>
  <c r="E1363" i="1"/>
  <c r="I1362" i="1"/>
  <c r="E1362" i="1"/>
  <c r="I1361" i="1"/>
  <c r="E1361" i="1"/>
  <c r="I1360" i="1"/>
  <c r="E1360" i="1"/>
  <c r="I1359" i="1"/>
  <c r="E1359" i="1"/>
  <c r="I1358" i="1"/>
  <c r="E1358" i="1"/>
  <c r="I1357" i="1"/>
  <c r="E1357" i="1"/>
  <c r="I1356" i="1"/>
  <c r="E1356" i="1"/>
  <c r="I1355" i="1"/>
  <c r="E1355" i="1"/>
  <c r="I1354" i="1"/>
  <c r="E1354" i="1"/>
  <c r="I1353" i="1"/>
  <c r="E1353" i="1"/>
  <c r="I1352" i="1"/>
  <c r="E1352" i="1"/>
  <c r="I1351" i="1"/>
  <c r="E1351" i="1"/>
  <c r="I1350" i="1"/>
  <c r="E1350" i="1"/>
  <c r="I1349" i="1"/>
  <c r="E1349" i="1"/>
  <c r="I1347" i="1"/>
  <c r="E1347" i="1"/>
  <c r="I1346" i="1"/>
  <c r="E1346" i="1"/>
  <c r="I1345" i="1"/>
  <c r="E1345" i="1"/>
  <c r="I1344" i="1"/>
  <c r="E1344" i="1"/>
  <c r="I1343" i="1"/>
  <c r="E1343" i="1"/>
  <c r="I1342" i="1"/>
  <c r="E1342" i="1"/>
  <c r="I1341" i="1"/>
  <c r="E1341" i="1"/>
  <c r="I1340" i="1"/>
  <c r="E1340" i="1"/>
  <c r="I1339" i="1"/>
  <c r="E1339" i="1"/>
  <c r="H1330" i="1"/>
  <c r="G1330" i="1"/>
  <c r="F1330" i="1"/>
  <c r="D1330" i="1"/>
  <c r="C1330" i="1"/>
  <c r="B1330" i="1"/>
  <c r="I1329" i="1"/>
  <c r="E1329" i="1"/>
  <c r="I1328" i="1"/>
  <c r="E1328" i="1"/>
  <c r="I1327" i="1"/>
  <c r="E1327" i="1"/>
  <c r="I1326" i="1"/>
  <c r="E1326" i="1"/>
  <c r="I1325" i="1"/>
  <c r="E1325" i="1"/>
  <c r="I1324" i="1"/>
  <c r="E1324" i="1"/>
  <c r="I1323" i="1"/>
  <c r="E1323" i="1"/>
  <c r="I1322" i="1"/>
  <c r="E1322" i="1"/>
  <c r="I1321" i="1"/>
  <c r="E1321" i="1"/>
  <c r="I1320" i="1"/>
  <c r="E1320" i="1"/>
  <c r="I1319" i="1"/>
  <c r="E1319" i="1"/>
  <c r="I1318" i="1"/>
  <c r="E1318" i="1"/>
  <c r="I1317" i="1"/>
  <c r="E1317" i="1"/>
  <c r="I1316" i="1"/>
  <c r="E1316" i="1"/>
  <c r="I1315" i="1"/>
  <c r="E1315" i="1"/>
  <c r="I1314" i="1"/>
  <c r="E1314" i="1"/>
  <c r="I1313" i="1"/>
  <c r="E1313" i="1"/>
  <c r="I1312" i="1"/>
  <c r="E1312" i="1"/>
  <c r="I1311" i="1"/>
  <c r="E1311" i="1"/>
  <c r="I1310" i="1"/>
  <c r="E1310" i="1"/>
  <c r="I1309" i="1"/>
  <c r="E1309" i="1"/>
  <c r="I1308" i="1"/>
  <c r="E1308" i="1"/>
  <c r="I1307" i="1"/>
  <c r="E1307" i="1"/>
  <c r="I1306" i="1"/>
  <c r="E1306" i="1"/>
  <c r="I1304" i="1"/>
  <c r="E1304" i="1"/>
  <c r="I1303" i="1"/>
  <c r="E1303" i="1"/>
  <c r="I1302" i="1"/>
  <c r="E1302" i="1"/>
  <c r="I1301" i="1"/>
  <c r="E1301" i="1"/>
  <c r="I1300" i="1"/>
  <c r="E1300" i="1"/>
  <c r="I1299" i="1"/>
  <c r="E1299" i="1"/>
  <c r="I1298" i="1"/>
  <c r="E1298" i="1"/>
  <c r="I1296" i="1"/>
  <c r="E1296" i="1"/>
  <c r="I1295" i="1"/>
  <c r="E1295" i="1"/>
  <c r="H1287" i="1"/>
  <c r="G1287" i="1"/>
  <c r="F1287" i="1"/>
  <c r="D1287" i="1"/>
  <c r="C1287" i="1"/>
  <c r="B1287" i="1"/>
  <c r="I1286" i="1"/>
  <c r="E1286" i="1"/>
  <c r="I1285" i="1"/>
  <c r="E1285" i="1"/>
  <c r="I1284" i="1"/>
  <c r="E1284" i="1"/>
  <c r="I1283" i="1"/>
  <c r="E1283" i="1"/>
  <c r="I1282" i="1"/>
  <c r="E1282" i="1"/>
  <c r="I1281" i="1"/>
  <c r="E1281" i="1"/>
  <c r="I1280" i="1"/>
  <c r="E1280" i="1"/>
  <c r="I1279" i="1"/>
  <c r="E1279" i="1"/>
  <c r="I1278" i="1"/>
  <c r="E1278" i="1"/>
  <c r="I1277" i="1"/>
  <c r="E1277" i="1"/>
  <c r="I1276" i="1"/>
  <c r="E1276" i="1"/>
  <c r="I1275" i="1"/>
  <c r="E1275" i="1"/>
  <c r="I1274" i="1"/>
  <c r="E1274" i="1"/>
  <c r="I1273" i="1"/>
  <c r="E1273" i="1"/>
  <c r="I1272" i="1"/>
  <c r="E1272" i="1"/>
  <c r="I1271" i="1"/>
  <c r="E1271" i="1"/>
  <c r="I1270" i="1"/>
  <c r="E1270" i="1"/>
  <c r="I1269" i="1"/>
  <c r="E1269" i="1"/>
  <c r="I1268" i="1"/>
  <c r="E1268" i="1"/>
  <c r="I1267" i="1"/>
  <c r="E1267" i="1"/>
  <c r="I1264" i="1"/>
  <c r="E1264" i="1"/>
  <c r="I1263" i="1"/>
  <c r="E1263" i="1"/>
  <c r="I1261" i="1"/>
  <c r="E1261" i="1"/>
  <c r="I1260" i="1"/>
  <c r="E1260" i="1"/>
  <c r="I1259" i="1"/>
  <c r="E1259" i="1"/>
  <c r="I1258" i="1"/>
  <c r="E1258" i="1"/>
  <c r="I1257" i="1"/>
  <c r="E1257" i="1"/>
  <c r="I1256" i="1"/>
  <c r="E1256" i="1"/>
  <c r="I1255" i="1"/>
  <c r="E1255" i="1"/>
  <c r="I1254" i="1"/>
  <c r="E1254" i="1"/>
  <c r="I1253" i="1"/>
  <c r="E1253" i="1"/>
  <c r="I1252" i="1"/>
  <c r="E1252" i="1"/>
  <c r="E1373" i="1" l="1"/>
  <c r="S1198" i="1"/>
  <c r="E1287" i="1"/>
  <c r="I1287" i="1"/>
  <c r="O1198" i="1"/>
  <c r="O1330" i="1"/>
  <c r="I1330" i="1"/>
  <c r="S1330" i="1"/>
  <c r="E1330" i="1"/>
  <c r="I1373" i="1"/>
  <c r="S1373" i="1"/>
  <c r="AC1287" i="1"/>
  <c r="Y1287" i="1"/>
  <c r="AG1287" i="1"/>
  <c r="O1287" i="1"/>
  <c r="O1373" i="1"/>
  <c r="S1287" i="1"/>
  <c r="I1168" i="1" l="1"/>
  <c r="E1168" i="1"/>
  <c r="O1236" i="1"/>
  <c r="S1236" i="1"/>
  <c r="O1237" i="1"/>
  <c r="S1237" i="1"/>
  <c r="O1238" i="1"/>
  <c r="S1238" i="1"/>
  <c r="S1239" i="1"/>
  <c r="O1239" i="1"/>
  <c r="X1203" i="1" l="1"/>
  <c r="W1203" i="1"/>
  <c r="V1203" i="1"/>
  <c r="AF1244" i="1" l="1"/>
  <c r="AE1244" i="1"/>
  <c r="AD1244" i="1"/>
  <c r="AB1244" i="1"/>
  <c r="AA1244" i="1"/>
  <c r="Z1244" i="1"/>
  <c r="X1244" i="1"/>
  <c r="W1244" i="1"/>
  <c r="V1244" i="1"/>
  <c r="R1244" i="1"/>
  <c r="Q1244" i="1"/>
  <c r="P1244" i="1"/>
  <c r="N1244" i="1"/>
  <c r="M1244" i="1"/>
  <c r="L1244" i="1"/>
  <c r="H1244" i="1"/>
  <c r="G1244" i="1"/>
  <c r="F1244" i="1"/>
  <c r="D1244" i="1"/>
  <c r="C1244" i="1"/>
  <c r="B1244" i="1"/>
  <c r="I1242" i="1"/>
  <c r="E1242" i="1"/>
  <c r="AG1241" i="1"/>
  <c r="AC1241" i="1"/>
  <c r="Y1241" i="1"/>
  <c r="I1241" i="1"/>
  <c r="E1241" i="1"/>
  <c r="AG1240" i="1"/>
  <c r="AC1240" i="1"/>
  <c r="Y1240" i="1"/>
  <c r="I1240" i="1"/>
  <c r="E1240" i="1"/>
  <c r="AG1239" i="1"/>
  <c r="AC1239" i="1"/>
  <c r="Y1239" i="1"/>
  <c r="I1239" i="1"/>
  <c r="E1239" i="1"/>
  <c r="AG1238" i="1"/>
  <c r="AC1238" i="1"/>
  <c r="Y1238" i="1"/>
  <c r="I1238" i="1"/>
  <c r="E1238" i="1"/>
  <c r="AG1237" i="1"/>
  <c r="AC1237" i="1"/>
  <c r="Y1237" i="1"/>
  <c r="I1237" i="1"/>
  <c r="E1237" i="1"/>
  <c r="AG1236" i="1"/>
  <c r="AC1236" i="1"/>
  <c r="Y1236" i="1"/>
  <c r="I1236" i="1"/>
  <c r="E1236" i="1"/>
  <c r="AG1235" i="1"/>
  <c r="AC1235" i="1"/>
  <c r="Y1235" i="1"/>
  <c r="S1235" i="1"/>
  <c r="O1235" i="1"/>
  <c r="I1235" i="1"/>
  <c r="E1235" i="1"/>
  <c r="AG1234" i="1"/>
  <c r="AC1234" i="1"/>
  <c r="Y1234" i="1"/>
  <c r="S1234" i="1"/>
  <c r="O1234" i="1"/>
  <c r="I1234" i="1"/>
  <c r="E1234" i="1"/>
  <c r="AG1233" i="1"/>
  <c r="AC1233" i="1"/>
  <c r="Y1233" i="1"/>
  <c r="S1233" i="1"/>
  <c r="O1233" i="1"/>
  <c r="I1233" i="1"/>
  <c r="E1233" i="1"/>
  <c r="AG1232" i="1"/>
  <c r="AC1232" i="1"/>
  <c r="Y1232" i="1"/>
  <c r="S1232" i="1"/>
  <c r="O1232" i="1"/>
  <c r="I1232" i="1"/>
  <c r="E1232" i="1"/>
  <c r="AG1231" i="1"/>
  <c r="AC1231" i="1"/>
  <c r="Y1231" i="1"/>
  <c r="S1231" i="1"/>
  <c r="O1231" i="1"/>
  <c r="I1231" i="1"/>
  <c r="E1231" i="1"/>
  <c r="AG1230" i="1"/>
  <c r="AC1230" i="1"/>
  <c r="Y1230" i="1"/>
  <c r="I1230" i="1"/>
  <c r="E1230" i="1"/>
  <c r="AG1229" i="1"/>
  <c r="AC1229" i="1"/>
  <c r="Y1229" i="1"/>
  <c r="S1229" i="1"/>
  <c r="O1229" i="1"/>
  <c r="I1229" i="1"/>
  <c r="E1229" i="1"/>
  <c r="AG1228" i="1"/>
  <c r="AC1228" i="1"/>
  <c r="Y1228" i="1"/>
  <c r="S1228" i="1"/>
  <c r="O1228" i="1"/>
  <c r="I1228" i="1"/>
  <c r="E1228" i="1"/>
  <c r="AG1227" i="1"/>
  <c r="AC1227" i="1"/>
  <c r="Y1227" i="1"/>
  <c r="S1227" i="1"/>
  <c r="O1227" i="1"/>
  <c r="I1227" i="1"/>
  <c r="E1227" i="1"/>
  <c r="AG1226" i="1"/>
  <c r="AC1226" i="1"/>
  <c r="Y1226" i="1"/>
  <c r="S1226" i="1"/>
  <c r="O1226" i="1"/>
  <c r="I1226" i="1"/>
  <c r="E1226" i="1"/>
  <c r="AG1225" i="1"/>
  <c r="AC1225" i="1"/>
  <c r="Y1225" i="1"/>
  <c r="S1225" i="1"/>
  <c r="O1225" i="1"/>
  <c r="AG1224" i="1"/>
  <c r="AC1224" i="1"/>
  <c r="Y1224" i="1"/>
  <c r="S1224" i="1"/>
  <c r="O1224" i="1"/>
  <c r="I1224" i="1"/>
  <c r="E1224" i="1"/>
  <c r="AG1223" i="1"/>
  <c r="AC1223" i="1"/>
  <c r="Y1223" i="1"/>
  <c r="I1223" i="1"/>
  <c r="E1223" i="1"/>
  <c r="AG1222" i="1"/>
  <c r="AC1222" i="1"/>
  <c r="Y1222" i="1"/>
  <c r="S1222" i="1"/>
  <c r="O1222" i="1"/>
  <c r="I1222" i="1"/>
  <c r="E1222" i="1"/>
  <c r="AG1221" i="1"/>
  <c r="AC1221" i="1"/>
  <c r="Y1221" i="1"/>
  <c r="S1221" i="1"/>
  <c r="O1221" i="1"/>
  <c r="I1221" i="1"/>
  <c r="E1221" i="1"/>
  <c r="AG1220" i="1"/>
  <c r="AC1220" i="1"/>
  <c r="Y1220" i="1"/>
  <c r="AG1218" i="1"/>
  <c r="AC1218" i="1"/>
  <c r="Y1218" i="1"/>
  <c r="S1218" i="1"/>
  <c r="O1218" i="1"/>
  <c r="I1218" i="1"/>
  <c r="E1218" i="1"/>
  <c r="AG1217" i="1"/>
  <c r="AC1217" i="1"/>
  <c r="Y1217" i="1"/>
  <c r="I1217" i="1"/>
  <c r="E1217" i="1"/>
  <c r="AG1216" i="1"/>
  <c r="AC1216" i="1"/>
  <c r="Y1216" i="1"/>
  <c r="I1216" i="1"/>
  <c r="E1216" i="1"/>
  <c r="AG1215" i="1"/>
  <c r="AC1215" i="1"/>
  <c r="Y1215" i="1"/>
  <c r="I1215" i="1"/>
  <c r="E1215" i="1"/>
  <c r="AG1214" i="1"/>
  <c r="AC1214" i="1"/>
  <c r="Y1214" i="1"/>
  <c r="I1214" i="1"/>
  <c r="E1214" i="1"/>
  <c r="AG1213" i="1"/>
  <c r="AC1213" i="1"/>
  <c r="Y1213" i="1"/>
  <c r="I1213" i="1"/>
  <c r="E1213" i="1"/>
  <c r="I1212" i="1"/>
  <c r="E1212" i="1"/>
  <c r="I1211" i="1"/>
  <c r="E1211" i="1"/>
  <c r="S1210" i="1"/>
  <c r="O1210" i="1"/>
  <c r="AG1209" i="1"/>
  <c r="AC1209" i="1"/>
  <c r="Y1209" i="1"/>
  <c r="S1209" i="1"/>
  <c r="O1209" i="1"/>
  <c r="I1209" i="1"/>
  <c r="E1209" i="1"/>
  <c r="AG1244" i="1" l="1"/>
  <c r="AC1244" i="1"/>
  <c r="E1244" i="1"/>
  <c r="S1244" i="1"/>
  <c r="Y1244" i="1"/>
  <c r="I1244" i="1"/>
  <c r="O1244" i="1"/>
  <c r="S1124" i="1"/>
  <c r="O1124" i="1"/>
  <c r="S1123" i="1"/>
  <c r="O1123" i="1"/>
  <c r="S1197" i="1"/>
  <c r="O1197" i="1"/>
  <c r="S1157" i="1" l="1"/>
  <c r="O1157" i="1"/>
  <c r="S1156" i="1"/>
  <c r="O1156" i="1"/>
  <c r="I1124" i="1"/>
  <c r="E1124" i="1"/>
  <c r="I1085" i="1"/>
  <c r="E1085" i="1"/>
  <c r="S1110" i="1" l="1"/>
  <c r="O1110" i="1"/>
  <c r="E1095" i="1" l="1"/>
  <c r="I1095" i="1"/>
  <c r="I1094" i="1"/>
  <c r="E1094" i="1"/>
  <c r="S1104" i="1"/>
  <c r="O1104" i="1"/>
  <c r="S1112" i="1" l="1"/>
  <c r="O1112" i="1"/>
  <c r="E1091" i="1" l="1"/>
  <c r="I1091" i="1"/>
  <c r="S1092" i="1"/>
  <c r="O1092" i="1"/>
  <c r="O1093" i="1"/>
  <c r="S1093" i="1"/>
  <c r="O1094" i="1"/>
  <c r="S1094" i="1"/>
  <c r="E1053" i="1" l="1"/>
  <c r="I1053" i="1"/>
  <c r="AF1201" i="1" l="1"/>
  <c r="AE1201" i="1"/>
  <c r="AD1201" i="1"/>
  <c r="AB1201" i="1"/>
  <c r="AA1201" i="1"/>
  <c r="Z1201" i="1"/>
  <c r="X1201" i="1"/>
  <c r="W1201" i="1"/>
  <c r="V1201" i="1"/>
  <c r="AG1199" i="1"/>
  <c r="AC1199" i="1"/>
  <c r="Y1199" i="1"/>
  <c r="AG1198" i="1"/>
  <c r="AC1198" i="1"/>
  <c r="Y1198" i="1"/>
  <c r="AG1197" i="1"/>
  <c r="AC1197" i="1"/>
  <c r="Y1197" i="1"/>
  <c r="AG1196" i="1"/>
  <c r="AC1196" i="1"/>
  <c r="Y1196" i="1"/>
  <c r="AG1195" i="1"/>
  <c r="AC1195" i="1"/>
  <c r="Y1195" i="1"/>
  <c r="AG1194" i="1"/>
  <c r="AC1194" i="1"/>
  <c r="Y1194" i="1"/>
  <c r="AG1193" i="1"/>
  <c r="AC1193" i="1"/>
  <c r="Y1193" i="1"/>
  <c r="AG1192" i="1"/>
  <c r="AC1192" i="1"/>
  <c r="Y1192" i="1"/>
  <c r="AG1191" i="1"/>
  <c r="AC1191" i="1"/>
  <c r="Y1191" i="1"/>
  <c r="AG1190" i="1"/>
  <c r="AC1190" i="1"/>
  <c r="Y1190" i="1"/>
  <c r="AG1189" i="1"/>
  <c r="AC1189" i="1"/>
  <c r="Y1189" i="1"/>
  <c r="AG1188" i="1"/>
  <c r="AC1188" i="1"/>
  <c r="Y1188" i="1"/>
  <c r="AG1187" i="1"/>
  <c r="AC1187" i="1"/>
  <c r="Y1187" i="1"/>
  <c r="AG1186" i="1"/>
  <c r="AC1186" i="1"/>
  <c r="Y1186" i="1"/>
  <c r="AG1185" i="1"/>
  <c r="AC1185" i="1"/>
  <c r="Y1185" i="1"/>
  <c r="AG1184" i="1"/>
  <c r="AC1184" i="1"/>
  <c r="Y1184" i="1"/>
  <c r="AG1183" i="1"/>
  <c r="AC1183" i="1"/>
  <c r="Y1183" i="1"/>
  <c r="AG1182" i="1"/>
  <c r="AC1182" i="1"/>
  <c r="Y1182" i="1"/>
  <c r="AG1181" i="1"/>
  <c r="AC1181" i="1"/>
  <c r="Y1181" i="1"/>
  <c r="AG1180" i="1"/>
  <c r="AC1180" i="1"/>
  <c r="Y1180" i="1"/>
  <c r="AG1179" i="1"/>
  <c r="AC1179" i="1"/>
  <c r="Y1179" i="1"/>
  <c r="AG1178" i="1"/>
  <c r="AC1178" i="1"/>
  <c r="Y1178" i="1"/>
  <c r="AG1177" i="1"/>
  <c r="AC1177" i="1"/>
  <c r="Y1177" i="1"/>
  <c r="AG1175" i="1"/>
  <c r="AC1175" i="1"/>
  <c r="Y1175" i="1"/>
  <c r="AG1174" i="1"/>
  <c r="AC1174" i="1"/>
  <c r="Y1174" i="1"/>
  <c r="AG1173" i="1"/>
  <c r="AC1173" i="1"/>
  <c r="Y1173" i="1"/>
  <c r="AG1172" i="1"/>
  <c r="AC1172" i="1"/>
  <c r="Y1172" i="1"/>
  <c r="AG1171" i="1"/>
  <c r="AC1171" i="1"/>
  <c r="Y1171" i="1"/>
  <c r="AG1170" i="1"/>
  <c r="AC1170" i="1"/>
  <c r="Y1170" i="1"/>
  <c r="AG1169" i="1"/>
  <c r="AC1169" i="1"/>
  <c r="Y1169" i="1"/>
  <c r="AG1167" i="1"/>
  <c r="AC1167" i="1"/>
  <c r="Y1167" i="1"/>
  <c r="AG1166" i="1"/>
  <c r="R1201" i="1"/>
  <c r="R1461" i="1" s="1"/>
  <c r="Q1201" i="1"/>
  <c r="Q1461" i="1" s="1"/>
  <c r="P1201" i="1"/>
  <c r="P1461" i="1" s="1"/>
  <c r="N1201" i="1"/>
  <c r="N1461" i="1" s="1"/>
  <c r="M1201" i="1"/>
  <c r="M1461" i="1" s="1"/>
  <c r="L1201" i="1"/>
  <c r="L1461" i="1" s="1"/>
  <c r="H1201" i="1"/>
  <c r="G1201" i="1"/>
  <c r="F1201" i="1"/>
  <c r="D1201" i="1"/>
  <c r="C1201" i="1"/>
  <c r="B1201" i="1"/>
  <c r="I1200" i="1"/>
  <c r="E1200" i="1"/>
  <c r="I1199" i="1"/>
  <c r="E1199" i="1"/>
  <c r="I1198" i="1"/>
  <c r="E1198" i="1"/>
  <c r="I1197" i="1"/>
  <c r="E1197" i="1"/>
  <c r="I1196" i="1"/>
  <c r="E1196" i="1"/>
  <c r="I1195" i="1"/>
  <c r="E1195" i="1"/>
  <c r="S1194" i="1"/>
  <c r="O1194" i="1"/>
  <c r="I1194" i="1"/>
  <c r="E1194" i="1"/>
  <c r="S1193" i="1"/>
  <c r="O1193" i="1"/>
  <c r="I1193" i="1"/>
  <c r="E1193" i="1"/>
  <c r="S1192" i="1"/>
  <c r="O1192" i="1"/>
  <c r="I1192" i="1"/>
  <c r="E1192" i="1"/>
  <c r="S1191" i="1"/>
  <c r="O1191" i="1"/>
  <c r="I1191" i="1"/>
  <c r="E1191" i="1"/>
  <c r="S1190" i="1"/>
  <c r="O1190" i="1"/>
  <c r="I1190" i="1"/>
  <c r="E1190" i="1"/>
  <c r="S1189" i="1"/>
  <c r="O1189" i="1"/>
  <c r="I1189" i="1"/>
  <c r="E1189" i="1"/>
  <c r="S1188" i="1"/>
  <c r="O1188" i="1"/>
  <c r="I1188" i="1"/>
  <c r="E1188" i="1"/>
  <c r="S1187" i="1"/>
  <c r="O1187" i="1"/>
  <c r="I1187" i="1"/>
  <c r="E1187" i="1"/>
  <c r="S1186" i="1"/>
  <c r="O1186" i="1"/>
  <c r="I1186" i="1"/>
  <c r="E1186" i="1"/>
  <c r="S1185" i="1"/>
  <c r="O1185" i="1"/>
  <c r="I1185" i="1"/>
  <c r="E1185" i="1"/>
  <c r="S1184" i="1"/>
  <c r="O1184" i="1"/>
  <c r="I1184" i="1"/>
  <c r="E1184" i="1"/>
  <c r="S1183" i="1"/>
  <c r="O1183" i="1"/>
  <c r="S1182" i="1"/>
  <c r="O1182" i="1"/>
  <c r="I1182" i="1"/>
  <c r="E1182" i="1"/>
  <c r="S1181" i="1"/>
  <c r="O1181" i="1"/>
  <c r="I1181" i="1"/>
  <c r="E1181" i="1"/>
  <c r="S1180" i="1"/>
  <c r="O1180" i="1"/>
  <c r="I1180" i="1"/>
  <c r="E1180" i="1"/>
  <c r="S1179" i="1"/>
  <c r="O1179" i="1"/>
  <c r="I1179" i="1"/>
  <c r="E1179" i="1"/>
  <c r="S1178" i="1"/>
  <c r="O1178" i="1"/>
  <c r="I1178" i="1"/>
  <c r="E1178" i="1"/>
  <c r="S1177" i="1"/>
  <c r="O1177" i="1"/>
  <c r="I1177" i="1"/>
  <c r="E1177" i="1"/>
  <c r="S1175" i="1"/>
  <c r="O1175" i="1"/>
  <c r="I1175" i="1"/>
  <c r="E1175" i="1"/>
  <c r="S1174" i="1"/>
  <c r="O1174" i="1"/>
  <c r="I1174" i="1"/>
  <c r="E1174" i="1"/>
  <c r="S1173" i="1"/>
  <c r="O1173" i="1"/>
  <c r="S1172" i="1"/>
  <c r="O1172" i="1"/>
  <c r="I1172" i="1"/>
  <c r="E1172" i="1"/>
  <c r="S1171" i="1"/>
  <c r="O1171" i="1"/>
  <c r="I1171" i="1"/>
  <c r="E1171" i="1"/>
  <c r="I1170" i="1"/>
  <c r="E1170" i="1"/>
  <c r="I1169" i="1"/>
  <c r="E1169" i="1"/>
  <c r="I1167" i="1"/>
  <c r="E1167" i="1"/>
  <c r="I1166" i="1"/>
  <c r="E1166" i="1"/>
  <c r="AC1201" i="1" l="1"/>
  <c r="I1201" i="1"/>
  <c r="S1201" i="1"/>
  <c r="S1461" i="1" s="1"/>
  <c r="E1201" i="1"/>
  <c r="Y1201" i="1"/>
  <c r="AG1201" i="1"/>
  <c r="O1201" i="1"/>
  <c r="O1461" i="1" s="1"/>
  <c r="O1462" i="1" s="1"/>
  <c r="S1069" i="1"/>
  <c r="O1069" i="1"/>
  <c r="O1070" i="1"/>
  <c r="S1070" i="1"/>
  <c r="S1113" i="1"/>
  <c r="O1113" i="1"/>
  <c r="S1114" i="1"/>
  <c r="O1114" i="1"/>
  <c r="M1462" i="1" l="1"/>
  <c r="L1462" i="1"/>
  <c r="N1462" i="1"/>
  <c r="I997" i="1"/>
  <c r="E997" i="1"/>
  <c r="I996" i="1"/>
  <c r="E996" i="1"/>
  <c r="O1071" i="1"/>
  <c r="S1068" i="1"/>
  <c r="O1068" i="1"/>
  <c r="S1067" i="1"/>
  <c r="O1067" i="1"/>
  <c r="AC1071" i="1"/>
  <c r="Y1071" i="1"/>
  <c r="Y1070" i="1"/>
  <c r="AC1069" i="1"/>
  <c r="Y1069" i="1"/>
  <c r="Y1068" i="1"/>
  <c r="Y1067" i="1"/>
  <c r="AC1067" i="1"/>
  <c r="AC1068" i="1"/>
  <c r="AC1070" i="1"/>
  <c r="S1071" i="1" l="1"/>
  <c r="S1085" i="1"/>
  <c r="O1085" i="1"/>
  <c r="I957" i="1" l="1"/>
  <c r="E957" i="1"/>
  <c r="S1039" i="1" l="1"/>
  <c r="O1039" i="1"/>
  <c r="S1027" i="1"/>
  <c r="O1027" i="1"/>
  <c r="S1026" i="1"/>
  <c r="O1026" i="1"/>
  <c r="S984" i="1"/>
  <c r="O984" i="1"/>
  <c r="S983" i="1"/>
  <c r="O983" i="1"/>
  <c r="O955" i="1" l="1"/>
  <c r="O956" i="1"/>
  <c r="S955" i="1"/>
  <c r="AF1158" i="1" l="1"/>
  <c r="AE1158" i="1"/>
  <c r="AD1158" i="1"/>
  <c r="AB1158" i="1"/>
  <c r="AA1158" i="1"/>
  <c r="Z1158" i="1"/>
  <c r="X1158" i="1"/>
  <c r="W1158" i="1"/>
  <c r="V1158" i="1"/>
  <c r="R1158" i="1"/>
  <c r="Q1158" i="1"/>
  <c r="P1158" i="1"/>
  <c r="N1158" i="1"/>
  <c r="M1158" i="1"/>
  <c r="L1158" i="1"/>
  <c r="H1158" i="1"/>
  <c r="G1158" i="1"/>
  <c r="F1158" i="1"/>
  <c r="D1158" i="1"/>
  <c r="C1158" i="1"/>
  <c r="B1158" i="1"/>
  <c r="AG1157" i="1"/>
  <c r="AC1157" i="1"/>
  <c r="Y1157" i="1"/>
  <c r="I1157" i="1"/>
  <c r="E1157" i="1"/>
  <c r="AG1156" i="1"/>
  <c r="AC1156" i="1"/>
  <c r="Y1156" i="1"/>
  <c r="I1156" i="1"/>
  <c r="E1156" i="1"/>
  <c r="AG1155" i="1"/>
  <c r="AC1155" i="1"/>
  <c r="Y1155" i="1"/>
  <c r="S1155" i="1"/>
  <c r="O1155" i="1"/>
  <c r="I1155" i="1"/>
  <c r="E1155" i="1"/>
  <c r="AG1154" i="1"/>
  <c r="AC1154" i="1"/>
  <c r="Y1154" i="1"/>
  <c r="S1154" i="1"/>
  <c r="O1154" i="1"/>
  <c r="I1154" i="1"/>
  <c r="E1154" i="1"/>
  <c r="AG1153" i="1"/>
  <c r="AC1153" i="1"/>
  <c r="Y1153" i="1"/>
  <c r="S1153" i="1"/>
  <c r="O1153" i="1"/>
  <c r="I1153" i="1"/>
  <c r="E1153" i="1"/>
  <c r="AG1152" i="1"/>
  <c r="AC1152" i="1"/>
  <c r="Y1152" i="1"/>
  <c r="S1152" i="1"/>
  <c r="O1152" i="1"/>
  <c r="I1152" i="1"/>
  <c r="E1152" i="1"/>
  <c r="AG1151" i="1"/>
  <c r="AC1151" i="1"/>
  <c r="Y1151" i="1"/>
  <c r="S1151" i="1"/>
  <c r="O1151" i="1"/>
  <c r="I1151" i="1"/>
  <c r="E1151" i="1"/>
  <c r="AG1150" i="1"/>
  <c r="AC1150" i="1"/>
  <c r="Y1150" i="1"/>
  <c r="S1150" i="1"/>
  <c r="O1150" i="1"/>
  <c r="I1150" i="1"/>
  <c r="E1150" i="1"/>
  <c r="AG1149" i="1"/>
  <c r="AC1149" i="1"/>
  <c r="Y1149" i="1"/>
  <c r="S1149" i="1"/>
  <c r="O1149" i="1"/>
  <c r="I1149" i="1"/>
  <c r="E1149" i="1"/>
  <c r="AG1148" i="1"/>
  <c r="AC1148" i="1"/>
  <c r="Y1148" i="1"/>
  <c r="S1148" i="1"/>
  <c r="O1148" i="1"/>
  <c r="I1148" i="1"/>
  <c r="E1148" i="1"/>
  <c r="AG1147" i="1"/>
  <c r="AC1147" i="1"/>
  <c r="Y1147" i="1"/>
  <c r="S1147" i="1"/>
  <c r="O1147" i="1"/>
  <c r="I1147" i="1"/>
  <c r="E1147" i="1"/>
  <c r="AG1146" i="1"/>
  <c r="AC1146" i="1"/>
  <c r="Y1146" i="1"/>
  <c r="S1146" i="1"/>
  <c r="O1146" i="1"/>
  <c r="I1146" i="1"/>
  <c r="E1146" i="1"/>
  <c r="AG1145" i="1"/>
  <c r="AC1145" i="1"/>
  <c r="Y1145" i="1"/>
  <c r="S1145" i="1"/>
  <c r="O1145" i="1"/>
  <c r="I1145" i="1"/>
  <c r="E1145" i="1"/>
  <c r="AG1144" i="1"/>
  <c r="AC1144" i="1"/>
  <c r="Y1144" i="1"/>
  <c r="S1144" i="1"/>
  <c r="O1144" i="1"/>
  <c r="I1144" i="1"/>
  <c r="E1144" i="1"/>
  <c r="AG1143" i="1"/>
  <c r="AC1143" i="1"/>
  <c r="Y1143" i="1"/>
  <c r="S1143" i="1"/>
  <c r="O1143" i="1"/>
  <c r="I1143" i="1"/>
  <c r="E1143" i="1"/>
  <c r="AG1142" i="1"/>
  <c r="AC1142" i="1"/>
  <c r="Y1142" i="1"/>
  <c r="S1142" i="1"/>
  <c r="O1142" i="1"/>
  <c r="I1142" i="1"/>
  <c r="E1142" i="1"/>
  <c r="AG1141" i="1"/>
  <c r="AC1141" i="1"/>
  <c r="Y1141" i="1"/>
  <c r="S1141" i="1"/>
  <c r="O1141" i="1"/>
  <c r="I1141" i="1"/>
  <c r="E1141" i="1"/>
  <c r="AG1140" i="1"/>
  <c r="AC1140" i="1"/>
  <c r="Y1140" i="1"/>
  <c r="S1140" i="1"/>
  <c r="O1140" i="1"/>
  <c r="I1140" i="1"/>
  <c r="E1140" i="1"/>
  <c r="AG1139" i="1"/>
  <c r="AC1139" i="1"/>
  <c r="Y1139" i="1"/>
  <c r="S1139" i="1"/>
  <c r="O1139" i="1"/>
  <c r="I1139" i="1"/>
  <c r="E1139" i="1"/>
  <c r="AG1138" i="1"/>
  <c r="AC1138" i="1"/>
  <c r="Y1138" i="1"/>
  <c r="S1138" i="1"/>
  <c r="O1138" i="1"/>
  <c r="I1138" i="1"/>
  <c r="E1138" i="1"/>
  <c r="AG1137" i="1"/>
  <c r="AC1137" i="1"/>
  <c r="Y1137" i="1"/>
  <c r="S1137" i="1"/>
  <c r="O1137" i="1"/>
  <c r="I1137" i="1"/>
  <c r="E1137" i="1"/>
  <c r="AG1136" i="1"/>
  <c r="AC1136" i="1"/>
  <c r="Y1136" i="1"/>
  <c r="S1136" i="1"/>
  <c r="O1136" i="1"/>
  <c r="I1136" i="1"/>
  <c r="E1136" i="1"/>
  <c r="AG1135" i="1"/>
  <c r="AC1135" i="1"/>
  <c r="Y1135" i="1"/>
  <c r="S1135" i="1"/>
  <c r="O1135" i="1"/>
  <c r="I1135" i="1"/>
  <c r="E1135" i="1"/>
  <c r="AG1134" i="1"/>
  <c r="AC1134" i="1"/>
  <c r="Y1134" i="1"/>
  <c r="S1134" i="1"/>
  <c r="O1134" i="1"/>
  <c r="I1134" i="1"/>
  <c r="E1134" i="1"/>
  <c r="AG1132" i="1"/>
  <c r="AC1132" i="1"/>
  <c r="Y1132" i="1"/>
  <c r="S1132" i="1"/>
  <c r="O1132" i="1"/>
  <c r="I1132" i="1"/>
  <c r="E1132" i="1"/>
  <c r="AG1131" i="1"/>
  <c r="AC1131" i="1"/>
  <c r="Y1131" i="1"/>
  <c r="S1131" i="1"/>
  <c r="O1131" i="1"/>
  <c r="I1131" i="1"/>
  <c r="E1131" i="1"/>
  <c r="AG1130" i="1"/>
  <c r="AC1130" i="1"/>
  <c r="Y1130" i="1"/>
  <c r="S1130" i="1"/>
  <c r="O1130" i="1"/>
  <c r="I1130" i="1"/>
  <c r="E1130" i="1"/>
  <c r="AG1129" i="1"/>
  <c r="AC1129" i="1"/>
  <c r="Y1129" i="1"/>
  <c r="S1129" i="1"/>
  <c r="O1129" i="1"/>
  <c r="I1129" i="1"/>
  <c r="E1129" i="1"/>
  <c r="AG1128" i="1"/>
  <c r="AC1128" i="1"/>
  <c r="Y1128" i="1"/>
  <c r="S1128" i="1"/>
  <c r="O1128" i="1"/>
  <c r="I1128" i="1"/>
  <c r="E1128" i="1"/>
  <c r="AG1127" i="1"/>
  <c r="AC1127" i="1"/>
  <c r="Y1127" i="1"/>
  <c r="S1127" i="1"/>
  <c r="O1127" i="1"/>
  <c r="I1127" i="1"/>
  <c r="E1127" i="1"/>
  <c r="AG1126" i="1"/>
  <c r="AC1126" i="1"/>
  <c r="Y1126" i="1"/>
  <c r="S1126" i="1"/>
  <c r="O1126" i="1"/>
  <c r="I1126" i="1"/>
  <c r="E1126" i="1"/>
  <c r="AG1125" i="1"/>
  <c r="AC1125" i="1"/>
  <c r="Y1125" i="1"/>
  <c r="S1125" i="1"/>
  <c r="O1125" i="1"/>
  <c r="I1125" i="1"/>
  <c r="E1125" i="1"/>
  <c r="AG1124" i="1"/>
  <c r="AC1124" i="1"/>
  <c r="Y1124" i="1"/>
  <c r="AG1123" i="1"/>
  <c r="AC1123" i="1"/>
  <c r="Y1123" i="1"/>
  <c r="I1123" i="1"/>
  <c r="E1123" i="1"/>
  <c r="AG1158" i="1" l="1"/>
  <c r="S1158" i="1"/>
  <c r="E1158" i="1"/>
  <c r="Y1158" i="1"/>
  <c r="AC1158" i="1"/>
  <c r="O1158" i="1"/>
  <c r="I1158" i="1"/>
  <c r="S1082" i="1"/>
  <c r="O1082" i="1"/>
  <c r="S1024" i="1" l="1"/>
  <c r="O1024" i="1"/>
  <c r="S1025" i="1"/>
  <c r="O1025" i="1"/>
  <c r="AG964" i="1" l="1"/>
  <c r="AC964" i="1"/>
  <c r="Y964" i="1"/>
  <c r="I951" i="1" l="1"/>
  <c r="E951" i="1"/>
  <c r="S1028" i="1"/>
  <c r="O1028" i="1"/>
  <c r="S1040" i="1" l="1"/>
  <c r="O1040" i="1"/>
  <c r="S996" i="1"/>
  <c r="O996" i="1"/>
  <c r="AF1115" i="1"/>
  <c r="AE1115" i="1"/>
  <c r="AD1115" i="1"/>
  <c r="AB1115" i="1"/>
  <c r="AA1115" i="1"/>
  <c r="Z1115" i="1"/>
  <c r="X1115" i="1"/>
  <c r="W1115" i="1"/>
  <c r="V1115" i="1"/>
  <c r="AG1114" i="1"/>
  <c r="AC1114" i="1"/>
  <c r="Y1114" i="1"/>
  <c r="AG1113" i="1"/>
  <c r="AC1113" i="1"/>
  <c r="Y1113" i="1"/>
  <c r="AG1112" i="1"/>
  <c r="AC1112" i="1"/>
  <c r="Y1112" i="1"/>
  <c r="AG1111" i="1"/>
  <c r="AC1111" i="1"/>
  <c r="Y1111" i="1"/>
  <c r="AG1110" i="1"/>
  <c r="AC1110" i="1"/>
  <c r="Y1110" i="1"/>
  <c r="AG1109" i="1"/>
  <c r="AC1109" i="1"/>
  <c r="Y1109" i="1"/>
  <c r="AG1108" i="1"/>
  <c r="AC1108" i="1"/>
  <c r="Y1108" i="1"/>
  <c r="AG1107" i="1"/>
  <c r="AC1107" i="1"/>
  <c r="Y1107" i="1"/>
  <c r="AG1106" i="1"/>
  <c r="AC1106" i="1"/>
  <c r="Y1106" i="1"/>
  <c r="AG1105" i="1"/>
  <c r="AC1105" i="1"/>
  <c r="Y1105" i="1"/>
  <c r="AG1104" i="1"/>
  <c r="AC1104" i="1"/>
  <c r="Y1104" i="1"/>
  <c r="AG1103" i="1"/>
  <c r="AC1103" i="1"/>
  <c r="Y1103" i="1"/>
  <c r="AG1102" i="1"/>
  <c r="AC1102" i="1"/>
  <c r="Y1102" i="1"/>
  <c r="AG1101" i="1"/>
  <c r="AC1101" i="1"/>
  <c r="Y1101" i="1"/>
  <c r="AG1100" i="1"/>
  <c r="AC1100" i="1"/>
  <c r="Y1100" i="1"/>
  <c r="AG1099" i="1"/>
  <c r="AC1099" i="1"/>
  <c r="Y1099" i="1"/>
  <c r="AG1098" i="1"/>
  <c r="AC1098" i="1"/>
  <c r="Y1098" i="1"/>
  <c r="AG1097" i="1"/>
  <c r="AC1097" i="1"/>
  <c r="Y1097" i="1"/>
  <c r="AG1096" i="1"/>
  <c r="AC1096" i="1"/>
  <c r="Y1096" i="1"/>
  <c r="AG1095" i="1"/>
  <c r="AC1095" i="1"/>
  <c r="Y1095" i="1"/>
  <c r="AG1094" i="1"/>
  <c r="AC1094" i="1"/>
  <c r="Y1094" i="1"/>
  <c r="AG1093" i="1"/>
  <c r="AC1093" i="1"/>
  <c r="Y1093" i="1"/>
  <c r="AG1092" i="1"/>
  <c r="AC1092" i="1"/>
  <c r="Y1092" i="1"/>
  <c r="AG1091" i="1"/>
  <c r="AC1091" i="1"/>
  <c r="Y1091" i="1"/>
  <c r="AG1089" i="1"/>
  <c r="AC1089" i="1"/>
  <c r="Y1089" i="1"/>
  <c r="AG1088" i="1"/>
  <c r="AC1088" i="1"/>
  <c r="Y1088" i="1"/>
  <c r="AG1087" i="1"/>
  <c r="AC1087" i="1"/>
  <c r="Y1087" i="1"/>
  <c r="AG1086" i="1"/>
  <c r="AC1086" i="1"/>
  <c r="Y1086" i="1"/>
  <c r="AG1085" i="1"/>
  <c r="AC1085" i="1"/>
  <c r="Y1085" i="1"/>
  <c r="AG1084" i="1"/>
  <c r="AC1084" i="1"/>
  <c r="Y1084" i="1"/>
  <c r="AG1083" i="1"/>
  <c r="AC1083" i="1"/>
  <c r="Y1083" i="1"/>
  <c r="AG1082" i="1"/>
  <c r="AC1082" i="1"/>
  <c r="Y1082" i="1"/>
  <c r="AG1081" i="1"/>
  <c r="AC1081" i="1"/>
  <c r="Y1081" i="1"/>
  <c r="AG1080" i="1"/>
  <c r="AC1080" i="1"/>
  <c r="Y1080" i="1"/>
  <c r="AF1072" i="1"/>
  <c r="AE1072" i="1"/>
  <c r="AD1072" i="1"/>
  <c r="AB1072" i="1"/>
  <c r="AA1072" i="1"/>
  <c r="Z1072" i="1"/>
  <c r="X1072" i="1"/>
  <c r="W1072" i="1"/>
  <c r="V1072" i="1"/>
  <c r="AG1071" i="1"/>
  <c r="AG1070" i="1"/>
  <c r="AG1069" i="1"/>
  <c r="AG1068" i="1"/>
  <c r="AG1067" i="1"/>
  <c r="AG1066" i="1"/>
  <c r="AC1066" i="1"/>
  <c r="Y1066" i="1"/>
  <c r="AG1065" i="1"/>
  <c r="AC1065" i="1"/>
  <c r="Y1065" i="1"/>
  <c r="AG1064" i="1"/>
  <c r="AC1064" i="1"/>
  <c r="Y1064" i="1"/>
  <c r="AG1063" i="1"/>
  <c r="AC1063" i="1"/>
  <c r="Y1063" i="1"/>
  <c r="AG1062" i="1"/>
  <c r="AC1062" i="1"/>
  <c r="Y1062" i="1"/>
  <c r="AG1061" i="1"/>
  <c r="AC1061" i="1"/>
  <c r="Y1061" i="1"/>
  <c r="AG1060" i="1"/>
  <c r="AC1060" i="1"/>
  <c r="Y1060" i="1"/>
  <c r="AG1059" i="1"/>
  <c r="AC1059" i="1"/>
  <c r="Y1059" i="1"/>
  <c r="AG1058" i="1"/>
  <c r="AC1058" i="1"/>
  <c r="Y1058" i="1"/>
  <c r="AG1057" i="1"/>
  <c r="AC1057" i="1"/>
  <c r="Y1057" i="1"/>
  <c r="AG1056" i="1"/>
  <c r="AC1056" i="1"/>
  <c r="Y1056" i="1"/>
  <c r="AG1055" i="1"/>
  <c r="AC1055" i="1"/>
  <c r="Y1055" i="1"/>
  <c r="AG1054" i="1"/>
  <c r="AC1054" i="1"/>
  <c r="Y1054" i="1"/>
  <c r="AG1053" i="1"/>
  <c r="AC1053" i="1"/>
  <c r="Y1053" i="1"/>
  <c r="AG1052" i="1"/>
  <c r="AC1052" i="1"/>
  <c r="Y1052" i="1"/>
  <c r="AG1051" i="1"/>
  <c r="AC1051" i="1"/>
  <c r="Y1051" i="1"/>
  <c r="AG1050" i="1"/>
  <c r="AC1050" i="1"/>
  <c r="Y1050" i="1"/>
  <c r="AG1049" i="1"/>
  <c r="AC1049" i="1"/>
  <c r="Y1049" i="1"/>
  <c r="AG1048" i="1"/>
  <c r="AC1048" i="1"/>
  <c r="Y1048" i="1"/>
  <c r="AG1046" i="1"/>
  <c r="AC1046" i="1"/>
  <c r="Y1046" i="1"/>
  <c r="AG1045" i="1"/>
  <c r="AC1045" i="1"/>
  <c r="Y1045" i="1"/>
  <c r="AG1044" i="1"/>
  <c r="AC1044" i="1"/>
  <c r="Y1044" i="1"/>
  <c r="AG1043" i="1"/>
  <c r="AC1043" i="1"/>
  <c r="Y1043" i="1"/>
  <c r="AG1042" i="1"/>
  <c r="AC1042" i="1"/>
  <c r="Y1042" i="1"/>
  <c r="AG1041" i="1"/>
  <c r="AC1041" i="1"/>
  <c r="Y1041" i="1"/>
  <c r="AG1040" i="1"/>
  <c r="AC1040" i="1"/>
  <c r="Y1040" i="1"/>
  <c r="AG1039" i="1"/>
  <c r="AC1039" i="1"/>
  <c r="Y1039" i="1"/>
  <c r="AG1038" i="1"/>
  <c r="AC1038" i="1"/>
  <c r="Y1038" i="1"/>
  <c r="AG1037" i="1"/>
  <c r="AC1037" i="1"/>
  <c r="Y1037" i="1"/>
  <c r="AF1029" i="1"/>
  <c r="AE1029" i="1"/>
  <c r="AD1029" i="1"/>
  <c r="AB1029" i="1"/>
  <c r="AA1029" i="1"/>
  <c r="Z1029" i="1"/>
  <c r="X1029" i="1"/>
  <c r="W1029" i="1"/>
  <c r="V1029" i="1"/>
  <c r="AG1028" i="1"/>
  <c r="AC1028" i="1"/>
  <c r="Y1028" i="1"/>
  <c r="AG1027" i="1"/>
  <c r="AC1027" i="1"/>
  <c r="Y1027" i="1"/>
  <c r="AG1026" i="1"/>
  <c r="AC1026" i="1"/>
  <c r="Y1026" i="1"/>
  <c r="AG1025" i="1"/>
  <c r="AC1025" i="1"/>
  <c r="Y1025" i="1"/>
  <c r="AG1024" i="1"/>
  <c r="AC1024" i="1"/>
  <c r="Y1024" i="1"/>
  <c r="AG1023" i="1"/>
  <c r="AC1023" i="1"/>
  <c r="Y1023" i="1"/>
  <c r="AG1022" i="1"/>
  <c r="AC1022" i="1"/>
  <c r="Y1022" i="1"/>
  <c r="AG1021" i="1"/>
  <c r="AC1021" i="1"/>
  <c r="Y1021" i="1"/>
  <c r="AG1020" i="1"/>
  <c r="AC1020" i="1"/>
  <c r="Y1020" i="1"/>
  <c r="AG1019" i="1"/>
  <c r="AC1019" i="1"/>
  <c r="Y1019" i="1"/>
  <c r="AG1018" i="1"/>
  <c r="AC1018" i="1"/>
  <c r="Y1018" i="1"/>
  <c r="AG1017" i="1"/>
  <c r="AC1017" i="1"/>
  <c r="Y1017" i="1"/>
  <c r="AG1016" i="1"/>
  <c r="AC1016" i="1"/>
  <c r="Y1016" i="1"/>
  <c r="AG1015" i="1"/>
  <c r="AC1015" i="1"/>
  <c r="Y1015" i="1"/>
  <c r="AG1014" i="1"/>
  <c r="AC1014" i="1"/>
  <c r="Y1014" i="1"/>
  <c r="AG1013" i="1"/>
  <c r="AC1013" i="1"/>
  <c r="Y1013" i="1"/>
  <c r="AG1012" i="1"/>
  <c r="AC1012" i="1"/>
  <c r="Y1012" i="1"/>
  <c r="AG1011" i="1"/>
  <c r="AC1011" i="1"/>
  <c r="Y1011" i="1"/>
  <c r="AG1010" i="1"/>
  <c r="AC1010" i="1"/>
  <c r="Y1010" i="1"/>
  <c r="AG1009" i="1"/>
  <c r="AC1009" i="1"/>
  <c r="Y1009" i="1"/>
  <c r="AG1008" i="1"/>
  <c r="AC1008" i="1"/>
  <c r="Y1008" i="1"/>
  <c r="AG1007" i="1"/>
  <c r="AC1007" i="1"/>
  <c r="Y1007" i="1"/>
  <c r="AG1006" i="1"/>
  <c r="AC1006" i="1"/>
  <c r="Y1006" i="1"/>
  <c r="AG1005" i="1"/>
  <c r="AC1005" i="1"/>
  <c r="Y1005" i="1"/>
  <c r="AG1003" i="1"/>
  <c r="AC1003" i="1"/>
  <c r="Y1003" i="1"/>
  <c r="AG1002" i="1"/>
  <c r="AC1002" i="1"/>
  <c r="Y1002" i="1"/>
  <c r="AG1001" i="1"/>
  <c r="AC1001" i="1"/>
  <c r="Y1001" i="1"/>
  <c r="AG1000" i="1"/>
  <c r="AC1000" i="1"/>
  <c r="Y1000" i="1"/>
  <c r="AG999" i="1"/>
  <c r="AC999" i="1"/>
  <c r="Y999" i="1"/>
  <c r="AG998" i="1"/>
  <c r="AC998" i="1"/>
  <c r="Y998" i="1"/>
  <c r="AG997" i="1"/>
  <c r="AC997" i="1"/>
  <c r="Y997" i="1"/>
  <c r="AG996" i="1"/>
  <c r="AC996" i="1"/>
  <c r="Y996" i="1"/>
  <c r="AG995" i="1"/>
  <c r="AC995" i="1"/>
  <c r="Y995" i="1"/>
  <c r="AG994" i="1"/>
  <c r="AC994" i="1"/>
  <c r="Y994" i="1"/>
  <c r="R1115" i="1"/>
  <c r="Q1115" i="1"/>
  <c r="P1115" i="1"/>
  <c r="N1115" i="1"/>
  <c r="M1115" i="1"/>
  <c r="L1115" i="1"/>
  <c r="S1111" i="1"/>
  <c r="O1111" i="1"/>
  <c r="S1109" i="1"/>
  <c r="O1109" i="1"/>
  <c r="S1108" i="1"/>
  <c r="O1108" i="1"/>
  <c r="S1107" i="1"/>
  <c r="O1107" i="1"/>
  <c r="S1106" i="1"/>
  <c r="O1106" i="1"/>
  <c r="S1105" i="1"/>
  <c r="O1105" i="1"/>
  <c r="S1103" i="1"/>
  <c r="O1103" i="1"/>
  <c r="S1102" i="1"/>
  <c r="O1102" i="1"/>
  <c r="S1101" i="1"/>
  <c r="O1101" i="1"/>
  <c r="S1100" i="1"/>
  <c r="O1100" i="1"/>
  <c r="S1099" i="1"/>
  <c r="O1099" i="1"/>
  <c r="S1098" i="1"/>
  <c r="O1098" i="1"/>
  <c r="S1097" i="1"/>
  <c r="O1097" i="1"/>
  <c r="S1096" i="1"/>
  <c r="O1096" i="1"/>
  <c r="S1095" i="1"/>
  <c r="O1095" i="1"/>
  <c r="S1091" i="1"/>
  <c r="O1091" i="1"/>
  <c r="S1089" i="1"/>
  <c r="O1089" i="1"/>
  <c r="S1088" i="1"/>
  <c r="O1088" i="1"/>
  <c r="S1087" i="1"/>
  <c r="O1087" i="1"/>
  <c r="S1086" i="1"/>
  <c r="O1086" i="1"/>
  <c r="S1084" i="1"/>
  <c r="O1084" i="1"/>
  <c r="S1083" i="1"/>
  <c r="O1083" i="1"/>
  <c r="S1081" i="1"/>
  <c r="O1081" i="1"/>
  <c r="S1080" i="1"/>
  <c r="O1080" i="1"/>
  <c r="R1072" i="1"/>
  <c r="Q1072" i="1"/>
  <c r="P1072" i="1"/>
  <c r="N1072" i="1"/>
  <c r="M1072" i="1"/>
  <c r="L1072" i="1"/>
  <c r="S1066" i="1"/>
  <c r="O1066" i="1"/>
  <c r="S1065" i="1"/>
  <c r="O1065" i="1"/>
  <c r="S1064" i="1"/>
  <c r="O1064" i="1"/>
  <c r="S1063" i="1"/>
  <c r="O1063" i="1"/>
  <c r="S1062" i="1"/>
  <c r="O1062" i="1"/>
  <c r="S1061" i="1"/>
  <c r="O1061" i="1"/>
  <c r="S1060" i="1"/>
  <c r="O1060" i="1"/>
  <c r="S1059" i="1"/>
  <c r="O1059" i="1"/>
  <c r="S1058" i="1"/>
  <c r="O1058" i="1"/>
  <c r="S1057" i="1"/>
  <c r="O1057" i="1"/>
  <c r="S1056" i="1"/>
  <c r="O1056" i="1"/>
  <c r="S1055" i="1"/>
  <c r="O1055" i="1"/>
  <c r="S1054" i="1"/>
  <c r="O1054" i="1"/>
  <c r="S1053" i="1"/>
  <c r="O1053" i="1"/>
  <c r="S1052" i="1"/>
  <c r="O1052" i="1"/>
  <c r="S1051" i="1"/>
  <c r="O1051" i="1"/>
  <c r="S1050" i="1"/>
  <c r="O1050" i="1"/>
  <c r="S1049" i="1"/>
  <c r="O1049" i="1"/>
  <c r="S1048" i="1"/>
  <c r="O1048" i="1"/>
  <c r="S1046" i="1"/>
  <c r="O1046" i="1"/>
  <c r="S1045" i="1"/>
  <c r="O1045" i="1"/>
  <c r="S1044" i="1"/>
  <c r="O1044" i="1"/>
  <c r="S1043" i="1"/>
  <c r="O1043" i="1"/>
  <c r="S1042" i="1"/>
  <c r="O1042" i="1"/>
  <c r="S1041" i="1"/>
  <c r="O1041" i="1"/>
  <c r="S1038" i="1"/>
  <c r="O1038" i="1"/>
  <c r="S1037" i="1"/>
  <c r="O1037" i="1"/>
  <c r="R1029" i="1"/>
  <c r="Q1029" i="1"/>
  <c r="P1029" i="1"/>
  <c r="N1029" i="1"/>
  <c r="M1029" i="1"/>
  <c r="L1029" i="1"/>
  <c r="S1023" i="1"/>
  <c r="O1023" i="1"/>
  <c r="S1022" i="1"/>
  <c r="O1022" i="1"/>
  <c r="S1021" i="1"/>
  <c r="O1021" i="1"/>
  <c r="S1020" i="1"/>
  <c r="O1020" i="1"/>
  <c r="S1019" i="1"/>
  <c r="O1019" i="1"/>
  <c r="S1018" i="1"/>
  <c r="O1018" i="1"/>
  <c r="S1017" i="1"/>
  <c r="O1017" i="1"/>
  <c r="S1016" i="1"/>
  <c r="O1016" i="1"/>
  <c r="S1015" i="1"/>
  <c r="O1015" i="1"/>
  <c r="S1014" i="1"/>
  <c r="O1014" i="1"/>
  <c r="S1013" i="1"/>
  <c r="O1013" i="1"/>
  <c r="S1012" i="1"/>
  <c r="O1012" i="1"/>
  <c r="S1011" i="1"/>
  <c r="O1011" i="1"/>
  <c r="S1010" i="1"/>
  <c r="O1010" i="1"/>
  <c r="S1009" i="1"/>
  <c r="O1009" i="1"/>
  <c r="S1008" i="1"/>
  <c r="O1008" i="1"/>
  <c r="S1007" i="1"/>
  <c r="O1007" i="1"/>
  <c r="S1006" i="1"/>
  <c r="O1006" i="1"/>
  <c r="S1005" i="1"/>
  <c r="O1005" i="1"/>
  <c r="S1003" i="1"/>
  <c r="O1003" i="1"/>
  <c r="S1002" i="1"/>
  <c r="O1002" i="1"/>
  <c r="S1001" i="1"/>
  <c r="O1001" i="1"/>
  <c r="S1000" i="1"/>
  <c r="O1000" i="1"/>
  <c r="S999" i="1"/>
  <c r="O999" i="1"/>
  <c r="S998" i="1"/>
  <c r="O998" i="1"/>
  <c r="S997" i="1"/>
  <c r="O997" i="1"/>
  <c r="S995" i="1"/>
  <c r="O995" i="1"/>
  <c r="S994" i="1"/>
  <c r="O994" i="1"/>
  <c r="H1115" i="1"/>
  <c r="G1115" i="1"/>
  <c r="F1115" i="1"/>
  <c r="D1115" i="1"/>
  <c r="C1115" i="1"/>
  <c r="B1115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108" i="1"/>
  <c r="E1108" i="1"/>
  <c r="I1107" i="1"/>
  <c r="E1107" i="1"/>
  <c r="I1106" i="1"/>
  <c r="E1106" i="1"/>
  <c r="I1105" i="1"/>
  <c r="E1105" i="1"/>
  <c r="I1104" i="1"/>
  <c r="E1104" i="1"/>
  <c r="I1103" i="1"/>
  <c r="E1103" i="1"/>
  <c r="I1102" i="1"/>
  <c r="E1102" i="1"/>
  <c r="I1101" i="1"/>
  <c r="E1101" i="1"/>
  <c r="I1100" i="1"/>
  <c r="E1100" i="1"/>
  <c r="I1099" i="1"/>
  <c r="E1099" i="1"/>
  <c r="I1098" i="1"/>
  <c r="E1098" i="1"/>
  <c r="I1097" i="1"/>
  <c r="E1097" i="1"/>
  <c r="I1096" i="1"/>
  <c r="E1096" i="1"/>
  <c r="I1093" i="1"/>
  <c r="E1093" i="1"/>
  <c r="I1092" i="1"/>
  <c r="E1092" i="1"/>
  <c r="I1089" i="1"/>
  <c r="E1089" i="1"/>
  <c r="I1088" i="1"/>
  <c r="E1088" i="1"/>
  <c r="I1087" i="1"/>
  <c r="E1087" i="1"/>
  <c r="I1086" i="1"/>
  <c r="E1086" i="1"/>
  <c r="I1084" i="1"/>
  <c r="E1084" i="1"/>
  <c r="I1083" i="1"/>
  <c r="E1083" i="1"/>
  <c r="I1082" i="1"/>
  <c r="E1082" i="1"/>
  <c r="I1081" i="1"/>
  <c r="E1081" i="1"/>
  <c r="I1080" i="1"/>
  <c r="E1080" i="1"/>
  <c r="H1072" i="1"/>
  <c r="G1072" i="1"/>
  <c r="F1072" i="1"/>
  <c r="D1072" i="1"/>
  <c r="C1072" i="1"/>
  <c r="B1072" i="1"/>
  <c r="I1071" i="1"/>
  <c r="E1071" i="1"/>
  <c r="I1070" i="1"/>
  <c r="E1070" i="1"/>
  <c r="I1069" i="1"/>
  <c r="E1069" i="1"/>
  <c r="I1068" i="1"/>
  <c r="E1068" i="1"/>
  <c r="I1067" i="1"/>
  <c r="E1067" i="1"/>
  <c r="I1066" i="1"/>
  <c r="E1066" i="1"/>
  <c r="I1065" i="1"/>
  <c r="E1065" i="1"/>
  <c r="I1064" i="1"/>
  <c r="E1064" i="1"/>
  <c r="I1063" i="1"/>
  <c r="E1063" i="1"/>
  <c r="I1062" i="1"/>
  <c r="E1062" i="1"/>
  <c r="I1061" i="1"/>
  <c r="E1061" i="1"/>
  <c r="I1060" i="1"/>
  <c r="E1060" i="1"/>
  <c r="I1059" i="1"/>
  <c r="E1059" i="1"/>
  <c r="I1058" i="1"/>
  <c r="E1058" i="1"/>
  <c r="I1057" i="1"/>
  <c r="E1057" i="1"/>
  <c r="I1056" i="1"/>
  <c r="E1056" i="1"/>
  <c r="I1055" i="1"/>
  <c r="E1055" i="1"/>
  <c r="I1054" i="1"/>
  <c r="E1054" i="1"/>
  <c r="I1052" i="1"/>
  <c r="E1052" i="1"/>
  <c r="I1051" i="1"/>
  <c r="E1051" i="1"/>
  <c r="I1050" i="1"/>
  <c r="E1050" i="1"/>
  <c r="I1049" i="1"/>
  <c r="E1049" i="1"/>
  <c r="I1048" i="1"/>
  <c r="E1048" i="1"/>
  <c r="I1046" i="1"/>
  <c r="E1046" i="1"/>
  <c r="I1045" i="1"/>
  <c r="E1045" i="1"/>
  <c r="I1044" i="1"/>
  <c r="E1044" i="1"/>
  <c r="I1043" i="1"/>
  <c r="E1043" i="1"/>
  <c r="I1042" i="1"/>
  <c r="E1042" i="1"/>
  <c r="I1041" i="1"/>
  <c r="E1041" i="1"/>
  <c r="I1040" i="1"/>
  <c r="E1040" i="1"/>
  <c r="I1039" i="1"/>
  <c r="E1039" i="1"/>
  <c r="I1038" i="1"/>
  <c r="E1038" i="1"/>
  <c r="I1037" i="1"/>
  <c r="E1037" i="1"/>
  <c r="H1029" i="1"/>
  <c r="G1029" i="1"/>
  <c r="F1029" i="1"/>
  <c r="D1029" i="1"/>
  <c r="C1029" i="1"/>
  <c r="B1029" i="1"/>
  <c r="I1028" i="1"/>
  <c r="E1028" i="1"/>
  <c r="I1027" i="1"/>
  <c r="E1027" i="1"/>
  <c r="I1026" i="1"/>
  <c r="E1026" i="1"/>
  <c r="I1025" i="1"/>
  <c r="E1025" i="1"/>
  <c r="I1024" i="1"/>
  <c r="E1024" i="1"/>
  <c r="I1023" i="1"/>
  <c r="E1023" i="1"/>
  <c r="I1022" i="1"/>
  <c r="E1022" i="1"/>
  <c r="I1021" i="1"/>
  <c r="E1021" i="1"/>
  <c r="I1020" i="1"/>
  <c r="E1020" i="1"/>
  <c r="I1019" i="1"/>
  <c r="E1019" i="1"/>
  <c r="I1018" i="1"/>
  <c r="E1018" i="1"/>
  <c r="I1017" i="1"/>
  <c r="E1017" i="1"/>
  <c r="I1016" i="1"/>
  <c r="E1016" i="1"/>
  <c r="I1015" i="1"/>
  <c r="E1015" i="1"/>
  <c r="I1014" i="1"/>
  <c r="E1014" i="1"/>
  <c r="I1013" i="1"/>
  <c r="E1013" i="1"/>
  <c r="I1012" i="1"/>
  <c r="E1012" i="1"/>
  <c r="I1011" i="1"/>
  <c r="E1011" i="1"/>
  <c r="I1010" i="1"/>
  <c r="E1010" i="1"/>
  <c r="I1009" i="1"/>
  <c r="E1009" i="1"/>
  <c r="I1008" i="1"/>
  <c r="E1008" i="1"/>
  <c r="I1007" i="1"/>
  <c r="E1007" i="1"/>
  <c r="I1006" i="1"/>
  <c r="E1006" i="1"/>
  <c r="I1005" i="1"/>
  <c r="E1005" i="1"/>
  <c r="I1003" i="1"/>
  <c r="E1003" i="1"/>
  <c r="I1002" i="1"/>
  <c r="E1002" i="1"/>
  <c r="I1001" i="1"/>
  <c r="E1001" i="1"/>
  <c r="I1000" i="1"/>
  <c r="E1000" i="1"/>
  <c r="I999" i="1"/>
  <c r="E999" i="1"/>
  <c r="I998" i="1"/>
  <c r="E998" i="1"/>
  <c r="I995" i="1"/>
  <c r="E995" i="1"/>
  <c r="I994" i="1"/>
  <c r="E994" i="1"/>
  <c r="AG1072" i="1" l="1"/>
  <c r="AC1115" i="1"/>
  <c r="AC1072" i="1"/>
  <c r="I1072" i="1"/>
  <c r="AC1029" i="1"/>
  <c r="I1115" i="1"/>
  <c r="O1029" i="1"/>
  <c r="I1029" i="1"/>
  <c r="Y1072" i="1"/>
  <c r="O1115" i="1"/>
  <c r="AG1029" i="1"/>
  <c r="E1029" i="1"/>
  <c r="E1072" i="1"/>
  <c r="E1115" i="1"/>
  <c r="Y1115" i="1"/>
  <c r="AG1115" i="1"/>
  <c r="O1072" i="1"/>
  <c r="S1115" i="1"/>
  <c r="S1072" i="1"/>
  <c r="Y1029" i="1"/>
  <c r="S1029" i="1"/>
  <c r="S980" i="1"/>
  <c r="O980" i="1"/>
  <c r="S982" i="1"/>
  <c r="O982" i="1"/>
  <c r="AG984" i="1"/>
  <c r="AC984" i="1"/>
  <c r="Y984" i="1"/>
  <c r="S908" i="1"/>
  <c r="O908" i="1"/>
  <c r="Y908" i="1"/>
  <c r="AC908" i="1"/>
  <c r="AF986" i="1"/>
  <c r="AE986" i="1"/>
  <c r="AD986" i="1"/>
  <c r="AB986" i="1"/>
  <c r="AA986" i="1"/>
  <c r="Z986" i="1"/>
  <c r="X986" i="1"/>
  <c r="W986" i="1"/>
  <c r="V986" i="1"/>
  <c r="R986" i="1"/>
  <c r="Q986" i="1"/>
  <c r="P986" i="1"/>
  <c r="N986" i="1"/>
  <c r="M986" i="1"/>
  <c r="L986" i="1"/>
  <c r="H986" i="1"/>
  <c r="G986" i="1"/>
  <c r="F986" i="1"/>
  <c r="D986" i="1"/>
  <c r="C986" i="1"/>
  <c r="B986" i="1"/>
  <c r="AG985" i="1"/>
  <c r="AC985" i="1"/>
  <c r="Y985" i="1"/>
  <c r="S985" i="1"/>
  <c r="O985" i="1"/>
  <c r="I985" i="1"/>
  <c r="E985" i="1"/>
  <c r="I984" i="1"/>
  <c r="E984" i="1"/>
  <c r="AG983" i="1"/>
  <c r="AC983" i="1"/>
  <c r="Y983" i="1"/>
  <c r="I983" i="1"/>
  <c r="E983" i="1"/>
  <c r="AG982" i="1"/>
  <c r="AC982" i="1"/>
  <c r="Y982" i="1"/>
  <c r="I982" i="1"/>
  <c r="E982" i="1"/>
  <c r="AG981" i="1"/>
  <c r="AC981" i="1"/>
  <c r="Y981" i="1"/>
  <c r="S981" i="1"/>
  <c r="O981" i="1"/>
  <c r="I981" i="1"/>
  <c r="E981" i="1"/>
  <c r="AG980" i="1"/>
  <c r="AC980" i="1"/>
  <c r="Y980" i="1"/>
  <c r="I980" i="1"/>
  <c r="E980" i="1"/>
  <c r="AG979" i="1"/>
  <c r="AC979" i="1"/>
  <c r="Y979" i="1"/>
  <c r="S979" i="1"/>
  <c r="O979" i="1"/>
  <c r="I979" i="1"/>
  <c r="E979" i="1"/>
  <c r="AG978" i="1"/>
  <c r="AC978" i="1"/>
  <c r="Y978" i="1"/>
  <c r="S978" i="1"/>
  <c r="O978" i="1"/>
  <c r="I978" i="1"/>
  <c r="E978" i="1"/>
  <c r="AG977" i="1"/>
  <c r="AC977" i="1"/>
  <c r="Y977" i="1"/>
  <c r="S977" i="1"/>
  <c r="O977" i="1"/>
  <c r="I977" i="1"/>
  <c r="E977" i="1"/>
  <c r="AG976" i="1"/>
  <c r="AC976" i="1"/>
  <c r="Y976" i="1"/>
  <c r="S976" i="1"/>
  <c r="O976" i="1"/>
  <c r="I976" i="1"/>
  <c r="E976" i="1"/>
  <c r="AG975" i="1"/>
  <c r="AC975" i="1"/>
  <c r="Y975" i="1"/>
  <c r="S975" i="1"/>
  <c r="O975" i="1"/>
  <c r="I975" i="1"/>
  <c r="E975" i="1"/>
  <c r="AG974" i="1"/>
  <c r="AC974" i="1"/>
  <c r="Y974" i="1"/>
  <c r="S974" i="1"/>
  <c r="O974" i="1"/>
  <c r="I974" i="1"/>
  <c r="E974" i="1"/>
  <c r="AG973" i="1"/>
  <c r="AC973" i="1"/>
  <c r="Y973" i="1"/>
  <c r="S973" i="1"/>
  <c r="O973" i="1"/>
  <c r="I973" i="1"/>
  <c r="E973" i="1"/>
  <c r="AG972" i="1"/>
  <c r="AC972" i="1"/>
  <c r="Y972" i="1"/>
  <c r="S972" i="1"/>
  <c r="O972" i="1"/>
  <c r="I972" i="1"/>
  <c r="E972" i="1"/>
  <c r="AG971" i="1"/>
  <c r="AC971" i="1"/>
  <c r="Y971" i="1"/>
  <c r="S971" i="1"/>
  <c r="O971" i="1"/>
  <c r="I971" i="1"/>
  <c r="E971" i="1"/>
  <c r="AG970" i="1"/>
  <c r="AC970" i="1"/>
  <c r="Y970" i="1"/>
  <c r="S970" i="1"/>
  <c r="O970" i="1"/>
  <c r="I970" i="1"/>
  <c r="E970" i="1"/>
  <c r="AG969" i="1"/>
  <c r="AC969" i="1"/>
  <c r="Y969" i="1"/>
  <c r="S969" i="1"/>
  <c r="O969" i="1"/>
  <c r="I969" i="1"/>
  <c r="E969" i="1"/>
  <c r="AG968" i="1"/>
  <c r="AC968" i="1"/>
  <c r="Y968" i="1"/>
  <c r="S968" i="1"/>
  <c r="O968" i="1"/>
  <c r="I968" i="1"/>
  <c r="E968" i="1"/>
  <c r="AG967" i="1"/>
  <c r="AC967" i="1"/>
  <c r="Y967" i="1"/>
  <c r="S967" i="1"/>
  <c r="O967" i="1"/>
  <c r="I967" i="1"/>
  <c r="E967" i="1"/>
  <c r="AG966" i="1"/>
  <c r="AC966" i="1"/>
  <c r="Y966" i="1"/>
  <c r="S966" i="1"/>
  <c r="O966" i="1"/>
  <c r="I966" i="1"/>
  <c r="E966" i="1"/>
  <c r="AG965" i="1"/>
  <c r="AC965" i="1"/>
  <c r="Y965" i="1"/>
  <c r="S965" i="1"/>
  <c r="O965" i="1"/>
  <c r="I965" i="1"/>
  <c r="E965" i="1"/>
  <c r="S964" i="1"/>
  <c r="O964" i="1"/>
  <c r="I964" i="1"/>
  <c r="E964" i="1"/>
  <c r="AG963" i="1"/>
  <c r="AC963" i="1"/>
  <c r="Y963" i="1"/>
  <c r="S963" i="1"/>
  <c r="O963" i="1"/>
  <c r="I963" i="1"/>
  <c r="E963" i="1"/>
  <c r="AG962" i="1"/>
  <c r="AC962" i="1"/>
  <c r="Y962" i="1"/>
  <c r="S962" i="1"/>
  <c r="O962" i="1"/>
  <c r="I962" i="1"/>
  <c r="E962" i="1"/>
  <c r="AG960" i="1"/>
  <c r="AC960" i="1"/>
  <c r="Y960" i="1"/>
  <c r="S960" i="1"/>
  <c r="O960" i="1"/>
  <c r="I960" i="1"/>
  <c r="E960" i="1"/>
  <c r="AG959" i="1"/>
  <c r="AC959" i="1"/>
  <c r="Y959" i="1"/>
  <c r="S959" i="1"/>
  <c r="O959" i="1"/>
  <c r="I959" i="1"/>
  <c r="E959" i="1"/>
  <c r="AG958" i="1"/>
  <c r="AC958" i="1"/>
  <c r="Y958" i="1"/>
  <c r="S958" i="1"/>
  <c r="O958" i="1"/>
  <c r="I958" i="1"/>
  <c r="E958" i="1"/>
  <c r="AG957" i="1"/>
  <c r="AC957" i="1"/>
  <c r="Y957" i="1"/>
  <c r="S957" i="1"/>
  <c r="O957" i="1"/>
  <c r="AG956" i="1"/>
  <c r="AC956" i="1"/>
  <c r="Y956" i="1"/>
  <c r="S956" i="1"/>
  <c r="I956" i="1"/>
  <c r="E956" i="1"/>
  <c r="AG955" i="1"/>
  <c r="AC955" i="1"/>
  <c r="Y955" i="1"/>
  <c r="I955" i="1"/>
  <c r="E955" i="1"/>
  <c r="AG954" i="1"/>
  <c r="AC954" i="1"/>
  <c r="Y954" i="1"/>
  <c r="S954" i="1"/>
  <c r="O954" i="1"/>
  <c r="I954" i="1"/>
  <c r="E954" i="1"/>
  <c r="AG953" i="1"/>
  <c r="AC953" i="1"/>
  <c r="Y953" i="1"/>
  <c r="S953" i="1"/>
  <c r="O953" i="1"/>
  <c r="I953" i="1"/>
  <c r="E953" i="1"/>
  <c r="AG952" i="1"/>
  <c r="AC952" i="1"/>
  <c r="Y952" i="1"/>
  <c r="S952" i="1"/>
  <c r="O952" i="1"/>
  <c r="I952" i="1"/>
  <c r="E952" i="1"/>
  <c r="AG951" i="1"/>
  <c r="AC951" i="1"/>
  <c r="Y951" i="1"/>
  <c r="S951" i="1"/>
  <c r="O951" i="1"/>
  <c r="I986" i="1" l="1"/>
  <c r="S986" i="1"/>
  <c r="AC986" i="1"/>
  <c r="O986" i="1"/>
  <c r="Y986" i="1"/>
  <c r="E986" i="1"/>
  <c r="AG986" i="1"/>
  <c r="E782" i="1"/>
  <c r="I782" i="1"/>
  <c r="I826" i="1"/>
  <c r="E826" i="1"/>
  <c r="S898" i="1"/>
  <c r="O898" i="1"/>
  <c r="AC899" i="1" l="1"/>
  <c r="Y899" i="1"/>
  <c r="AF943" i="1"/>
  <c r="AE943" i="1"/>
  <c r="AD943" i="1"/>
  <c r="AB943" i="1"/>
  <c r="AA943" i="1"/>
  <c r="Z943" i="1"/>
  <c r="X943" i="1"/>
  <c r="W943" i="1"/>
  <c r="V943" i="1"/>
  <c r="R943" i="1"/>
  <c r="Q943" i="1"/>
  <c r="P943" i="1"/>
  <c r="N943" i="1"/>
  <c r="M943" i="1"/>
  <c r="L943" i="1"/>
  <c r="H943" i="1"/>
  <c r="G943" i="1"/>
  <c r="F943" i="1"/>
  <c r="D943" i="1"/>
  <c r="C943" i="1"/>
  <c r="B943" i="1"/>
  <c r="AG942" i="1"/>
  <c r="AC942" i="1"/>
  <c r="Y942" i="1"/>
  <c r="S942" i="1"/>
  <c r="O942" i="1"/>
  <c r="I942" i="1"/>
  <c r="E942" i="1"/>
  <c r="AG941" i="1"/>
  <c r="AC941" i="1"/>
  <c r="Y941" i="1"/>
  <c r="S941" i="1"/>
  <c r="O941" i="1"/>
  <c r="I941" i="1"/>
  <c r="E941" i="1"/>
  <c r="AG940" i="1"/>
  <c r="AC940" i="1"/>
  <c r="Y940" i="1"/>
  <c r="S940" i="1"/>
  <c r="O940" i="1"/>
  <c r="I940" i="1"/>
  <c r="E940" i="1"/>
  <c r="AG939" i="1"/>
  <c r="AC939" i="1"/>
  <c r="Y939" i="1"/>
  <c r="S939" i="1"/>
  <c r="O939" i="1"/>
  <c r="I939" i="1"/>
  <c r="E939" i="1"/>
  <c r="AG938" i="1"/>
  <c r="AC938" i="1"/>
  <c r="Y938" i="1"/>
  <c r="S938" i="1"/>
  <c r="O938" i="1"/>
  <c r="I938" i="1"/>
  <c r="E938" i="1"/>
  <c r="AG937" i="1"/>
  <c r="AC937" i="1"/>
  <c r="Y937" i="1"/>
  <c r="S937" i="1"/>
  <c r="O937" i="1"/>
  <c r="I937" i="1"/>
  <c r="E937" i="1"/>
  <c r="AG936" i="1"/>
  <c r="AC936" i="1"/>
  <c r="Y936" i="1"/>
  <c r="S936" i="1"/>
  <c r="O936" i="1"/>
  <c r="I936" i="1"/>
  <c r="E936" i="1"/>
  <c r="AG935" i="1"/>
  <c r="AC935" i="1"/>
  <c r="Y935" i="1"/>
  <c r="S935" i="1"/>
  <c r="O935" i="1"/>
  <c r="I935" i="1"/>
  <c r="E935" i="1"/>
  <c r="AG934" i="1"/>
  <c r="AC934" i="1"/>
  <c r="Y934" i="1"/>
  <c r="S934" i="1"/>
  <c r="O934" i="1"/>
  <c r="I934" i="1"/>
  <c r="E934" i="1"/>
  <c r="AG933" i="1"/>
  <c r="AC933" i="1"/>
  <c r="Y933" i="1"/>
  <c r="S933" i="1"/>
  <c r="O933" i="1"/>
  <c r="I933" i="1"/>
  <c r="E933" i="1"/>
  <c r="AG932" i="1"/>
  <c r="AC932" i="1"/>
  <c r="Y932" i="1"/>
  <c r="S932" i="1"/>
  <c r="O932" i="1"/>
  <c r="I932" i="1"/>
  <c r="E932" i="1"/>
  <c r="AG931" i="1"/>
  <c r="AC931" i="1"/>
  <c r="Y931" i="1"/>
  <c r="S931" i="1"/>
  <c r="O931" i="1"/>
  <c r="I931" i="1"/>
  <c r="E931" i="1"/>
  <c r="AG930" i="1"/>
  <c r="AC930" i="1"/>
  <c r="Y930" i="1"/>
  <c r="S930" i="1"/>
  <c r="O930" i="1"/>
  <c r="I930" i="1"/>
  <c r="E930" i="1"/>
  <c r="AG929" i="1"/>
  <c r="AC929" i="1"/>
  <c r="Y929" i="1"/>
  <c r="S929" i="1"/>
  <c r="O929" i="1"/>
  <c r="I929" i="1"/>
  <c r="E929" i="1"/>
  <c r="AG928" i="1"/>
  <c r="AC928" i="1"/>
  <c r="Y928" i="1"/>
  <c r="S928" i="1"/>
  <c r="O928" i="1"/>
  <c r="I928" i="1"/>
  <c r="E928" i="1"/>
  <c r="AG927" i="1"/>
  <c r="AC927" i="1"/>
  <c r="Y927" i="1"/>
  <c r="S927" i="1"/>
  <c r="O927" i="1"/>
  <c r="I927" i="1"/>
  <c r="E927" i="1"/>
  <c r="AG926" i="1"/>
  <c r="AC926" i="1"/>
  <c r="Y926" i="1"/>
  <c r="S926" i="1"/>
  <c r="O926" i="1"/>
  <c r="I926" i="1"/>
  <c r="E926" i="1"/>
  <c r="AG925" i="1"/>
  <c r="AC925" i="1"/>
  <c r="Y925" i="1"/>
  <c r="S925" i="1"/>
  <c r="O925" i="1"/>
  <c r="I925" i="1"/>
  <c r="E925" i="1"/>
  <c r="AG924" i="1"/>
  <c r="AC924" i="1"/>
  <c r="Y924" i="1"/>
  <c r="S924" i="1"/>
  <c r="O924" i="1"/>
  <c r="I924" i="1"/>
  <c r="E924" i="1"/>
  <c r="AG923" i="1"/>
  <c r="AC923" i="1"/>
  <c r="Y923" i="1"/>
  <c r="S923" i="1"/>
  <c r="O923" i="1"/>
  <c r="I923" i="1"/>
  <c r="E923" i="1"/>
  <c r="AG922" i="1"/>
  <c r="AC922" i="1"/>
  <c r="Y922" i="1"/>
  <c r="S922" i="1"/>
  <c r="O922" i="1"/>
  <c r="I922" i="1"/>
  <c r="E922" i="1"/>
  <c r="AG921" i="1"/>
  <c r="AC921" i="1"/>
  <c r="Y921" i="1"/>
  <c r="S921" i="1"/>
  <c r="O921" i="1"/>
  <c r="I921" i="1"/>
  <c r="E921" i="1"/>
  <c r="AG920" i="1"/>
  <c r="AC920" i="1"/>
  <c r="Y920" i="1"/>
  <c r="S920" i="1"/>
  <c r="O920" i="1"/>
  <c r="I920" i="1"/>
  <c r="E920" i="1"/>
  <c r="AG919" i="1"/>
  <c r="AC919" i="1"/>
  <c r="Y919" i="1"/>
  <c r="S919" i="1"/>
  <c r="O919" i="1"/>
  <c r="I919" i="1"/>
  <c r="E919" i="1"/>
  <c r="AG917" i="1"/>
  <c r="AC917" i="1"/>
  <c r="Y917" i="1"/>
  <c r="S917" i="1"/>
  <c r="O917" i="1"/>
  <c r="I917" i="1"/>
  <c r="E917" i="1"/>
  <c r="AG916" i="1"/>
  <c r="AC916" i="1"/>
  <c r="Y916" i="1"/>
  <c r="S916" i="1"/>
  <c r="O916" i="1"/>
  <c r="I916" i="1"/>
  <c r="E916" i="1"/>
  <c r="AG915" i="1"/>
  <c r="AC915" i="1"/>
  <c r="Y915" i="1"/>
  <c r="S915" i="1"/>
  <c r="O915" i="1"/>
  <c r="I915" i="1"/>
  <c r="E915" i="1"/>
  <c r="AG914" i="1"/>
  <c r="AC914" i="1"/>
  <c r="Y914" i="1"/>
  <c r="S914" i="1"/>
  <c r="O914" i="1"/>
  <c r="I914" i="1"/>
  <c r="E914" i="1"/>
  <c r="AG913" i="1"/>
  <c r="AC913" i="1"/>
  <c r="Y913" i="1"/>
  <c r="S913" i="1"/>
  <c r="O913" i="1"/>
  <c r="I913" i="1"/>
  <c r="E913" i="1"/>
  <c r="AG912" i="1"/>
  <c r="AC912" i="1"/>
  <c r="Y912" i="1"/>
  <c r="S912" i="1"/>
  <c r="O912" i="1"/>
  <c r="I912" i="1"/>
  <c r="E912" i="1"/>
  <c r="AG911" i="1"/>
  <c r="AC911" i="1"/>
  <c r="Y911" i="1"/>
  <c r="S911" i="1"/>
  <c r="O911" i="1"/>
  <c r="I911" i="1"/>
  <c r="E911" i="1"/>
  <c r="AG910" i="1"/>
  <c r="AC910" i="1"/>
  <c r="Y910" i="1"/>
  <c r="S910" i="1"/>
  <c r="O910" i="1"/>
  <c r="I910" i="1"/>
  <c r="E910" i="1"/>
  <c r="AG909" i="1"/>
  <c r="AC909" i="1"/>
  <c r="Y909" i="1"/>
  <c r="S909" i="1"/>
  <c r="O909" i="1"/>
  <c r="I909" i="1"/>
  <c r="E909" i="1"/>
  <c r="AG908" i="1"/>
  <c r="I908" i="1"/>
  <c r="E908" i="1"/>
  <c r="E943" i="1" l="1"/>
  <c r="O943" i="1"/>
  <c r="Y943" i="1"/>
  <c r="AG943" i="1"/>
  <c r="I943" i="1"/>
  <c r="AC943" i="1"/>
  <c r="S943" i="1"/>
  <c r="S822" i="1" l="1"/>
  <c r="O822" i="1"/>
  <c r="S855" i="1" l="1"/>
  <c r="O855" i="1"/>
  <c r="S856" i="1"/>
  <c r="O856" i="1"/>
  <c r="S867" i="1"/>
  <c r="O867" i="1"/>
  <c r="AF900" i="1"/>
  <c r="AE900" i="1"/>
  <c r="AD900" i="1"/>
  <c r="AB900" i="1"/>
  <c r="AA900" i="1"/>
  <c r="Z900" i="1"/>
  <c r="X900" i="1"/>
  <c r="W900" i="1"/>
  <c r="V900" i="1"/>
  <c r="R900" i="1"/>
  <c r="Q900" i="1"/>
  <c r="P900" i="1"/>
  <c r="N900" i="1"/>
  <c r="M900" i="1"/>
  <c r="L900" i="1"/>
  <c r="H900" i="1"/>
  <c r="G900" i="1"/>
  <c r="F900" i="1"/>
  <c r="D900" i="1"/>
  <c r="C900" i="1"/>
  <c r="B900" i="1"/>
  <c r="AG899" i="1"/>
  <c r="S899" i="1"/>
  <c r="O899" i="1"/>
  <c r="I899" i="1"/>
  <c r="E899" i="1"/>
  <c r="AG898" i="1"/>
  <c r="AC898" i="1"/>
  <c r="Y898" i="1"/>
  <c r="I898" i="1"/>
  <c r="E898" i="1"/>
  <c r="AG897" i="1"/>
  <c r="AC897" i="1"/>
  <c r="Y897" i="1"/>
  <c r="S897" i="1"/>
  <c r="O897" i="1"/>
  <c r="I897" i="1"/>
  <c r="E897" i="1"/>
  <c r="AG896" i="1"/>
  <c r="AC896" i="1"/>
  <c r="Y896" i="1"/>
  <c r="S896" i="1"/>
  <c r="O896" i="1"/>
  <c r="I896" i="1"/>
  <c r="E896" i="1"/>
  <c r="AG895" i="1"/>
  <c r="AC895" i="1"/>
  <c r="Y895" i="1"/>
  <c r="S895" i="1"/>
  <c r="O895" i="1"/>
  <c r="I895" i="1"/>
  <c r="E895" i="1"/>
  <c r="AG894" i="1"/>
  <c r="AC894" i="1"/>
  <c r="Y894" i="1"/>
  <c r="S894" i="1"/>
  <c r="O894" i="1"/>
  <c r="I894" i="1"/>
  <c r="E894" i="1"/>
  <c r="AG893" i="1"/>
  <c r="AC893" i="1"/>
  <c r="Y893" i="1"/>
  <c r="S893" i="1"/>
  <c r="O893" i="1"/>
  <c r="I893" i="1"/>
  <c r="E893" i="1"/>
  <c r="AG892" i="1"/>
  <c r="AC892" i="1"/>
  <c r="Y892" i="1"/>
  <c r="S892" i="1"/>
  <c r="O892" i="1"/>
  <c r="I892" i="1"/>
  <c r="E892" i="1"/>
  <c r="AG891" i="1"/>
  <c r="AC891" i="1"/>
  <c r="Y891" i="1"/>
  <c r="S891" i="1"/>
  <c r="O891" i="1"/>
  <c r="I891" i="1"/>
  <c r="E891" i="1"/>
  <c r="AG890" i="1"/>
  <c r="AC890" i="1"/>
  <c r="Y890" i="1"/>
  <c r="S890" i="1"/>
  <c r="O890" i="1"/>
  <c r="I890" i="1"/>
  <c r="E890" i="1"/>
  <c r="AG889" i="1"/>
  <c r="AC889" i="1"/>
  <c r="Y889" i="1"/>
  <c r="S889" i="1"/>
  <c r="O889" i="1"/>
  <c r="I889" i="1"/>
  <c r="E889" i="1"/>
  <c r="AG888" i="1"/>
  <c r="AC888" i="1"/>
  <c r="Y888" i="1"/>
  <c r="S888" i="1"/>
  <c r="O888" i="1"/>
  <c r="I888" i="1"/>
  <c r="E888" i="1"/>
  <c r="AG887" i="1"/>
  <c r="AC887" i="1"/>
  <c r="Y887" i="1"/>
  <c r="S887" i="1"/>
  <c r="O887" i="1"/>
  <c r="I887" i="1"/>
  <c r="E887" i="1"/>
  <c r="AG886" i="1"/>
  <c r="AC886" i="1"/>
  <c r="Y886" i="1"/>
  <c r="S886" i="1"/>
  <c r="O886" i="1"/>
  <c r="I886" i="1"/>
  <c r="E886" i="1"/>
  <c r="AG885" i="1"/>
  <c r="AC885" i="1"/>
  <c r="Y885" i="1"/>
  <c r="S885" i="1"/>
  <c r="O885" i="1"/>
  <c r="I885" i="1"/>
  <c r="E885" i="1"/>
  <c r="AG884" i="1"/>
  <c r="AC884" i="1"/>
  <c r="Y884" i="1"/>
  <c r="S884" i="1"/>
  <c r="O884" i="1"/>
  <c r="I884" i="1"/>
  <c r="E884" i="1"/>
  <c r="AG883" i="1"/>
  <c r="AC883" i="1"/>
  <c r="Y883" i="1"/>
  <c r="S883" i="1"/>
  <c r="O883" i="1"/>
  <c r="I883" i="1"/>
  <c r="E883" i="1"/>
  <c r="AG882" i="1"/>
  <c r="AC882" i="1"/>
  <c r="Y882" i="1"/>
  <c r="S882" i="1"/>
  <c r="O882" i="1"/>
  <c r="I882" i="1"/>
  <c r="E882" i="1"/>
  <c r="AG881" i="1"/>
  <c r="AC881" i="1"/>
  <c r="Y881" i="1"/>
  <c r="S881" i="1"/>
  <c r="O881" i="1"/>
  <c r="I881" i="1"/>
  <c r="E881" i="1"/>
  <c r="AG880" i="1"/>
  <c r="AC880" i="1"/>
  <c r="Y880" i="1"/>
  <c r="S880" i="1"/>
  <c r="O880" i="1"/>
  <c r="I880" i="1"/>
  <c r="E880" i="1"/>
  <c r="AG879" i="1"/>
  <c r="AC879" i="1"/>
  <c r="Y879" i="1"/>
  <c r="S879" i="1"/>
  <c r="O879" i="1"/>
  <c r="I879" i="1"/>
  <c r="E879" i="1"/>
  <c r="AG878" i="1"/>
  <c r="AC878" i="1"/>
  <c r="Y878" i="1"/>
  <c r="S878" i="1"/>
  <c r="O878" i="1"/>
  <c r="I878" i="1"/>
  <c r="E878" i="1"/>
  <c r="AG877" i="1"/>
  <c r="AC877" i="1"/>
  <c r="Y877" i="1"/>
  <c r="S877" i="1"/>
  <c r="O877" i="1"/>
  <c r="I877" i="1"/>
  <c r="E877" i="1"/>
  <c r="AG876" i="1"/>
  <c r="AC876" i="1"/>
  <c r="Y876" i="1"/>
  <c r="S876" i="1"/>
  <c r="O876" i="1"/>
  <c r="I876" i="1"/>
  <c r="E876" i="1"/>
  <c r="AG874" i="1"/>
  <c r="AC874" i="1"/>
  <c r="Y874" i="1"/>
  <c r="S874" i="1"/>
  <c r="O874" i="1"/>
  <c r="I874" i="1"/>
  <c r="E874" i="1"/>
  <c r="AG873" i="1"/>
  <c r="AC873" i="1"/>
  <c r="Y873" i="1"/>
  <c r="S873" i="1"/>
  <c r="O873" i="1"/>
  <c r="I873" i="1"/>
  <c r="E873" i="1"/>
  <c r="AG872" i="1"/>
  <c r="AC872" i="1"/>
  <c r="Y872" i="1"/>
  <c r="S872" i="1"/>
  <c r="O872" i="1"/>
  <c r="I872" i="1"/>
  <c r="E872" i="1"/>
  <c r="AG871" i="1"/>
  <c r="AC871" i="1"/>
  <c r="Y871" i="1"/>
  <c r="S871" i="1"/>
  <c r="O871" i="1"/>
  <c r="I871" i="1"/>
  <c r="E871" i="1"/>
  <c r="AG870" i="1"/>
  <c r="AC870" i="1"/>
  <c r="Y870" i="1"/>
  <c r="S870" i="1"/>
  <c r="O870" i="1"/>
  <c r="I870" i="1"/>
  <c r="E870" i="1"/>
  <c r="AG869" i="1"/>
  <c r="AC869" i="1"/>
  <c r="Y869" i="1"/>
  <c r="S869" i="1"/>
  <c r="O869" i="1"/>
  <c r="I869" i="1"/>
  <c r="E869" i="1"/>
  <c r="AG868" i="1"/>
  <c r="AC868" i="1"/>
  <c r="Y868" i="1"/>
  <c r="S868" i="1"/>
  <c r="O868" i="1"/>
  <c r="I868" i="1"/>
  <c r="E868" i="1"/>
  <c r="AG867" i="1"/>
  <c r="AC867" i="1"/>
  <c r="Y867" i="1"/>
  <c r="I867" i="1"/>
  <c r="E867" i="1"/>
  <c r="AG866" i="1"/>
  <c r="AC866" i="1"/>
  <c r="Y866" i="1"/>
  <c r="S866" i="1"/>
  <c r="O866" i="1"/>
  <c r="I866" i="1"/>
  <c r="E866" i="1"/>
  <c r="AG865" i="1"/>
  <c r="AC865" i="1"/>
  <c r="Y865" i="1"/>
  <c r="S865" i="1"/>
  <c r="O865" i="1"/>
  <c r="I865" i="1"/>
  <c r="E865" i="1"/>
  <c r="AC900" i="1" l="1"/>
  <c r="E900" i="1"/>
  <c r="I900" i="1"/>
  <c r="S900" i="1"/>
  <c r="O900" i="1"/>
  <c r="AG900" i="1"/>
  <c r="Y900" i="1"/>
  <c r="AG813" i="1"/>
  <c r="AC813" i="1"/>
  <c r="Y813" i="1"/>
  <c r="AG824" i="1" l="1"/>
  <c r="AC824" i="1"/>
  <c r="Y824" i="1"/>
  <c r="S811" i="1" l="1"/>
  <c r="O811" i="1"/>
  <c r="AC833" i="1"/>
  <c r="Y833" i="1"/>
  <c r="O813" i="1"/>
  <c r="S812" i="1"/>
  <c r="O812" i="1"/>
  <c r="E822" i="1"/>
  <c r="I822" i="1"/>
  <c r="Y822" i="1"/>
  <c r="AC822" i="1"/>
  <c r="AG822" i="1"/>
  <c r="E823" i="1"/>
  <c r="I823" i="1"/>
  <c r="O823" i="1"/>
  <c r="S823" i="1"/>
  <c r="Y823" i="1"/>
  <c r="AC823" i="1"/>
  <c r="AG823" i="1"/>
  <c r="E824" i="1"/>
  <c r="I824" i="1"/>
  <c r="O824" i="1"/>
  <c r="S824" i="1"/>
  <c r="E825" i="1"/>
  <c r="I825" i="1"/>
  <c r="O825" i="1"/>
  <c r="S825" i="1"/>
  <c r="Y825" i="1"/>
  <c r="AC825" i="1"/>
  <c r="AG825" i="1"/>
  <c r="O826" i="1"/>
  <c r="S826" i="1"/>
  <c r="Y826" i="1"/>
  <c r="AC826" i="1"/>
  <c r="AG826" i="1"/>
  <c r="E827" i="1"/>
  <c r="I827" i="1"/>
  <c r="O827" i="1"/>
  <c r="S827" i="1"/>
  <c r="Y827" i="1"/>
  <c r="AC827" i="1"/>
  <c r="AG827" i="1"/>
  <c r="E828" i="1"/>
  <c r="I828" i="1"/>
  <c r="O828" i="1"/>
  <c r="S828" i="1"/>
  <c r="Y828" i="1"/>
  <c r="AC828" i="1"/>
  <c r="AG828" i="1"/>
  <c r="E829" i="1"/>
  <c r="I829" i="1"/>
  <c r="O829" i="1"/>
  <c r="S829" i="1"/>
  <c r="Y829" i="1"/>
  <c r="AC829" i="1"/>
  <c r="AG829" i="1"/>
  <c r="E830" i="1"/>
  <c r="I830" i="1"/>
  <c r="O830" i="1"/>
  <c r="S830" i="1"/>
  <c r="Y830" i="1"/>
  <c r="AC830" i="1"/>
  <c r="AG830" i="1"/>
  <c r="E831" i="1"/>
  <c r="I831" i="1"/>
  <c r="O831" i="1"/>
  <c r="S831" i="1"/>
  <c r="Y831" i="1"/>
  <c r="AC831" i="1"/>
  <c r="AG831" i="1"/>
  <c r="E833" i="1"/>
  <c r="I833" i="1"/>
  <c r="O833" i="1"/>
  <c r="S833" i="1"/>
  <c r="AG833" i="1"/>
  <c r="E834" i="1"/>
  <c r="I834" i="1"/>
  <c r="O834" i="1"/>
  <c r="S834" i="1"/>
  <c r="Y834" i="1"/>
  <c r="AC834" i="1"/>
  <c r="AG834" i="1"/>
  <c r="E835" i="1"/>
  <c r="I835" i="1"/>
  <c r="O835" i="1"/>
  <c r="S835" i="1"/>
  <c r="Y835" i="1"/>
  <c r="AC835" i="1"/>
  <c r="AG835" i="1"/>
  <c r="E836" i="1"/>
  <c r="I836" i="1"/>
  <c r="O836" i="1"/>
  <c r="S836" i="1"/>
  <c r="Y836" i="1"/>
  <c r="AC836" i="1"/>
  <c r="AG836" i="1"/>
  <c r="E837" i="1"/>
  <c r="I837" i="1"/>
  <c r="O837" i="1"/>
  <c r="S837" i="1"/>
  <c r="Y837" i="1"/>
  <c r="AC837" i="1"/>
  <c r="AG837" i="1"/>
  <c r="E838" i="1"/>
  <c r="I838" i="1"/>
  <c r="O838" i="1"/>
  <c r="S838" i="1"/>
  <c r="Y838" i="1"/>
  <c r="AC838" i="1"/>
  <c r="AG838" i="1"/>
  <c r="E839" i="1"/>
  <c r="I839" i="1"/>
  <c r="O839" i="1"/>
  <c r="S839" i="1"/>
  <c r="Y839" i="1"/>
  <c r="AC839" i="1"/>
  <c r="AG839" i="1"/>
  <c r="E840" i="1"/>
  <c r="I840" i="1"/>
  <c r="O840" i="1"/>
  <c r="S840" i="1"/>
  <c r="Y840" i="1"/>
  <c r="AC840" i="1"/>
  <c r="AG840" i="1"/>
  <c r="E841" i="1"/>
  <c r="I841" i="1"/>
  <c r="O841" i="1"/>
  <c r="S841" i="1"/>
  <c r="Y841" i="1"/>
  <c r="AC841" i="1"/>
  <c r="AG841" i="1"/>
  <c r="E842" i="1"/>
  <c r="I842" i="1"/>
  <c r="O842" i="1"/>
  <c r="S842" i="1"/>
  <c r="Y842" i="1"/>
  <c r="AC842" i="1"/>
  <c r="AG842" i="1"/>
  <c r="E843" i="1"/>
  <c r="I843" i="1"/>
  <c r="O843" i="1"/>
  <c r="S843" i="1"/>
  <c r="Y843" i="1"/>
  <c r="AC843" i="1"/>
  <c r="AG843" i="1"/>
  <c r="E844" i="1"/>
  <c r="I844" i="1"/>
  <c r="O844" i="1"/>
  <c r="S844" i="1"/>
  <c r="Y844" i="1"/>
  <c r="AC844" i="1"/>
  <c r="AG844" i="1"/>
  <c r="E845" i="1"/>
  <c r="I845" i="1"/>
  <c r="O845" i="1"/>
  <c r="S845" i="1"/>
  <c r="Y845" i="1"/>
  <c r="AC845" i="1"/>
  <c r="AG845" i="1"/>
  <c r="E846" i="1"/>
  <c r="I846" i="1"/>
  <c r="O846" i="1"/>
  <c r="S846" i="1"/>
  <c r="Y846" i="1"/>
  <c r="AC846" i="1"/>
  <c r="AG846" i="1"/>
  <c r="E847" i="1"/>
  <c r="I847" i="1"/>
  <c r="O847" i="1"/>
  <c r="S847" i="1"/>
  <c r="Y847" i="1"/>
  <c r="AC847" i="1"/>
  <c r="AG847" i="1"/>
  <c r="E848" i="1"/>
  <c r="I848" i="1"/>
  <c r="O848" i="1"/>
  <c r="S848" i="1"/>
  <c r="Y848" i="1"/>
  <c r="AC848" i="1"/>
  <c r="AG848" i="1"/>
  <c r="E849" i="1"/>
  <c r="I849" i="1"/>
  <c r="O849" i="1"/>
  <c r="S849" i="1"/>
  <c r="Y849" i="1"/>
  <c r="AC849" i="1"/>
  <c r="AG849" i="1"/>
  <c r="E850" i="1"/>
  <c r="I850" i="1"/>
  <c r="O850" i="1"/>
  <c r="S850" i="1"/>
  <c r="Y850" i="1"/>
  <c r="AC850" i="1"/>
  <c r="AG850" i="1"/>
  <c r="E851" i="1"/>
  <c r="I851" i="1"/>
  <c r="O851" i="1"/>
  <c r="S851" i="1"/>
  <c r="Y851" i="1"/>
  <c r="AC851" i="1"/>
  <c r="AG851" i="1"/>
  <c r="E852" i="1"/>
  <c r="I852" i="1"/>
  <c r="O852" i="1"/>
  <c r="S852" i="1"/>
  <c r="Y852" i="1"/>
  <c r="AC852" i="1"/>
  <c r="AG852" i="1"/>
  <c r="E853" i="1"/>
  <c r="I853" i="1"/>
  <c r="O853" i="1"/>
  <c r="S853" i="1"/>
  <c r="Y853" i="1"/>
  <c r="AC853" i="1"/>
  <c r="AG853" i="1"/>
  <c r="E854" i="1"/>
  <c r="I854" i="1"/>
  <c r="O854" i="1"/>
  <c r="S854" i="1"/>
  <c r="Y854" i="1"/>
  <c r="AC854" i="1"/>
  <c r="AG854" i="1"/>
  <c r="E855" i="1"/>
  <c r="I855" i="1"/>
  <c r="Y855" i="1"/>
  <c r="AC855" i="1"/>
  <c r="AG855" i="1"/>
  <c r="E856" i="1"/>
  <c r="I856" i="1"/>
  <c r="Y856" i="1"/>
  <c r="AC856" i="1"/>
  <c r="AG856" i="1"/>
  <c r="B857" i="1"/>
  <c r="C857" i="1"/>
  <c r="D857" i="1"/>
  <c r="F857" i="1"/>
  <c r="G857" i="1"/>
  <c r="H857" i="1"/>
  <c r="L857" i="1"/>
  <c r="M857" i="1"/>
  <c r="N857" i="1"/>
  <c r="P857" i="1"/>
  <c r="Q857" i="1"/>
  <c r="R857" i="1"/>
  <c r="V857" i="1"/>
  <c r="W857" i="1"/>
  <c r="X857" i="1"/>
  <c r="Z857" i="1"/>
  <c r="AA857" i="1"/>
  <c r="AB857" i="1"/>
  <c r="AD857" i="1"/>
  <c r="AE857" i="1"/>
  <c r="AF857" i="1"/>
  <c r="I857" i="1" l="1"/>
  <c r="S857" i="1"/>
  <c r="Y857" i="1"/>
  <c r="E857" i="1"/>
  <c r="AC857" i="1"/>
  <c r="O857" i="1"/>
  <c r="S813" i="1"/>
  <c r="AG857" i="1"/>
  <c r="S809" i="1"/>
  <c r="O809" i="1"/>
  <c r="O810" i="1" l="1"/>
  <c r="S810" i="1"/>
  <c r="AG727" i="1"/>
  <c r="AC727" i="1"/>
  <c r="Y727" i="1"/>
  <c r="AG770" i="1"/>
  <c r="AC770" i="1"/>
  <c r="Y770" i="1"/>
  <c r="AG783" i="1"/>
  <c r="AC783" i="1"/>
  <c r="Y783" i="1"/>
  <c r="AG782" i="1"/>
  <c r="AC782" i="1"/>
  <c r="Y782" i="1"/>
  <c r="AG781" i="1"/>
  <c r="AC781" i="1"/>
  <c r="Y781" i="1"/>
  <c r="S769" i="1" l="1"/>
  <c r="O769" i="1"/>
  <c r="O768" i="1" l="1"/>
  <c r="S768" i="1"/>
  <c r="S693" i="1"/>
  <c r="O693" i="1"/>
  <c r="AG738" i="1" l="1"/>
  <c r="AC738" i="1"/>
  <c r="Y738" i="1"/>
  <c r="S738" i="1"/>
  <c r="O738" i="1"/>
  <c r="S727" i="1" l="1"/>
  <c r="O727" i="1"/>
  <c r="S770" i="1"/>
  <c r="O770" i="1"/>
  <c r="AF814" i="1"/>
  <c r="AE814" i="1"/>
  <c r="AD814" i="1"/>
  <c r="AB814" i="1"/>
  <c r="AA814" i="1"/>
  <c r="Z814" i="1"/>
  <c r="X814" i="1"/>
  <c r="W814" i="1"/>
  <c r="V814" i="1"/>
  <c r="R814" i="1"/>
  <c r="Q814" i="1"/>
  <c r="P814" i="1"/>
  <c r="N814" i="1"/>
  <c r="M814" i="1"/>
  <c r="L814" i="1"/>
  <c r="H814" i="1"/>
  <c r="G814" i="1"/>
  <c r="F814" i="1"/>
  <c r="D814" i="1"/>
  <c r="C814" i="1"/>
  <c r="B814" i="1"/>
  <c r="I813" i="1"/>
  <c r="E813" i="1"/>
  <c r="AG812" i="1"/>
  <c r="AC812" i="1"/>
  <c r="Y812" i="1"/>
  <c r="I812" i="1"/>
  <c r="E812" i="1"/>
  <c r="AG811" i="1"/>
  <c r="AC811" i="1"/>
  <c r="Y811" i="1"/>
  <c r="I811" i="1"/>
  <c r="E811" i="1"/>
  <c r="AG810" i="1"/>
  <c r="AC810" i="1"/>
  <c r="Y810" i="1"/>
  <c r="I810" i="1"/>
  <c r="E810" i="1"/>
  <c r="AG809" i="1"/>
  <c r="AC809" i="1"/>
  <c r="Y809" i="1"/>
  <c r="I809" i="1"/>
  <c r="E809" i="1"/>
  <c r="AG808" i="1"/>
  <c r="AC808" i="1"/>
  <c r="Y808" i="1"/>
  <c r="S808" i="1"/>
  <c r="O808" i="1"/>
  <c r="I808" i="1"/>
  <c r="E808" i="1"/>
  <c r="AG807" i="1"/>
  <c r="AC807" i="1"/>
  <c r="Y807" i="1"/>
  <c r="S807" i="1"/>
  <c r="O807" i="1"/>
  <c r="I807" i="1"/>
  <c r="E807" i="1"/>
  <c r="AG806" i="1"/>
  <c r="AC806" i="1"/>
  <c r="Y806" i="1"/>
  <c r="S806" i="1"/>
  <c r="O806" i="1"/>
  <c r="I806" i="1"/>
  <c r="E806" i="1"/>
  <c r="AG805" i="1"/>
  <c r="AC805" i="1"/>
  <c r="Y805" i="1"/>
  <c r="S805" i="1"/>
  <c r="O805" i="1"/>
  <c r="I805" i="1"/>
  <c r="E805" i="1"/>
  <c r="AG804" i="1"/>
  <c r="AC804" i="1"/>
  <c r="Y804" i="1"/>
  <c r="S804" i="1"/>
  <c r="O804" i="1"/>
  <c r="I804" i="1"/>
  <c r="E804" i="1"/>
  <c r="AG803" i="1"/>
  <c r="AC803" i="1"/>
  <c r="Y803" i="1"/>
  <c r="S803" i="1"/>
  <c r="O803" i="1"/>
  <c r="I803" i="1"/>
  <c r="E803" i="1"/>
  <c r="AG802" i="1"/>
  <c r="AC802" i="1"/>
  <c r="Y802" i="1"/>
  <c r="S802" i="1"/>
  <c r="O802" i="1"/>
  <c r="I802" i="1"/>
  <c r="E802" i="1"/>
  <c r="AG801" i="1"/>
  <c r="AC801" i="1"/>
  <c r="Y801" i="1"/>
  <c r="S801" i="1"/>
  <c r="O801" i="1"/>
  <c r="I801" i="1"/>
  <c r="E801" i="1"/>
  <c r="AG800" i="1"/>
  <c r="AC800" i="1"/>
  <c r="Y800" i="1"/>
  <c r="S800" i="1"/>
  <c r="O800" i="1"/>
  <c r="I800" i="1"/>
  <c r="E800" i="1"/>
  <c r="AG799" i="1"/>
  <c r="AC799" i="1"/>
  <c r="Y799" i="1"/>
  <c r="S799" i="1"/>
  <c r="O799" i="1"/>
  <c r="I799" i="1"/>
  <c r="E799" i="1"/>
  <c r="AG798" i="1"/>
  <c r="AC798" i="1"/>
  <c r="Y798" i="1"/>
  <c r="S798" i="1"/>
  <c r="O798" i="1"/>
  <c r="I798" i="1"/>
  <c r="E798" i="1"/>
  <c r="AG797" i="1"/>
  <c r="AC797" i="1"/>
  <c r="Y797" i="1"/>
  <c r="S797" i="1"/>
  <c r="O797" i="1"/>
  <c r="I797" i="1"/>
  <c r="E797" i="1"/>
  <c r="AG796" i="1"/>
  <c r="AC796" i="1"/>
  <c r="Y796" i="1"/>
  <c r="S796" i="1"/>
  <c r="O796" i="1"/>
  <c r="I796" i="1"/>
  <c r="E796" i="1"/>
  <c r="AG795" i="1"/>
  <c r="AC795" i="1"/>
  <c r="Y795" i="1"/>
  <c r="S795" i="1"/>
  <c r="O795" i="1"/>
  <c r="I795" i="1"/>
  <c r="E795" i="1"/>
  <c r="AG794" i="1"/>
  <c r="AC794" i="1"/>
  <c r="Y794" i="1"/>
  <c r="S794" i="1"/>
  <c r="O794" i="1"/>
  <c r="I794" i="1"/>
  <c r="E794" i="1"/>
  <c r="AG793" i="1"/>
  <c r="AC793" i="1"/>
  <c r="Y793" i="1"/>
  <c r="S793" i="1"/>
  <c r="O793" i="1"/>
  <c r="I793" i="1"/>
  <c r="E793" i="1"/>
  <c r="AG792" i="1"/>
  <c r="AC792" i="1"/>
  <c r="Y792" i="1"/>
  <c r="S792" i="1"/>
  <c r="O792" i="1"/>
  <c r="I792" i="1"/>
  <c r="E792" i="1"/>
  <c r="AG791" i="1"/>
  <c r="AC791" i="1"/>
  <c r="Y791" i="1"/>
  <c r="S791" i="1"/>
  <c r="O791" i="1"/>
  <c r="I791" i="1"/>
  <c r="E791" i="1"/>
  <c r="AG790" i="1"/>
  <c r="AC790" i="1"/>
  <c r="Y790" i="1"/>
  <c r="S790" i="1"/>
  <c r="O790" i="1"/>
  <c r="I790" i="1"/>
  <c r="E790" i="1"/>
  <c r="AG788" i="1"/>
  <c r="AC788" i="1"/>
  <c r="Y788" i="1"/>
  <c r="S788" i="1"/>
  <c r="O788" i="1"/>
  <c r="I788" i="1"/>
  <c r="E788" i="1"/>
  <c r="AG787" i="1"/>
  <c r="AC787" i="1"/>
  <c r="Y787" i="1"/>
  <c r="S787" i="1"/>
  <c r="O787" i="1"/>
  <c r="I787" i="1"/>
  <c r="E787" i="1"/>
  <c r="AG786" i="1"/>
  <c r="AC786" i="1"/>
  <c r="Y786" i="1"/>
  <c r="S786" i="1"/>
  <c r="O786" i="1"/>
  <c r="I786" i="1"/>
  <c r="E786" i="1"/>
  <c r="AG785" i="1"/>
  <c r="AC785" i="1"/>
  <c r="Y785" i="1"/>
  <c r="S785" i="1"/>
  <c r="O785" i="1"/>
  <c r="I785" i="1"/>
  <c r="E785" i="1"/>
  <c r="AG784" i="1"/>
  <c r="AC784" i="1"/>
  <c r="Y784" i="1"/>
  <c r="S784" i="1"/>
  <c r="O784" i="1"/>
  <c r="I784" i="1"/>
  <c r="E784" i="1"/>
  <c r="S783" i="1"/>
  <c r="O783" i="1"/>
  <c r="I783" i="1"/>
  <c r="E783" i="1"/>
  <c r="S782" i="1"/>
  <c r="O782" i="1"/>
  <c r="S781" i="1"/>
  <c r="O781" i="1"/>
  <c r="I781" i="1"/>
  <c r="E781" i="1"/>
  <c r="AG780" i="1"/>
  <c r="AC780" i="1"/>
  <c r="Y780" i="1"/>
  <c r="S780" i="1"/>
  <c r="O780" i="1"/>
  <c r="I780" i="1"/>
  <c r="E780" i="1"/>
  <c r="AG779" i="1"/>
  <c r="AC779" i="1"/>
  <c r="Y779" i="1"/>
  <c r="S779" i="1"/>
  <c r="O779" i="1"/>
  <c r="I779" i="1"/>
  <c r="E779" i="1"/>
  <c r="I814" i="1" l="1"/>
  <c r="S814" i="1"/>
  <c r="AG814" i="1"/>
  <c r="E814" i="1"/>
  <c r="Y814" i="1"/>
  <c r="AC814" i="1"/>
  <c r="O814" i="1"/>
  <c r="H694" i="1"/>
  <c r="D694" i="1"/>
  <c r="S724" i="1" l="1"/>
  <c r="O724" i="1"/>
  <c r="R728" i="1"/>
  <c r="Q728" i="1"/>
  <c r="M728" i="1"/>
  <c r="S726" i="1"/>
  <c r="O726" i="1"/>
  <c r="S725" i="1"/>
  <c r="O725" i="1"/>
  <c r="S697" i="1"/>
  <c r="O697" i="1"/>
  <c r="P728" i="1"/>
  <c r="S766" i="1"/>
  <c r="O766" i="1"/>
  <c r="S684" i="1"/>
  <c r="O684" i="1"/>
  <c r="P685" i="1"/>
  <c r="P305" i="1"/>
  <c r="P316" i="1" s="1"/>
  <c r="P341" i="1"/>
  <c r="P384" i="1"/>
  <c r="P427" i="1"/>
  <c r="P470" i="1"/>
  <c r="P513" i="1"/>
  <c r="P556" i="1"/>
  <c r="P599" i="1"/>
  <c r="P642" i="1"/>
  <c r="Q685" i="1"/>
  <c r="Q305" i="1"/>
  <c r="Q316" i="1" s="1"/>
  <c r="Q341" i="1"/>
  <c r="Q384" i="1"/>
  <c r="Q427" i="1"/>
  <c r="Q470" i="1"/>
  <c r="Q513" i="1"/>
  <c r="Q556" i="1"/>
  <c r="Q599" i="1"/>
  <c r="Q642" i="1"/>
  <c r="R685" i="1"/>
  <c r="R305" i="1"/>
  <c r="R316" i="1" s="1"/>
  <c r="R341" i="1"/>
  <c r="R384" i="1"/>
  <c r="R427" i="1"/>
  <c r="R470" i="1"/>
  <c r="R513" i="1"/>
  <c r="R556" i="1"/>
  <c r="R599" i="1"/>
  <c r="R642" i="1"/>
  <c r="P771" i="1"/>
  <c r="Q771" i="1"/>
  <c r="R771" i="1"/>
  <c r="L685" i="1"/>
  <c r="L305" i="1"/>
  <c r="L316" i="1" s="1"/>
  <c r="L341" i="1"/>
  <c r="L384" i="1"/>
  <c r="L427" i="1"/>
  <c r="L470" i="1"/>
  <c r="L513" i="1"/>
  <c r="L556" i="1"/>
  <c r="L599" i="1"/>
  <c r="L642" i="1"/>
  <c r="M685" i="1"/>
  <c r="M305" i="1"/>
  <c r="M316" i="1" s="1"/>
  <c r="M341" i="1"/>
  <c r="M384" i="1"/>
  <c r="M427" i="1"/>
  <c r="M470" i="1"/>
  <c r="M513" i="1"/>
  <c r="M556" i="1"/>
  <c r="M599" i="1"/>
  <c r="M642" i="1"/>
  <c r="N685" i="1"/>
  <c r="N305" i="1"/>
  <c r="N316" i="1" s="1"/>
  <c r="N341" i="1"/>
  <c r="N384" i="1"/>
  <c r="N427" i="1"/>
  <c r="N470" i="1"/>
  <c r="N513" i="1"/>
  <c r="N556" i="1"/>
  <c r="N599" i="1"/>
  <c r="N642" i="1"/>
  <c r="N728" i="1"/>
  <c r="L771" i="1"/>
  <c r="M771" i="1"/>
  <c r="N771" i="1"/>
  <c r="F15" i="1"/>
  <c r="F40" i="1"/>
  <c r="F83" i="1"/>
  <c r="F126" i="1"/>
  <c r="F169" i="1"/>
  <c r="F212" i="1"/>
  <c r="F255" i="1"/>
  <c r="F298" i="1"/>
  <c r="F341" i="1"/>
  <c r="F384" i="1"/>
  <c r="F427" i="1"/>
  <c r="F470" i="1"/>
  <c r="F513" i="1"/>
  <c r="F556" i="1"/>
  <c r="F599" i="1"/>
  <c r="F642" i="1"/>
  <c r="F685" i="1"/>
  <c r="F728" i="1"/>
  <c r="G15" i="1"/>
  <c r="G40" i="1"/>
  <c r="G83" i="1"/>
  <c r="G126" i="1"/>
  <c r="G169" i="1"/>
  <c r="G212" i="1"/>
  <c r="G255" i="1"/>
  <c r="G298" i="1"/>
  <c r="G341" i="1"/>
  <c r="G384" i="1"/>
  <c r="G427" i="1"/>
  <c r="G470" i="1"/>
  <c r="G513" i="1"/>
  <c r="G556" i="1"/>
  <c r="G599" i="1"/>
  <c r="G642" i="1"/>
  <c r="G685" i="1"/>
  <c r="G728" i="1"/>
  <c r="H15" i="1"/>
  <c r="H40" i="1"/>
  <c r="H83" i="1"/>
  <c r="H126" i="1"/>
  <c r="H169" i="1"/>
  <c r="H212" i="1"/>
  <c r="H255" i="1"/>
  <c r="H298" i="1"/>
  <c r="H341" i="1"/>
  <c r="H384" i="1"/>
  <c r="H427" i="1"/>
  <c r="H470" i="1"/>
  <c r="H513" i="1"/>
  <c r="H556" i="1"/>
  <c r="H599" i="1"/>
  <c r="H642" i="1"/>
  <c r="H685" i="1"/>
  <c r="H728" i="1"/>
  <c r="F771" i="1"/>
  <c r="G771" i="1"/>
  <c r="H771" i="1"/>
  <c r="B15" i="1"/>
  <c r="B40" i="1"/>
  <c r="B83" i="1"/>
  <c r="B126" i="1"/>
  <c r="B169" i="1"/>
  <c r="B212" i="1"/>
  <c r="B255" i="1"/>
  <c r="B298" i="1"/>
  <c r="B341" i="1"/>
  <c r="B384" i="1"/>
  <c r="B427" i="1"/>
  <c r="B470" i="1"/>
  <c r="B513" i="1"/>
  <c r="B556" i="1"/>
  <c r="B599" i="1"/>
  <c r="B642" i="1"/>
  <c r="B685" i="1"/>
  <c r="B728" i="1"/>
  <c r="C15" i="1"/>
  <c r="C40" i="1"/>
  <c r="C83" i="1"/>
  <c r="C126" i="1"/>
  <c r="C169" i="1"/>
  <c r="C212" i="1"/>
  <c r="C255" i="1"/>
  <c r="C298" i="1"/>
  <c r="C341" i="1"/>
  <c r="C384" i="1"/>
  <c r="C427" i="1"/>
  <c r="C470" i="1"/>
  <c r="C513" i="1"/>
  <c r="C556" i="1"/>
  <c r="C599" i="1"/>
  <c r="C642" i="1"/>
  <c r="C685" i="1"/>
  <c r="C728" i="1"/>
  <c r="D15" i="1"/>
  <c r="D40" i="1"/>
  <c r="D83" i="1"/>
  <c r="D126" i="1"/>
  <c r="D169" i="1"/>
  <c r="D212" i="1"/>
  <c r="D255" i="1"/>
  <c r="D298" i="1"/>
  <c r="D341" i="1"/>
  <c r="D384" i="1"/>
  <c r="D427" i="1"/>
  <c r="D470" i="1"/>
  <c r="D513" i="1"/>
  <c r="D556" i="1"/>
  <c r="D599" i="1"/>
  <c r="D642" i="1"/>
  <c r="D685" i="1"/>
  <c r="D728" i="1"/>
  <c r="B771" i="1"/>
  <c r="C771" i="1"/>
  <c r="D771" i="1"/>
  <c r="I770" i="1"/>
  <c r="E770" i="1"/>
  <c r="I769" i="1"/>
  <c r="E769" i="1"/>
  <c r="I768" i="1"/>
  <c r="E768" i="1"/>
  <c r="S767" i="1"/>
  <c r="O767" i="1"/>
  <c r="I767" i="1"/>
  <c r="E767" i="1"/>
  <c r="I766" i="1"/>
  <c r="E766" i="1"/>
  <c r="S765" i="1"/>
  <c r="O765" i="1"/>
  <c r="I765" i="1"/>
  <c r="E765" i="1"/>
  <c r="S764" i="1"/>
  <c r="O764" i="1"/>
  <c r="I764" i="1"/>
  <c r="E764" i="1"/>
  <c r="S763" i="1"/>
  <c r="O763" i="1"/>
  <c r="I763" i="1"/>
  <c r="E763" i="1"/>
  <c r="S762" i="1"/>
  <c r="O762" i="1"/>
  <c r="I762" i="1"/>
  <c r="E762" i="1"/>
  <c r="S761" i="1"/>
  <c r="O761" i="1"/>
  <c r="I761" i="1"/>
  <c r="E761" i="1"/>
  <c r="S760" i="1"/>
  <c r="O760" i="1"/>
  <c r="I760" i="1"/>
  <c r="E760" i="1"/>
  <c r="S759" i="1"/>
  <c r="O759" i="1"/>
  <c r="I759" i="1"/>
  <c r="E759" i="1"/>
  <c r="S758" i="1"/>
  <c r="O758" i="1"/>
  <c r="I758" i="1"/>
  <c r="E758" i="1"/>
  <c r="S757" i="1"/>
  <c r="O757" i="1"/>
  <c r="I757" i="1"/>
  <c r="E757" i="1"/>
  <c r="S756" i="1"/>
  <c r="O756" i="1"/>
  <c r="I756" i="1"/>
  <c r="E756" i="1"/>
  <c r="S755" i="1"/>
  <c r="O755" i="1"/>
  <c r="I755" i="1"/>
  <c r="E755" i="1"/>
  <c r="S754" i="1"/>
  <c r="O754" i="1"/>
  <c r="I754" i="1"/>
  <c r="E754" i="1"/>
  <c r="S753" i="1"/>
  <c r="O753" i="1"/>
  <c r="I753" i="1"/>
  <c r="E753" i="1"/>
  <c r="S752" i="1"/>
  <c r="O752" i="1"/>
  <c r="I752" i="1"/>
  <c r="E752" i="1"/>
  <c r="S751" i="1"/>
  <c r="O751" i="1"/>
  <c r="I751" i="1"/>
  <c r="E751" i="1"/>
  <c r="S750" i="1"/>
  <c r="O750" i="1"/>
  <c r="I750" i="1"/>
  <c r="E750" i="1"/>
  <c r="S749" i="1"/>
  <c r="O749" i="1"/>
  <c r="I749" i="1"/>
  <c r="E749" i="1"/>
  <c r="S748" i="1"/>
  <c r="O748" i="1"/>
  <c r="I748" i="1"/>
  <c r="E748" i="1"/>
  <c r="S747" i="1"/>
  <c r="O747" i="1"/>
  <c r="I747" i="1"/>
  <c r="E747" i="1"/>
  <c r="S745" i="1"/>
  <c r="O745" i="1"/>
  <c r="I745" i="1"/>
  <c r="E745" i="1"/>
  <c r="S744" i="1"/>
  <c r="O744" i="1"/>
  <c r="I744" i="1"/>
  <c r="E744" i="1"/>
  <c r="S743" i="1"/>
  <c r="O743" i="1"/>
  <c r="I743" i="1"/>
  <c r="E743" i="1"/>
  <c r="S742" i="1"/>
  <c r="O742" i="1"/>
  <c r="I742" i="1"/>
  <c r="E742" i="1"/>
  <c r="S741" i="1"/>
  <c r="O741" i="1"/>
  <c r="I741" i="1"/>
  <c r="E741" i="1"/>
  <c r="S740" i="1"/>
  <c r="O740" i="1"/>
  <c r="I740" i="1"/>
  <c r="E740" i="1"/>
  <c r="S739" i="1"/>
  <c r="O739" i="1"/>
  <c r="I739" i="1"/>
  <c r="E739" i="1"/>
  <c r="I738" i="1"/>
  <c r="E738" i="1"/>
  <c r="S737" i="1"/>
  <c r="O737" i="1"/>
  <c r="I737" i="1"/>
  <c r="E737" i="1"/>
  <c r="S736" i="1"/>
  <c r="O736" i="1"/>
  <c r="I736" i="1"/>
  <c r="E736" i="1"/>
  <c r="AG726" i="1"/>
  <c r="AC726" i="1"/>
  <c r="Y726" i="1"/>
  <c r="AG694" i="1"/>
  <c r="AC694" i="1"/>
  <c r="Y694" i="1"/>
  <c r="AD606" i="1"/>
  <c r="AD617" i="1" s="1"/>
  <c r="AD642" i="1"/>
  <c r="AD685" i="1"/>
  <c r="AD728" i="1"/>
  <c r="AE606" i="1"/>
  <c r="AE617" i="1" s="1"/>
  <c r="AE642" i="1"/>
  <c r="AE685" i="1"/>
  <c r="AE728" i="1"/>
  <c r="AF606" i="1"/>
  <c r="AF617" i="1" s="1"/>
  <c r="AF642" i="1"/>
  <c r="AF685" i="1"/>
  <c r="AF728" i="1"/>
  <c r="AD771" i="1"/>
  <c r="AE771" i="1"/>
  <c r="AF771" i="1"/>
  <c r="Z606" i="1"/>
  <c r="Z617" i="1" s="1"/>
  <c r="Z642" i="1"/>
  <c r="Z685" i="1"/>
  <c r="Z728" i="1"/>
  <c r="AA606" i="1"/>
  <c r="AA642" i="1"/>
  <c r="AA685" i="1"/>
  <c r="AA728" i="1"/>
  <c r="AB606" i="1"/>
  <c r="AB617" i="1" s="1"/>
  <c r="AB642" i="1"/>
  <c r="AB685" i="1"/>
  <c r="AB728" i="1"/>
  <c r="Z771" i="1"/>
  <c r="AA771" i="1"/>
  <c r="AB771" i="1"/>
  <c r="V606" i="1"/>
  <c r="V642" i="1"/>
  <c r="V685" i="1"/>
  <c r="V728" i="1"/>
  <c r="W606" i="1"/>
  <c r="W617" i="1" s="1"/>
  <c r="W642" i="1"/>
  <c r="W685" i="1"/>
  <c r="W728" i="1"/>
  <c r="X606" i="1"/>
  <c r="X617" i="1" s="1"/>
  <c r="X642" i="1"/>
  <c r="X685" i="1"/>
  <c r="X728" i="1"/>
  <c r="V771" i="1"/>
  <c r="W771" i="1"/>
  <c r="X771" i="1"/>
  <c r="AG769" i="1"/>
  <c r="AC769" i="1"/>
  <c r="Y769" i="1"/>
  <c r="AG768" i="1"/>
  <c r="AC768" i="1"/>
  <c r="Y768" i="1"/>
  <c r="AG767" i="1"/>
  <c r="AC767" i="1"/>
  <c r="Y767" i="1"/>
  <c r="AG766" i="1"/>
  <c r="AC766" i="1"/>
  <c r="Y766" i="1"/>
  <c r="AG765" i="1"/>
  <c r="AC765" i="1"/>
  <c r="Y765" i="1"/>
  <c r="AG764" i="1"/>
  <c r="AC764" i="1"/>
  <c r="Y764" i="1"/>
  <c r="AG763" i="1"/>
  <c r="AC763" i="1"/>
  <c r="Y763" i="1"/>
  <c r="AG762" i="1"/>
  <c r="AC762" i="1"/>
  <c r="Y762" i="1"/>
  <c r="AG761" i="1"/>
  <c r="AC761" i="1"/>
  <c r="Y761" i="1"/>
  <c r="AG760" i="1"/>
  <c r="AC760" i="1"/>
  <c r="Y760" i="1"/>
  <c r="AG759" i="1"/>
  <c r="AC759" i="1"/>
  <c r="Y759" i="1"/>
  <c r="AG758" i="1"/>
  <c r="AC758" i="1"/>
  <c r="Y758" i="1"/>
  <c r="AG757" i="1"/>
  <c r="AC757" i="1"/>
  <c r="Y757" i="1"/>
  <c r="AG756" i="1"/>
  <c r="AC756" i="1"/>
  <c r="Y756" i="1"/>
  <c r="AG755" i="1"/>
  <c r="AC755" i="1"/>
  <c r="Y755" i="1"/>
  <c r="AG754" i="1"/>
  <c r="AC754" i="1"/>
  <c r="Y754" i="1"/>
  <c r="AG753" i="1"/>
  <c r="AC753" i="1"/>
  <c r="Y753" i="1"/>
  <c r="AG752" i="1"/>
  <c r="AC752" i="1"/>
  <c r="Y752" i="1"/>
  <c r="AG751" i="1"/>
  <c r="AC751" i="1"/>
  <c r="Y751" i="1"/>
  <c r="AG750" i="1"/>
  <c r="AC750" i="1"/>
  <c r="Y750" i="1"/>
  <c r="AG749" i="1"/>
  <c r="AC749" i="1"/>
  <c r="Y749" i="1"/>
  <c r="AG748" i="1"/>
  <c r="AC748" i="1"/>
  <c r="Y748" i="1"/>
  <c r="AG747" i="1"/>
  <c r="AC747" i="1"/>
  <c r="Y747" i="1"/>
  <c r="AG745" i="1"/>
  <c r="AC745" i="1"/>
  <c r="Y745" i="1"/>
  <c r="AG744" i="1"/>
  <c r="AC744" i="1"/>
  <c r="Y744" i="1"/>
  <c r="AG743" i="1"/>
  <c r="AC743" i="1"/>
  <c r="Y743" i="1"/>
  <c r="AG742" i="1"/>
  <c r="AC742" i="1"/>
  <c r="Y742" i="1"/>
  <c r="AG741" i="1"/>
  <c r="AC741" i="1"/>
  <c r="Y741" i="1"/>
  <c r="AG740" i="1"/>
  <c r="AC740" i="1"/>
  <c r="Y740" i="1"/>
  <c r="AG739" i="1"/>
  <c r="AC739" i="1"/>
  <c r="Y739" i="1"/>
  <c r="AG737" i="1"/>
  <c r="AC737" i="1"/>
  <c r="Y737" i="1"/>
  <c r="AG736" i="1"/>
  <c r="AC736" i="1"/>
  <c r="Y736" i="1"/>
  <c r="AG661" i="1"/>
  <c r="AC661" i="1"/>
  <c r="Y661" i="1"/>
  <c r="S662" i="1"/>
  <c r="O662" i="1"/>
  <c r="S621" i="1"/>
  <c r="O621" i="1"/>
  <c r="S619" i="1"/>
  <c r="O619" i="1"/>
  <c r="S618" i="1"/>
  <c r="O618" i="1"/>
  <c r="AC621" i="1"/>
  <c r="Y621" i="1"/>
  <c r="S682" i="1"/>
  <c r="O682" i="1"/>
  <c r="AG701" i="1"/>
  <c r="AC701" i="1"/>
  <c r="Y701" i="1"/>
  <c r="S683" i="1"/>
  <c r="O683" i="1"/>
  <c r="S640" i="1"/>
  <c r="O640" i="1"/>
  <c r="S637" i="1"/>
  <c r="O637" i="1"/>
  <c r="I727" i="1"/>
  <c r="E727" i="1"/>
  <c r="I726" i="1"/>
  <c r="E726" i="1"/>
  <c r="AG725" i="1"/>
  <c r="AC725" i="1"/>
  <c r="Y725" i="1"/>
  <c r="I725" i="1"/>
  <c r="E725" i="1"/>
  <c r="AG724" i="1"/>
  <c r="AC724" i="1"/>
  <c r="Y724" i="1"/>
  <c r="I724" i="1"/>
  <c r="E724" i="1"/>
  <c r="AG723" i="1"/>
  <c r="AC723" i="1"/>
  <c r="Y723" i="1"/>
  <c r="S723" i="1"/>
  <c r="O723" i="1"/>
  <c r="I723" i="1"/>
  <c r="E723" i="1"/>
  <c r="AG722" i="1"/>
  <c r="AC722" i="1"/>
  <c r="Y722" i="1"/>
  <c r="S722" i="1"/>
  <c r="O722" i="1"/>
  <c r="I722" i="1"/>
  <c r="E722" i="1"/>
  <c r="AG721" i="1"/>
  <c r="AC721" i="1"/>
  <c r="Y721" i="1"/>
  <c r="S721" i="1"/>
  <c r="O721" i="1"/>
  <c r="I721" i="1"/>
  <c r="E721" i="1"/>
  <c r="AG720" i="1"/>
  <c r="AC720" i="1"/>
  <c r="Y720" i="1"/>
  <c r="S720" i="1"/>
  <c r="O720" i="1"/>
  <c r="I720" i="1"/>
  <c r="E720" i="1"/>
  <c r="AG719" i="1"/>
  <c r="AC719" i="1"/>
  <c r="Y719" i="1"/>
  <c r="S719" i="1"/>
  <c r="O719" i="1"/>
  <c r="I719" i="1"/>
  <c r="E719" i="1"/>
  <c r="AG718" i="1"/>
  <c r="AC718" i="1"/>
  <c r="Y718" i="1"/>
  <c r="S718" i="1"/>
  <c r="O718" i="1"/>
  <c r="I718" i="1"/>
  <c r="E718" i="1"/>
  <c r="AG717" i="1"/>
  <c r="AC717" i="1"/>
  <c r="Y717" i="1"/>
  <c r="S717" i="1"/>
  <c r="O717" i="1"/>
  <c r="I717" i="1"/>
  <c r="E717" i="1"/>
  <c r="AG716" i="1"/>
  <c r="AC716" i="1"/>
  <c r="Y716" i="1"/>
  <c r="S716" i="1"/>
  <c r="O716" i="1"/>
  <c r="I716" i="1"/>
  <c r="E716" i="1"/>
  <c r="AG715" i="1"/>
  <c r="AC715" i="1"/>
  <c r="Y715" i="1"/>
  <c r="S715" i="1"/>
  <c r="O715" i="1"/>
  <c r="I715" i="1"/>
  <c r="E715" i="1"/>
  <c r="AG714" i="1"/>
  <c r="AC714" i="1"/>
  <c r="Y714" i="1"/>
  <c r="S714" i="1"/>
  <c r="O714" i="1"/>
  <c r="I714" i="1"/>
  <c r="E714" i="1"/>
  <c r="AG713" i="1"/>
  <c r="AC713" i="1"/>
  <c r="Y713" i="1"/>
  <c r="S713" i="1"/>
  <c r="O713" i="1"/>
  <c r="I713" i="1"/>
  <c r="E713" i="1"/>
  <c r="AG712" i="1"/>
  <c r="AC712" i="1"/>
  <c r="Y712" i="1"/>
  <c r="S712" i="1"/>
  <c r="O712" i="1"/>
  <c r="I712" i="1"/>
  <c r="E712" i="1"/>
  <c r="AG711" i="1"/>
  <c r="AC711" i="1"/>
  <c r="Y711" i="1"/>
  <c r="S711" i="1"/>
  <c r="O711" i="1"/>
  <c r="I711" i="1"/>
  <c r="E711" i="1"/>
  <c r="AG710" i="1"/>
  <c r="AC710" i="1"/>
  <c r="Y710" i="1"/>
  <c r="S710" i="1"/>
  <c r="O710" i="1"/>
  <c r="I710" i="1"/>
  <c r="E710" i="1"/>
  <c r="AG709" i="1"/>
  <c r="AC709" i="1"/>
  <c r="Y709" i="1"/>
  <c r="S709" i="1"/>
  <c r="O709" i="1"/>
  <c r="I709" i="1"/>
  <c r="E709" i="1"/>
  <c r="AG708" i="1"/>
  <c r="AC708" i="1"/>
  <c r="Y708" i="1"/>
  <c r="S708" i="1"/>
  <c r="O708" i="1"/>
  <c r="I708" i="1"/>
  <c r="E708" i="1"/>
  <c r="AG707" i="1"/>
  <c r="AC707" i="1"/>
  <c r="Y707" i="1"/>
  <c r="S707" i="1"/>
  <c r="O707" i="1"/>
  <c r="I707" i="1"/>
  <c r="E707" i="1"/>
  <c r="AG706" i="1"/>
  <c r="AC706" i="1"/>
  <c r="Y706" i="1"/>
  <c r="S706" i="1"/>
  <c r="O706" i="1"/>
  <c r="I706" i="1"/>
  <c r="E706" i="1"/>
  <c r="AG705" i="1"/>
  <c r="AC705" i="1"/>
  <c r="Y705" i="1"/>
  <c r="S705" i="1"/>
  <c r="O705" i="1"/>
  <c r="I705" i="1"/>
  <c r="E705" i="1"/>
  <c r="AG704" i="1"/>
  <c r="AC704" i="1"/>
  <c r="Y704" i="1"/>
  <c r="S704" i="1"/>
  <c r="O704" i="1"/>
  <c r="I704" i="1"/>
  <c r="E704" i="1"/>
  <c r="AG702" i="1"/>
  <c r="AC702" i="1"/>
  <c r="Y702" i="1"/>
  <c r="S702" i="1"/>
  <c r="O702" i="1"/>
  <c r="I702" i="1"/>
  <c r="E702" i="1"/>
  <c r="S701" i="1"/>
  <c r="O701" i="1"/>
  <c r="I701" i="1"/>
  <c r="E701" i="1"/>
  <c r="AG700" i="1"/>
  <c r="AC700" i="1"/>
  <c r="Y700" i="1"/>
  <c r="S700" i="1"/>
  <c r="O700" i="1"/>
  <c r="I700" i="1"/>
  <c r="E700" i="1"/>
  <c r="AG699" i="1"/>
  <c r="AC699" i="1"/>
  <c r="Y699" i="1"/>
  <c r="S699" i="1"/>
  <c r="O699" i="1"/>
  <c r="I699" i="1"/>
  <c r="E699" i="1"/>
  <c r="AG698" i="1"/>
  <c r="AC698" i="1"/>
  <c r="Y698" i="1"/>
  <c r="S698" i="1"/>
  <c r="O698" i="1"/>
  <c r="I698" i="1"/>
  <c r="E698" i="1"/>
  <c r="AG697" i="1"/>
  <c r="AC697" i="1"/>
  <c r="Y697" i="1"/>
  <c r="I697" i="1"/>
  <c r="E697" i="1"/>
  <c r="AG696" i="1"/>
  <c r="AC696" i="1"/>
  <c r="Y696" i="1"/>
  <c r="S696" i="1"/>
  <c r="O696" i="1"/>
  <c r="I696" i="1"/>
  <c r="E696" i="1"/>
  <c r="AG695" i="1"/>
  <c r="AC695" i="1"/>
  <c r="Y695" i="1"/>
  <c r="S695" i="1"/>
  <c r="O695" i="1"/>
  <c r="I695" i="1"/>
  <c r="E695" i="1"/>
  <c r="S694" i="1"/>
  <c r="O694" i="1"/>
  <c r="I694" i="1"/>
  <c r="E694" i="1"/>
  <c r="AG693" i="1"/>
  <c r="AC693" i="1"/>
  <c r="Y693" i="1"/>
  <c r="I693" i="1"/>
  <c r="E693" i="1"/>
  <c r="AG684" i="1"/>
  <c r="AC684" i="1"/>
  <c r="Y684" i="1"/>
  <c r="I684" i="1"/>
  <c r="E684" i="1"/>
  <c r="AG683" i="1"/>
  <c r="AC683" i="1"/>
  <c r="Y683" i="1"/>
  <c r="I683" i="1"/>
  <c r="E683" i="1"/>
  <c r="AG682" i="1"/>
  <c r="AC682" i="1"/>
  <c r="Y682" i="1"/>
  <c r="I682" i="1"/>
  <c r="E682" i="1"/>
  <c r="AG681" i="1"/>
  <c r="AC681" i="1"/>
  <c r="Y681" i="1"/>
  <c r="S681" i="1"/>
  <c r="O681" i="1"/>
  <c r="I681" i="1"/>
  <c r="E681" i="1"/>
  <c r="AG680" i="1"/>
  <c r="AC680" i="1"/>
  <c r="Y680" i="1"/>
  <c r="S680" i="1"/>
  <c r="O680" i="1"/>
  <c r="I680" i="1"/>
  <c r="E680" i="1"/>
  <c r="AG679" i="1"/>
  <c r="AC679" i="1"/>
  <c r="Y679" i="1"/>
  <c r="S679" i="1"/>
  <c r="O679" i="1"/>
  <c r="I679" i="1"/>
  <c r="E679" i="1"/>
  <c r="AG678" i="1"/>
  <c r="AC678" i="1"/>
  <c r="Y678" i="1"/>
  <c r="S678" i="1"/>
  <c r="O678" i="1"/>
  <c r="I678" i="1"/>
  <c r="E678" i="1"/>
  <c r="AG677" i="1"/>
  <c r="AC677" i="1"/>
  <c r="Y677" i="1"/>
  <c r="S677" i="1"/>
  <c r="O677" i="1"/>
  <c r="I677" i="1"/>
  <c r="E677" i="1"/>
  <c r="AG676" i="1"/>
  <c r="AC676" i="1"/>
  <c r="Y676" i="1"/>
  <c r="S676" i="1"/>
  <c r="O676" i="1"/>
  <c r="I676" i="1"/>
  <c r="E676" i="1"/>
  <c r="AG675" i="1"/>
  <c r="AC675" i="1"/>
  <c r="Y675" i="1"/>
  <c r="S675" i="1"/>
  <c r="O675" i="1"/>
  <c r="I675" i="1"/>
  <c r="E675" i="1"/>
  <c r="AG674" i="1"/>
  <c r="AC674" i="1"/>
  <c r="Y674" i="1"/>
  <c r="S674" i="1"/>
  <c r="O674" i="1"/>
  <c r="I674" i="1"/>
  <c r="E674" i="1"/>
  <c r="AG673" i="1"/>
  <c r="AC673" i="1"/>
  <c r="Y673" i="1"/>
  <c r="S673" i="1"/>
  <c r="O673" i="1"/>
  <c r="I673" i="1"/>
  <c r="E673" i="1"/>
  <c r="AG672" i="1"/>
  <c r="AC672" i="1"/>
  <c r="Y672" i="1"/>
  <c r="S672" i="1"/>
  <c r="O672" i="1"/>
  <c r="I672" i="1"/>
  <c r="E672" i="1"/>
  <c r="AG671" i="1"/>
  <c r="AC671" i="1"/>
  <c r="Y671" i="1"/>
  <c r="S671" i="1"/>
  <c r="O671" i="1"/>
  <c r="I671" i="1"/>
  <c r="E671" i="1"/>
  <c r="AG670" i="1"/>
  <c r="AC670" i="1"/>
  <c r="Y670" i="1"/>
  <c r="S670" i="1"/>
  <c r="O670" i="1"/>
  <c r="I670" i="1"/>
  <c r="E670" i="1"/>
  <c r="AG669" i="1"/>
  <c r="AC669" i="1"/>
  <c r="Y669" i="1"/>
  <c r="S669" i="1"/>
  <c r="O669" i="1"/>
  <c r="I669" i="1"/>
  <c r="E669" i="1"/>
  <c r="AG668" i="1"/>
  <c r="AC668" i="1"/>
  <c r="Y668" i="1"/>
  <c r="S668" i="1"/>
  <c r="O668" i="1"/>
  <c r="I668" i="1"/>
  <c r="E668" i="1"/>
  <c r="AG667" i="1"/>
  <c r="AC667" i="1"/>
  <c r="Y667" i="1"/>
  <c r="S667" i="1"/>
  <c r="O667" i="1"/>
  <c r="I667" i="1"/>
  <c r="E667" i="1"/>
  <c r="AG666" i="1"/>
  <c r="AC666" i="1"/>
  <c r="Y666" i="1"/>
  <c r="S666" i="1"/>
  <c r="O666" i="1"/>
  <c r="I666" i="1"/>
  <c r="E666" i="1"/>
  <c r="AG665" i="1"/>
  <c r="AC665" i="1"/>
  <c r="Y665" i="1"/>
  <c r="S665" i="1"/>
  <c r="O665" i="1"/>
  <c r="I665" i="1"/>
  <c r="E665" i="1"/>
  <c r="AG664" i="1"/>
  <c r="AC664" i="1"/>
  <c r="Y664" i="1"/>
  <c r="S664" i="1"/>
  <c r="O664" i="1"/>
  <c r="I664" i="1"/>
  <c r="E664" i="1"/>
  <c r="AG663" i="1"/>
  <c r="AC663" i="1"/>
  <c r="Y663" i="1"/>
  <c r="S663" i="1"/>
  <c r="O663" i="1"/>
  <c r="I663" i="1"/>
  <c r="E663" i="1"/>
  <c r="AG662" i="1"/>
  <c r="AC662" i="1"/>
  <c r="Y662" i="1"/>
  <c r="I662" i="1"/>
  <c r="E662" i="1"/>
  <c r="S661" i="1"/>
  <c r="O661" i="1"/>
  <c r="I661" i="1"/>
  <c r="E661" i="1"/>
  <c r="AG659" i="1"/>
  <c r="AC659" i="1"/>
  <c r="Y659" i="1"/>
  <c r="S659" i="1"/>
  <c r="O659" i="1"/>
  <c r="I659" i="1"/>
  <c r="E659" i="1"/>
  <c r="AG658" i="1"/>
  <c r="AC658" i="1"/>
  <c r="Y658" i="1"/>
  <c r="S658" i="1"/>
  <c r="O658" i="1"/>
  <c r="I658" i="1"/>
  <c r="E658" i="1"/>
  <c r="AG657" i="1"/>
  <c r="AC657" i="1"/>
  <c r="Y657" i="1"/>
  <c r="S657" i="1"/>
  <c r="O657" i="1"/>
  <c r="I657" i="1"/>
  <c r="E657" i="1"/>
  <c r="AG656" i="1"/>
  <c r="AC656" i="1"/>
  <c r="Y656" i="1"/>
  <c r="S656" i="1"/>
  <c r="O656" i="1"/>
  <c r="I656" i="1"/>
  <c r="E656" i="1"/>
  <c r="AG655" i="1"/>
  <c r="AC655" i="1"/>
  <c r="Y655" i="1"/>
  <c r="S655" i="1"/>
  <c r="O655" i="1"/>
  <c r="I655" i="1"/>
  <c r="E655" i="1"/>
  <c r="AG654" i="1"/>
  <c r="AC654" i="1"/>
  <c r="Y654" i="1"/>
  <c r="S654" i="1"/>
  <c r="O654" i="1"/>
  <c r="I654" i="1"/>
  <c r="E654" i="1"/>
  <c r="AG653" i="1"/>
  <c r="AC653" i="1"/>
  <c r="Y653" i="1"/>
  <c r="S653" i="1"/>
  <c r="O653" i="1"/>
  <c r="I653" i="1"/>
  <c r="E653" i="1"/>
  <c r="AG652" i="1"/>
  <c r="AC652" i="1"/>
  <c r="Y652" i="1"/>
  <c r="S652" i="1"/>
  <c r="O652" i="1"/>
  <c r="I652" i="1"/>
  <c r="E652" i="1"/>
  <c r="AG651" i="1"/>
  <c r="AC651" i="1"/>
  <c r="Y651" i="1"/>
  <c r="S651" i="1"/>
  <c r="O651" i="1"/>
  <c r="I651" i="1"/>
  <c r="E651" i="1"/>
  <c r="AG650" i="1"/>
  <c r="AC650" i="1"/>
  <c r="Y650" i="1"/>
  <c r="S650" i="1"/>
  <c r="O650" i="1"/>
  <c r="I650" i="1"/>
  <c r="E650" i="1"/>
  <c r="M472" i="1"/>
  <c r="N472" i="1"/>
  <c r="L47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6" i="1"/>
  <c r="AG615" i="1"/>
  <c r="AG614" i="1"/>
  <c r="AG613" i="1"/>
  <c r="AG612" i="1"/>
  <c r="AG611" i="1"/>
  <c r="AG610" i="1"/>
  <c r="AG609" i="1"/>
  <c r="AG608" i="1"/>
  <c r="AG607" i="1"/>
  <c r="AC641" i="1"/>
  <c r="Y641" i="1"/>
  <c r="AC640" i="1"/>
  <c r="Y640" i="1"/>
  <c r="AC639" i="1"/>
  <c r="Y639" i="1"/>
  <c r="AC638" i="1"/>
  <c r="Y638" i="1"/>
  <c r="AC637" i="1"/>
  <c r="Y637" i="1"/>
  <c r="AC636" i="1"/>
  <c r="Y636" i="1"/>
  <c r="AC635" i="1"/>
  <c r="Y635" i="1"/>
  <c r="AC634" i="1"/>
  <c r="Y634" i="1"/>
  <c r="AC633" i="1"/>
  <c r="Y633" i="1"/>
  <c r="AC632" i="1"/>
  <c r="Y632" i="1"/>
  <c r="AC631" i="1"/>
  <c r="Y631" i="1"/>
  <c r="AC630" i="1"/>
  <c r="Y630" i="1"/>
  <c r="AC629" i="1"/>
  <c r="Y629" i="1"/>
  <c r="AC628" i="1"/>
  <c r="Y628" i="1"/>
  <c r="AC627" i="1"/>
  <c r="Y627" i="1"/>
  <c r="AC626" i="1"/>
  <c r="Y626" i="1"/>
  <c r="AC625" i="1"/>
  <c r="Y625" i="1"/>
  <c r="AC624" i="1"/>
  <c r="Y624" i="1"/>
  <c r="AC623" i="1"/>
  <c r="Y623" i="1"/>
  <c r="AC622" i="1"/>
  <c r="Y622" i="1"/>
  <c r="AC620" i="1"/>
  <c r="Y620" i="1"/>
  <c r="AC619" i="1"/>
  <c r="Y619" i="1"/>
  <c r="AC618" i="1"/>
  <c r="Y618" i="1"/>
  <c r="AC616" i="1"/>
  <c r="Y616" i="1"/>
  <c r="AC615" i="1"/>
  <c r="Y615" i="1"/>
  <c r="AC614" i="1"/>
  <c r="Y614" i="1"/>
  <c r="AC613" i="1"/>
  <c r="Y613" i="1"/>
  <c r="AC612" i="1"/>
  <c r="Y612" i="1"/>
  <c r="AC611" i="1"/>
  <c r="Y611" i="1"/>
  <c r="AC610" i="1"/>
  <c r="Y610" i="1"/>
  <c r="AC609" i="1"/>
  <c r="Y609" i="1"/>
  <c r="AC608" i="1"/>
  <c r="Y608" i="1"/>
  <c r="AC607" i="1"/>
  <c r="Y607" i="1"/>
  <c r="AP642" i="1"/>
  <c r="AO642" i="1"/>
  <c r="AN642" i="1"/>
  <c r="AL642" i="1"/>
  <c r="AK642" i="1"/>
  <c r="AJ642" i="1"/>
  <c r="AQ641" i="1"/>
  <c r="AM641" i="1"/>
  <c r="S641" i="1"/>
  <c r="O641" i="1"/>
  <c r="I641" i="1"/>
  <c r="E641" i="1"/>
  <c r="AQ640" i="1"/>
  <c r="AM640" i="1"/>
  <c r="I640" i="1"/>
  <c r="E640" i="1"/>
  <c r="AQ639" i="1"/>
  <c r="AM639" i="1"/>
  <c r="S639" i="1"/>
  <c r="O639" i="1"/>
  <c r="I639" i="1"/>
  <c r="E639" i="1"/>
  <c r="AQ638" i="1"/>
  <c r="AM638" i="1"/>
  <c r="S638" i="1"/>
  <c r="O638" i="1"/>
  <c r="I638" i="1"/>
  <c r="E638" i="1"/>
  <c r="AQ637" i="1"/>
  <c r="AM637" i="1"/>
  <c r="I637" i="1"/>
  <c r="E637" i="1"/>
  <c r="AQ636" i="1"/>
  <c r="AM636" i="1"/>
  <c r="S636" i="1"/>
  <c r="O636" i="1"/>
  <c r="I636" i="1"/>
  <c r="E636" i="1"/>
  <c r="AQ635" i="1"/>
  <c r="AM635" i="1"/>
  <c r="S635" i="1"/>
  <c r="O635" i="1"/>
  <c r="I635" i="1"/>
  <c r="E635" i="1"/>
  <c r="AQ634" i="1"/>
  <c r="AM634" i="1"/>
  <c r="S634" i="1"/>
  <c r="O634" i="1"/>
  <c r="I634" i="1"/>
  <c r="E634" i="1"/>
  <c r="AQ633" i="1"/>
  <c r="AM633" i="1"/>
  <c r="S633" i="1"/>
  <c r="O633" i="1"/>
  <c r="I633" i="1"/>
  <c r="E633" i="1"/>
  <c r="AQ632" i="1"/>
  <c r="AM632" i="1"/>
  <c r="S632" i="1"/>
  <c r="O632" i="1"/>
  <c r="I632" i="1"/>
  <c r="E632" i="1"/>
  <c r="AQ631" i="1"/>
  <c r="AM631" i="1"/>
  <c r="S631" i="1"/>
  <c r="O631" i="1"/>
  <c r="I631" i="1"/>
  <c r="E631" i="1"/>
  <c r="AQ630" i="1"/>
  <c r="AM630" i="1"/>
  <c r="S630" i="1"/>
  <c r="O630" i="1"/>
  <c r="I630" i="1"/>
  <c r="E630" i="1"/>
  <c r="AQ629" i="1"/>
  <c r="AM629" i="1"/>
  <c r="S629" i="1"/>
  <c r="O629" i="1"/>
  <c r="I629" i="1"/>
  <c r="E629" i="1"/>
  <c r="AQ628" i="1"/>
  <c r="AM628" i="1"/>
  <c r="S628" i="1"/>
  <c r="O628" i="1"/>
  <c r="I628" i="1"/>
  <c r="E628" i="1"/>
  <c r="AQ627" i="1"/>
  <c r="AM627" i="1"/>
  <c r="S627" i="1"/>
  <c r="O627" i="1"/>
  <c r="I627" i="1"/>
  <c r="E627" i="1"/>
  <c r="AQ626" i="1"/>
  <c r="AM626" i="1"/>
  <c r="S626" i="1"/>
  <c r="O626" i="1"/>
  <c r="I626" i="1"/>
  <c r="E626" i="1"/>
  <c r="AQ625" i="1"/>
  <c r="AM625" i="1"/>
  <c r="S625" i="1"/>
  <c r="O625" i="1"/>
  <c r="I625" i="1"/>
  <c r="E625" i="1"/>
  <c r="AQ624" i="1"/>
  <c r="AM624" i="1"/>
  <c r="S624" i="1"/>
  <c r="O624" i="1"/>
  <c r="I624" i="1"/>
  <c r="E624" i="1"/>
  <c r="AQ623" i="1"/>
  <c r="AM623" i="1"/>
  <c r="S623" i="1"/>
  <c r="O623" i="1"/>
  <c r="I623" i="1"/>
  <c r="E623" i="1"/>
  <c r="AQ622" i="1"/>
  <c r="AM622" i="1"/>
  <c r="S622" i="1"/>
  <c r="O622" i="1"/>
  <c r="I622" i="1"/>
  <c r="E622" i="1"/>
  <c r="AQ621" i="1"/>
  <c r="AM621" i="1"/>
  <c r="I621" i="1"/>
  <c r="E621" i="1"/>
  <c r="AQ620" i="1"/>
  <c r="AM620" i="1"/>
  <c r="S620" i="1"/>
  <c r="O620" i="1"/>
  <c r="I620" i="1"/>
  <c r="E620" i="1"/>
  <c r="AQ619" i="1"/>
  <c r="AM619" i="1"/>
  <c r="I619" i="1"/>
  <c r="E619" i="1"/>
  <c r="AQ618" i="1"/>
  <c r="AM618" i="1"/>
  <c r="I618" i="1"/>
  <c r="E618" i="1"/>
  <c r="AQ616" i="1"/>
  <c r="AM616" i="1"/>
  <c r="S616" i="1"/>
  <c r="O616" i="1"/>
  <c r="I616" i="1"/>
  <c r="E616" i="1"/>
  <c r="AQ615" i="1"/>
  <c r="AM615" i="1"/>
  <c r="S615" i="1"/>
  <c r="O615" i="1"/>
  <c r="I615" i="1"/>
  <c r="E615" i="1"/>
  <c r="AQ614" i="1"/>
  <c r="AM614" i="1"/>
  <c r="S614" i="1"/>
  <c r="O614" i="1"/>
  <c r="I614" i="1"/>
  <c r="E614" i="1"/>
  <c r="AQ613" i="1"/>
  <c r="AM613" i="1"/>
  <c r="S613" i="1"/>
  <c r="O613" i="1"/>
  <c r="I613" i="1"/>
  <c r="E613" i="1"/>
  <c r="AQ612" i="1"/>
  <c r="AM612" i="1"/>
  <c r="S612" i="1"/>
  <c r="O612" i="1"/>
  <c r="I612" i="1"/>
  <c r="E612" i="1"/>
  <c r="AQ611" i="1"/>
  <c r="AM611" i="1"/>
  <c r="S611" i="1"/>
  <c r="O611" i="1"/>
  <c r="I611" i="1"/>
  <c r="E611" i="1"/>
  <c r="AQ610" i="1"/>
  <c r="AM610" i="1"/>
  <c r="S610" i="1"/>
  <c r="O610" i="1"/>
  <c r="I610" i="1"/>
  <c r="E610" i="1"/>
  <c r="AQ609" i="1"/>
  <c r="AM609" i="1"/>
  <c r="S609" i="1"/>
  <c r="O609" i="1"/>
  <c r="I609" i="1"/>
  <c r="E609" i="1"/>
  <c r="AQ608" i="1"/>
  <c r="AM608" i="1"/>
  <c r="S608" i="1"/>
  <c r="O608" i="1"/>
  <c r="I608" i="1"/>
  <c r="E608" i="1"/>
  <c r="AQ607" i="1"/>
  <c r="AM607" i="1"/>
  <c r="S607" i="1"/>
  <c r="O607" i="1"/>
  <c r="I607" i="1"/>
  <c r="E607" i="1"/>
  <c r="O553" i="1"/>
  <c r="S553" i="1"/>
  <c r="O554" i="1"/>
  <c r="S554" i="1"/>
  <c r="O555" i="1"/>
  <c r="S555" i="1"/>
  <c r="S597" i="1"/>
  <c r="O597" i="1"/>
  <c r="S598" i="1"/>
  <c r="O598" i="1"/>
  <c r="AP599" i="1"/>
  <c r="AO599" i="1"/>
  <c r="AN599" i="1"/>
  <c r="AL599" i="1"/>
  <c r="AK599" i="1"/>
  <c r="AJ599" i="1"/>
  <c r="AQ598" i="1"/>
  <c r="AM598" i="1"/>
  <c r="I598" i="1"/>
  <c r="E598" i="1"/>
  <c r="AQ597" i="1"/>
  <c r="AM597" i="1"/>
  <c r="I597" i="1"/>
  <c r="E597" i="1"/>
  <c r="AQ596" i="1"/>
  <c r="AM596" i="1"/>
  <c r="S596" i="1"/>
  <c r="O596" i="1"/>
  <c r="I596" i="1"/>
  <c r="E596" i="1"/>
  <c r="AQ595" i="1"/>
  <c r="AM595" i="1"/>
  <c r="S595" i="1"/>
  <c r="O595" i="1"/>
  <c r="I595" i="1"/>
  <c r="E595" i="1"/>
  <c r="AQ594" i="1"/>
  <c r="AM594" i="1"/>
  <c r="S594" i="1"/>
  <c r="O594" i="1"/>
  <c r="I594" i="1"/>
  <c r="E594" i="1"/>
  <c r="AQ593" i="1"/>
  <c r="AM593" i="1"/>
  <c r="S593" i="1"/>
  <c r="O593" i="1"/>
  <c r="I593" i="1"/>
  <c r="E593" i="1"/>
  <c r="AQ592" i="1"/>
  <c r="AM592" i="1"/>
  <c r="S592" i="1"/>
  <c r="O592" i="1"/>
  <c r="I592" i="1"/>
  <c r="E592" i="1"/>
  <c r="AQ591" i="1"/>
  <c r="AM591" i="1"/>
  <c r="S591" i="1"/>
  <c r="O591" i="1"/>
  <c r="I591" i="1"/>
  <c r="E591" i="1"/>
  <c r="AQ590" i="1"/>
  <c r="AM590" i="1"/>
  <c r="S590" i="1"/>
  <c r="O590" i="1"/>
  <c r="I590" i="1"/>
  <c r="E590" i="1"/>
  <c r="AQ589" i="1"/>
  <c r="AM589" i="1"/>
  <c r="S589" i="1"/>
  <c r="O589" i="1"/>
  <c r="I589" i="1"/>
  <c r="E589" i="1"/>
  <c r="AQ588" i="1"/>
  <c r="AM588" i="1"/>
  <c r="S588" i="1"/>
  <c r="O588" i="1"/>
  <c r="I588" i="1"/>
  <c r="E588" i="1"/>
  <c r="AQ587" i="1"/>
  <c r="AM587" i="1"/>
  <c r="S587" i="1"/>
  <c r="O587" i="1"/>
  <c r="I587" i="1"/>
  <c r="E587" i="1"/>
  <c r="AQ586" i="1"/>
  <c r="AM586" i="1"/>
  <c r="S586" i="1"/>
  <c r="O586" i="1"/>
  <c r="I586" i="1"/>
  <c r="E586" i="1"/>
  <c r="AQ585" i="1"/>
  <c r="AM585" i="1"/>
  <c r="S585" i="1"/>
  <c r="O585" i="1"/>
  <c r="I585" i="1"/>
  <c r="E585" i="1"/>
  <c r="AQ584" i="1"/>
  <c r="AM584" i="1"/>
  <c r="S584" i="1"/>
  <c r="O584" i="1"/>
  <c r="I584" i="1"/>
  <c r="E584" i="1"/>
  <c r="AQ583" i="1"/>
  <c r="AM583" i="1"/>
  <c r="S583" i="1"/>
  <c r="O583" i="1"/>
  <c r="I583" i="1"/>
  <c r="E583" i="1"/>
  <c r="AQ582" i="1"/>
  <c r="AM582" i="1"/>
  <c r="S582" i="1"/>
  <c r="O582" i="1"/>
  <c r="I582" i="1"/>
  <c r="E582" i="1"/>
  <c r="AQ581" i="1"/>
  <c r="AM581" i="1"/>
  <c r="S581" i="1"/>
  <c r="O581" i="1"/>
  <c r="I581" i="1"/>
  <c r="E581" i="1"/>
  <c r="AQ580" i="1"/>
  <c r="AM580" i="1"/>
  <c r="S580" i="1"/>
  <c r="O580" i="1"/>
  <c r="I580" i="1"/>
  <c r="E580" i="1"/>
  <c r="AQ579" i="1"/>
  <c r="AM579" i="1"/>
  <c r="S579" i="1"/>
  <c r="O579" i="1"/>
  <c r="I579" i="1"/>
  <c r="E579" i="1"/>
  <c r="AQ578" i="1"/>
  <c r="AM578" i="1"/>
  <c r="S578" i="1"/>
  <c r="O578" i="1"/>
  <c r="I578" i="1"/>
  <c r="E578" i="1"/>
  <c r="AQ577" i="1"/>
  <c r="AM577" i="1"/>
  <c r="S577" i="1"/>
  <c r="O577" i="1"/>
  <c r="I577" i="1"/>
  <c r="E577" i="1"/>
  <c r="AQ576" i="1"/>
  <c r="AM576" i="1"/>
  <c r="S576" i="1"/>
  <c r="O576" i="1"/>
  <c r="I576" i="1"/>
  <c r="E576" i="1"/>
  <c r="AQ575" i="1"/>
  <c r="AM575" i="1"/>
  <c r="S575" i="1"/>
  <c r="O575" i="1"/>
  <c r="I575" i="1"/>
  <c r="E575" i="1"/>
  <c r="AQ573" i="1"/>
  <c r="AM573" i="1"/>
  <c r="S573" i="1"/>
  <c r="O573" i="1"/>
  <c r="I573" i="1"/>
  <c r="E573" i="1"/>
  <c r="AQ572" i="1"/>
  <c r="AM572" i="1"/>
  <c r="S572" i="1"/>
  <c r="O572" i="1"/>
  <c r="I572" i="1"/>
  <c r="E572" i="1"/>
  <c r="AQ571" i="1"/>
  <c r="AM571" i="1"/>
  <c r="S571" i="1"/>
  <c r="O571" i="1"/>
  <c r="I571" i="1"/>
  <c r="E571" i="1"/>
  <c r="AQ570" i="1"/>
  <c r="AM570" i="1"/>
  <c r="S570" i="1"/>
  <c r="O570" i="1"/>
  <c r="I570" i="1"/>
  <c r="E570" i="1"/>
  <c r="AQ569" i="1"/>
  <c r="AM569" i="1"/>
  <c r="S569" i="1"/>
  <c r="O569" i="1"/>
  <c r="I569" i="1"/>
  <c r="E569" i="1"/>
  <c r="AQ568" i="1"/>
  <c r="AM568" i="1"/>
  <c r="S568" i="1"/>
  <c r="O568" i="1"/>
  <c r="I568" i="1"/>
  <c r="E568" i="1"/>
  <c r="AQ567" i="1"/>
  <c r="AM567" i="1"/>
  <c r="S567" i="1"/>
  <c r="O567" i="1"/>
  <c r="I567" i="1"/>
  <c r="E567" i="1"/>
  <c r="AQ566" i="1"/>
  <c r="AM566" i="1"/>
  <c r="S566" i="1"/>
  <c r="O566" i="1"/>
  <c r="I566" i="1"/>
  <c r="E566" i="1"/>
  <c r="AQ565" i="1"/>
  <c r="AM565" i="1"/>
  <c r="S565" i="1"/>
  <c r="O565" i="1"/>
  <c r="I565" i="1"/>
  <c r="E565" i="1"/>
  <c r="AQ564" i="1"/>
  <c r="AM564" i="1"/>
  <c r="S564" i="1"/>
  <c r="O564" i="1"/>
  <c r="I564" i="1"/>
  <c r="E564" i="1"/>
  <c r="O510" i="1"/>
  <c r="S552" i="1"/>
  <c r="O552" i="1"/>
  <c r="S551" i="1"/>
  <c r="O551" i="1"/>
  <c r="S481" i="1"/>
  <c r="O481" i="1"/>
  <c r="AQ485" i="1"/>
  <c r="AM485" i="1"/>
  <c r="AQ482" i="1"/>
  <c r="AM482" i="1"/>
  <c r="AQ532" i="1"/>
  <c r="AQ533" i="1"/>
  <c r="AM532" i="1"/>
  <c r="AM533" i="1"/>
  <c r="AM534" i="1"/>
  <c r="S485" i="1"/>
  <c r="O485" i="1"/>
  <c r="S510" i="1"/>
  <c r="O511" i="1"/>
  <c r="S511" i="1"/>
  <c r="O512" i="1"/>
  <c r="S512" i="1"/>
  <c r="AP556" i="1"/>
  <c r="AO556" i="1"/>
  <c r="AN556" i="1"/>
  <c r="AL556" i="1"/>
  <c r="AK556" i="1"/>
  <c r="AJ556" i="1"/>
  <c r="AQ555" i="1"/>
  <c r="AM555" i="1"/>
  <c r="I555" i="1"/>
  <c r="E555" i="1"/>
  <c r="AQ554" i="1"/>
  <c r="AM554" i="1"/>
  <c r="I554" i="1"/>
  <c r="E554" i="1"/>
  <c r="AQ553" i="1"/>
  <c r="AM553" i="1"/>
  <c r="I553" i="1"/>
  <c r="E553" i="1"/>
  <c r="AQ552" i="1"/>
  <c r="AM552" i="1"/>
  <c r="I552" i="1"/>
  <c r="E552" i="1"/>
  <c r="AQ551" i="1"/>
  <c r="AM551" i="1"/>
  <c r="I551" i="1"/>
  <c r="E551" i="1"/>
  <c r="AQ550" i="1"/>
  <c r="AM550" i="1"/>
  <c r="S550" i="1"/>
  <c r="O550" i="1"/>
  <c r="I550" i="1"/>
  <c r="E550" i="1"/>
  <c r="AQ549" i="1"/>
  <c r="AM549" i="1"/>
  <c r="S549" i="1"/>
  <c r="O549" i="1"/>
  <c r="I549" i="1"/>
  <c r="E549" i="1"/>
  <c r="AQ548" i="1"/>
  <c r="AM548" i="1"/>
  <c r="S548" i="1"/>
  <c r="O548" i="1"/>
  <c r="I548" i="1"/>
  <c r="E548" i="1"/>
  <c r="AQ547" i="1"/>
  <c r="AM547" i="1"/>
  <c r="S547" i="1"/>
  <c r="O547" i="1"/>
  <c r="I547" i="1"/>
  <c r="E547" i="1"/>
  <c r="AQ546" i="1"/>
  <c r="AM546" i="1"/>
  <c r="S546" i="1"/>
  <c r="O546" i="1"/>
  <c r="I546" i="1"/>
  <c r="E546" i="1"/>
  <c r="AQ545" i="1"/>
  <c r="AM545" i="1"/>
  <c r="S545" i="1"/>
  <c r="O545" i="1"/>
  <c r="I545" i="1"/>
  <c r="E545" i="1"/>
  <c r="AQ544" i="1"/>
  <c r="AM544" i="1"/>
  <c r="S544" i="1"/>
  <c r="O544" i="1"/>
  <c r="I544" i="1"/>
  <c r="E544" i="1"/>
  <c r="AQ543" i="1"/>
  <c r="AM543" i="1"/>
  <c r="S543" i="1"/>
  <c r="O543" i="1"/>
  <c r="I543" i="1"/>
  <c r="E543" i="1"/>
  <c r="AQ542" i="1"/>
  <c r="AM542" i="1"/>
  <c r="S542" i="1"/>
  <c r="O542" i="1"/>
  <c r="I542" i="1"/>
  <c r="E542" i="1"/>
  <c r="AQ541" i="1"/>
  <c r="AM541" i="1"/>
  <c r="S541" i="1"/>
  <c r="O541" i="1"/>
  <c r="I541" i="1"/>
  <c r="E541" i="1"/>
  <c r="AQ540" i="1"/>
  <c r="AM540" i="1"/>
  <c r="S540" i="1"/>
  <c r="O540" i="1"/>
  <c r="I540" i="1"/>
  <c r="E540" i="1"/>
  <c r="AQ539" i="1"/>
  <c r="AM539" i="1"/>
  <c r="S539" i="1"/>
  <c r="O539" i="1"/>
  <c r="I539" i="1"/>
  <c r="E539" i="1"/>
  <c r="AQ538" i="1"/>
  <c r="AM538" i="1"/>
  <c r="S538" i="1"/>
  <c r="O538" i="1"/>
  <c r="I538" i="1"/>
  <c r="E538" i="1"/>
  <c r="AQ537" i="1"/>
  <c r="AM537" i="1"/>
  <c r="S537" i="1"/>
  <c r="O537" i="1"/>
  <c r="I537" i="1"/>
  <c r="E537" i="1"/>
  <c r="AQ536" i="1"/>
  <c r="AM536" i="1"/>
  <c r="S536" i="1"/>
  <c r="O536" i="1"/>
  <c r="I536" i="1"/>
  <c r="E536" i="1"/>
  <c r="AQ535" i="1"/>
  <c r="AM535" i="1"/>
  <c r="S535" i="1"/>
  <c r="O535" i="1"/>
  <c r="I535" i="1"/>
  <c r="E535" i="1"/>
  <c r="AQ534" i="1"/>
  <c r="S534" i="1"/>
  <c r="O534" i="1"/>
  <c r="I534" i="1"/>
  <c r="E534" i="1"/>
  <c r="S533" i="1"/>
  <c r="O533" i="1"/>
  <c r="I533" i="1"/>
  <c r="E533" i="1"/>
  <c r="S532" i="1"/>
  <c r="O532" i="1"/>
  <c r="I532" i="1"/>
  <c r="E532" i="1"/>
  <c r="AQ530" i="1"/>
  <c r="AM530" i="1"/>
  <c r="S530" i="1"/>
  <c r="O530" i="1"/>
  <c r="I530" i="1"/>
  <c r="E530" i="1"/>
  <c r="AQ529" i="1"/>
  <c r="AM529" i="1"/>
  <c r="S529" i="1"/>
  <c r="O529" i="1"/>
  <c r="I529" i="1"/>
  <c r="E529" i="1"/>
  <c r="AQ528" i="1"/>
  <c r="AM528" i="1"/>
  <c r="S528" i="1"/>
  <c r="O528" i="1"/>
  <c r="I528" i="1"/>
  <c r="E528" i="1"/>
  <c r="AQ527" i="1"/>
  <c r="AM527" i="1"/>
  <c r="S527" i="1"/>
  <c r="O527" i="1"/>
  <c r="I527" i="1"/>
  <c r="E527" i="1"/>
  <c r="AQ526" i="1"/>
  <c r="AM526" i="1"/>
  <c r="S526" i="1"/>
  <c r="O526" i="1"/>
  <c r="I526" i="1"/>
  <c r="E526" i="1"/>
  <c r="AQ525" i="1"/>
  <c r="AM525" i="1"/>
  <c r="S525" i="1"/>
  <c r="O525" i="1"/>
  <c r="I525" i="1"/>
  <c r="E525" i="1"/>
  <c r="AQ524" i="1"/>
  <c r="AM524" i="1"/>
  <c r="S524" i="1"/>
  <c r="O524" i="1"/>
  <c r="I524" i="1"/>
  <c r="E524" i="1"/>
  <c r="AQ523" i="1"/>
  <c r="AM523" i="1"/>
  <c r="S523" i="1"/>
  <c r="O523" i="1"/>
  <c r="I523" i="1"/>
  <c r="E523" i="1"/>
  <c r="AQ522" i="1"/>
  <c r="AM522" i="1"/>
  <c r="S522" i="1"/>
  <c r="O522" i="1"/>
  <c r="I522" i="1"/>
  <c r="E522" i="1"/>
  <c r="AQ521" i="1"/>
  <c r="AM521" i="1"/>
  <c r="S521" i="1"/>
  <c r="O521" i="1"/>
  <c r="I521" i="1"/>
  <c r="E521" i="1"/>
  <c r="AQ479" i="1"/>
  <c r="AM479" i="1"/>
  <c r="AQ446" i="1"/>
  <c r="AM446" i="1"/>
  <c r="AQ436" i="1"/>
  <c r="AM436" i="1"/>
  <c r="S479" i="1"/>
  <c r="O479" i="1"/>
  <c r="S437" i="1"/>
  <c r="O437" i="1"/>
  <c r="AQ491" i="1"/>
  <c r="AM491" i="1"/>
  <c r="AQ490" i="1"/>
  <c r="AM490" i="1"/>
  <c r="AQ483" i="1"/>
  <c r="AM483" i="1"/>
  <c r="AQ481" i="1"/>
  <c r="AM481" i="1"/>
  <c r="AQ480" i="1"/>
  <c r="AM480" i="1"/>
  <c r="S482" i="1"/>
  <c r="O482" i="1"/>
  <c r="S480" i="1"/>
  <c r="O480" i="1"/>
  <c r="AQ448" i="1"/>
  <c r="AM448" i="1"/>
  <c r="AQ447" i="1"/>
  <c r="AM447" i="1"/>
  <c r="AQ439" i="1"/>
  <c r="AM439" i="1"/>
  <c r="AQ438" i="1"/>
  <c r="AM438" i="1"/>
  <c r="AQ437" i="1"/>
  <c r="AM437" i="1"/>
  <c r="S439" i="1"/>
  <c r="O439" i="1"/>
  <c r="S438" i="1"/>
  <c r="O438" i="1"/>
  <c r="S436" i="1"/>
  <c r="O436" i="1"/>
  <c r="S469" i="1"/>
  <c r="O469" i="1"/>
  <c r="S468" i="1"/>
  <c r="O468" i="1"/>
  <c r="S467" i="1"/>
  <c r="O467" i="1"/>
  <c r="S466" i="1"/>
  <c r="O466" i="1"/>
  <c r="AP513" i="1"/>
  <c r="AO513" i="1"/>
  <c r="AN513" i="1"/>
  <c r="AL513" i="1"/>
  <c r="AK513" i="1"/>
  <c r="AJ513" i="1"/>
  <c r="AQ512" i="1"/>
  <c r="AM512" i="1"/>
  <c r="I512" i="1"/>
  <c r="E512" i="1"/>
  <c r="AQ511" i="1"/>
  <c r="AM511" i="1"/>
  <c r="I511" i="1"/>
  <c r="E511" i="1"/>
  <c r="AQ510" i="1"/>
  <c r="AM510" i="1"/>
  <c r="I510" i="1"/>
  <c r="E510" i="1"/>
  <c r="AQ509" i="1"/>
  <c r="AM509" i="1"/>
  <c r="S509" i="1"/>
  <c r="O509" i="1"/>
  <c r="I509" i="1"/>
  <c r="E509" i="1"/>
  <c r="AQ508" i="1"/>
  <c r="AM508" i="1"/>
  <c r="S508" i="1"/>
  <c r="O508" i="1"/>
  <c r="I508" i="1"/>
  <c r="E508" i="1"/>
  <c r="AQ507" i="1"/>
  <c r="AM507" i="1"/>
  <c r="S507" i="1"/>
  <c r="O507" i="1"/>
  <c r="I507" i="1"/>
  <c r="E507" i="1"/>
  <c r="AQ506" i="1"/>
  <c r="AM506" i="1"/>
  <c r="S506" i="1"/>
  <c r="O506" i="1"/>
  <c r="I506" i="1"/>
  <c r="E506" i="1"/>
  <c r="AQ505" i="1"/>
  <c r="AM505" i="1"/>
  <c r="S505" i="1"/>
  <c r="O505" i="1"/>
  <c r="I505" i="1"/>
  <c r="E505" i="1"/>
  <c r="AQ504" i="1"/>
  <c r="AM504" i="1"/>
  <c r="S504" i="1"/>
  <c r="O504" i="1"/>
  <c r="I504" i="1"/>
  <c r="E504" i="1"/>
  <c r="AQ503" i="1"/>
  <c r="AM503" i="1"/>
  <c r="S503" i="1"/>
  <c r="O503" i="1"/>
  <c r="I503" i="1"/>
  <c r="E503" i="1"/>
  <c r="AQ502" i="1"/>
  <c r="AM502" i="1"/>
  <c r="S502" i="1"/>
  <c r="O502" i="1"/>
  <c r="I502" i="1"/>
  <c r="E502" i="1"/>
  <c r="AQ501" i="1"/>
  <c r="AM501" i="1"/>
  <c r="S501" i="1"/>
  <c r="O501" i="1"/>
  <c r="I501" i="1"/>
  <c r="E501" i="1"/>
  <c r="AQ500" i="1"/>
  <c r="AM500" i="1"/>
  <c r="S500" i="1"/>
  <c r="O500" i="1"/>
  <c r="I500" i="1"/>
  <c r="E500" i="1"/>
  <c r="AQ499" i="1"/>
  <c r="AM499" i="1"/>
  <c r="S499" i="1"/>
  <c r="O499" i="1"/>
  <c r="I499" i="1"/>
  <c r="E499" i="1"/>
  <c r="AQ498" i="1"/>
  <c r="AM498" i="1"/>
  <c r="S498" i="1"/>
  <c r="O498" i="1"/>
  <c r="I498" i="1"/>
  <c r="E498" i="1"/>
  <c r="AQ497" i="1"/>
  <c r="AM497" i="1"/>
  <c r="S497" i="1"/>
  <c r="O497" i="1"/>
  <c r="I497" i="1"/>
  <c r="E497" i="1"/>
  <c r="AQ496" i="1"/>
  <c r="AM496" i="1"/>
  <c r="S496" i="1"/>
  <c r="O496" i="1"/>
  <c r="I496" i="1"/>
  <c r="E496" i="1"/>
  <c r="AQ495" i="1"/>
  <c r="AM495" i="1"/>
  <c r="S495" i="1"/>
  <c r="O495" i="1"/>
  <c r="I495" i="1"/>
  <c r="E495" i="1"/>
  <c r="AQ494" i="1"/>
  <c r="AM494" i="1"/>
  <c r="S494" i="1"/>
  <c r="O494" i="1"/>
  <c r="I494" i="1"/>
  <c r="E494" i="1"/>
  <c r="AQ493" i="1"/>
  <c r="AM493" i="1"/>
  <c r="S493" i="1"/>
  <c r="O493" i="1"/>
  <c r="I493" i="1"/>
  <c r="E493" i="1"/>
  <c r="AQ492" i="1"/>
  <c r="AM492" i="1"/>
  <c r="S492" i="1"/>
  <c r="O492" i="1"/>
  <c r="I492" i="1"/>
  <c r="E492" i="1"/>
  <c r="S491" i="1"/>
  <c r="O491" i="1"/>
  <c r="I491" i="1"/>
  <c r="E491" i="1"/>
  <c r="S490" i="1"/>
  <c r="O490" i="1"/>
  <c r="I490" i="1"/>
  <c r="E490" i="1"/>
  <c r="S489" i="1"/>
  <c r="O489" i="1"/>
  <c r="I489" i="1"/>
  <c r="E489" i="1"/>
  <c r="AQ487" i="1"/>
  <c r="AM487" i="1"/>
  <c r="S487" i="1"/>
  <c r="O487" i="1"/>
  <c r="I487" i="1"/>
  <c r="E487" i="1"/>
  <c r="AQ486" i="1"/>
  <c r="AM486" i="1"/>
  <c r="S486" i="1"/>
  <c r="O486" i="1"/>
  <c r="I486" i="1"/>
  <c r="E486" i="1"/>
  <c r="I485" i="1"/>
  <c r="E485" i="1"/>
  <c r="AQ484" i="1"/>
  <c r="AM484" i="1"/>
  <c r="S484" i="1"/>
  <c r="O484" i="1"/>
  <c r="I484" i="1"/>
  <c r="E484" i="1"/>
  <c r="S483" i="1"/>
  <c r="O483" i="1"/>
  <c r="I483" i="1"/>
  <c r="E483" i="1"/>
  <c r="I482" i="1"/>
  <c r="E482" i="1"/>
  <c r="I481" i="1"/>
  <c r="E481" i="1"/>
  <c r="I480" i="1"/>
  <c r="E480" i="1"/>
  <c r="I479" i="1"/>
  <c r="E479" i="1"/>
  <c r="AQ478" i="1"/>
  <c r="AM478" i="1"/>
  <c r="S478" i="1"/>
  <c r="O478" i="1"/>
  <c r="I478" i="1"/>
  <c r="E478" i="1"/>
  <c r="AQ426" i="1"/>
  <c r="AM426" i="1"/>
  <c r="AQ425" i="1"/>
  <c r="AM425" i="1"/>
  <c r="AQ424" i="1"/>
  <c r="AM424" i="1"/>
  <c r="I469" i="1"/>
  <c r="E469" i="1"/>
  <c r="I468" i="1"/>
  <c r="E468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2" i="1"/>
  <c r="E452" i="1"/>
  <c r="I451" i="1"/>
  <c r="E451" i="1"/>
  <c r="I450" i="1"/>
  <c r="E450" i="1"/>
  <c r="I449" i="1"/>
  <c r="E449" i="1"/>
  <c r="I448" i="1"/>
  <c r="E448" i="1"/>
  <c r="I447" i="1"/>
  <c r="E447" i="1"/>
  <c r="I446" i="1"/>
  <c r="E446" i="1"/>
  <c r="I444" i="1"/>
  <c r="E444" i="1"/>
  <c r="I443" i="1"/>
  <c r="E443" i="1"/>
  <c r="I442" i="1"/>
  <c r="E442" i="1"/>
  <c r="I441" i="1"/>
  <c r="E441" i="1"/>
  <c r="I440" i="1"/>
  <c r="E440" i="1"/>
  <c r="I439" i="1"/>
  <c r="E439" i="1"/>
  <c r="I438" i="1"/>
  <c r="E438" i="1"/>
  <c r="I437" i="1"/>
  <c r="E437" i="1"/>
  <c r="I436" i="1"/>
  <c r="E436" i="1"/>
  <c r="I435" i="1"/>
  <c r="E435" i="1"/>
  <c r="AQ360" i="1"/>
  <c r="AM360" i="1"/>
  <c r="AQ350" i="1"/>
  <c r="AM350" i="1"/>
  <c r="AP470" i="1"/>
  <c r="AO470" i="1"/>
  <c r="AN470" i="1"/>
  <c r="AL470" i="1"/>
  <c r="AK470" i="1"/>
  <c r="AJ470" i="1"/>
  <c r="AQ469" i="1"/>
  <c r="AM469" i="1"/>
  <c r="AQ468" i="1"/>
  <c r="AM468" i="1"/>
  <c r="AQ467" i="1"/>
  <c r="AM467" i="1"/>
  <c r="AQ466" i="1"/>
  <c r="AM466" i="1"/>
  <c r="AQ465" i="1"/>
  <c r="AM465" i="1"/>
  <c r="AQ464" i="1"/>
  <c r="AM464" i="1"/>
  <c r="AQ463" i="1"/>
  <c r="AM463" i="1"/>
  <c r="AQ462" i="1"/>
  <c r="AM462" i="1"/>
  <c r="AQ461" i="1"/>
  <c r="AM461" i="1"/>
  <c r="AQ460" i="1"/>
  <c r="AM460" i="1"/>
  <c r="AQ459" i="1"/>
  <c r="AM459" i="1"/>
  <c r="AQ458" i="1"/>
  <c r="AM458" i="1"/>
  <c r="AQ457" i="1"/>
  <c r="AM457" i="1"/>
  <c r="AQ456" i="1"/>
  <c r="AM456" i="1"/>
  <c r="AQ455" i="1"/>
  <c r="AM455" i="1"/>
  <c r="AQ454" i="1"/>
  <c r="AM454" i="1"/>
  <c r="AQ453" i="1"/>
  <c r="AM453" i="1"/>
  <c r="AQ452" i="1"/>
  <c r="AM452" i="1"/>
  <c r="AQ451" i="1"/>
  <c r="AM451" i="1"/>
  <c r="AQ450" i="1"/>
  <c r="AM450" i="1"/>
  <c r="AQ449" i="1"/>
  <c r="AM449" i="1"/>
  <c r="AQ444" i="1"/>
  <c r="AM444" i="1"/>
  <c r="AQ443" i="1"/>
  <c r="AM443" i="1"/>
  <c r="AQ442" i="1"/>
  <c r="AM442" i="1"/>
  <c r="AQ441" i="1"/>
  <c r="AM441" i="1"/>
  <c r="AQ440" i="1"/>
  <c r="AM440" i="1"/>
  <c r="AQ435" i="1"/>
  <c r="AM435" i="1"/>
  <c r="O420" i="1"/>
  <c r="S420" i="1"/>
  <c r="O421" i="1"/>
  <c r="S421" i="1"/>
  <c r="S422" i="1"/>
  <c r="O422" i="1"/>
  <c r="O424" i="1"/>
  <c r="S424" i="1"/>
  <c r="S423" i="1"/>
  <c r="O423" i="1"/>
  <c r="S426" i="1"/>
  <c r="O426" i="1"/>
  <c r="S425" i="1"/>
  <c r="O425" i="1"/>
  <c r="S465" i="1"/>
  <c r="O465" i="1"/>
  <c r="S464" i="1"/>
  <c r="O464" i="1"/>
  <c r="S463" i="1"/>
  <c r="O463" i="1"/>
  <c r="S462" i="1"/>
  <c r="O462" i="1"/>
  <c r="S461" i="1"/>
  <c r="O461" i="1"/>
  <c r="S460" i="1"/>
  <c r="O460" i="1"/>
  <c r="S459" i="1"/>
  <c r="O459" i="1"/>
  <c r="S458" i="1"/>
  <c r="O458" i="1"/>
  <c r="S457" i="1"/>
  <c r="O457" i="1"/>
  <c r="S456" i="1"/>
  <c r="O456" i="1"/>
  <c r="S455" i="1"/>
  <c r="O455" i="1"/>
  <c r="S454" i="1"/>
  <c r="O454" i="1"/>
  <c r="S453" i="1"/>
  <c r="O453" i="1"/>
  <c r="S452" i="1"/>
  <c r="O452" i="1"/>
  <c r="S451" i="1"/>
  <c r="O451" i="1"/>
  <c r="S450" i="1"/>
  <c r="O450" i="1"/>
  <c r="S449" i="1"/>
  <c r="O449" i="1"/>
  <c r="S448" i="1"/>
  <c r="O448" i="1"/>
  <c r="S447" i="1"/>
  <c r="O447" i="1"/>
  <c r="S446" i="1"/>
  <c r="O446" i="1"/>
  <c r="S444" i="1"/>
  <c r="O444" i="1"/>
  <c r="S443" i="1"/>
  <c r="O443" i="1"/>
  <c r="S442" i="1"/>
  <c r="O442" i="1"/>
  <c r="S441" i="1"/>
  <c r="O441" i="1"/>
  <c r="S440" i="1"/>
  <c r="O440" i="1"/>
  <c r="S435" i="1"/>
  <c r="O435" i="1"/>
  <c r="S383" i="1"/>
  <c r="O383" i="1"/>
  <c r="S382" i="1"/>
  <c r="O382" i="1"/>
  <c r="S393" i="1"/>
  <c r="O393" i="1"/>
  <c r="S350" i="1"/>
  <c r="O350" i="1"/>
  <c r="AP427" i="1"/>
  <c r="AO427" i="1"/>
  <c r="AN427" i="1"/>
  <c r="AL427" i="1"/>
  <c r="AK427" i="1"/>
  <c r="AJ427" i="1"/>
  <c r="I426" i="1"/>
  <c r="E426" i="1"/>
  <c r="I425" i="1"/>
  <c r="E425" i="1"/>
  <c r="I424" i="1"/>
  <c r="E424" i="1"/>
  <c r="AQ423" i="1"/>
  <c r="AM423" i="1"/>
  <c r="I423" i="1"/>
  <c r="E423" i="1"/>
  <c r="AQ422" i="1"/>
  <c r="AM422" i="1"/>
  <c r="I422" i="1"/>
  <c r="E422" i="1"/>
  <c r="AQ421" i="1"/>
  <c r="AM421" i="1"/>
  <c r="I421" i="1"/>
  <c r="E421" i="1"/>
  <c r="AQ420" i="1"/>
  <c r="AM420" i="1"/>
  <c r="I420" i="1"/>
  <c r="E420" i="1"/>
  <c r="AQ419" i="1"/>
  <c r="AM419" i="1"/>
  <c r="S419" i="1"/>
  <c r="O419" i="1"/>
  <c r="I419" i="1"/>
  <c r="E419" i="1"/>
  <c r="AQ418" i="1"/>
  <c r="AM418" i="1"/>
  <c r="S418" i="1"/>
  <c r="O418" i="1"/>
  <c r="I418" i="1"/>
  <c r="E418" i="1"/>
  <c r="AQ417" i="1"/>
  <c r="AM417" i="1"/>
  <c r="S417" i="1"/>
  <c r="O417" i="1"/>
  <c r="I417" i="1"/>
  <c r="E417" i="1"/>
  <c r="AQ416" i="1"/>
  <c r="AM416" i="1"/>
  <c r="S416" i="1"/>
  <c r="O416" i="1"/>
  <c r="I416" i="1"/>
  <c r="E416" i="1"/>
  <c r="AQ415" i="1"/>
  <c r="AM415" i="1"/>
  <c r="S415" i="1"/>
  <c r="O415" i="1"/>
  <c r="I415" i="1"/>
  <c r="E415" i="1"/>
  <c r="AQ414" i="1"/>
  <c r="AM414" i="1"/>
  <c r="S414" i="1"/>
  <c r="O414" i="1"/>
  <c r="I414" i="1"/>
  <c r="E414" i="1"/>
  <c r="AQ413" i="1"/>
  <c r="AM413" i="1"/>
  <c r="S413" i="1"/>
  <c r="O413" i="1"/>
  <c r="I413" i="1"/>
  <c r="E413" i="1"/>
  <c r="AQ412" i="1"/>
  <c r="AM412" i="1"/>
  <c r="S412" i="1"/>
  <c r="O412" i="1"/>
  <c r="I412" i="1"/>
  <c r="E412" i="1"/>
  <c r="AQ411" i="1"/>
  <c r="AM411" i="1"/>
  <c r="S411" i="1"/>
  <c r="O411" i="1"/>
  <c r="I411" i="1"/>
  <c r="E411" i="1"/>
  <c r="AQ410" i="1"/>
  <c r="AM410" i="1"/>
  <c r="S410" i="1"/>
  <c r="O410" i="1"/>
  <c r="I410" i="1"/>
  <c r="E410" i="1"/>
  <c r="AQ409" i="1"/>
  <c r="AM409" i="1"/>
  <c r="S409" i="1"/>
  <c r="O409" i="1"/>
  <c r="I409" i="1"/>
  <c r="E409" i="1"/>
  <c r="AQ408" i="1"/>
  <c r="AM408" i="1"/>
  <c r="S408" i="1"/>
  <c r="O408" i="1"/>
  <c r="I408" i="1"/>
  <c r="E408" i="1"/>
  <c r="AQ407" i="1"/>
  <c r="AM407" i="1"/>
  <c r="S407" i="1"/>
  <c r="O407" i="1"/>
  <c r="I407" i="1"/>
  <c r="E407" i="1"/>
  <c r="AQ406" i="1"/>
  <c r="AM406" i="1"/>
  <c r="S406" i="1"/>
  <c r="O406" i="1"/>
  <c r="I406" i="1"/>
  <c r="E406" i="1"/>
  <c r="S405" i="1"/>
  <c r="O405" i="1"/>
  <c r="I405" i="1"/>
  <c r="E405" i="1"/>
  <c r="AQ404" i="1"/>
  <c r="AM404" i="1"/>
  <c r="S404" i="1"/>
  <c r="O404" i="1"/>
  <c r="I404" i="1"/>
  <c r="E404" i="1"/>
  <c r="S403" i="1"/>
  <c r="O403" i="1"/>
  <c r="I403" i="1"/>
  <c r="E403" i="1"/>
  <c r="AQ401" i="1"/>
  <c r="AM401" i="1"/>
  <c r="S401" i="1"/>
  <c r="O401" i="1"/>
  <c r="I401" i="1"/>
  <c r="E401" i="1"/>
  <c r="AQ400" i="1"/>
  <c r="AM400" i="1"/>
  <c r="S400" i="1"/>
  <c r="O400" i="1"/>
  <c r="I400" i="1"/>
  <c r="E400" i="1"/>
  <c r="AQ399" i="1"/>
  <c r="AM399" i="1"/>
  <c r="S399" i="1"/>
  <c r="O399" i="1"/>
  <c r="I399" i="1"/>
  <c r="E399" i="1"/>
  <c r="AQ398" i="1"/>
  <c r="AM398" i="1"/>
  <c r="S398" i="1"/>
  <c r="O398" i="1"/>
  <c r="I398" i="1"/>
  <c r="E398" i="1"/>
  <c r="AQ397" i="1"/>
  <c r="AM397" i="1"/>
  <c r="S397" i="1"/>
  <c r="O397" i="1"/>
  <c r="I397" i="1"/>
  <c r="E397" i="1"/>
  <c r="AQ396" i="1"/>
  <c r="AM396" i="1"/>
  <c r="S396" i="1"/>
  <c r="O396" i="1"/>
  <c r="I396" i="1"/>
  <c r="E396" i="1"/>
  <c r="AQ395" i="1"/>
  <c r="AM395" i="1"/>
  <c r="S395" i="1"/>
  <c r="O395" i="1"/>
  <c r="I395" i="1"/>
  <c r="E395" i="1"/>
  <c r="AQ394" i="1"/>
  <c r="AM394" i="1"/>
  <c r="S394" i="1"/>
  <c r="O394" i="1"/>
  <c r="I394" i="1"/>
  <c r="E394" i="1"/>
  <c r="AQ393" i="1"/>
  <c r="AM393" i="1"/>
  <c r="I393" i="1"/>
  <c r="E393" i="1"/>
  <c r="AQ392" i="1"/>
  <c r="AM392" i="1"/>
  <c r="S392" i="1"/>
  <c r="O392" i="1"/>
  <c r="I392" i="1"/>
  <c r="E392" i="1"/>
  <c r="E350" i="1"/>
  <c r="E351" i="1"/>
  <c r="I350" i="1"/>
  <c r="I351" i="1"/>
  <c r="S380" i="1"/>
  <c r="O380" i="1"/>
  <c r="S379" i="1"/>
  <c r="O379" i="1"/>
  <c r="S378" i="1"/>
  <c r="O378" i="1"/>
  <c r="S377" i="1"/>
  <c r="O377" i="1"/>
  <c r="S360" i="1"/>
  <c r="O360" i="1"/>
  <c r="AQ352" i="1"/>
  <c r="AM352" i="1"/>
  <c r="AQ351" i="1"/>
  <c r="AM351" i="1"/>
  <c r="S381" i="1"/>
  <c r="O381" i="1"/>
  <c r="S351" i="1"/>
  <c r="S352" i="1"/>
  <c r="S353" i="1"/>
  <c r="S354" i="1"/>
  <c r="O351" i="1"/>
  <c r="O352" i="1"/>
  <c r="AP384" i="1"/>
  <c r="AO384" i="1"/>
  <c r="AN384" i="1"/>
  <c r="AL384" i="1"/>
  <c r="AK384" i="1"/>
  <c r="AJ384" i="1"/>
  <c r="AQ383" i="1"/>
  <c r="AM383" i="1"/>
  <c r="I383" i="1"/>
  <c r="E383" i="1"/>
  <c r="AQ382" i="1"/>
  <c r="AM382" i="1"/>
  <c r="I382" i="1"/>
  <c r="E382" i="1"/>
  <c r="AQ381" i="1"/>
  <c r="AM381" i="1"/>
  <c r="I381" i="1"/>
  <c r="E381" i="1"/>
  <c r="AQ380" i="1"/>
  <c r="AM380" i="1"/>
  <c r="I380" i="1"/>
  <c r="E380" i="1"/>
  <c r="AQ379" i="1"/>
  <c r="AM379" i="1"/>
  <c r="I379" i="1"/>
  <c r="E379" i="1"/>
  <c r="AQ378" i="1"/>
  <c r="AM378" i="1"/>
  <c r="I378" i="1"/>
  <c r="E378" i="1"/>
  <c r="AQ377" i="1"/>
  <c r="AM377" i="1"/>
  <c r="I377" i="1"/>
  <c r="E377" i="1"/>
  <c r="AQ376" i="1"/>
  <c r="AM376" i="1"/>
  <c r="S376" i="1"/>
  <c r="O376" i="1"/>
  <c r="I376" i="1"/>
  <c r="E376" i="1"/>
  <c r="AQ375" i="1"/>
  <c r="AM375" i="1"/>
  <c r="S375" i="1"/>
  <c r="O375" i="1"/>
  <c r="I375" i="1"/>
  <c r="E375" i="1"/>
  <c r="AQ374" i="1"/>
  <c r="AM374" i="1"/>
  <c r="S374" i="1"/>
  <c r="O374" i="1"/>
  <c r="I374" i="1"/>
  <c r="E374" i="1"/>
  <c r="AQ373" i="1"/>
  <c r="AM373" i="1"/>
  <c r="S373" i="1"/>
  <c r="O373" i="1"/>
  <c r="I373" i="1"/>
  <c r="E373" i="1"/>
  <c r="AQ372" i="1"/>
  <c r="AM372" i="1"/>
  <c r="S372" i="1"/>
  <c r="O372" i="1"/>
  <c r="I372" i="1"/>
  <c r="E372" i="1"/>
  <c r="AQ371" i="1"/>
  <c r="AM371" i="1"/>
  <c r="S371" i="1"/>
  <c r="O371" i="1"/>
  <c r="I371" i="1"/>
  <c r="E371" i="1"/>
  <c r="AQ370" i="1"/>
  <c r="AM370" i="1"/>
  <c r="S370" i="1"/>
  <c r="O370" i="1"/>
  <c r="I370" i="1"/>
  <c r="E370" i="1"/>
  <c r="AQ369" i="1"/>
  <c r="AM369" i="1"/>
  <c r="S369" i="1"/>
  <c r="O369" i="1"/>
  <c r="I369" i="1"/>
  <c r="E369" i="1"/>
  <c r="AQ368" i="1"/>
  <c r="AM368" i="1"/>
  <c r="S368" i="1"/>
  <c r="O368" i="1"/>
  <c r="I368" i="1"/>
  <c r="E368" i="1"/>
  <c r="AQ367" i="1"/>
  <c r="AM367" i="1"/>
  <c r="S367" i="1"/>
  <c r="O367" i="1"/>
  <c r="I367" i="1"/>
  <c r="E367" i="1"/>
  <c r="AQ366" i="1"/>
  <c r="AM366" i="1"/>
  <c r="S366" i="1"/>
  <c r="O366" i="1"/>
  <c r="I366" i="1"/>
  <c r="E366" i="1"/>
  <c r="AQ365" i="1"/>
  <c r="AM365" i="1"/>
  <c r="S365" i="1"/>
  <c r="O365" i="1"/>
  <c r="I365" i="1"/>
  <c r="E365" i="1"/>
  <c r="AQ364" i="1"/>
  <c r="AM364" i="1"/>
  <c r="S364" i="1"/>
  <c r="O364" i="1"/>
  <c r="I364" i="1"/>
  <c r="E364" i="1"/>
  <c r="AQ363" i="1"/>
  <c r="AM363" i="1"/>
  <c r="S363" i="1"/>
  <c r="O363" i="1"/>
  <c r="I363" i="1"/>
  <c r="E363" i="1"/>
  <c r="S362" i="1"/>
  <c r="O362" i="1"/>
  <c r="I362" i="1"/>
  <c r="E362" i="1"/>
  <c r="AQ361" i="1"/>
  <c r="AM361" i="1"/>
  <c r="S361" i="1"/>
  <c r="O361" i="1"/>
  <c r="I361" i="1"/>
  <c r="E361" i="1"/>
  <c r="I360" i="1"/>
  <c r="E360" i="1"/>
  <c r="AQ358" i="1"/>
  <c r="AM358" i="1"/>
  <c r="S358" i="1"/>
  <c r="O358" i="1"/>
  <c r="I358" i="1"/>
  <c r="E358" i="1"/>
  <c r="AQ357" i="1"/>
  <c r="AM357" i="1"/>
  <c r="S357" i="1"/>
  <c r="O357" i="1"/>
  <c r="I357" i="1"/>
  <c r="E357" i="1"/>
  <c r="AQ356" i="1"/>
  <c r="AM356" i="1"/>
  <c r="S356" i="1"/>
  <c r="O356" i="1"/>
  <c r="I356" i="1"/>
  <c r="E356" i="1"/>
  <c r="AQ355" i="1"/>
  <c r="AM355" i="1"/>
  <c r="S355" i="1"/>
  <c r="O355" i="1"/>
  <c r="I355" i="1"/>
  <c r="E355" i="1"/>
  <c r="AQ354" i="1"/>
  <c r="AM354" i="1"/>
  <c r="O354" i="1"/>
  <c r="I354" i="1"/>
  <c r="E354" i="1"/>
  <c r="AQ353" i="1"/>
  <c r="AM353" i="1"/>
  <c r="O353" i="1"/>
  <c r="I353" i="1"/>
  <c r="E353" i="1"/>
  <c r="I352" i="1"/>
  <c r="E352" i="1"/>
  <c r="AQ349" i="1"/>
  <c r="AM349" i="1"/>
  <c r="S349" i="1"/>
  <c r="O349" i="1"/>
  <c r="I349" i="1"/>
  <c r="E349" i="1"/>
  <c r="S335" i="1"/>
  <c r="O335" i="1"/>
  <c r="S334" i="1"/>
  <c r="O334" i="1"/>
  <c r="S333" i="1"/>
  <c r="O333" i="1"/>
  <c r="I308" i="1"/>
  <c r="E308" i="1"/>
  <c r="I306" i="1"/>
  <c r="E306" i="1"/>
  <c r="S340" i="1"/>
  <c r="O340" i="1"/>
  <c r="S339" i="1"/>
  <c r="O339" i="1"/>
  <c r="S338" i="1"/>
  <c r="O338" i="1"/>
  <c r="S337" i="1"/>
  <c r="O337" i="1"/>
  <c r="S336" i="1"/>
  <c r="O336" i="1"/>
  <c r="S332" i="1"/>
  <c r="O332" i="1"/>
  <c r="S331" i="1"/>
  <c r="O331" i="1"/>
  <c r="S330" i="1"/>
  <c r="O330" i="1"/>
  <c r="S329" i="1"/>
  <c r="O329" i="1"/>
  <c r="S328" i="1"/>
  <c r="O328" i="1"/>
  <c r="S327" i="1"/>
  <c r="O327" i="1"/>
  <c r="S326" i="1"/>
  <c r="O326" i="1"/>
  <c r="S325" i="1"/>
  <c r="O325" i="1"/>
  <c r="S324" i="1"/>
  <c r="O324" i="1"/>
  <c r="S323" i="1"/>
  <c r="O323" i="1"/>
  <c r="S322" i="1"/>
  <c r="O322" i="1"/>
  <c r="S321" i="1"/>
  <c r="O321" i="1"/>
  <c r="S320" i="1"/>
  <c r="O320" i="1"/>
  <c r="S319" i="1"/>
  <c r="O319" i="1"/>
  <c r="S318" i="1"/>
  <c r="O318" i="1"/>
  <c r="S317" i="1"/>
  <c r="O317" i="1"/>
  <c r="S315" i="1"/>
  <c r="O315" i="1"/>
  <c r="S314" i="1"/>
  <c r="O314" i="1"/>
  <c r="S313" i="1"/>
  <c r="O313" i="1"/>
  <c r="S312" i="1"/>
  <c r="O312" i="1"/>
  <c r="S311" i="1"/>
  <c r="O311" i="1"/>
  <c r="S310" i="1"/>
  <c r="O310" i="1"/>
  <c r="S309" i="1"/>
  <c r="O309" i="1"/>
  <c r="S306" i="1"/>
  <c r="O306" i="1"/>
  <c r="AP341" i="1"/>
  <c r="AO341" i="1"/>
  <c r="AN341" i="1"/>
  <c r="AL341" i="1"/>
  <c r="AK341" i="1"/>
  <c r="AJ341" i="1"/>
  <c r="AQ340" i="1"/>
  <c r="AM340" i="1"/>
  <c r="I340" i="1"/>
  <c r="E340" i="1"/>
  <c r="AQ339" i="1"/>
  <c r="AM339" i="1"/>
  <c r="I339" i="1"/>
  <c r="E339" i="1"/>
  <c r="AQ338" i="1"/>
  <c r="AM338" i="1"/>
  <c r="I338" i="1"/>
  <c r="E338" i="1"/>
  <c r="AQ337" i="1"/>
  <c r="AM337" i="1"/>
  <c r="I337" i="1"/>
  <c r="E337" i="1"/>
  <c r="AQ336" i="1"/>
  <c r="AM336" i="1"/>
  <c r="I336" i="1"/>
  <c r="E336" i="1"/>
  <c r="AQ335" i="1"/>
  <c r="AM335" i="1"/>
  <c r="I335" i="1"/>
  <c r="E335" i="1"/>
  <c r="AQ334" i="1"/>
  <c r="AM334" i="1"/>
  <c r="I334" i="1"/>
  <c r="E334" i="1"/>
  <c r="AQ333" i="1"/>
  <c r="AM333" i="1"/>
  <c r="I333" i="1"/>
  <c r="E333" i="1"/>
  <c r="AQ332" i="1"/>
  <c r="AM332" i="1"/>
  <c r="I332" i="1"/>
  <c r="E332" i="1"/>
  <c r="AQ331" i="1"/>
  <c r="AM331" i="1"/>
  <c r="I331" i="1"/>
  <c r="E331" i="1"/>
  <c r="AQ330" i="1"/>
  <c r="AM330" i="1"/>
  <c r="I330" i="1"/>
  <c r="E330" i="1"/>
  <c r="AQ329" i="1"/>
  <c r="AM329" i="1"/>
  <c r="I329" i="1"/>
  <c r="E329" i="1"/>
  <c r="AQ328" i="1"/>
  <c r="AM328" i="1"/>
  <c r="I328" i="1"/>
  <c r="E328" i="1"/>
  <c r="AQ327" i="1"/>
  <c r="AM327" i="1"/>
  <c r="I327" i="1"/>
  <c r="E327" i="1"/>
  <c r="AQ326" i="1"/>
  <c r="AM326" i="1"/>
  <c r="I326" i="1"/>
  <c r="E326" i="1"/>
  <c r="AQ325" i="1"/>
  <c r="AM325" i="1"/>
  <c r="I325" i="1"/>
  <c r="E325" i="1"/>
  <c r="AQ324" i="1"/>
  <c r="AM324" i="1"/>
  <c r="I324" i="1"/>
  <c r="E324" i="1"/>
  <c r="AQ323" i="1"/>
  <c r="AM323" i="1"/>
  <c r="I323" i="1"/>
  <c r="E323" i="1"/>
  <c r="AQ322" i="1"/>
  <c r="AM322" i="1"/>
  <c r="I322" i="1"/>
  <c r="E322" i="1"/>
  <c r="AQ321" i="1"/>
  <c r="AM321" i="1"/>
  <c r="I321" i="1"/>
  <c r="E321" i="1"/>
  <c r="AQ320" i="1"/>
  <c r="AM320" i="1"/>
  <c r="I320" i="1"/>
  <c r="E320" i="1"/>
  <c r="AQ319" i="1"/>
  <c r="AM319" i="1"/>
  <c r="I319" i="1"/>
  <c r="E319" i="1"/>
  <c r="AQ318" i="1"/>
  <c r="AM318" i="1"/>
  <c r="I318" i="1"/>
  <c r="E318" i="1"/>
  <c r="AQ317" i="1"/>
  <c r="AM317" i="1"/>
  <c r="I317" i="1"/>
  <c r="E317" i="1"/>
  <c r="AQ315" i="1"/>
  <c r="AM315" i="1"/>
  <c r="I315" i="1"/>
  <c r="E315" i="1"/>
  <c r="AQ314" i="1"/>
  <c r="AM314" i="1"/>
  <c r="I314" i="1"/>
  <c r="E314" i="1"/>
  <c r="AQ313" i="1"/>
  <c r="AM313" i="1"/>
  <c r="I313" i="1"/>
  <c r="E313" i="1"/>
  <c r="AQ312" i="1"/>
  <c r="AM312" i="1"/>
  <c r="I312" i="1"/>
  <c r="E312" i="1"/>
  <c r="AQ311" i="1"/>
  <c r="AM311" i="1"/>
  <c r="I311" i="1"/>
  <c r="E311" i="1"/>
  <c r="AQ310" i="1"/>
  <c r="AM310" i="1"/>
  <c r="I310" i="1"/>
  <c r="E310" i="1"/>
  <c r="AQ309" i="1"/>
  <c r="AM309" i="1"/>
  <c r="I309" i="1"/>
  <c r="E309" i="1"/>
  <c r="AQ308" i="1"/>
  <c r="AM308" i="1"/>
  <c r="AQ307" i="1"/>
  <c r="AM307" i="1"/>
  <c r="AQ306" i="1"/>
  <c r="AM306" i="1"/>
  <c r="I251" i="1"/>
  <c r="E251" i="1"/>
  <c r="AM275" i="1"/>
  <c r="AQ275" i="1"/>
  <c r="AM276" i="1"/>
  <c r="AQ276" i="1"/>
  <c r="AQ251" i="1"/>
  <c r="AM251" i="1"/>
  <c r="AQ250" i="1"/>
  <c r="AM250" i="1"/>
  <c r="I264" i="1"/>
  <c r="E264" i="1"/>
  <c r="AQ252" i="1"/>
  <c r="AM252" i="1"/>
  <c r="I274" i="1"/>
  <c r="E274" i="1"/>
  <c r="E294" i="1"/>
  <c r="I294" i="1"/>
  <c r="E295" i="1"/>
  <c r="I295" i="1"/>
  <c r="I297" i="1"/>
  <c r="E297" i="1"/>
  <c r="I253" i="1"/>
  <c r="E253" i="1"/>
  <c r="I254" i="1"/>
  <c r="E254" i="1"/>
  <c r="E292" i="1"/>
  <c r="I292" i="1"/>
  <c r="E293" i="1"/>
  <c r="I293" i="1"/>
  <c r="AQ297" i="1"/>
  <c r="AM297" i="1"/>
  <c r="AP298" i="1"/>
  <c r="AO298" i="1"/>
  <c r="AN298" i="1"/>
  <c r="AL298" i="1"/>
  <c r="AK298" i="1"/>
  <c r="AJ298" i="1"/>
  <c r="AQ296" i="1"/>
  <c r="AM296" i="1"/>
  <c r="I296" i="1"/>
  <c r="E296" i="1"/>
  <c r="AQ295" i="1"/>
  <c r="AM295" i="1"/>
  <c r="AQ294" i="1"/>
  <c r="AM294" i="1"/>
  <c r="AQ293" i="1"/>
  <c r="AM293" i="1"/>
  <c r="AQ292" i="1"/>
  <c r="AM292" i="1"/>
  <c r="AQ291" i="1"/>
  <c r="AM291" i="1"/>
  <c r="I291" i="1"/>
  <c r="E291" i="1"/>
  <c r="AQ290" i="1"/>
  <c r="AM290" i="1"/>
  <c r="I290" i="1"/>
  <c r="E290" i="1"/>
  <c r="AQ289" i="1"/>
  <c r="AM289" i="1"/>
  <c r="I289" i="1"/>
  <c r="E289" i="1"/>
  <c r="AQ288" i="1"/>
  <c r="AM288" i="1"/>
  <c r="I288" i="1"/>
  <c r="E288" i="1"/>
  <c r="AQ287" i="1"/>
  <c r="AM287" i="1"/>
  <c r="I287" i="1"/>
  <c r="E287" i="1"/>
  <c r="AQ286" i="1"/>
  <c r="AM286" i="1"/>
  <c r="I286" i="1"/>
  <c r="E286" i="1"/>
  <c r="AQ285" i="1"/>
  <c r="AM285" i="1"/>
  <c r="I285" i="1"/>
  <c r="E285" i="1"/>
  <c r="AQ284" i="1"/>
  <c r="AM284" i="1"/>
  <c r="I284" i="1"/>
  <c r="E284" i="1"/>
  <c r="AQ283" i="1"/>
  <c r="AM283" i="1"/>
  <c r="I283" i="1"/>
  <c r="E283" i="1"/>
  <c r="AQ282" i="1"/>
  <c r="AM282" i="1"/>
  <c r="I282" i="1"/>
  <c r="E282" i="1"/>
  <c r="AQ281" i="1"/>
  <c r="AM281" i="1"/>
  <c r="I281" i="1"/>
  <c r="E281" i="1"/>
  <c r="AQ280" i="1"/>
  <c r="AM280" i="1"/>
  <c r="I280" i="1"/>
  <c r="E280" i="1"/>
  <c r="AQ279" i="1"/>
  <c r="AM279" i="1"/>
  <c r="I279" i="1"/>
  <c r="E279" i="1"/>
  <c r="AQ278" i="1"/>
  <c r="AM278" i="1"/>
  <c r="I278" i="1"/>
  <c r="E278" i="1"/>
  <c r="AQ277" i="1"/>
  <c r="AM277" i="1"/>
  <c r="I277" i="1"/>
  <c r="E277" i="1"/>
  <c r="I276" i="1"/>
  <c r="E276" i="1"/>
  <c r="I275" i="1"/>
  <c r="E275" i="1"/>
  <c r="AQ274" i="1"/>
  <c r="AM274" i="1"/>
  <c r="AQ272" i="1"/>
  <c r="AM272" i="1"/>
  <c r="I272" i="1"/>
  <c r="E272" i="1"/>
  <c r="AQ271" i="1"/>
  <c r="AM271" i="1"/>
  <c r="I271" i="1"/>
  <c r="E271" i="1"/>
  <c r="AQ270" i="1"/>
  <c r="AM270" i="1"/>
  <c r="I270" i="1"/>
  <c r="E270" i="1"/>
  <c r="AQ269" i="1"/>
  <c r="AM269" i="1"/>
  <c r="I269" i="1"/>
  <c r="E269" i="1"/>
  <c r="AQ268" i="1"/>
  <c r="AM268" i="1"/>
  <c r="I268" i="1"/>
  <c r="E268" i="1"/>
  <c r="AQ267" i="1"/>
  <c r="AM267" i="1"/>
  <c r="I267" i="1"/>
  <c r="E267" i="1"/>
  <c r="AQ266" i="1"/>
  <c r="AM266" i="1"/>
  <c r="I266" i="1"/>
  <c r="E266" i="1"/>
  <c r="AQ265" i="1"/>
  <c r="AM265" i="1"/>
  <c r="I265" i="1"/>
  <c r="E265" i="1"/>
  <c r="AQ264" i="1"/>
  <c r="AM264" i="1"/>
  <c r="AQ263" i="1"/>
  <c r="AM263" i="1"/>
  <c r="I263" i="1"/>
  <c r="E263" i="1"/>
  <c r="I252" i="1"/>
  <c r="E252" i="1"/>
  <c r="I250" i="1"/>
  <c r="E250" i="1"/>
  <c r="I249" i="1"/>
  <c r="E249" i="1"/>
  <c r="I248" i="1"/>
  <c r="E248" i="1"/>
  <c r="I228" i="1"/>
  <c r="E228" i="1"/>
  <c r="E224" i="1"/>
  <c r="I224" i="1"/>
  <c r="AP212" i="1"/>
  <c r="AO212" i="1"/>
  <c r="AN212" i="1"/>
  <c r="AL212" i="1"/>
  <c r="AK212" i="1"/>
  <c r="AJ212" i="1"/>
  <c r="AQ248" i="1"/>
  <c r="AM248" i="1"/>
  <c r="AM253" i="1"/>
  <c r="AQ253" i="1"/>
  <c r="AM254" i="1"/>
  <c r="AQ254" i="1"/>
  <c r="AQ232" i="1"/>
  <c r="AM232" i="1"/>
  <c r="AQ231" i="1"/>
  <c r="AM231" i="1"/>
  <c r="AP255" i="1"/>
  <c r="AO255" i="1"/>
  <c r="AN255" i="1"/>
  <c r="AL255" i="1"/>
  <c r="AK255" i="1"/>
  <c r="AJ255" i="1"/>
  <c r="AQ249" i="1"/>
  <c r="AM249" i="1"/>
  <c r="AQ247" i="1"/>
  <c r="AM247" i="1"/>
  <c r="I247" i="1"/>
  <c r="E247" i="1"/>
  <c r="AQ246" i="1"/>
  <c r="AM246" i="1"/>
  <c r="I246" i="1"/>
  <c r="E246" i="1"/>
  <c r="AQ245" i="1"/>
  <c r="AM245" i="1"/>
  <c r="I245" i="1"/>
  <c r="E245" i="1"/>
  <c r="AQ244" i="1"/>
  <c r="AM244" i="1"/>
  <c r="I244" i="1"/>
  <c r="E244" i="1"/>
  <c r="AQ243" i="1"/>
  <c r="AM243" i="1"/>
  <c r="I243" i="1"/>
  <c r="E243" i="1"/>
  <c r="AQ242" i="1"/>
  <c r="AM242" i="1"/>
  <c r="I242" i="1"/>
  <c r="E242" i="1"/>
  <c r="AQ241" i="1"/>
  <c r="AM241" i="1"/>
  <c r="I241" i="1"/>
  <c r="E241" i="1"/>
  <c r="AQ240" i="1"/>
  <c r="AM240" i="1"/>
  <c r="I240" i="1"/>
  <c r="E240" i="1"/>
  <c r="AQ239" i="1"/>
  <c r="AM239" i="1"/>
  <c r="I239" i="1"/>
  <c r="E239" i="1"/>
  <c r="AQ238" i="1"/>
  <c r="AM238" i="1"/>
  <c r="I238" i="1"/>
  <c r="E238" i="1"/>
  <c r="AQ237" i="1"/>
  <c r="AM237" i="1"/>
  <c r="I237" i="1"/>
  <c r="E237" i="1"/>
  <c r="AQ236" i="1"/>
  <c r="AM236" i="1"/>
  <c r="I236" i="1"/>
  <c r="E236" i="1"/>
  <c r="AQ235" i="1"/>
  <c r="AM235" i="1"/>
  <c r="I235" i="1"/>
  <c r="E235" i="1"/>
  <c r="AQ234" i="1"/>
  <c r="AM234" i="1"/>
  <c r="I234" i="1"/>
  <c r="E234" i="1"/>
  <c r="AQ233" i="1"/>
  <c r="AM233" i="1"/>
  <c r="I233" i="1"/>
  <c r="E233" i="1"/>
  <c r="I232" i="1"/>
  <c r="E232" i="1"/>
  <c r="I231" i="1"/>
  <c r="E231" i="1"/>
  <c r="AQ229" i="1"/>
  <c r="AM229" i="1"/>
  <c r="I229" i="1"/>
  <c r="E229" i="1"/>
  <c r="AQ228" i="1"/>
  <c r="AM228" i="1"/>
  <c r="AQ227" i="1"/>
  <c r="AM227" i="1"/>
  <c r="I227" i="1"/>
  <c r="E227" i="1"/>
  <c r="AQ226" i="1"/>
  <c r="AM226" i="1"/>
  <c r="I226" i="1"/>
  <c r="E226" i="1"/>
  <c r="AQ225" i="1"/>
  <c r="AM225" i="1"/>
  <c r="I225" i="1"/>
  <c r="E225" i="1"/>
  <c r="AQ224" i="1"/>
  <c r="AM224" i="1"/>
  <c r="AQ223" i="1"/>
  <c r="AM223" i="1"/>
  <c r="I223" i="1"/>
  <c r="E223" i="1"/>
  <c r="AQ222" i="1"/>
  <c r="AM222" i="1"/>
  <c r="I222" i="1"/>
  <c r="E222" i="1"/>
  <c r="AQ221" i="1"/>
  <c r="AM221" i="1"/>
  <c r="I221" i="1"/>
  <c r="E221" i="1"/>
  <c r="AQ220" i="1"/>
  <c r="AM220" i="1"/>
  <c r="I220" i="1"/>
  <c r="E220" i="1"/>
  <c r="AQ189" i="1"/>
  <c r="AM189" i="1"/>
  <c r="AQ188" i="1"/>
  <c r="AM188" i="1"/>
  <c r="AM209" i="1"/>
  <c r="AQ209" i="1"/>
  <c r="AM210" i="1"/>
  <c r="AQ210" i="1"/>
  <c r="AM211" i="1"/>
  <c r="AQ211" i="1"/>
  <c r="I211" i="1"/>
  <c r="E211" i="1"/>
  <c r="I210" i="1"/>
  <c r="E210" i="1"/>
  <c r="I209" i="1"/>
  <c r="E209" i="1"/>
  <c r="AQ208" i="1"/>
  <c r="AM208" i="1"/>
  <c r="I208" i="1"/>
  <c r="E208" i="1"/>
  <c r="AQ207" i="1"/>
  <c r="AM207" i="1"/>
  <c r="I207" i="1"/>
  <c r="E207" i="1"/>
  <c r="AQ206" i="1"/>
  <c r="AM206" i="1"/>
  <c r="I206" i="1"/>
  <c r="E206" i="1"/>
  <c r="AQ205" i="1"/>
  <c r="AM205" i="1"/>
  <c r="I205" i="1"/>
  <c r="E205" i="1"/>
  <c r="AQ204" i="1"/>
  <c r="AM204" i="1"/>
  <c r="I204" i="1"/>
  <c r="E204" i="1"/>
  <c r="AQ203" i="1"/>
  <c r="AM203" i="1"/>
  <c r="I203" i="1"/>
  <c r="E203" i="1"/>
  <c r="AQ202" i="1"/>
  <c r="AM202" i="1"/>
  <c r="I202" i="1"/>
  <c r="E202" i="1"/>
  <c r="AQ201" i="1"/>
  <c r="AM201" i="1"/>
  <c r="I201" i="1"/>
  <c r="E201" i="1"/>
  <c r="AQ200" i="1"/>
  <c r="AM200" i="1"/>
  <c r="I200" i="1"/>
  <c r="E200" i="1"/>
  <c r="AQ199" i="1"/>
  <c r="AM199" i="1"/>
  <c r="I199" i="1"/>
  <c r="E199" i="1"/>
  <c r="AQ198" i="1"/>
  <c r="AM198" i="1"/>
  <c r="I198" i="1"/>
  <c r="E198" i="1"/>
  <c r="AQ197" i="1"/>
  <c r="AM197" i="1"/>
  <c r="I197" i="1"/>
  <c r="E197" i="1"/>
  <c r="AQ196" i="1"/>
  <c r="AM196" i="1"/>
  <c r="I196" i="1"/>
  <c r="E196" i="1"/>
  <c r="AQ195" i="1"/>
  <c r="AM195" i="1"/>
  <c r="I195" i="1"/>
  <c r="E195" i="1"/>
  <c r="AQ194" i="1"/>
  <c r="AM194" i="1"/>
  <c r="I194" i="1"/>
  <c r="E194" i="1"/>
  <c r="AQ193" i="1"/>
  <c r="AM193" i="1"/>
  <c r="I193" i="1"/>
  <c r="E193" i="1"/>
  <c r="AQ192" i="1"/>
  <c r="AM192" i="1"/>
  <c r="I192" i="1"/>
  <c r="E192" i="1"/>
  <c r="AQ191" i="1"/>
  <c r="AM191" i="1"/>
  <c r="I191" i="1"/>
  <c r="E191" i="1"/>
  <c r="AQ190" i="1"/>
  <c r="AM190" i="1"/>
  <c r="I190" i="1"/>
  <c r="E190" i="1"/>
  <c r="I189" i="1"/>
  <c r="E189" i="1"/>
  <c r="I188" i="1"/>
  <c r="E188" i="1"/>
  <c r="AQ186" i="1"/>
  <c r="AM186" i="1"/>
  <c r="I186" i="1"/>
  <c r="E186" i="1"/>
  <c r="AQ185" i="1"/>
  <c r="AM185" i="1"/>
  <c r="I185" i="1"/>
  <c r="E185" i="1"/>
  <c r="AQ184" i="1"/>
  <c r="AM184" i="1"/>
  <c r="I184" i="1"/>
  <c r="E184" i="1"/>
  <c r="AQ183" i="1"/>
  <c r="AM183" i="1"/>
  <c r="I183" i="1"/>
  <c r="E183" i="1"/>
  <c r="AQ182" i="1"/>
  <c r="AM182" i="1"/>
  <c r="I182" i="1"/>
  <c r="E182" i="1"/>
  <c r="AQ181" i="1"/>
  <c r="AM181" i="1"/>
  <c r="I181" i="1"/>
  <c r="E181" i="1"/>
  <c r="AQ180" i="1"/>
  <c r="AM180" i="1"/>
  <c r="I180" i="1"/>
  <c r="E180" i="1"/>
  <c r="AQ179" i="1"/>
  <c r="AM179" i="1"/>
  <c r="I179" i="1"/>
  <c r="E179" i="1"/>
  <c r="AQ178" i="1"/>
  <c r="AM178" i="1"/>
  <c r="AQ177" i="1"/>
  <c r="AM177" i="1"/>
  <c r="I177" i="1"/>
  <c r="E177" i="1"/>
  <c r="I166" i="1"/>
  <c r="E166" i="1"/>
  <c r="I165" i="1"/>
  <c r="E165" i="1"/>
  <c r="E167" i="1"/>
  <c r="I167" i="1"/>
  <c r="E168" i="1"/>
  <c r="I168" i="1"/>
  <c r="AP169" i="1"/>
  <c r="AO169" i="1"/>
  <c r="AN169" i="1"/>
  <c r="AL169" i="1"/>
  <c r="AK169" i="1"/>
  <c r="AJ169" i="1"/>
  <c r="AQ168" i="1"/>
  <c r="AM168" i="1"/>
  <c r="AQ167" i="1"/>
  <c r="AM167" i="1"/>
  <c r="AQ166" i="1"/>
  <c r="AM166" i="1"/>
  <c r="AQ165" i="1"/>
  <c r="AM165" i="1"/>
  <c r="AQ164" i="1"/>
  <c r="AM164" i="1"/>
  <c r="AQ163" i="1"/>
  <c r="AM163" i="1"/>
  <c r="AQ162" i="1"/>
  <c r="AM162" i="1"/>
  <c r="AQ161" i="1"/>
  <c r="AM161" i="1"/>
  <c r="AQ160" i="1"/>
  <c r="AM160" i="1"/>
  <c r="AQ159" i="1"/>
  <c r="AM159" i="1"/>
  <c r="AQ158" i="1"/>
  <c r="AM158" i="1"/>
  <c r="AQ157" i="1"/>
  <c r="AM157" i="1"/>
  <c r="AQ156" i="1"/>
  <c r="AM156" i="1"/>
  <c r="AQ155" i="1"/>
  <c r="AM155" i="1"/>
  <c r="AQ154" i="1"/>
  <c r="AM154" i="1"/>
  <c r="AQ153" i="1"/>
  <c r="AM153" i="1"/>
  <c r="AQ152" i="1"/>
  <c r="AM152" i="1"/>
  <c r="AQ151" i="1"/>
  <c r="AM151" i="1"/>
  <c r="AQ150" i="1"/>
  <c r="AM150" i="1"/>
  <c r="AQ149" i="1"/>
  <c r="AM149" i="1"/>
  <c r="AQ148" i="1"/>
  <c r="AM148" i="1"/>
  <c r="AQ147" i="1"/>
  <c r="AM147" i="1"/>
  <c r="AQ146" i="1"/>
  <c r="AM146" i="1"/>
  <c r="AQ145" i="1"/>
  <c r="AM145" i="1"/>
  <c r="AQ143" i="1"/>
  <c r="AM143" i="1"/>
  <c r="AQ142" i="1"/>
  <c r="AM142" i="1"/>
  <c r="AQ141" i="1"/>
  <c r="AM141" i="1"/>
  <c r="AQ140" i="1"/>
  <c r="AM140" i="1"/>
  <c r="AQ139" i="1"/>
  <c r="AM139" i="1"/>
  <c r="AQ138" i="1"/>
  <c r="AM138" i="1"/>
  <c r="AQ137" i="1"/>
  <c r="AM137" i="1"/>
  <c r="AQ136" i="1"/>
  <c r="AM136" i="1"/>
  <c r="AQ135" i="1"/>
  <c r="AM135" i="1"/>
  <c r="AQ134" i="1"/>
  <c r="AM134" i="1"/>
  <c r="AP144" i="1"/>
  <c r="AO144" i="1"/>
  <c r="AN144" i="1"/>
  <c r="AL144" i="1"/>
  <c r="AK144" i="1"/>
  <c r="AJ144" i="1"/>
  <c r="AM133" i="1"/>
  <c r="AQ133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08" i="1"/>
  <c r="E108" i="1"/>
  <c r="I121" i="1"/>
  <c r="E121" i="1"/>
  <c r="I92" i="1"/>
  <c r="E92" i="1"/>
  <c r="I55" i="1"/>
  <c r="E55" i="1"/>
  <c r="I54" i="1"/>
  <c r="E54" i="1"/>
  <c r="I53" i="1"/>
  <c r="E53" i="1"/>
  <c r="I77" i="1"/>
  <c r="E77" i="1"/>
  <c r="I82" i="1"/>
  <c r="E82" i="1"/>
  <c r="E119" i="1"/>
  <c r="I119" i="1"/>
  <c r="I51" i="1"/>
  <c r="E51" i="1"/>
  <c r="I49" i="1"/>
  <c r="E49" i="1"/>
  <c r="I79" i="1"/>
  <c r="E79" i="1"/>
  <c r="I81" i="1"/>
  <c r="E81" i="1"/>
  <c r="I39" i="1"/>
  <c r="E39" i="1"/>
  <c r="I11" i="1"/>
  <c r="E11" i="1"/>
  <c r="I80" i="1"/>
  <c r="E80" i="1"/>
  <c r="I125" i="1"/>
  <c r="E125" i="1"/>
  <c r="I124" i="1"/>
  <c r="E124" i="1"/>
  <c r="I123" i="1"/>
  <c r="E123" i="1"/>
  <c r="I122" i="1"/>
  <c r="E122" i="1"/>
  <c r="I120" i="1"/>
  <c r="E120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1" i="1"/>
  <c r="E91" i="1"/>
  <c r="I9" i="1"/>
  <c r="E9" i="1"/>
  <c r="I61" i="1"/>
  <c r="E61" i="1"/>
  <c r="I52" i="1"/>
  <c r="E52" i="1"/>
  <c r="I48" i="1"/>
  <c r="E48" i="1"/>
  <c r="E28" i="1"/>
  <c r="I50" i="1"/>
  <c r="E50" i="1"/>
  <c r="I34" i="1"/>
  <c r="E34" i="1"/>
  <c r="I13" i="1"/>
  <c r="E13" i="1"/>
  <c r="I27" i="1"/>
  <c r="E27" i="1"/>
  <c r="I12" i="1"/>
  <c r="E12" i="1"/>
  <c r="E23" i="1"/>
  <c r="I4" i="1"/>
  <c r="E4" i="1"/>
  <c r="I7" i="1"/>
  <c r="E7" i="1"/>
  <c r="I78" i="1"/>
  <c r="E78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0" i="1"/>
  <c r="E60" i="1"/>
  <c r="I59" i="1"/>
  <c r="E59" i="1"/>
  <c r="I57" i="1"/>
  <c r="E57" i="1"/>
  <c r="I56" i="1"/>
  <c r="E56" i="1"/>
  <c r="I38" i="1"/>
  <c r="I37" i="1"/>
  <c r="I36" i="1"/>
  <c r="I35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I16" i="1"/>
  <c r="I14" i="1"/>
  <c r="I10" i="1"/>
  <c r="I8" i="1"/>
  <c r="I6" i="1"/>
  <c r="I5" i="1"/>
  <c r="E29" i="1"/>
  <c r="E30" i="1"/>
  <c r="E31" i="1"/>
  <c r="E32" i="1"/>
  <c r="E33" i="1"/>
  <c r="E35" i="1"/>
  <c r="E36" i="1"/>
  <c r="E37" i="1"/>
  <c r="E38" i="1"/>
  <c r="E18" i="1"/>
  <c r="E19" i="1"/>
  <c r="E20" i="1"/>
  <c r="E17" i="1"/>
  <c r="E16" i="1"/>
  <c r="E21" i="1"/>
  <c r="E22" i="1"/>
  <c r="E24" i="1"/>
  <c r="E25" i="1"/>
  <c r="E26" i="1"/>
  <c r="E5" i="1"/>
  <c r="E6" i="1"/>
  <c r="E8" i="1"/>
  <c r="E10" i="1"/>
  <c r="E14" i="1"/>
  <c r="P601" i="1" l="1"/>
  <c r="R601" i="1"/>
  <c r="Q601" i="1"/>
  <c r="N816" i="1"/>
  <c r="N1074" i="1" s="1"/>
  <c r="N1117" i="1" s="1"/>
  <c r="M816" i="1"/>
  <c r="M1074" i="1" s="1"/>
  <c r="M1117" i="1" s="1"/>
  <c r="I255" i="1"/>
  <c r="S599" i="1"/>
  <c r="AM169" i="1"/>
  <c r="I384" i="1"/>
  <c r="B41" i="1"/>
  <c r="B47" i="1" s="1"/>
  <c r="B58" i="1" s="1"/>
  <c r="E728" i="1"/>
  <c r="O685" i="1"/>
  <c r="E169" i="1"/>
  <c r="AM341" i="1"/>
  <c r="E212" i="1"/>
  <c r="I642" i="1"/>
  <c r="M342" i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M907" i="1" s="1"/>
  <c r="M918" i="1" s="1"/>
  <c r="M944" i="1" s="1"/>
  <c r="M950" i="1" s="1"/>
  <c r="M961" i="1" s="1"/>
  <c r="M987" i="1" s="1"/>
  <c r="M993" i="1" s="1"/>
  <c r="M1004" i="1" s="1"/>
  <c r="M1030" i="1" s="1"/>
  <c r="M1036" i="1" s="1"/>
  <c r="M1047" i="1" s="1"/>
  <c r="M1073" i="1" s="1"/>
  <c r="M1079" i="1" s="1"/>
  <c r="M1090" i="1" s="1"/>
  <c r="M1116" i="1" s="1"/>
  <c r="M1122" i="1" s="1"/>
  <c r="M1133" i="1" s="1"/>
  <c r="M1159" i="1" s="1"/>
  <c r="M1165" i="1" s="1"/>
  <c r="E427" i="1"/>
  <c r="O599" i="1"/>
  <c r="O341" i="1"/>
  <c r="S341" i="1"/>
  <c r="O771" i="1"/>
  <c r="I298" i="1"/>
  <c r="P342" i="1"/>
  <c r="P348" i="1" s="1"/>
  <c r="P359" i="1" s="1"/>
  <c r="P385" i="1" s="1"/>
  <c r="P391" i="1" s="1"/>
  <c r="P402" i="1" s="1"/>
  <c r="AJ170" i="1"/>
  <c r="AJ176" i="1" s="1"/>
  <c r="AJ187" i="1" s="1"/>
  <c r="AM642" i="1"/>
  <c r="AE643" i="1"/>
  <c r="AE649" i="1" s="1"/>
  <c r="AE660" i="1" s="1"/>
  <c r="AE686" i="1" s="1"/>
  <c r="AE692" i="1" s="1"/>
  <c r="O470" i="1"/>
  <c r="AG728" i="1"/>
  <c r="E470" i="1"/>
  <c r="B300" i="1"/>
  <c r="O427" i="1"/>
  <c r="AQ470" i="1"/>
  <c r="I513" i="1"/>
  <c r="S316" i="1"/>
  <c r="S556" i="1"/>
  <c r="AP170" i="1"/>
  <c r="AP176" i="1" s="1"/>
  <c r="AP187" i="1" s="1"/>
  <c r="AP213" i="1" s="1"/>
  <c r="AP219" i="1" s="1"/>
  <c r="AP230" i="1" s="1"/>
  <c r="AP256" i="1" s="1"/>
  <c r="AP262" i="1" s="1"/>
  <c r="AP273" i="1" s="1"/>
  <c r="AP299" i="1" s="1"/>
  <c r="AP305" i="1" s="1"/>
  <c r="AP316" i="1" s="1"/>
  <c r="AP342" i="1" s="1"/>
  <c r="AP348" i="1" s="1"/>
  <c r="AP359" i="1" s="1"/>
  <c r="AP385" i="1" s="1"/>
  <c r="AP391" i="1" s="1"/>
  <c r="AP402" i="1" s="1"/>
  <c r="AP428" i="1" s="1"/>
  <c r="AP434" i="1" s="1"/>
  <c r="AP445" i="1" s="1"/>
  <c r="AP471" i="1" s="1"/>
  <c r="AP477" i="1" s="1"/>
  <c r="AP488" i="1" s="1"/>
  <c r="AP514" i="1" s="1"/>
  <c r="AP520" i="1" s="1"/>
  <c r="AP531" i="1" s="1"/>
  <c r="AP557" i="1" s="1"/>
  <c r="AP563" i="1" s="1"/>
  <c r="AP574" i="1" s="1"/>
  <c r="AP600" i="1" s="1"/>
  <c r="AP606" i="1" s="1"/>
  <c r="AP617" i="1" s="1"/>
  <c r="AP643" i="1" s="1"/>
  <c r="AN170" i="1"/>
  <c r="AN176" i="1" s="1"/>
  <c r="AN187" i="1" s="1"/>
  <c r="AM513" i="1"/>
  <c r="I728" i="1"/>
  <c r="M601" i="1"/>
  <c r="AK170" i="1"/>
  <c r="AK176" i="1" s="1"/>
  <c r="AK187" i="1" s="1"/>
  <c r="AK213" i="1" s="1"/>
  <c r="AK219" i="1" s="1"/>
  <c r="AK230" i="1" s="1"/>
  <c r="AK256" i="1" s="1"/>
  <c r="AK262" i="1" s="1"/>
  <c r="AK273" i="1" s="1"/>
  <c r="AK299" i="1" s="1"/>
  <c r="AK305" i="1" s="1"/>
  <c r="AK316" i="1" s="1"/>
  <c r="AK342" i="1" s="1"/>
  <c r="AK348" i="1" s="1"/>
  <c r="AK359" i="1" s="1"/>
  <c r="AK385" i="1" s="1"/>
  <c r="AK391" i="1" s="1"/>
  <c r="AK402" i="1" s="1"/>
  <c r="AK428" i="1" s="1"/>
  <c r="AK434" i="1" s="1"/>
  <c r="AK445" i="1" s="1"/>
  <c r="AK471" i="1" s="1"/>
  <c r="AK477" i="1" s="1"/>
  <c r="AK488" i="1" s="1"/>
  <c r="AK514" i="1" s="1"/>
  <c r="AK520" i="1" s="1"/>
  <c r="AK531" i="1" s="1"/>
  <c r="AK557" i="1" s="1"/>
  <c r="AK563" i="1" s="1"/>
  <c r="AK574" i="1" s="1"/>
  <c r="AK600" i="1" s="1"/>
  <c r="AK606" i="1" s="1"/>
  <c r="AK617" i="1" s="1"/>
  <c r="AK643" i="1" s="1"/>
  <c r="AM599" i="1"/>
  <c r="I212" i="1"/>
  <c r="S513" i="1"/>
  <c r="S685" i="1"/>
  <c r="S470" i="1"/>
  <c r="E556" i="1"/>
  <c r="I470" i="1"/>
  <c r="E513" i="1"/>
  <c r="E255" i="1"/>
  <c r="E40" i="1"/>
  <c r="I427" i="1"/>
  <c r="I685" i="1"/>
  <c r="I169" i="1"/>
  <c r="O556" i="1"/>
  <c r="S642" i="1"/>
  <c r="AM556" i="1"/>
  <c r="AQ599" i="1"/>
  <c r="AC606" i="1"/>
  <c r="S728" i="1"/>
  <c r="AM255" i="1"/>
  <c r="E298" i="1"/>
  <c r="S305" i="1"/>
  <c r="O513" i="1"/>
  <c r="Y728" i="1"/>
  <c r="AG642" i="1"/>
  <c r="D300" i="1"/>
  <c r="E642" i="1"/>
  <c r="E384" i="1"/>
  <c r="E126" i="1"/>
  <c r="I40" i="1"/>
  <c r="I556" i="1"/>
  <c r="AF643" i="1"/>
  <c r="AF649" i="1" s="1"/>
  <c r="AF660" i="1" s="1"/>
  <c r="AF686" i="1" s="1"/>
  <c r="AF692" i="1" s="1"/>
  <c r="AF703" i="1" s="1"/>
  <c r="AF729" i="1" s="1"/>
  <c r="AF735" i="1" s="1"/>
  <c r="AF746" i="1" s="1"/>
  <c r="AF772" i="1" s="1"/>
  <c r="AF778" i="1" s="1"/>
  <c r="AF789" i="1" s="1"/>
  <c r="AF815" i="1" s="1"/>
  <c r="AF821" i="1" s="1"/>
  <c r="AF832" i="1" s="1"/>
  <c r="AF858" i="1" s="1"/>
  <c r="AF864" i="1" s="1"/>
  <c r="AF875" i="1" s="1"/>
  <c r="AF901" i="1" s="1"/>
  <c r="AF907" i="1" s="1"/>
  <c r="AF918" i="1" s="1"/>
  <c r="AF944" i="1" s="1"/>
  <c r="AF950" i="1" s="1"/>
  <c r="AF961" i="1" s="1"/>
  <c r="AF987" i="1" s="1"/>
  <c r="AF993" i="1" s="1"/>
  <c r="AF1004" i="1" s="1"/>
  <c r="AF1030" i="1" s="1"/>
  <c r="AF1036" i="1" s="1"/>
  <c r="AF1047" i="1" s="1"/>
  <c r="AF1073" i="1" s="1"/>
  <c r="AF1079" i="1" s="1"/>
  <c r="AF1090" i="1" s="1"/>
  <c r="AF1116" i="1" s="1"/>
  <c r="AF1122" i="1" s="1"/>
  <c r="AF1133" i="1" s="1"/>
  <c r="AF1159" i="1" s="1"/>
  <c r="AF1165" i="1" s="1"/>
  <c r="AQ144" i="1"/>
  <c r="AO170" i="1"/>
  <c r="AO176" i="1" s="1"/>
  <c r="AO187" i="1" s="1"/>
  <c r="AO213" i="1" s="1"/>
  <c r="AO219" i="1" s="1"/>
  <c r="AO230" i="1" s="1"/>
  <c r="AO256" i="1" s="1"/>
  <c r="AO262" i="1" s="1"/>
  <c r="AO273" i="1" s="1"/>
  <c r="AO299" i="1" s="1"/>
  <c r="AO305" i="1" s="1"/>
  <c r="AO316" i="1" s="1"/>
  <c r="AO342" i="1" s="1"/>
  <c r="AO348" i="1" s="1"/>
  <c r="AO359" i="1" s="1"/>
  <c r="AO385" i="1" s="1"/>
  <c r="AO391" i="1" s="1"/>
  <c r="AO402" i="1" s="1"/>
  <c r="AO428" i="1" s="1"/>
  <c r="AO434" i="1" s="1"/>
  <c r="AO445" i="1" s="1"/>
  <c r="AO471" i="1" s="1"/>
  <c r="AO477" i="1" s="1"/>
  <c r="AO488" i="1" s="1"/>
  <c r="AO514" i="1" s="1"/>
  <c r="AO520" i="1" s="1"/>
  <c r="AO531" i="1" s="1"/>
  <c r="AO557" i="1" s="1"/>
  <c r="AO563" i="1" s="1"/>
  <c r="AO574" i="1" s="1"/>
  <c r="AO600" i="1" s="1"/>
  <c r="AO606" i="1" s="1"/>
  <c r="AO617" i="1" s="1"/>
  <c r="AO643" i="1" s="1"/>
  <c r="AL170" i="1"/>
  <c r="AL176" i="1" s="1"/>
  <c r="AL187" i="1" s="1"/>
  <c r="AL213" i="1" s="1"/>
  <c r="AL219" i="1" s="1"/>
  <c r="AL230" i="1" s="1"/>
  <c r="AL256" i="1" s="1"/>
  <c r="AL262" i="1" s="1"/>
  <c r="AL273" i="1" s="1"/>
  <c r="AL299" i="1" s="1"/>
  <c r="AL305" i="1" s="1"/>
  <c r="AL316" i="1" s="1"/>
  <c r="AL342" i="1" s="1"/>
  <c r="AL348" i="1" s="1"/>
  <c r="AL359" i="1" s="1"/>
  <c r="AL385" i="1" s="1"/>
  <c r="AL391" i="1" s="1"/>
  <c r="AL402" i="1" s="1"/>
  <c r="AL428" i="1" s="1"/>
  <c r="AL434" i="1" s="1"/>
  <c r="AL445" i="1" s="1"/>
  <c r="AL471" i="1" s="1"/>
  <c r="AL477" i="1" s="1"/>
  <c r="AL488" i="1" s="1"/>
  <c r="AL514" i="1" s="1"/>
  <c r="AL520" i="1" s="1"/>
  <c r="AL531" i="1" s="1"/>
  <c r="AL557" i="1" s="1"/>
  <c r="AL563" i="1" s="1"/>
  <c r="AL574" i="1" s="1"/>
  <c r="AL600" i="1" s="1"/>
  <c r="AL606" i="1" s="1"/>
  <c r="AL617" i="1" s="1"/>
  <c r="AL643" i="1" s="1"/>
  <c r="AQ341" i="1"/>
  <c r="Y771" i="1"/>
  <c r="AA617" i="1"/>
  <c r="AA643" i="1" s="1"/>
  <c r="AA649" i="1" s="1"/>
  <c r="AA660" i="1" s="1"/>
  <c r="AA686" i="1" s="1"/>
  <c r="AA692" i="1" s="1"/>
  <c r="AA703" i="1" s="1"/>
  <c r="AA729" i="1" s="1"/>
  <c r="AA735" i="1" s="1"/>
  <c r="AA746" i="1" s="1"/>
  <c r="AA772" i="1" s="1"/>
  <c r="AA778" i="1" s="1"/>
  <c r="AA789" i="1" s="1"/>
  <c r="AA815" i="1" s="1"/>
  <c r="AA821" i="1" s="1"/>
  <c r="AA832" i="1" s="1"/>
  <c r="AA858" i="1" s="1"/>
  <c r="AA864" i="1" s="1"/>
  <c r="AA875" i="1" s="1"/>
  <c r="AA901" i="1" s="1"/>
  <c r="AA907" i="1" s="1"/>
  <c r="AA918" i="1" s="1"/>
  <c r="AA944" i="1" s="1"/>
  <c r="AA950" i="1" s="1"/>
  <c r="AA961" i="1" s="1"/>
  <c r="AA987" i="1" s="1"/>
  <c r="AA993" i="1" s="1"/>
  <c r="AA1004" i="1" s="1"/>
  <c r="AA1030" i="1" s="1"/>
  <c r="AA1036" i="1" s="1"/>
  <c r="AA1047" i="1" s="1"/>
  <c r="AA1073" i="1" s="1"/>
  <c r="AA1079" i="1" s="1"/>
  <c r="AA1090" i="1" s="1"/>
  <c r="AA1116" i="1" s="1"/>
  <c r="AA1122" i="1" s="1"/>
  <c r="AA1133" i="1" s="1"/>
  <c r="AA1159" i="1" s="1"/>
  <c r="E771" i="1"/>
  <c r="E599" i="1"/>
  <c r="E341" i="1"/>
  <c r="F41" i="1"/>
  <c r="F47" i="1" s="1"/>
  <c r="F58" i="1" s="1"/>
  <c r="O384" i="1"/>
  <c r="AQ212" i="1"/>
  <c r="AQ298" i="1"/>
  <c r="AM384" i="1"/>
  <c r="AM427" i="1"/>
  <c r="AC771" i="1"/>
  <c r="S427" i="1"/>
  <c r="S384" i="1"/>
  <c r="AQ427" i="1"/>
  <c r="AM212" i="1"/>
  <c r="O305" i="1"/>
  <c r="X643" i="1"/>
  <c r="X649" i="1" s="1"/>
  <c r="X660" i="1" s="1"/>
  <c r="X686" i="1" s="1"/>
  <c r="X692" i="1" s="1"/>
  <c r="X703" i="1" s="1"/>
  <c r="X729" i="1" s="1"/>
  <c r="X735" i="1" s="1"/>
  <c r="X746" i="1" s="1"/>
  <c r="X772" i="1" s="1"/>
  <c r="X778" i="1" s="1"/>
  <c r="X789" i="1" s="1"/>
  <c r="X815" i="1" s="1"/>
  <c r="X821" i="1" s="1"/>
  <c r="X832" i="1" s="1"/>
  <c r="X858" i="1" s="1"/>
  <c r="X864" i="1" s="1"/>
  <c r="X875" i="1" s="1"/>
  <c r="X901" i="1" s="1"/>
  <c r="X907" i="1" s="1"/>
  <c r="X918" i="1" s="1"/>
  <c r="X944" i="1" s="1"/>
  <c r="X950" i="1" s="1"/>
  <c r="X961" i="1" s="1"/>
  <c r="X987" i="1" s="1"/>
  <c r="X993" i="1" s="1"/>
  <c r="X1004" i="1" s="1"/>
  <c r="X1030" i="1" s="1"/>
  <c r="X1036" i="1" s="1"/>
  <c r="X1047" i="1" s="1"/>
  <c r="X1073" i="1" s="1"/>
  <c r="X1079" i="1" s="1"/>
  <c r="X1090" i="1" s="1"/>
  <c r="X1116" i="1" s="1"/>
  <c r="X1122" i="1" s="1"/>
  <c r="X1133" i="1" s="1"/>
  <c r="X1159" i="1" s="1"/>
  <c r="Y685" i="1"/>
  <c r="AC728" i="1"/>
  <c r="AC642" i="1"/>
  <c r="AG685" i="1"/>
  <c r="I83" i="1"/>
  <c r="I599" i="1"/>
  <c r="I341" i="1"/>
  <c r="O642" i="1"/>
  <c r="L515" i="1"/>
  <c r="L342" i="1"/>
  <c r="L348" i="1" s="1"/>
  <c r="O316" i="1"/>
  <c r="AD643" i="1"/>
  <c r="AD649" i="1" s="1"/>
  <c r="AG617" i="1"/>
  <c r="AQ513" i="1"/>
  <c r="I15" i="1"/>
  <c r="AQ169" i="1"/>
  <c r="L601" i="1"/>
  <c r="AM298" i="1"/>
  <c r="AB643" i="1"/>
  <c r="AB649" i="1" s="1"/>
  <c r="AB660" i="1" s="1"/>
  <c r="AB686" i="1" s="1"/>
  <c r="AB692" i="1" s="1"/>
  <c r="AB703" i="1" s="1"/>
  <c r="AB729" i="1" s="1"/>
  <c r="AB735" i="1" s="1"/>
  <c r="AB746" i="1" s="1"/>
  <c r="AB772" i="1" s="1"/>
  <c r="AB778" i="1" s="1"/>
  <c r="AB789" i="1" s="1"/>
  <c r="AB815" i="1" s="1"/>
  <c r="AB821" i="1" s="1"/>
  <c r="AB832" i="1" s="1"/>
  <c r="AB858" i="1" s="1"/>
  <c r="AB864" i="1" s="1"/>
  <c r="AB875" i="1" s="1"/>
  <c r="AB901" i="1" s="1"/>
  <c r="AB907" i="1" s="1"/>
  <c r="AB918" i="1" s="1"/>
  <c r="AB944" i="1" s="1"/>
  <c r="AB950" i="1" s="1"/>
  <c r="AB961" i="1" s="1"/>
  <c r="AB987" i="1" s="1"/>
  <c r="AB993" i="1" s="1"/>
  <c r="AB1004" i="1" s="1"/>
  <c r="AB1030" i="1" s="1"/>
  <c r="AB1036" i="1" s="1"/>
  <c r="AB1047" i="1" s="1"/>
  <c r="AB1073" i="1" s="1"/>
  <c r="AB1079" i="1" s="1"/>
  <c r="AB1090" i="1" s="1"/>
  <c r="AB1116" i="1" s="1"/>
  <c r="AB1122" i="1" s="1"/>
  <c r="AB1133" i="1" s="1"/>
  <c r="AB1159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C832" i="1" s="1"/>
  <c r="C858" i="1" s="1"/>
  <c r="C864" i="1" s="1"/>
  <c r="C875" i="1" s="1"/>
  <c r="C901" i="1" s="1"/>
  <c r="C907" i="1" s="1"/>
  <c r="C918" i="1" s="1"/>
  <c r="C944" i="1" s="1"/>
  <c r="C950" i="1" s="1"/>
  <c r="C961" i="1" s="1"/>
  <c r="C987" i="1" s="1"/>
  <c r="C993" i="1" s="1"/>
  <c r="C1004" i="1" s="1"/>
  <c r="C1030" i="1" s="1"/>
  <c r="C1036" i="1" s="1"/>
  <c r="C1047" i="1" s="1"/>
  <c r="C1073" i="1" s="1"/>
  <c r="C1079" i="1" s="1"/>
  <c r="C1090" i="1" s="1"/>
  <c r="C1116" i="1" s="1"/>
  <c r="C1122" i="1" s="1"/>
  <c r="C1133" i="1" s="1"/>
  <c r="C1159" i="1" s="1"/>
  <c r="C1165" i="1" s="1"/>
  <c r="C1176" i="1" s="1"/>
  <c r="C1202" i="1" s="1"/>
  <c r="C1208" i="1" s="1"/>
  <c r="C1219" i="1" s="1"/>
  <c r="C1245" i="1" s="1"/>
  <c r="C1251" i="1" s="1"/>
  <c r="C1262" i="1" s="1"/>
  <c r="C1288" i="1" s="1"/>
  <c r="C1294" i="1" s="1"/>
  <c r="C1305" i="1" s="1"/>
  <c r="C1331" i="1" s="1"/>
  <c r="C1337" i="1" s="1"/>
  <c r="C1348" i="1" s="1"/>
  <c r="C1374" i="1" s="1"/>
  <c r="C1380" i="1" s="1"/>
  <c r="C1391" i="1" s="1"/>
  <c r="C1417" i="1" s="1"/>
  <c r="C1423" i="1" s="1"/>
  <c r="C1434" i="1" s="1"/>
  <c r="C1460" i="1" s="1"/>
  <c r="C1466" i="1" s="1"/>
  <c r="N342" i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N832" i="1" s="1"/>
  <c r="N858" i="1" s="1"/>
  <c r="N864" i="1" s="1"/>
  <c r="N875" i="1" s="1"/>
  <c r="N901" i="1" s="1"/>
  <c r="N907" i="1" s="1"/>
  <c r="N918" i="1" s="1"/>
  <c r="N944" i="1" s="1"/>
  <c r="N950" i="1" s="1"/>
  <c r="N961" i="1" s="1"/>
  <c r="N987" i="1" s="1"/>
  <c r="N993" i="1" s="1"/>
  <c r="N1004" i="1" s="1"/>
  <c r="N1030" i="1" s="1"/>
  <c r="N1036" i="1" s="1"/>
  <c r="N1047" i="1" s="1"/>
  <c r="N1073" i="1" s="1"/>
  <c r="N1079" i="1" s="1"/>
  <c r="N1090" i="1" s="1"/>
  <c r="N1116" i="1" s="1"/>
  <c r="N1122" i="1" s="1"/>
  <c r="N1133" i="1" s="1"/>
  <c r="N1159" i="1" s="1"/>
  <c r="N1165" i="1" s="1"/>
  <c r="N1176" i="1" s="1"/>
  <c r="N1202" i="1" s="1"/>
  <c r="N1208" i="1" s="1"/>
  <c r="N1219" i="1" s="1"/>
  <c r="N1245" i="1" s="1"/>
  <c r="N1251" i="1" s="1"/>
  <c r="N1262" i="1" s="1"/>
  <c r="N1288" i="1" s="1"/>
  <c r="N1294" i="1" s="1"/>
  <c r="N1305" i="1" s="1"/>
  <c r="N1331" i="1" s="1"/>
  <c r="N1337" i="1" s="1"/>
  <c r="N1348" i="1" s="1"/>
  <c r="N1374" i="1" s="1"/>
  <c r="N1380" i="1" s="1"/>
  <c r="AQ642" i="1"/>
  <c r="AG606" i="1"/>
  <c r="I126" i="1"/>
  <c r="Q342" i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Q617" i="1" s="1"/>
  <c r="Q643" i="1" s="1"/>
  <c r="Q649" i="1" s="1"/>
  <c r="Q660" i="1" s="1"/>
  <c r="Q686" i="1" s="1"/>
  <c r="Q692" i="1" s="1"/>
  <c r="Q703" i="1" s="1"/>
  <c r="Q729" i="1" s="1"/>
  <c r="Q735" i="1" s="1"/>
  <c r="Q746" i="1" s="1"/>
  <c r="Q772" i="1" s="1"/>
  <c r="Q778" i="1" s="1"/>
  <c r="Q789" i="1" s="1"/>
  <c r="Q815" i="1" s="1"/>
  <c r="Q821" i="1" s="1"/>
  <c r="Q832" i="1" s="1"/>
  <c r="Q858" i="1" s="1"/>
  <c r="Q864" i="1" s="1"/>
  <c r="Q875" i="1" s="1"/>
  <c r="Q901" i="1" s="1"/>
  <c r="Q907" i="1" s="1"/>
  <c r="Q918" i="1" s="1"/>
  <c r="Q944" i="1" s="1"/>
  <c r="Q950" i="1" s="1"/>
  <c r="Q961" i="1" s="1"/>
  <c r="Q987" i="1" s="1"/>
  <c r="Q993" i="1" s="1"/>
  <c r="Q1004" i="1" s="1"/>
  <c r="Q1030" i="1" s="1"/>
  <c r="Q1036" i="1" s="1"/>
  <c r="Q1047" i="1" s="1"/>
  <c r="Q1073" i="1" s="1"/>
  <c r="Q1079" i="1" s="1"/>
  <c r="Q1090" i="1" s="1"/>
  <c r="Q1116" i="1" s="1"/>
  <c r="Q1122" i="1" s="1"/>
  <c r="Q1133" i="1" s="1"/>
  <c r="Q1159" i="1" s="1"/>
  <c r="Q1165" i="1" s="1"/>
  <c r="N601" i="1"/>
  <c r="AC685" i="1"/>
  <c r="E685" i="1"/>
  <c r="I771" i="1"/>
  <c r="R342" i="1"/>
  <c r="R348" i="1" s="1"/>
  <c r="R359" i="1" s="1"/>
  <c r="AQ255" i="1"/>
  <c r="AQ384" i="1"/>
  <c r="AM470" i="1"/>
  <c r="AQ556" i="1"/>
  <c r="Y642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H821" i="1" s="1"/>
  <c r="H832" i="1" s="1"/>
  <c r="H858" i="1" s="1"/>
  <c r="H864" i="1" s="1"/>
  <c r="H875" i="1" s="1"/>
  <c r="H901" i="1" s="1"/>
  <c r="H907" i="1" s="1"/>
  <c r="H918" i="1" s="1"/>
  <c r="H944" i="1" s="1"/>
  <c r="H950" i="1" s="1"/>
  <c r="H961" i="1" s="1"/>
  <c r="H987" i="1" s="1"/>
  <c r="H993" i="1" s="1"/>
  <c r="H1004" i="1" s="1"/>
  <c r="H1030" i="1" s="1"/>
  <c r="H1036" i="1" s="1"/>
  <c r="H1047" i="1" s="1"/>
  <c r="H1073" i="1" s="1"/>
  <c r="H1079" i="1" s="1"/>
  <c r="H1090" i="1" s="1"/>
  <c r="H1116" i="1" s="1"/>
  <c r="H1122" i="1" s="1"/>
  <c r="H1133" i="1" s="1"/>
  <c r="H1159" i="1" s="1"/>
  <c r="H1165" i="1" s="1"/>
  <c r="H1176" i="1" s="1"/>
  <c r="H1202" i="1" s="1"/>
  <c r="H1208" i="1" s="1"/>
  <c r="H1219" i="1" s="1"/>
  <c r="H1245" i="1" s="1"/>
  <c r="H1251" i="1" s="1"/>
  <c r="H1262" i="1" s="1"/>
  <c r="H1288" i="1" s="1"/>
  <c r="H1294" i="1" s="1"/>
  <c r="H1305" i="1" s="1"/>
  <c r="H1331" i="1" s="1"/>
  <c r="H1337" i="1" s="1"/>
  <c r="H1348" i="1" s="1"/>
  <c r="H1374" i="1" s="1"/>
  <c r="H1380" i="1" s="1"/>
  <c r="H1391" i="1" s="1"/>
  <c r="H1417" i="1" s="1"/>
  <c r="H1423" i="1" s="1"/>
  <c r="H1434" i="1" s="1"/>
  <c r="H1460" i="1" s="1"/>
  <c r="H1466" i="1" s="1"/>
  <c r="H1477" i="1" s="1"/>
  <c r="H1503" i="1" s="1"/>
  <c r="H1509" i="1" s="1"/>
  <c r="H1520" i="1" s="1"/>
  <c r="H1546" i="1" s="1"/>
  <c r="H1552" i="1" s="1"/>
  <c r="G41" i="1"/>
  <c r="G47" i="1" s="1"/>
  <c r="G58" i="1" s="1"/>
  <c r="G84" i="1" s="1"/>
  <c r="G90" i="1" s="1"/>
  <c r="G101" i="1" s="1"/>
  <c r="O472" i="1"/>
  <c r="L728" i="1"/>
  <c r="O728" i="1" s="1"/>
  <c r="V617" i="1"/>
  <c r="Y606" i="1"/>
  <c r="W643" i="1"/>
  <c r="W649" i="1" s="1"/>
  <c r="W660" i="1" s="1"/>
  <c r="W686" i="1" s="1"/>
  <c r="W692" i="1" s="1"/>
  <c r="W703" i="1" s="1"/>
  <c r="W729" i="1" s="1"/>
  <c r="W735" i="1" s="1"/>
  <c r="W746" i="1" s="1"/>
  <c r="W772" i="1" s="1"/>
  <c r="W778" i="1" s="1"/>
  <c r="W789" i="1" s="1"/>
  <c r="W815" i="1" s="1"/>
  <c r="W821" i="1" s="1"/>
  <c r="W832" i="1" s="1"/>
  <c r="W858" i="1" s="1"/>
  <c r="W864" i="1" s="1"/>
  <c r="W875" i="1" s="1"/>
  <c r="W901" i="1" s="1"/>
  <c r="W907" i="1" s="1"/>
  <c r="W918" i="1" s="1"/>
  <c r="W944" i="1" s="1"/>
  <c r="W950" i="1" s="1"/>
  <c r="W961" i="1" s="1"/>
  <c r="W987" i="1" s="1"/>
  <c r="W993" i="1" s="1"/>
  <c r="W1004" i="1" s="1"/>
  <c r="W1030" i="1" s="1"/>
  <c r="W1036" i="1" s="1"/>
  <c r="W1047" i="1" s="1"/>
  <c r="W1073" i="1" s="1"/>
  <c r="W1079" i="1" s="1"/>
  <c r="W1090" i="1" s="1"/>
  <c r="W1116" i="1" s="1"/>
  <c r="W1122" i="1" s="1"/>
  <c r="W1133" i="1" s="1"/>
  <c r="W1159" i="1" s="1"/>
  <c r="Z643" i="1"/>
  <c r="Z649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D993" i="1" s="1"/>
  <c r="D1004" i="1" s="1"/>
  <c r="D1030" i="1" s="1"/>
  <c r="D1036" i="1" s="1"/>
  <c r="D1047" i="1" s="1"/>
  <c r="D1073" i="1" s="1"/>
  <c r="D1079" i="1" s="1"/>
  <c r="D1090" i="1" s="1"/>
  <c r="D1116" i="1" s="1"/>
  <c r="D1122" i="1" s="1"/>
  <c r="D1133" i="1" s="1"/>
  <c r="D1159" i="1" s="1"/>
  <c r="D1165" i="1" s="1"/>
  <c r="D1176" i="1" s="1"/>
  <c r="D1202" i="1" s="1"/>
  <c r="D1208" i="1" s="1"/>
  <c r="D1219" i="1" s="1"/>
  <c r="D1245" i="1" s="1"/>
  <c r="D1251" i="1" s="1"/>
  <c r="D1262" i="1" s="1"/>
  <c r="D1288" i="1" s="1"/>
  <c r="D1294" i="1" s="1"/>
  <c r="D1305" i="1" s="1"/>
  <c r="D1331" i="1" s="1"/>
  <c r="D1337" i="1" s="1"/>
  <c r="D1348" i="1" s="1"/>
  <c r="D1374" i="1" s="1"/>
  <c r="D1380" i="1" s="1"/>
  <c r="D1391" i="1" s="1"/>
  <c r="D1417" i="1" s="1"/>
  <c r="D1423" i="1" s="1"/>
  <c r="D1434" i="1" s="1"/>
  <c r="D1460" i="1" s="1"/>
  <c r="D1466" i="1" s="1"/>
  <c r="D1477" i="1" s="1"/>
  <c r="D1503" i="1" s="1"/>
  <c r="D1509" i="1" s="1"/>
  <c r="D1520" i="1" s="1"/>
  <c r="D1546" i="1" s="1"/>
  <c r="D1552" i="1" s="1"/>
  <c r="E15" i="1"/>
  <c r="C300" i="1"/>
  <c r="E83" i="1"/>
  <c r="AM144" i="1"/>
  <c r="AG771" i="1"/>
  <c r="S771" i="1"/>
  <c r="H1563" i="1" l="1"/>
  <c r="D1563" i="1"/>
  <c r="C1477" i="1"/>
  <c r="N1391" i="1"/>
  <c r="W1165" i="1"/>
  <c r="W1176" i="1" s="1"/>
  <c r="W1202" i="1" s="1"/>
  <c r="W1208" i="1" s="1"/>
  <c r="W1219" i="1" s="1"/>
  <c r="W1245" i="1" s="1"/>
  <c r="W1251" i="1" s="1"/>
  <c r="W1262" i="1" s="1"/>
  <c r="W1288" i="1" s="1"/>
  <c r="W1294" i="1" s="1"/>
  <c r="X1165" i="1"/>
  <c r="X1176" i="1" s="1"/>
  <c r="X1202" i="1" s="1"/>
  <c r="X1208" i="1" s="1"/>
  <c r="X1219" i="1" s="1"/>
  <c r="X1245" i="1" s="1"/>
  <c r="X1251" i="1" s="1"/>
  <c r="X1262" i="1" s="1"/>
  <c r="X1288" i="1" s="1"/>
  <c r="X1294" i="1" s="1"/>
  <c r="X1305" i="1" s="1"/>
  <c r="X1331" i="1" s="1"/>
  <c r="X1337" i="1" s="1"/>
  <c r="X1348" i="1" s="1"/>
  <c r="X1374" i="1" s="1"/>
  <c r="X1380" i="1" s="1"/>
  <c r="X1391" i="1" s="1"/>
  <c r="X1417" i="1" s="1"/>
  <c r="X1423" i="1" s="1"/>
  <c r="X1434" i="1" s="1"/>
  <c r="X1460" i="1" s="1"/>
  <c r="X1466" i="1" s="1"/>
  <c r="X1477" i="1" s="1"/>
  <c r="X1503" i="1" s="1"/>
  <c r="X1509" i="1" s="1"/>
  <c r="X1520" i="1" s="1"/>
  <c r="X1546" i="1" s="1"/>
  <c r="X1552" i="1" s="1"/>
  <c r="X1563" i="1" s="1"/>
  <c r="X1589" i="1" s="1"/>
  <c r="X1595" i="1" s="1"/>
  <c r="X1606" i="1" s="1"/>
  <c r="X1632" i="1" s="1"/>
  <c r="X1638" i="1" s="1"/>
  <c r="AA1165" i="1"/>
  <c r="AA1176" i="1" s="1"/>
  <c r="AA1202" i="1" s="1"/>
  <c r="AA1208" i="1" s="1"/>
  <c r="AA1219" i="1" s="1"/>
  <c r="AA1245" i="1" s="1"/>
  <c r="AA1251" i="1" s="1"/>
  <c r="AA1262" i="1" s="1"/>
  <c r="AA1288" i="1" s="1"/>
  <c r="AA1294" i="1" s="1"/>
  <c r="AA1305" i="1" s="1"/>
  <c r="AA1331" i="1" s="1"/>
  <c r="AA1337" i="1" s="1"/>
  <c r="AA1348" i="1" s="1"/>
  <c r="AA1374" i="1" s="1"/>
  <c r="AA1380" i="1" s="1"/>
  <c r="AA1391" i="1" s="1"/>
  <c r="AA1417" i="1" s="1"/>
  <c r="AA1423" i="1" s="1"/>
  <c r="AA1434" i="1" s="1"/>
  <c r="AA1460" i="1" s="1"/>
  <c r="AA1466" i="1" s="1"/>
  <c r="AA1477" i="1" s="1"/>
  <c r="AA1503" i="1" s="1"/>
  <c r="AA1509" i="1" s="1"/>
  <c r="AA1520" i="1" s="1"/>
  <c r="AA1546" i="1" s="1"/>
  <c r="AA1552" i="1" s="1"/>
  <c r="AA1563" i="1" s="1"/>
  <c r="AA1589" i="1" s="1"/>
  <c r="AA1595" i="1" s="1"/>
  <c r="AA1606" i="1" s="1"/>
  <c r="AA1632" i="1" s="1"/>
  <c r="AA1638" i="1" s="1"/>
  <c r="AA1649" i="1" s="1"/>
  <c r="AA1675" i="1" s="1"/>
  <c r="AA1681" i="1" s="1"/>
  <c r="AB1165" i="1"/>
  <c r="AB1176" i="1" s="1"/>
  <c r="AB1202" i="1" s="1"/>
  <c r="AB1208" i="1" s="1"/>
  <c r="AB1219" i="1" s="1"/>
  <c r="AB1245" i="1" s="1"/>
  <c r="AB1251" i="1" s="1"/>
  <c r="AB1262" i="1" s="1"/>
  <c r="AB1288" i="1" s="1"/>
  <c r="AB1294" i="1" s="1"/>
  <c r="AB1305" i="1" s="1"/>
  <c r="AB1331" i="1" s="1"/>
  <c r="AB1337" i="1" s="1"/>
  <c r="AB1348" i="1" s="1"/>
  <c r="AB1374" i="1" s="1"/>
  <c r="AB1380" i="1" s="1"/>
  <c r="AB1391" i="1" s="1"/>
  <c r="AB1417" i="1" s="1"/>
  <c r="AB1423" i="1" s="1"/>
  <c r="AB1434" i="1" s="1"/>
  <c r="AB1460" i="1" s="1"/>
  <c r="AB1466" i="1" s="1"/>
  <c r="AB1477" i="1" s="1"/>
  <c r="AB1503" i="1" s="1"/>
  <c r="AB1509" i="1" s="1"/>
  <c r="AB1520" i="1" s="1"/>
  <c r="AB1546" i="1" s="1"/>
  <c r="AB1552" i="1" s="1"/>
  <c r="AB1563" i="1" s="1"/>
  <c r="AB1589" i="1" s="1"/>
  <c r="AB1595" i="1" s="1"/>
  <c r="AB1606" i="1" s="1"/>
  <c r="AB1632" i="1" s="1"/>
  <c r="AB1638" i="1" s="1"/>
  <c r="AF1176" i="1"/>
  <c r="AF1202" i="1" s="1"/>
  <c r="AF1208" i="1" s="1"/>
  <c r="AF1219" i="1" s="1"/>
  <c r="AF1245" i="1" s="1"/>
  <c r="AF1251" i="1" s="1"/>
  <c r="AF1262" i="1" s="1"/>
  <c r="AF1288" i="1" s="1"/>
  <c r="AF1294" i="1" s="1"/>
  <c r="Q1176" i="1"/>
  <c r="M1176" i="1"/>
  <c r="S601" i="1"/>
  <c r="O816" i="1"/>
  <c r="O1074" i="1" s="1"/>
  <c r="L816" i="1"/>
  <c r="L1074" i="1" s="1"/>
  <c r="L1117" i="1" s="1"/>
  <c r="AQ170" i="1"/>
  <c r="AC617" i="1"/>
  <c r="AC643" i="1" s="1"/>
  <c r="S342" i="1"/>
  <c r="E41" i="1"/>
  <c r="AM170" i="1"/>
  <c r="O342" i="1"/>
  <c r="AQ176" i="1"/>
  <c r="AM176" i="1"/>
  <c r="O601" i="1"/>
  <c r="M602" i="1" s="1"/>
  <c r="E300" i="1"/>
  <c r="E301" i="1" s="1"/>
  <c r="I41" i="1"/>
  <c r="AG643" i="1"/>
  <c r="L359" i="1"/>
  <c r="O348" i="1"/>
  <c r="AD660" i="1"/>
  <c r="AG649" i="1"/>
  <c r="I47" i="1"/>
  <c r="S348" i="1"/>
  <c r="F84" i="1"/>
  <c r="F90" i="1" s="1"/>
  <c r="I58" i="1"/>
  <c r="I84" i="1" s="1"/>
  <c r="Y617" i="1"/>
  <c r="Y643" i="1" s="1"/>
  <c r="V643" i="1"/>
  <c r="V649" i="1" s="1"/>
  <c r="Z660" i="1"/>
  <c r="AC649" i="1"/>
  <c r="G127" i="1"/>
  <c r="G133" i="1" s="1"/>
  <c r="R385" i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617" i="1" s="1"/>
  <c r="R643" i="1" s="1"/>
  <c r="R649" i="1" s="1"/>
  <c r="R660" i="1" s="1"/>
  <c r="R686" i="1" s="1"/>
  <c r="R692" i="1" s="1"/>
  <c r="R703" i="1" s="1"/>
  <c r="R729" i="1" s="1"/>
  <c r="R735" i="1" s="1"/>
  <c r="R746" i="1" s="1"/>
  <c r="R772" i="1" s="1"/>
  <c r="R778" i="1" s="1"/>
  <c r="R789" i="1" s="1"/>
  <c r="R815" i="1" s="1"/>
  <c r="R821" i="1" s="1"/>
  <c r="R832" i="1" s="1"/>
  <c r="R858" i="1" s="1"/>
  <c r="R864" i="1" s="1"/>
  <c r="R875" i="1" s="1"/>
  <c r="R901" i="1" s="1"/>
  <c r="R907" i="1" s="1"/>
  <c r="R918" i="1" s="1"/>
  <c r="R944" i="1" s="1"/>
  <c r="R950" i="1" s="1"/>
  <c r="R961" i="1" s="1"/>
  <c r="R987" i="1" s="1"/>
  <c r="R993" i="1" s="1"/>
  <c r="R1004" i="1" s="1"/>
  <c r="R1030" i="1" s="1"/>
  <c r="R1036" i="1" s="1"/>
  <c r="S359" i="1"/>
  <c r="S385" i="1" s="1"/>
  <c r="E47" i="1"/>
  <c r="AM187" i="1"/>
  <c r="AM213" i="1" s="1"/>
  <c r="AJ213" i="1"/>
  <c r="AJ219" i="1" s="1"/>
  <c r="AE703" i="1"/>
  <c r="AN213" i="1"/>
  <c r="AN219" i="1" s="1"/>
  <c r="AQ187" i="1"/>
  <c r="AQ213" i="1" s="1"/>
  <c r="P428" i="1"/>
  <c r="P434" i="1" s="1"/>
  <c r="B84" i="1"/>
  <c r="B90" i="1" s="1"/>
  <c r="E58" i="1"/>
  <c r="E84" i="1" s="1"/>
  <c r="AA1692" i="1" l="1"/>
  <c r="X1649" i="1"/>
  <c r="X1675" i="1" s="1"/>
  <c r="X1681" i="1" s="1"/>
  <c r="X1692" i="1" s="1"/>
  <c r="X1718" i="1" s="1"/>
  <c r="X1724" i="1" s="1"/>
  <c r="X1735" i="1" s="1"/>
  <c r="X1761" i="1" s="1"/>
  <c r="X1767" i="1" s="1"/>
  <c r="X1778" i="1" s="1"/>
  <c r="X1804" i="1" s="1"/>
  <c r="X1810" i="1" s="1"/>
  <c r="X1821" i="1" s="1"/>
  <c r="X1847" i="1" s="1"/>
  <c r="X1853" i="1" s="1"/>
  <c r="X1864" i="1" s="1"/>
  <c r="X1890" i="1" s="1"/>
  <c r="X1896" i="1" s="1"/>
  <c r="X1907" i="1" s="1"/>
  <c r="X1933" i="1" s="1"/>
  <c r="X1939" i="1" s="1"/>
  <c r="X1950" i="1" s="1"/>
  <c r="X1976" i="1" s="1"/>
  <c r="X1982" i="1" s="1"/>
  <c r="X1993" i="1" s="1"/>
  <c r="X2019" i="1" s="1"/>
  <c r="X2025" i="1" s="1"/>
  <c r="AB1649" i="1"/>
  <c r="AB1675" i="1" s="1"/>
  <c r="AB1681" i="1" s="1"/>
  <c r="AB1692" i="1" s="1"/>
  <c r="AB1718" i="1" s="1"/>
  <c r="AB1724" i="1" s="1"/>
  <c r="AB1735" i="1" s="1"/>
  <c r="AB1761" i="1" s="1"/>
  <c r="AB1767" i="1" s="1"/>
  <c r="AB1778" i="1" s="1"/>
  <c r="AB1804" i="1" s="1"/>
  <c r="AB1810" i="1" s="1"/>
  <c r="AB1821" i="1" s="1"/>
  <c r="AB1847" i="1" s="1"/>
  <c r="AB1853" i="1" s="1"/>
  <c r="AB1864" i="1" s="1"/>
  <c r="AB1890" i="1" s="1"/>
  <c r="AB1896" i="1" s="1"/>
  <c r="AB1907" i="1" s="1"/>
  <c r="AB1933" i="1" s="1"/>
  <c r="AB1939" i="1" s="1"/>
  <c r="AB1950" i="1" s="1"/>
  <c r="AB1976" i="1" s="1"/>
  <c r="AB1982" i="1" s="1"/>
  <c r="AB1993" i="1" s="1"/>
  <c r="AB2019" i="1" s="1"/>
  <c r="AB2025" i="1" s="1"/>
  <c r="H1589" i="1"/>
  <c r="H1595" i="1" s="1"/>
  <c r="D1589" i="1"/>
  <c r="D1595" i="1" s="1"/>
  <c r="C1503" i="1"/>
  <c r="C1509" i="1" s="1"/>
  <c r="C1520" i="1" s="1"/>
  <c r="C1546" i="1" s="1"/>
  <c r="C1552" i="1" s="1"/>
  <c r="C1563" i="1" s="1"/>
  <c r="C1589" i="1" s="1"/>
  <c r="C1595" i="1" s="1"/>
  <c r="C1606" i="1" s="1"/>
  <c r="C1632" i="1" s="1"/>
  <c r="C1638" i="1" s="1"/>
  <c r="C1649" i="1" s="1"/>
  <c r="C1675" i="1" s="1"/>
  <c r="C1681" i="1" s="1"/>
  <c r="C1692" i="1" s="1"/>
  <c r="C1718" i="1" s="1"/>
  <c r="C1724" i="1" s="1"/>
  <c r="C1735" i="1" s="1"/>
  <c r="C1761" i="1" s="1"/>
  <c r="C1767" i="1" s="1"/>
  <c r="C1778" i="1" s="1"/>
  <c r="C1804" i="1" s="1"/>
  <c r="C1810" i="1" s="1"/>
  <c r="C1821" i="1" s="1"/>
  <c r="C1847" i="1" s="1"/>
  <c r="C1853" i="1" s="1"/>
  <c r="C1864" i="1" s="1"/>
  <c r="C1890" i="1" s="1"/>
  <c r="C1896" i="1" s="1"/>
  <c r="C1907" i="1" s="1"/>
  <c r="C1933" i="1" s="1"/>
  <c r="C1939" i="1" s="1"/>
  <c r="C1950" i="1" s="1"/>
  <c r="C1976" i="1" s="1"/>
  <c r="C1982" i="1" s="1"/>
  <c r="C1993" i="1" s="1"/>
  <c r="C2019" i="1" s="1"/>
  <c r="C2025" i="1" s="1"/>
  <c r="C2036" i="1" s="1"/>
  <c r="C2062" i="1" s="1"/>
  <c r="C2068" i="1" s="1"/>
  <c r="C2079" i="1" s="1"/>
  <c r="C2105" i="1" s="1"/>
  <c r="C2111" i="1" s="1"/>
  <c r="N1417" i="1"/>
  <c r="N1423" i="1" s="1"/>
  <c r="N1434" i="1" s="1"/>
  <c r="N1460" i="1" s="1"/>
  <c r="N1466" i="1" s="1"/>
  <c r="N1477" i="1" s="1"/>
  <c r="N1503" i="1" s="1"/>
  <c r="N1509" i="1" s="1"/>
  <c r="N1520" i="1" s="1"/>
  <c r="N1546" i="1" s="1"/>
  <c r="AF1305" i="1"/>
  <c r="AF1331" i="1" s="1"/>
  <c r="AF1337" i="1" s="1"/>
  <c r="AF1348" i="1" s="1"/>
  <c r="AF1374" i="1" s="1"/>
  <c r="AF1380" i="1" s="1"/>
  <c r="AF1391" i="1" s="1"/>
  <c r="AF1417" i="1" s="1"/>
  <c r="AF1423" i="1" s="1"/>
  <c r="AF1434" i="1" s="1"/>
  <c r="AF1460" i="1" s="1"/>
  <c r="AF1466" i="1" s="1"/>
  <c r="AF1477" i="1" s="1"/>
  <c r="AF1503" i="1" s="1"/>
  <c r="AF1509" i="1" s="1"/>
  <c r="AF1520" i="1" s="1"/>
  <c r="AF1546" i="1" s="1"/>
  <c r="AF1552" i="1" s="1"/>
  <c r="AF1563" i="1" s="1"/>
  <c r="AF1589" i="1" s="1"/>
  <c r="AF1595" i="1" s="1"/>
  <c r="AF1606" i="1" s="1"/>
  <c r="AF1632" i="1" s="1"/>
  <c r="AF1638" i="1" s="1"/>
  <c r="AF1649" i="1" s="1"/>
  <c r="AF1675" i="1" s="1"/>
  <c r="AF1681" i="1" s="1"/>
  <c r="AF1692" i="1" s="1"/>
  <c r="AF1718" i="1" s="1"/>
  <c r="AF1724" i="1" s="1"/>
  <c r="AF1735" i="1" s="1"/>
  <c r="AF1761" i="1" s="1"/>
  <c r="AF1767" i="1" s="1"/>
  <c r="AF1778" i="1" s="1"/>
  <c r="AF1804" i="1" s="1"/>
  <c r="AF1810" i="1" s="1"/>
  <c r="AF1821" i="1" s="1"/>
  <c r="AF1847" i="1" s="1"/>
  <c r="AF1853" i="1" s="1"/>
  <c r="W1305" i="1"/>
  <c r="W1331" i="1" s="1"/>
  <c r="W1337" i="1" s="1"/>
  <c r="O1075" i="1"/>
  <c r="O1117" i="1"/>
  <c r="Q1202" i="1"/>
  <c r="Q1208" i="1" s="1"/>
  <c r="Q1219" i="1" s="1"/>
  <c r="Q1245" i="1" s="1"/>
  <c r="Q1251" i="1" s="1"/>
  <c r="Q1262" i="1" s="1"/>
  <c r="Q1288" i="1" s="1"/>
  <c r="Q1294" i="1" s="1"/>
  <c r="Q1305" i="1" s="1"/>
  <c r="Q1331" i="1" s="1"/>
  <c r="Q1337" i="1" s="1"/>
  <c r="Q1348" i="1" s="1"/>
  <c r="Q1374" i="1" s="1"/>
  <c r="Q1380" i="1" s="1"/>
  <c r="Q1391" i="1" s="1"/>
  <c r="Q1417" i="1" s="1"/>
  <c r="Q1423" i="1" s="1"/>
  <c r="Q1434" i="1" s="1"/>
  <c r="Q1460" i="1" s="1"/>
  <c r="Q1466" i="1" s="1"/>
  <c r="M1202" i="1"/>
  <c r="M1208" i="1" s="1"/>
  <c r="M1219" i="1" s="1"/>
  <c r="M1245" i="1" s="1"/>
  <c r="M1251" i="1" s="1"/>
  <c r="M1262" i="1" s="1"/>
  <c r="M1288" i="1" s="1"/>
  <c r="M1294" i="1" s="1"/>
  <c r="M1305" i="1" s="1"/>
  <c r="M1331" i="1" s="1"/>
  <c r="M1337" i="1" s="1"/>
  <c r="M1348" i="1" s="1"/>
  <c r="M1374" i="1" s="1"/>
  <c r="M1380" i="1" s="1"/>
  <c r="M1391" i="1" s="1"/>
  <c r="M1417" i="1" s="1"/>
  <c r="M1423" i="1" s="1"/>
  <c r="L1075" i="1"/>
  <c r="N1075" i="1"/>
  <c r="M1075" i="1"/>
  <c r="R1047" i="1"/>
  <c r="R1073" i="1" s="1"/>
  <c r="R1079" i="1" s="1"/>
  <c r="R1090" i="1" s="1"/>
  <c r="R1116" i="1" s="1"/>
  <c r="R1122" i="1" s="1"/>
  <c r="R1133" i="1" s="1"/>
  <c r="R1159" i="1" s="1"/>
  <c r="R1165" i="1" s="1"/>
  <c r="R1176" i="1" s="1"/>
  <c r="R1202" i="1" s="1"/>
  <c r="R1208" i="1" s="1"/>
  <c r="R1219" i="1" s="1"/>
  <c r="R1245" i="1" s="1"/>
  <c r="R1251" i="1" s="1"/>
  <c r="L817" i="1"/>
  <c r="O817" i="1"/>
  <c r="N817" i="1"/>
  <c r="M817" i="1"/>
  <c r="D301" i="1"/>
  <c r="L602" i="1"/>
  <c r="B301" i="1"/>
  <c r="C301" i="1"/>
  <c r="N602" i="1"/>
  <c r="S391" i="1"/>
  <c r="F101" i="1"/>
  <c r="I90" i="1"/>
  <c r="L385" i="1"/>
  <c r="L391" i="1" s="1"/>
  <c r="O359" i="1"/>
  <c r="O385" i="1" s="1"/>
  <c r="AD686" i="1"/>
  <c r="AD692" i="1" s="1"/>
  <c r="AG660" i="1"/>
  <c r="AG686" i="1" s="1"/>
  <c r="V660" i="1"/>
  <c r="Y649" i="1"/>
  <c r="AE729" i="1"/>
  <c r="AE735" i="1" s="1"/>
  <c r="B101" i="1"/>
  <c r="E90" i="1"/>
  <c r="S402" i="1"/>
  <c r="S428" i="1" s="1"/>
  <c r="G144" i="1"/>
  <c r="Z686" i="1"/>
  <c r="Z692" i="1" s="1"/>
  <c r="AC660" i="1"/>
  <c r="AC686" i="1" s="1"/>
  <c r="AM219" i="1"/>
  <c r="AJ230" i="1"/>
  <c r="P445" i="1"/>
  <c r="S434" i="1"/>
  <c r="AQ219" i="1"/>
  <c r="AN230" i="1"/>
  <c r="C2122" i="1" l="1"/>
  <c r="X2036" i="1"/>
  <c r="X2062" i="1" s="1"/>
  <c r="X2068" i="1" s="1"/>
  <c r="X2079" i="1" s="1"/>
  <c r="X2105" i="1" s="1"/>
  <c r="X2111" i="1" s="1"/>
  <c r="X2122" i="1" s="1"/>
  <c r="X2148" i="1" s="1"/>
  <c r="X2154" i="1" s="1"/>
  <c r="X2165" i="1" s="1"/>
  <c r="X2191" i="1" s="1"/>
  <c r="X2197" i="1" s="1"/>
  <c r="X2208" i="1" s="1"/>
  <c r="X2234" i="1" s="1"/>
  <c r="AB2036" i="1"/>
  <c r="AB2062" i="1" s="1"/>
  <c r="AB2068" i="1" s="1"/>
  <c r="AB2079" i="1" s="1"/>
  <c r="AB2105" i="1" s="1"/>
  <c r="AB2111" i="1" s="1"/>
  <c r="AB2122" i="1" s="1"/>
  <c r="AB2148" i="1" s="1"/>
  <c r="AB2154" i="1" s="1"/>
  <c r="AB2165" i="1" s="1"/>
  <c r="AB2191" i="1" s="1"/>
  <c r="AB2197" i="1" s="1"/>
  <c r="AB2208" i="1" s="1"/>
  <c r="AB2234" i="1" s="1"/>
  <c r="AF1864" i="1"/>
  <c r="AF1890" i="1" s="1"/>
  <c r="AF1896" i="1" s="1"/>
  <c r="AF1907" i="1" s="1"/>
  <c r="AF1933" i="1" s="1"/>
  <c r="AF1939" i="1" s="1"/>
  <c r="AF1950" i="1" s="1"/>
  <c r="AF1976" i="1" s="1"/>
  <c r="AF1982" i="1" s="1"/>
  <c r="AF1993" i="1" s="1"/>
  <c r="AF2019" i="1" s="1"/>
  <c r="AF2025" i="1" s="1"/>
  <c r="AF2036" i="1" s="1"/>
  <c r="AF2062" i="1" s="1"/>
  <c r="AF2068" i="1" s="1"/>
  <c r="AF2079" i="1" s="1"/>
  <c r="AF2105" i="1" s="1"/>
  <c r="AF2111" i="1" s="1"/>
  <c r="AF2122" i="1" s="1"/>
  <c r="AF2148" i="1" s="1"/>
  <c r="AF2154" i="1" s="1"/>
  <c r="AF2165" i="1" s="1"/>
  <c r="AF2191" i="1" s="1"/>
  <c r="AF2197" i="1" s="1"/>
  <c r="AF2208" i="1" s="1"/>
  <c r="AF2234" i="1" s="1"/>
  <c r="AA1718" i="1"/>
  <c r="AA1724" i="1" s="1"/>
  <c r="AA1735" i="1" s="1"/>
  <c r="AA1761" i="1" s="1"/>
  <c r="AA1767" i="1" s="1"/>
  <c r="AA1778" i="1" s="1"/>
  <c r="AA1804" i="1" s="1"/>
  <c r="AA1810" i="1" s="1"/>
  <c r="AA1821" i="1" s="1"/>
  <c r="AA1847" i="1" s="1"/>
  <c r="AA1853" i="1" s="1"/>
  <c r="AA1864" i="1" s="1"/>
  <c r="AA1890" i="1" s="1"/>
  <c r="AA1896" i="1" s="1"/>
  <c r="AA1907" i="1" s="1"/>
  <c r="AA1933" i="1" s="1"/>
  <c r="AA1939" i="1" s="1"/>
  <c r="AA1950" i="1" s="1"/>
  <c r="AA1976" i="1" s="1"/>
  <c r="AA1982" i="1" s="1"/>
  <c r="AA1993" i="1" s="1"/>
  <c r="AA2019" i="1" s="1"/>
  <c r="AA2025" i="1" s="1"/>
  <c r="AA2036" i="1" s="1"/>
  <c r="AA2062" i="1" s="1"/>
  <c r="AA2068" i="1" s="1"/>
  <c r="AA2079" i="1" s="1"/>
  <c r="AA2105" i="1" s="1"/>
  <c r="AA2111" i="1" s="1"/>
  <c r="AA2122" i="1" s="1"/>
  <c r="AA2148" i="1" s="1"/>
  <c r="AA2154" i="1" s="1"/>
  <c r="AA2165" i="1" s="1"/>
  <c r="AA2191" i="1" s="1"/>
  <c r="AA2197" i="1" s="1"/>
  <c r="AA2208" i="1" s="1"/>
  <c r="AA2234" i="1" s="1"/>
  <c r="H1606" i="1"/>
  <c r="D1606" i="1"/>
  <c r="N1552" i="1"/>
  <c r="N1563" i="1" s="1"/>
  <c r="N1589" i="1" s="1"/>
  <c r="N1595" i="1" s="1"/>
  <c r="N1606" i="1" s="1"/>
  <c r="N1632" i="1" s="1"/>
  <c r="N1638" i="1" s="1"/>
  <c r="N1649" i="1" s="1"/>
  <c r="N1675" i="1" s="1"/>
  <c r="N1692" i="1" s="1"/>
  <c r="N1718" i="1" s="1"/>
  <c r="N1724" i="1" s="1"/>
  <c r="N1735" i="1" s="1"/>
  <c r="N1761" i="1" s="1"/>
  <c r="N1767" i="1" s="1"/>
  <c r="Q1477" i="1"/>
  <c r="M1434" i="1"/>
  <c r="M1460" i="1" s="1"/>
  <c r="M1466" i="1" s="1"/>
  <c r="W1348" i="1"/>
  <c r="W1374" i="1" s="1"/>
  <c r="W1380" i="1" s="1"/>
  <c r="W1391" i="1" s="1"/>
  <c r="W1417" i="1" s="1"/>
  <c r="W1423" i="1" s="1"/>
  <c r="W1434" i="1" s="1"/>
  <c r="W1460" i="1" s="1"/>
  <c r="W1466" i="1" s="1"/>
  <c r="R1262" i="1"/>
  <c r="R1288" i="1" s="1"/>
  <c r="R1294" i="1" s="1"/>
  <c r="R1305" i="1" s="1"/>
  <c r="R1331" i="1" s="1"/>
  <c r="R1337" i="1" s="1"/>
  <c r="R1348" i="1" s="1"/>
  <c r="R1374" i="1" s="1"/>
  <c r="R1380" i="1" s="1"/>
  <c r="O1118" i="1"/>
  <c r="M1118" i="1"/>
  <c r="N1118" i="1"/>
  <c r="L1118" i="1"/>
  <c r="O602" i="1"/>
  <c r="L402" i="1"/>
  <c r="O391" i="1"/>
  <c r="AD703" i="1"/>
  <c r="AG692" i="1"/>
  <c r="F127" i="1"/>
  <c r="F133" i="1" s="1"/>
  <c r="I101" i="1"/>
  <c r="I127" i="1" s="1"/>
  <c r="G170" i="1"/>
  <c r="G176" i="1" s="1"/>
  <c r="P471" i="1"/>
  <c r="P477" i="1" s="1"/>
  <c r="S445" i="1"/>
  <c r="S471" i="1" s="1"/>
  <c r="E101" i="1"/>
  <c r="E127" i="1" s="1"/>
  <c r="B127" i="1"/>
  <c r="B133" i="1" s="1"/>
  <c r="AE746" i="1"/>
  <c r="AJ256" i="1"/>
  <c r="AJ262" i="1" s="1"/>
  <c r="AM230" i="1"/>
  <c r="AM256" i="1" s="1"/>
  <c r="Z703" i="1"/>
  <c r="AC692" i="1"/>
  <c r="AN256" i="1"/>
  <c r="AN262" i="1" s="1"/>
  <c r="AQ230" i="1"/>
  <c r="AQ256" i="1" s="1"/>
  <c r="V686" i="1"/>
  <c r="V692" i="1" s="1"/>
  <c r="Y660" i="1"/>
  <c r="Y686" i="1" s="1"/>
  <c r="C2148" i="1" l="1"/>
  <c r="C2154" i="1" s="1"/>
  <c r="H1632" i="1"/>
  <c r="H1638" i="1" s="1"/>
  <c r="H1649" i="1" s="1"/>
  <c r="H1675" i="1" s="1"/>
  <c r="H1681" i="1" s="1"/>
  <c r="H1692" i="1" s="1"/>
  <c r="H1718" i="1" s="1"/>
  <c r="D1632" i="1"/>
  <c r="D1638" i="1" s="1"/>
  <c r="D1649" i="1" s="1"/>
  <c r="D1675" i="1" s="1"/>
  <c r="D1681" i="1" s="1"/>
  <c r="D1692" i="1" s="1"/>
  <c r="D1718" i="1" s="1"/>
  <c r="W1477" i="1"/>
  <c r="W1503" i="1" s="1"/>
  <c r="W1509" i="1" s="1"/>
  <c r="W1520" i="1" s="1"/>
  <c r="W1546" i="1" s="1"/>
  <c r="W1552" i="1" s="1"/>
  <c r="W1563" i="1" s="1"/>
  <c r="W1589" i="1" s="1"/>
  <c r="W1595" i="1" s="1"/>
  <c r="W1606" i="1" s="1"/>
  <c r="W1632" i="1" s="1"/>
  <c r="W1638" i="1" s="1"/>
  <c r="W1649" i="1" s="1"/>
  <c r="W1675" i="1" s="1"/>
  <c r="W1681" i="1" s="1"/>
  <c r="W1692" i="1" s="1"/>
  <c r="W1718" i="1" s="1"/>
  <c r="W1724" i="1" s="1"/>
  <c r="W1735" i="1" s="1"/>
  <c r="W1761" i="1" s="1"/>
  <c r="W1767" i="1" s="1"/>
  <c r="W1778" i="1" s="1"/>
  <c r="W1804" i="1" s="1"/>
  <c r="W1810" i="1" s="1"/>
  <c r="W1821" i="1" s="1"/>
  <c r="W1847" i="1" s="1"/>
  <c r="W1853" i="1" s="1"/>
  <c r="W1864" i="1" s="1"/>
  <c r="W1890" i="1" s="1"/>
  <c r="W1896" i="1" s="1"/>
  <c r="W1907" i="1" s="1"/>
  <c r="W1933" i="1" s="1"/>
  <c r="W1939" i="1" s="1"/>
  <c r="W1950" i="1" s="1"/>
  <c r="W1976" i="1" s="1"/>
  <c r="W1982" i="1" s="1"/>
  <c r="W1993" i="1" s="1"/>
  <c r="W2019" i="1" s="1"/>
  <c r="W2025" i="1" s="1"/>
  <c r="W2036" i="1" s="1"/>
  <c r="W2062" i="1" s="1"/>
  <c r="W2068" i="1" s="1"/>
  <c r="W2079" i="1" s="1"/>
  <c r="W2105" i="1" s="1"/>
  <c r="W2111" i="1" s="1"/>
  <c r="W2122" i="1" s="1"/>
  <c r="W2148" i="1" s="1"/>
  <c r="W2154" i="1" s="1"/>
  <c r="W2165" i="1" s="1"/>
  <c r="W2191" i="1" s="1"/>
  <c r="W2197" i="1" s="1"/>
  <c r="W2208" i="1" s="1"/>
  <c r="W2234" i="1" s="1"/>
  <c r="Q1503" i="1"/>
  <c r="Q1509" i="1" s="1"/>
  <c r="Q1520" i="1" s="1"/>
  <c r="Q1546" i="1" s="1"/>
  <c r="Q1552" i="1" s="1"/>
  <c r="Q1563" i="1" s="1"/>
  <c r="Q1589" i="1" s="1"/>
  <c r="Q1595" i="1" s="1"/>
  <c r="Q1606" i="1" s="1"/>
  <c r="Q1632" i="1" s="1"/>
  <c r="Q1638" i="1" s="1"/>
  <c r="Q1649" i="1" s="1"/>
  <c r="Q1675" i="1" s="1"/>
  <c r="Q1692" i="1" s="1"/>
  <c r="Q1718" i="1" s="1"/>
  <c r="Q1724" i="1" s="1"/>
  <c r="Q1735" i="1" s="1"/>
  <c r="Q1761" i="1" s="1"/>
  <c r="Q1767" i="1" s="1"/>
  <c r="M1477" i="1"/>
  <c r="R1391" i="1"/>
  <c r="F144" i="1"/>
  <c r="I133" i="1"/>
  <c r="AD729" i="1"/>
  <c r="AD735" i="1" s="1"/>
  <c r="AG703" i="1"/>
  <c r="AG729" i="1" s="1"/>
  <c r="L428" i="1"/>
  <c r="O402" i="1"/>
  <c r="O428" i="1" s="1"/>
  <c r="AN273" i="1"/>
  <c r="AQ262" i="1"/>
  <c r="B144" i="1"/>
  <c r="E133" i="1"/>
  <c r="AE772" i="1"/>
  <c r="AE778" i="1" s="1"/>
  <c r="AE789" i="1" s="1"/>
  <c r="AE815" i="1" s="1"/>
  <c r="AE821" i="1" s="1"/>
  <c r="AE832" i="1" s="1"/>
  <c r="AE858" i="1" s="1"/>
  <c r="AE864" i="1" s="1"/>
  <c r="AE875" i="1" s="1"/>
  <c r="AE901" i="1" s="1"/>
  <c r="AE907" i="1" s="1"/>
  <c r="AE918" i="1" s="1"/>
  <c r="AE944" i="1" s="1"/>
  <c r="AE950" i="1" s="1"/>
  <c r="AE961" i="1" s="1"/>
  <c r="AE987" i="1" s="1"/>
  <c r="AE993" i="1" s="1"/>
  <c r="AE1004" i="1" s="1"/>
  <c r="AE1030" i="1" s="1"/>
  <c r="AE1036" i="1" s="1"/>
  <c r="AE1047" i="1" s="1"/>
  <c r="AE1073" i="1" s="1"/>
  <c r="AE1079" i="1" s="1"/>
  <c r="AE1090" i="1" s="1"/>
  <c r="AE1116" i="1" s="1"/>
  <c r="AE1122" i="1" s="1"/>
  <c r="AE1133" i="1" s="1"/>
  <c r="AE1159" i="1" s="1"/>
  <c r="AE1165" i="1" s="1"/>
  <c r="AE1176" i="1" s="1"/>
  <c r="AE1202" i="1" s="1"/>
  <c r="AE1208" i="1" s="1"/>
  <c r="AE1219" i="1" s="1"/>
  <c r="AE1245" i="1" s="1"/>
  <c r="AE1251" i="1" s="1"/>
  <c r="AE1262" i="1" s="1"/>
  <c r="AE1288" i="1" s="1"/>
  <c r="AE1294" i="1" s="1"/>
  <c r="AE1305" i="1" s="1"/>
  <c r="AE1331" i="1" s="1"/>
  <c r="AE1337" i="1" s="1"/>
  <c r="AE1348" i="1" s="1"/>
  <c r="AE1374" i="1" s="1"/>
  <c r="AE1380" i="1" s="1"/>
  <c r="AE1391" i="1" s="1"/>
  <c r="AE1417" i="1" s="1"/>
  <c r="AE1423" i="1" s="1"/>
  <c r="AE1434" i="1" s="1"/>
  <c r="AE1460" i="1" s="1"/>
  <c r="AE1466" i="1" s="1"/>
  <c r="AE1477" i="1" s="1"/>
  <c r="AE1503" i="1" s="1"/>
  <c r="AE1509" i="1" s="1"/>
  <c r="AE1520" i="1" s="1"/>
  <c r="AE1546" i="1" s="1"/>
  <c r="AE1552" i="1" s="1"/>
  <c r="AE1563" i="1" s="1"/>
  <c r="AE1589" i="1" s="1"/>
  <c r="AE1595" i="1" s="1"/>
  <c r="AE1606" i="1" s="1"/>
  <c r="AE1632" i="1" s="1"/>
  <c r="AE1638" i="1" s="1"/>
  <c r="AE1649" i="1" s="1"/>
  <c r="AE1675" i="1" s="1"/>
  <c r="AE1681" i="1" s="1"/>
  <c r="V703" i="1"/>
  <c r="Y692" i="1"/>
  <c r="P488" i="1"/>
  <c r="S477" i="1"/>
  <c r="Z729" i="1"/>
  <c r="Z735" i="1" s="1"/>
  <c r="AC703" i="1"/>
  <c r="AC729" i="1" s="1"/>
  <c r="AJ273" i="1"/>
  <c r="AM262" i="1"/>
  <c r="G187" i="1"/>
  <c r="C2165" i="1" l="1"/>
  <c r="Q1778" i="1"/>
  <c r="Q1762" i="1"/>
  <c r="N1778" i="1"/>
  <c r="N1762" i="1"/>
  <c r="AE1692" i="1"/>
  <c r="M1503" i="1"/>
  <c r="M1509" i="1" s="1"/>
  <c r="M1520" i="1" s="1"/>
  <c r="M1546" i="1" s="1"/>
  <c r="R1417" i="1"/>
  <c r="R1423" i="1" s="1"/>
  <c r="R1434" i="1" s="1"/>
  <c r="R1460" i="1" s="1"/>
  <c r="R1466" i="1" s="1"/>
  <c r="R1477" i="1" s="1"/>
  <c r="R1503" i="1" s="1"/>
  <c r="R1509" i="1" s="1"/>
  <c r="R1520" i="1" s="1"/>
  <c r="R1546" i="1" s="1"/>
  <c r="R1552" i="1" s="1"/>
  <c r="R1563" i="1" s="1"/>
  <c r="R1589" i="1" s="1"/>
  <c r="R1595" i="1" s="1"/>
  <c r="R1606" i="1" s="1"/>
  <c r="R1632" i="1" s="1"/>
  <c r="R1638" i="1" s="1"/>
  <c r="R1649" i="1" s="1"/>
  <c r="R1675" i="1" s="1"/>
  <c r="R1692" i="1" s="1"/>
  <c r="R1718" i="1" s="1"/>
  <c r="R1724" i="1" s="1"/>
  <c r="R1735" i="1" s="1"/>
  <c r="R1761" i="1" s="1"/>
  <c r="R1767" i="1" s="1"/>
  <c r="L434" i="1"/>
  <c r="L429" i="1"/>
  <c r="AD746" i="1"/>
  <c r="AG735" i="1"/>
  <c r="O429" i="1"/>
  <c r="M429" i="1"/>
  <c r="N429" i="1"/>
  <c r="F170" i="1"/>
  <c r="F176" i="1" s="1"/>
  <c r="I144" i="1"/>
  <c r="I170" i="1" s="1"/>
  <c r="Z746" i="1"/>
  <c r="AC735" i="1"/>
  <c r="V729" i="1"/>
  <c r="V735" i="1" s="1"/>
  <c r="Y703" i="1"/>
  <c r="Y729" i="1" s="1"/>
  <c r="B170" i="1"/>
  <c r="B176" i="1" s="1"/>
  <c r="E144" i="1"/>
  <c r="E170" i="1" s="1"/>
  <c r="G213" i="1"/>
  <c r="G219" i="1" s="1"/>
  <c r="AJ299" i="1"/>
  <c r="AJ305" i="1" s="1"/>
  <c r="AM273" i="1"/>
  <c r="AM299" i="1" s="1"/>
  <c r="P514" i="1"/>
  <c r="P520" i="1" s="1"/>
  <c r="S488" i="1"/>
  <c r="S514" i="1" s="1"/>
  <c r="AN299" i="1"/>
  <c r="AN305" i="1" s="1"/>
  <c r="AQ273" i="1"/>
  <c r="AQ299" i="1" s="1"/>
  <c r="C2191" i="1" l="1"/>
  <c r="C2197" i="1" s="1"/>
  <c r="N1804" i="1"/>
  <c r="N1810" i="1" s="1"/>
  <c r="Q1804" i="1"/>
  <c r="AE1718" i="1"/>
  <c r="AE1724" i="1" s="1"/>
  <c r="AE1735" i="1" s="1"/>
  <c r="AE1761" i="1" s="1"/>
  <c r="AE1767" i="1" s="1"/>
  <c r="AE1778" i="1" s="1"/>
  <c r="AE1804" i="1" s="1"/>
  <c r="AE1810" i="1" s="1"/>
  <c r="AE1821" i="1" s="1"/>
  <c r="AE1847" i="1" s="1"/>
  <c r="AE1853" i="1" s="1"/>
  <c r="AE1864" i="1" s="1"/>
  <c r="AE1890" i="1" s="1"/>
  <c r="AE1896" i="1" s="1"/>
  <c r="AE1907" i="1" s="1"/>
  <c r="AE1933" i="1" s="1"/>
  <c r="AE1939" i="1" s="1"/>
  <c r="AE1950" i="1" s="1"/>
  <c r="AE1976" i="1" s="1"/>
  <c r="AE1982" i="1" s="1"/>
  <c r="AE1993" i="1" s="1"/>
  <c r="AE2019" i="1" s="1"/>
  <c r="AE2025" i="1" s="1"/>
  <c r="AE2036" i="1" s="1"/>
  <c r="AE2062" i="1" s="1"/>
  <c r="AE2068" i="1" s="1"/>
  <c r="AE2079" i="1" s="1"/>
  <c r="AE2105" i="1" s="1"/>
  <c r="AE2111" i="1" s="1"/>
  <c r="AE2122" i="1" s="1"/>
  <c r="AE2148" i="1" s="1"/>
  <c r="AE2154" i="1" s="1"/>
  <c r="AE2165" i="1" s="1"/>
  <c r="AE2191" i="1" s="1"/>
  <c r="AE2197" i="1" s="1"/>
  <c r="AE2208" i="1" s="1"/>
  <c r="AE2234" i="1" s="1"/>
  <c r="M1552" i="1"/>
  <c r="M1563" i="1" s="1"/>
  <c r="M1589" i="1" s="1"/>
  <c r="M1595" i="1" s="1"/>
  <c r="M1606" i="1" s="1"/>
  <c r="M1632" i="1" s="1"/>
  <c r="M1638" i="1" s="1"/>
  <c r="M1649" i="1" s="1"/>
  <c r="M1675" i="1" s="1"/>
  <c r="M1692" i="1" s="1"/>
  <c r="M1718" i="1" s="1"/>
  <c r="M1724" i="1" s="1"/>
  <c r="M1735" i="1" s="1"/>
  <c r="M1761" i="1" s="1"/>
  <c r="M1767" i="1" s="1"/>
  <c r="AD772" i="1"/>
  <c r="AD778" i="1" s="1"/>
  <c r="AG746" i="1"/>
  <c r="AG772" i="1" s="1"/>
  <c r="F187" i="1"/>
  <c r="I176" i="1"/>
  <c r="L445" i="1"/>
  <c r="O434" i="1"/>
  <c r="P531" i="1"/>
  <c r="S520" i="1"/>
  <c r="B187" i="1"/>
  <c r="E176" i="1"/>
  <c r="Y735" i="1"/>
  <c r="V746" i="1"/>
  <c r="AM305" i="1"/>
  <c r="AJ316" i="1"/>
  <c r="AQ305" i="1"/>
  <c r="AN316" i="1"/>
  <c r="G230" i="1"/>
  <c r="AC746" i="1"/>
  <c r="AC772" i="1" s="1"/>
  <c r="Z772" i="1"/>
  <c r="Z778" i="1" s="1"/>
  <c r="C2208" i="1" l="1"/>
  <c r="Q1810" i="1"/>
  <c r="Q1821" i="1" s="1"/>
  <c r="Q1847" i="1" s="1"/>
  <c r="Q1853" i="1" s="1"/>
  <c r="Q1864" i="1" s="1"/>
  <c r="Q1890" i="1" s="1"/>
  <c r="N1821" i="1"/>
  <c r="N1847" i="1" s="1"/>
  <c r="N1853" i="1" s="1"/>
  <c r="M1778" i="1"/>
  <c r="M1762" i="1"/>
  <c r="R1778" i="1"/>
  <c r="R1762" i="1"/>
  <c r="AC778" i="1"/>
  <c r="Z789" i="1"/>
  <c r="AG778" i="1"/>
  <c r="AD789" i="1"/>
  <c r="L471" i="1"/>
  <c r="L477" i="1" s="1"/>
  <c r="O445" i="1"/>
  <c r="O471" i="1" s="1"/>
  <c r="F213" i="1"/>
  <c r="F219" i="1" s="1"/>
  <c r="I187" i="1"/>
  <c r="I213" i="1" s="1"/>
  <c r="Y746" i="1"/>
  <c r="Y772" i="1" s="1"/>
  <c r="V772" i="1"/>
  <c r="V778" i="1" s="1"/>
  <c r="G256" i="1"/>
  <c r="G262" i="1" s="1"/>
  <c r="B213" i="1"/>
  <c r="B219" i="1" s="1"/>
  <c r="E187" i="1"/>
  <c r="E213" i="1" s="1"/>
  <c r="AN342" i="1"/>
  <c r="AN348" i="1" s="1"/>
  <c r="AQ316" i="1"/>
  <c r="AQ342" i="1" s="1"/>
  <c r="AJ342" i="1"/>
  <c r="AJ348" i="1" s="1"/>
  <c r="AM316" i="1"/>
  <c r="AM342" i="1" s="1"/>
  <c r="P557" i="1"/>
  <c r="P563" i="1" s="1"/>
  <c r="S531" i="1"/>
  <c r="S557" i="1" s="1"/>
  <c r="C2234" i="1" l="1"/>
  <c r="Q1896" i="1"/>
  <c r="Q1907" i="1" s="1"/>
  <c r="Q1933" i="1" s="1"/>
  <c r="Q1939" i="1" s="1"/>
  <c r="Q1950" i="1" s="1"/>
  <c r="Q1976" i="1" s="1"/>
  <c r="Q1982" i="1" s="1"/>
  <c r="Q1993" i="1" s="1"/>
  <c r="Q2019" i="1" s="1"/>
  <c r="Q2025" i="1" s="1"/>
  <c r="Q2036" i="1" s="1"/>
  <c r="Q2062" i="1" s="1"/>
  <c r="Q2068" i="1" s="1"/>
  <c r="Q2079" i="1" s="1"/>
  <c r="Q2105" i="1" s="1"/>
  <c r="Q2111" i="1" s="1"/>
  <c r="Q2122" i="1" s="1"/>
  <c r="Q2148" i="1" s="1"/>
  <c r="Q2154" i="1" s="1"/>
  <c r="Q2165" i="1" s="1"/>
  <c r="Q2191" i="1" s="1"/>
  <c r="Q2197" i="1" s="1"/>
  <c r="Q2208" i="1" s="1"/>
  <c r="Q2234" i="1" s="1"/>
  <c r="N1864" i="1"/>
  <c r="N1890" i="1" s="1"/>
  <c r="N1896" i="1" s="1"/>
  <c r="M1804" i="1"/>
  <c r="M1810" i="1" s="1"/>
  <c r="R1804" i="1"/>
  <c r="R1810" i="1" s="1"/>
  <c r="Y778" i="1"/>
  <c r="V789" i="1"/>
  <c r="AG789" i="1"/>
  <c r="AG815" i="1" s="1"/>
  <c r="AD815" i="1"/>
  <c r="AD821" i="1" s="1"/>
  <c r="AC789" i="1"/>
  <c r="AC815" i="1" s="1"/>
  <c r="Z815" i="1"/>
  <c r="Z821" i="1" s="1"/>
  <c r="F230" i="1"/>
  <c r="I219" i="1"/>
  <c r="L488" i="1"/>
  <c r="O477" i="1"/>
  <c r="B230" i="1"/>
  <c r="E219" i="1"/>
  <c r="G273" i="1"/>
  <c r="P574" i="1"/>
  <c r="S563" i="1"/>
  <c r="AM348" i="1"/>
  <c r="AJ359" i="1"/>
  <c r="AQ348" i="1"/>
  <c r="AN359" i="1"/>
  <c r="M1821" i="1" l="1"/>
  <c r="M1847" i="1" s="1"/>
  <c r="M1853" i="1" s="1"/>
  <c r="R1821" i="1"/>
  <c r="R1847" i="1" s="1"/>
  <c r="N1907" i="1"/>
  <c r="N1933" i="1" s="1"/>
  <c r="Z832" i="1"/>
  <c r="AC821" i="1"/>
  <c r="AG821" i="1"/>
  <c r="AD832" i="1"/>
  <c r="Y789" i="1"/>
  <c r="Y815" i="1" s="1"/>
  <c r="V815" i="1"/>
  <c r="V821" i="1" s="1"/>
  <c r="L514" i="1"/>
  <c r="L520" i="1" s="1"/>
  <c r="O488" i="1"/>
  <c r="O514" i="1" s="1"/>
  <c r="F256" i="1"/>
  <c r="F262" i="1" s="1"/>
  <c r="I230" i="1"/>
  <c r="I256" i="1" s="1"/>
  <c r="AQ359" i="1"/>
  <c r="AQ385" i="1" s="1"/>
  <c r="AN385" i="1"/>
  <c r="AN391" i="1" s="1"/>
  <c r="P600" i="1"/>
  <c r="P606" i="1" s="1"/>
  <c r="S574" i="1"/>
  <c r="S600" i="1" s="1"/>
  <c r="G299" i="1"/>
  <c r="G305" i="1" s="1"/>
  <c r="AM359" i="1"/>
  <c r="AM385" i="1" s="1"/>
  <c r="AJ385" i="1"/>
  <c r="AJ391" i="1" s="1"/>
  <c r="B256" i="1"/>
  <c r="B262" i="1" s="1"/>
  <c r="E230" i="1"/>
  <c r="E256" i="1" s="1"/>
  <c r="R1853" i="1" l="1"/>
  <c r="R1864" i="1" s="1"/>
  <c r="R1890" i="1" s="1"/>
  <c r="R1896" i="1" s="1"/>
  <c r="R1907" i="1" s="1"/>
  <c r="R1933" i="1" s="1"/>
  <c r="N1939" i="1"/>
  <c r="N1950" i="1" s="1"/>
  <c r="N1976" i="1" s="1"/>
  <c r="N1982" i="1" s="1"/>
  <c r="N1993" i="1" s="1"/>
  <c r="N2019" i="1" s="1"/>
  <c r="N2025" i="1" s="1"/>
  <c r="N2036" i="1" s="1"/>
  <c r="N2062" i="1" s="1"/>
  <c r="N2068" i="1" s="1"/>
  <c r="N2079" i="1" s="1"/>
  <c r="N2105" i="1" s="1"/>
  <c r="N2111" i="1" s="1"/>
  <c r="N2122" i="1" s="1"/>
  <c r="N2148" i="1" s="1"/>
  <c r="N2154" i="1" s="1"/>
  <c r="N2165" i="1" s="1"/>
  <c r="N2191" i="1" s="1"/>
  <c r="N2197" i="1" s="1"/>
  <c r="N2208" i="1" s="1"/>
  <c r="N2234" i="1" s="1"/>
  <c r="M1864" i="1"/>
  <c r="M1890" i="1" s="1"/>
  <c r="AG832" i="1"/>
  <c r="AG858" i="1" s="1"/>
  <c r="AD858" i="1"/>
  <c r="AD864" i="1" s="1"/>
  <c r="AC832" i="1"/>
  <c r="AC858" i="1" s="1"/>
  <c r="Z858" i="1"/>
  <c r="Z864" i="1" s="1"/>
  <c r="Y821" i="1"/>
  <c r="V832" i="1"/>
  <c r="F273" i="1"/>
  <c r="I262" i="1"/>
  <c r="O520" i="1"/>
  <c r="L531" i="1"/>
  <c r="AM391" i="1"/>
  <c r="AJ402" i="1"/>
  <c r="P617" i="1"/>
  <c r="S606" i="1"/>
  <c r="G316" i="1"/>
  <c r="AQ391" i="1"/>
  <c r="AN402" i="1"/>
  <c r="B273" i="1"/>
  <c r="E262" i="1"/>
  <c r="M1896" i="1" l="1"/>
  <c r="M1907" i="1" s="1"/>
  <c r="M1933" i="1" s="1"/>
  <c r="M1939" i="1" s="1"/>
  <c r="M1950" i="1" s="1"/>
  <c r="M1976" i="1" s="1"/>
  <c r="M1982" i="1" s="1"/>
  <c r="M1993" i="1" s="1"/>
  <c r="M2019" i="1" s="1"/>
  <c r="M2025" i="1" s="1"/>
  <c r="M2036" i="1" s="1"/>
  <c r="M2062" i="1" s="1"/>
  <c r="M2068" i="1" s="1"/>
  <c r="M2079" i="1" s="1"/>
  <c r="M2105" i="1" s="1"/>
  <c r="M2111" i="1" s="1"/>
  <c r="M2122" i="1" s="1"/>
  <c r="M2148" i="1" s="1"/>
  <c r="M2154" i="1" s="1"/>
  <c r="M2165" i="1" s="1"/>
  <c r="M2191" i="1" s="1"/>
  <c r="M2197" i="1" s="1"/>
  <c r="M2208" i="1" s="1"/>
  <c r="M2234" i="1" s="1"/>
  <c r="R1939" i="1"/>
  <c r="R1950" i="1" s="1"/>
  <c r="R1976" i="1" s="1"/>
  <c r="R1982" i="1" s="1"/>
  <c r="R1993" i="1" s="1"/>
  <c r="R2019" i="1" s="1"/>
  <c r="R2025" i="1" s="1"/>
  <c r="R2036" i="1" s="1"/>
  <c r="R2062" i="1" s="1"/>
  <c r="R2068" i="1" s="1"/>
  <c r="R2079" i="1" s="1"/>
  <c r="R2105" i="1" s="1"/>
  <c r="R2111" i="1" s="1"/>
  <c r="R2122" i="1" s="1"/>
  <c r="R2148" i="1" s="1"/>
  <c r="R2154" i="1" s="1"/>
  <c r="R2165" i="1" s="1"/>
  <c r="R2191" i="1" s="1"/>
  <c r="R2197" i="1" s="1"/>
  <c r="R2208" i="1" s="1"/>
  <c r="R2234" i="1" s="1"/>
  <c r="AC864" i="1"/>
  <c r="Z875" i="1"/>
  <c r="AG864" i="1"/>
  <c r="AD875" i="1"/>
  <c r="Y832" i="1"/>
  <c r="Y858" i="1" s="1"/>
  <c r="V858" i="1"/>
  <c r="V864" i="1" s="1"/>
  <c r="O531" i="1"/>
  <c r="O557" i="1" s="1"/>
  <c r="L557" i="1"/>
  <c r="L563" i="1" s="1"/>
  <c r="F299" i="1"/>
  <c r="F305" i="1" s="1"/>
  <c r="I273" i="1"/>
  <c r="I299" i="1" s="1"/>
  <c r="E273" i="1"/>
  <c r="E299" i="1" s="1"/>
  <c r="B299" i="1"/>
  <c r="B305" i="1" s="1"/>
  <c r="G342" i="1"/>
  <c r="G348" i="1" s="1"/>
  <c r="AJ428" i="1"/>
  <c r="AJ434" i="1" s="1"/>
  <c r="AM402" i="1"/>
  <c r="AM428" i="1" s="1"/>
  <c r="P643" i="1"/>
  <c r="P649" i="1" s="1"/>
  <c r="S617" i="1"/>
  <c r="S643" i="1" s="1"/>
  <c r="AQ402" i="1"/>
  <c r="AQ428" i="1" s="1"/>
  <c r="AN428" i="1"/>
  <c r="AN434" i="1" s="1"/>
  <c r="Y864" i="1" l="1"/>
  <c r="V875" i="1"/>
  <c r="AG875" i="1"/>
  <c r="AG901" i="1" s="1"/>
  <c r="AD901" i="1"/>
  <c r="AD907" i="1" s="1"/>
  <c r="AC875" i="1"/>
  <c r="AC901" i="1" s="1"/>
  <c r="Z901" i="1"/>
  <c r="Z907" i="1" s="1"/>
  <c r="F316" i="1"/>
  <c r="I305" i="1"/>
  <c r="L574" i="1"/>
  <c r="O563" i="1"/>
  <c r="G359" i="1"/>
  <c r="B316" i="1"/>
  <c r="E305" i="1"/>
  <c r="P660" i="1"/>
  <c r="S649" i="1"/>
  <c r="AN445" i="1"/>
  <c r="AQ434" i="1"/>
  <c r="AM434" i="1"/>
  <c r="AJ445" i="1"/>
  <c r="AC907" i="1" l="1"/>
  <c r="Z918" i="1"/>
  <c r="AG907" i="1"/>
  <c r="AD918" i="1"/>
  <c r="V901" i="1"/>
  <c r="V907" i="1" s="1"/>
  <c r="Y875" i="1"/>
  <c r="Y901" i="1" s="1"/>
  <c r="F342" i="1"/>
  <c r="F348" i="1" s="1"/>
  <c r="I316" i="1"/>
  <c r="I342" i="1" s="1"/>
  <c r="L600" i="1"/>
  <c r="L606" i="1" s="1"/>
  <c r="O574" i="1"/>
  <c r="O600" i="1" s="1"/>
  <c r="B342" i="1"/>
  <c r="B348" i="1" s="1"/>
  <c r="E316" i="1"/>
  <c r="E342" i="1" s="1"/>
  <c r="P686" i="1"/>
  <c r="P692" i="1" s="1"/>
  <c r="S660" i="1"/>
  <c r="S686" i="1" s="1"/>
  <c r="AJ471" i="1"/>
  <c r="AJ477" i="1" s="1"/>
  <c r="AM445" i="1"/>
  <c r="AM471" i="1" s="1"/>
  <c r="AQ445" i="1"/>
  <c r="AQ471" i="1" s="1"/>
  <c r="AN471" i="1"/>
  <c r="AN477" i="1" s="1"/>
  <c r="G385" i="1"/>
  <c r="G391" i="1" s="1"/>
  <c r="Y907" i="1" l="1"/>
  <c r="V918" i="1"/>
  <c r="AD944" i="1"/>
  <c r="AD950" i="1" s="1"/>
  <c r="AG918" i="1"/>
  <c r="AG944" i="1" s="1"/>
  <c r="Z944" i="1"/>
  <c r="Z950" i="1" s="1"/>
  <c r="AC918" i="1"/>
  <c r="AC944" i="1" s="1"/>
  <c r="O606" i="1"/>
  <c r="L617" i="1"/>
  <c r="F359" i="1"/>
  <c r="I348" i="1"/>
  <c r="G402" i="1"/>
  <c r="B359" i="1"/>
  <c r="E348" i="1"/>
  <c r="P703" i="1"/>
  <c r="S692" i="1"/>
  <c r="AQ477" i="1"/>
  <c r="AN488" i="1"/>
  <c r="AM477" i="1"/>
  <c r="AJ488" i="1"/>
  <c r="Z961" i="1" l="1"/>
  <c r="AC950" i="1"/>
  <c r="AD961" i="1"/>
  <c r="AG950" i="1"/>
  <c r="V944" i="1"/>
  <c r="V950" i="1" s="1"/>
  <c r="Y918" i="1"/>
  <c r="Y944" i="1" s="1"/>
  <c r="O617" i="1"/>
  <c r="O643" i="1" s="1"/>
  <c r="L643" i="1"/>
  <c r="L649" i="1" s="1"/>
  <c r="F385" i="1"/>
  <c r="F391" i="1" s="1"/>
  <c r="I359" i="1"/>
  <c r="I385" i="1" s="1"/>
  <c r="P729" i="1"/>
  <c r="P735" i="1" s="1"/>
  <c r="S703" i="1"/>
  <c r="S729" i="1" s="1"/>
  <c r="B385" i="1"/>
  <c r="B391" i="1" s="1"/>
  <c r="E359" i="1"/>
  <c r="E385" i="1" s="1"/>
  <c r="AM488" i="1"/>
  <c r="AM514" i="1" s="1"/>
  <c r="AJ514" i="1"/>
  <c r="AJ520" i="1" s="1"/>
  <c r="AQ488" i="1"/>
  <c r="AQ514" i="1" s="1"/>
  <c r="AN514" i="1"/>
  <c r="AN520" i="1" s="1"/>
  <c r="G428" i="1"/>
  <c r="G434" i="1" s="1"/>
  <c r="V961" i="1" l="1"/>
  <c r="Y950" i="1"/>
  <c r="AD987" i="1"/>
  <c r="AD993" i="1" s="1"/>
  <c r="AG961" i="1"/>
  <c r="AG987" i="1" s="1"/>
  <c r="AC961" i="1"/>
  <c r="AC987" i="1" s="1"/>
  <c r="Z987" i="1"/>
  <c r="Z993" i="1" s="1"/>
  <c r="F402" i="1"/>
  <c r="I391" i="1"/>
  <c r="O649" i="1"/>
  <c r="L660" i="1"/>
  <c r="B402" i="1"/>
  <c r="E391" i="1"/>
  <c r="AN531" i="1"/>
  <c r="AQ520" i="1"/>
  <c r="AJ531" i="1"/>
  <c r="AM520" i="1"/>
  <c r="G445" i="1"/>
  <c r="P746" i="1"/>
  <c r="S735" i="1"/>
  <c r="AG993" i="1" l="1"/>
  <c r="AD1004" i="1"/>
  <c r="Z1004" i="1"/>
  <c r="AC993" i="1"/>
  <c r="Y961" i="1"/>
  <c r="Y987" i="1" s="1"/>
  <c r="V987" i="1"/>
  <c r="V993" i="1" s="1"/>
  <c r="L686" i="1"/>
  <c r="L692" i="1" s="1"/>
  <c r="O660" i="1"/>
  <c r="O686" i="1" s="1"/>
  <c r="F428" i="1"/>
  <c r="F434" i="1" s="1"/>
  <c r="I402" i="1"/>
  <c r="I428" i="1" s="1"/>
  <c r="AN557" i="1"/>
  <c r="AN563" i="1" s="1"/>
  <c r="AQ531" i="1"/>
  <c r="AQ557" i="1" s="1"/>
  <c r="S746" i="1"/>
  <c r="S772" i="1" s="1"/>
  <c r="P772" i="1"/>
  <c r="P778" i="1" s="1"/>
  <c r="B428" i="1"/>
  <c r="B434" i="1" s="1"/>
  <c r="E402" i="1"/>
  <c r="E428" i="1" s="1"/>
  <c r="G471" i="1"/>
  <c r="G477" i="1" s="1"/>
  <c r="AM531" i="1"/>
  <c r="AM557" i="1" s="1"/>
  <c r="AJ557" i="1"/>
  <c r="AJ563" i="1" s="1"/>
  <c r="AG1004" i="1" l="1"/>
  <c r="AG1030" i="1" s="1"/>
  <c r="AD1030" i="1"/>
  <c r="AD1036" i="1" s="1"/>
  <c r="Z1030" i="1"/>
  <c r="Z1036" i="1" s="1"/>
  <c r="AC1004" i="1"/>
  <c r="AC1030" i="1" s="1"/>
  <c r="V1004" i="1"/>
  <c r="Y993" i="1"/>
  <c r="S778" i="1"/>
  <c r="P789" i="1"/>
  <c r="F445" i="1"/>
  <c r="I434" i="1"/>
  <c r="L703" i="1"/>
  <c r="O692" i="1"/>
  <c r="AM563" i="1"/>
  <c r="AJ574" i="1"/>
  <c r="G488" i="1"/>
  <c r="B445" i="1"/>
  <c r="E434" i="1"/>
  <c r="AQ563" i="1"/>
  <c r="AN574" i="1"/>
  <c r="AG1036" i="1" l="1"/>
  <c r="AD1047" i="1"/>
  <c r="Z1047" i="1"/>
  <c r="AC1036" i="1"/>
  <c r="V1030" i="1"/>
  <c r="V1036" i="1" s="1"/>
  <c r="Y1004" i="1"/>
  <c r="Y1030" i="1" s="1"/>
  <c r="S789" i="1"/>
  <c r="S815" i="1" s="1"/>
  <c r="P815" i="1"/>
  <c r="P821" i="1" s="1"/>
  <c r="L729" i="1"/>
  <c r="L735" i="1" s="1"/>
  <c r="O703" i="1"/>
  <c r="O729" i="1" s="1"/>
  <c r="F471" i="1"/>
  <c r="F477" i="1" s="1"/>
  <c r="I445" i="1"/>
  <c r="I471" i="1" s="1"/>
  <c r="B471" i="1"/>
  <c r="B477" i="1" s="1"/>
  <c r="E445" i="1"/>
  <c r="E471" i="1" s="1"/>
  <c r="AQ574" i="1"/>
  <c r="AQ600" i="1" s="1"/>
  <c r="AN600" i="1"/>
  <c r="AN606" i="1" s="1"/>
  <c r="AM574" i="1"/>
  <c r="AM600" i="1" s="1"/>
  <c r="AJ600" i="1"/>
  <c r="AJ606" i="1" s="1"/>
  <c r="G514" i="1"/>
  <c r="G520" i="1" s="1"/>
  <c r="AD1073" i="1" l="1"/>
  <c r="AD1079" i="1" s="1"/>
  <c r="AG1047" i="1"/>
  <c r="AG1073" i="1" s="1"/>
  <c r="Z1073" i="1"/>
  <c r="Z1079" i="1" s="1"/>
  <c r="AC1047" i="1"/>
  <c r="AC1073" i="1" s="1"/>
  <c r="V1047" i="1"/>
  <c r="Y1036" i="1"/>
  <c r="P832" i="1"/>
  <c r="S821" i="1"/>
  <c r="F488" i="1"/>
  <c r="I477" i="1"/>
  <c r="L746" i="1"/>
  <c r="O735" i="1"/>
  <c r="B488" i="1"/>
  <c r="E477" i="1"/>
  <c r="AM606" i="1"/>
  <c r="AJ617" i="1"/>
  <c r="AN617" i="1"/>
  <c r="AQ606" i="1"/>
  <c r="G531" i="1"/>
  <c r="AD1090" i="1" l="1"/>
  <c r="AG1079" i="1"/>
  <c r="Z1090" i="1"/>
  <c r="AC1079" i="1"/>
  <c r="Y1047" i="1"/>
  <c r="Y1073" i="1" s="1"/>
  <c r="V1073" i="1"/>
  <c r="V1079" i="1" s="1"/>
  <c r="S832" i="1"/>
  <c r="S858" i="1" s="1"/>
  <c r="P858" i="1"/>
  <c r="P864" i="1" s="1"/>
  <c r="O746" i="1"/>
  <c r="O772" i="1" s="1"/>
  <c r="L772" i="1"/>
  <c r="L778" i="1" s="1"/>
  <c r="F514" i="1"/>
  <c r="F520" i="1" s="1"/>
  <c r="I488" i="1"/>
  <c r="I514" i="1" s="1"/>
  <c r="AQ617" i="1"/>
  <c r="AQ643" i="1" s="1"/>
  <c r="AN643" i="1"/>
  <c r="G557" i="1"/>
  <c r="G563" i="1" s="1"/>
  <c r="AJ643" i="1"/>
  <c r="AM617" i="1"/>
  <c r="AM643" i="1" s="1"/>
  <c r="B514" i="1"/>
  <c r="B520" i="1" s="1"/>
  <c r="E488" i="1"/>
  <c r="E514" i="1" s="1"/>
  <c r="AG1090" i="1" l="1"/>
  <c r="AG1116" i="1" s="1"/>
  <c r="AD1116" i="1"/>
  <c r="AD1122" i="1" s="1"/>
  <c r="AC1090" i="1"/>
  <c r="AC1116" i="1" s="1"/>
  <c r="Z1116" i="1"/>
  <c r="Z1122" i="1" s="1"/>
  <c r="V1090" i="1"/>
  <c r="Y1079" i="1"/>
  <c r="S864" i="1"/>
  <c r="P875" i="1"/>
  <c r="O778" i="1"/>
  <c r="L789" i="1"/>
  <c r="F531" i="1"/>
  <c r="I520" i="1"/>
  <c r="G574" i="1"/>
  <c r="B531" i="1"/>
  <c r="E520" i="1"/>
  <c r="AD1133" i="1" l="1"/>
  <c r="AG1122" i="1"/>
  <c r="Z1133" i="1"/>
  <c r="AC1122" i="1"/>
  <c r="Y1090" i="1"/>
  <c r="Y1116" i="1" s="1"/>
  <c r="V1116" i="1"/>
  <c r="V1122" i="1" s="1"/>
  <c r="P901" i="1"/>
  <c r="P907" i="1" s="1"/>
  <c r="S875" i="1"/>
  <c r="S901" i="1" s="1"/>
  <c r="O789" i="1"/>
  <c r="O815" i="1" s="1"/>
  <c r="L815" i="1"/>
  <c r="L821" i="1" s="1"/>
  <c r="F557" i="1"/>
  <c r="F563" i="1" s="1"/>
  <c r="I531" i="1"/>
  <c r="I557" i="1" s="1"/>
  <c r="B557" i="1"/>
  <c r="B563" i="1" s="1"/>
  <c r="E531" i="1"/>
  <c r="E557" i="1" s="1"/>
  <c r="G600" i="1"/>
  <c r="G606" i="1" s="1"/>
  <c r="Z1159" i="1" l="1"/>
  <c r="Z1165" i="1" s="1"/>
  <c r="AC1165" i="1" s="1"/>
  <c r="AC1133" i="1"/>
  <c r="AC1159" i="1" s="1"/>
  <c r="Y1122" i="1"/>
  <c r="V1133" i="1"/>
  <c r="AG1133" i="1"/>
  <c r="AG1159" i="1" s="1"/>
  <c r="AD1159" i="1"/>
  <c r="AD1165" i="1" s="1"/>
  <c r="P918" i="1"/>
  <c r="S907" i="1"/>
  <c r="O821" i="1"/>
  <c r="L832" i="1"/>
  <c r="F574" i="1"/>
  <c r="I563" i="1"/>
  <c r="G617" i="1"/>
  <c r="B574" i="1"/>
  <c r="E563" i="1"/>
  <c r="AD1176" i="1" l="1"/>
  <c r="AG1165" i="1"/>
  <c r="Z1176" i="1"/>
  <c r="Y1133" i="1"/>
  <c r="Y1159" i="1" s="1"/>
  <c r="V1159" i="1"/>
  <c r="V1165" i="1" s="1"/>
  <c r="Y1165" i="1" s="1"/>
  <c r="P944" i="1"/>
  <c r="P950" i="1" s="1"/>
  <c r="S918" i="1"/>
  <c r="S944" i="1" s="1"/>
  <c r="L858" i="1"/>
  <c r="L864" i="1" s="1"/>
  <c r="O832" i="1"/>
  <c r="O858" i="1" s="1"/>
  <c r="F600" i="1"/>
  <c r="F606" i="1" s="1"/>
  <c r="I574" i="1"/>
  <c r="I600" i="1" s="1"/>
  <c r="B600" i="1"/>
  <c r="B606" i="1" s="1"/>
  <c r="E574" i="1"/>
  <c r="E600" i="1" s="1"/>
  <c r="G643" i="1"/>
  <c r="G649" i="1" s="1"/>
  <c r="AC1176" i="1" l="1"/>
  <c r="AC1202" i="1" s="1"/>
  <c r="Z1202" i="1"/>
  <c r="Z1208" i="1" s="1"/>
  <c r="V1176" i="1"/>
  <c r="AD1202" i="1"/>
  <c r="AD1208" i="1" s="1"/>
  <c r="AG1176" i="1"/>
  <c r="AG1202" i="1" s="1"/>
  <c r="P961" i="1"/>
  <c r="S950" i="1"/>
  <c r="O864" i="1"/>
  <c r="L875" i="1"/>
  <c r="F617" i="1"/>
  <c r="I606" i="1"/>
  <c r="G660" i="1"/>
  <c r="B617" i="1"/>
  <c r="E606" i="1"/>
  <c r="Z1219" i="1" l="1"/>
  <c r="AC1208" i="1"/>
  <c r="AD1219" i="1"/>
  <c r="AG1208" i="1"/>
  <c r="Y1176" i="1"/>
  <c r="Y1202" i="1" s="1"/>
  <c r="V1202" i="1"/>
  <c r="V1208" i="1" s="1"/>
  <c r="S961" i="1"/>
  <c r="S987" i="1" s="1"/>
  <c r="P987" i="1"/>
  <c r="P993" i="1" s="1"/>
  <c r="L901" i="1"/>
  <c r="L907" i="1" s="1"/>
  <c r="O875" i="1"/>
  <c r="O901" i="1" s="1"/>
  <c r="F643" i="1"/>
  <c r="F649" i="1" s="1"/>
  <c r="I617" i="1"/>
  <c r="I643" i="1" s="1"/>
  <c r="E617" i="1"/>
  <c r="E643" i="1" s="1"/>
  <c r="B643" i="1"/>
  <c r="B649" i="1" s="1"/>
  <c r="G686" i="1"/>
  <c r="G692" i="1" s="1"/>
  <c r="AG1219" i="1" l="1"/>
  <c r="AG1245" i="1" s="1"/>
  <c r="AD1245" i="1"/>
  <c r="AD1251" i="1" s="1"/>
  <c r="Y1208" i="1"/>
  <c r="V1219" i="1"/>
  <c r="AC1219" i="1"/>
  <c r="AC1245" i="1" s="1"/>
  <c r="Z1245" i="1"/>
  <c r="Z1251" i="1" s="1"/>
  <c r="P1004" i="1"/>
  <c r="S993" i="1"/>
  <c r="L918" i="1"/>
  <c r="O907" i="1"/>
  <c r="F660" i="1"/>
  <c r="I649" i="1"/>
  <c r="G703" i="1"/>
  <c r="B660" i="1"/>
  <c r="E649" i="1"/>
  <c r="AD1262" i="1" l="1"/>
  <c r="AG1251" i="1"/>
  <c r="Z1262" i="1"/>
  <c r="AC1251" i="1"/>
  <c r="Y1219" i="1"/>
  <c r="Y1245" i="1" s="1"/>
  <c r="V1245" i="1"/>
  <c r="V1251" i="1" s="1"/>
  <c r="S1004" i="1"/>
  <c r="S1030" i="1" s="1"/>
  <c r="P1030" i="1"/>
  <c r="P1036" i="1" s="1"/>
  <c r="O918" i="1"/>
  <c r="O944" i="1" s="1"/>
  <c r="L944" i="1"/>
  <c r="L950" i="1" s="1"/>
  <c r="F686" i="1"/>
  <c r="F692" i="1" s="1"/>
  <c r="I660" i="1"/>
  <c r="I686" i="1" s="1"/>
  <c r="B686" i="1"/>
  <c r="B692" i="1" s="1"/>
  <c r="E660" i="1"/>
  <c r="E686" i="1" s="1"/>
  <c r="G729" i="1"/>
  <c r="G735" i="1" s="1"/>
  <c r="AD1288" i="1" l="1"/>
  <c r="AD1294" i="1" s="1"/>
  <c r="AG1262" i="1"/>
  <c r="AG1288" i="1" s="1"/>
  <c r="AC1262" i="1"/>
  <c r="AC1288" i="1" s="1"/>
  <c r="Z1288" i="1"/>
  <c r="Z1294" i="1" s="1"/>
  <c r="V1262" i="1"/>
  <c r="Y1251" i="1"/>
  <c r="P1047" i="1"/>
  <c r="S1036" i="1"/>
  <c r="L961" i="1"/>
  <c r="O950" i="1"/>
  <c r="F703" i="1"/>
  <c r="I692" i="1"/>
  <c r="G746" i="1"/>
  <c r="B703" i="1"/>
  <c r="E692" i="1"/>
  <c r="AC1294" i="1" l="1"/>
  <c r="Z1305" i="1"/>
  <c r="AD1305" i="1"/>
  <c r="AG1294" i="1"/>
  <c r="V1288" i="1"/>
  <c r="V1294" i="1" s="1"/>
  <c r="Y1262" i="1"/>
  <c r="Y1288" i="1" s="1"/>
  <c r="P1073" i="1"/>
  <c r="P1079" i="1" s="1"/>
  <c r="S1047" i="1"/>
  <c r="S1073" i="1" s="1"/>
  <c r="O961" i="1"/>
  <c r="O987" i="1" s="1"/>
  <c r="L987" i="1"/>
  <c r="L993" i="1" s="1"/>
  <c r="F729" i="1"/>
  <c r="F735" i="1" s="1"/>
  <c r="I703" i="1"/>
  <c r="I729" i="1" s="1"/>
  <c r="B729" i="1"/>
  <c r="B735" i="1" s="1"/>
  <c r="E703" i="1"/>
  <c r="E729" i="1" s="1"/>
  <c r="G772" i="1"/>
  <c r="G778" i="1" s="1"/>
  <c r="G789" i="1" s="1"/>
  <c r="G815" i="1" s="1"/>
  <c r="G821" i="1" s="1"/>
  <c r="G832" i="1" s="1"/>
  <c r="G858" i="1" s="1"/>
  <c r="G864" i="1" s="1"/>
  <c r="G875" i="1" s="1"/>
  <c r="G901" i="1" s="1"/>
  <c r="G907" i="1" s="1"/>
  <c r="G918" i="1" s="1"/>
  <c r="G944" i="1" s="1"/>
  <c r="G950" i="1" s="1"/>
  <c r="G961" i="1" s="1"/>
  <c r="G987" i="1" s="1"/>
  <c r="G993" i="1" s="1"/>
  <c r="G1004" i="1" s="1"/>
  <c r="G1030" i="1" s="1"/>
  <c r="G1036" i="1" s="1"/>
  <c r="G1047" i="1" s="1"/>
  <c r="G1073" i="1" s="1"/>
  <c r="G1079" i="1" s="1"/>
  <c r="G1090" i="1" s="1"/>
  <c r="G1116" i="1" s="1"/>
  <c r="G1122" i="1" s="1"/>
  <c r="G1133" i="1" s="1"/>
  <c r="G1159" i="1" s="1"/>
  <c r="G1165" i="1" s="1"/>
  <c r="G1176" i="1" s="1"/>
  <c r="G1202" i="1" s="1"/>
  <c r="G1208" i="1" s="1"/>
  <c r="G1219" i="1" s="1"/>
  <c r="G1245" i="1" s="1"/>
  <c r="G1251" i="1" s="1"/>
  <c r="G1262" i="1" s="1"/>
  <c r="G1288" i="1" s="1"/>
  <c r="G1294" i="1" s="1"/>
  <c r="G1305" i="1" s="1"/>
  <c r="G1331" i="1" s="1"/>
  <c r="G1337" i="1" s="1"/>
  <c r="G1348" i="1" s="1"/>
  <c r="G1374" i="1" s="1"/>
  <c r="G1380" i="1" s="1"/>
  <c r="G1391" i="1" s="1"/>
  <c r="G1417" i="1" s="1"/>
  <c r="G1423" i="1" s="1"/>
  <c r="G1434" i="1" s="1"/>
  <c r="G1460" i="1" s="1"/>
  <c r="G1466" i="1" s="1"/>
  <c r="G1477" i="1" l="1"/>
  <c r="V1305" i="1"/>
  <c r="Y1294" i="1"/>
  <c r="AD1331" i="1"/>
  <c r="AD1337" i="1" s="1"/>
  <c r="AG1305" i="1"/>
  <c r="AG1331" i="1" s="1"/>
  <c r="AC1305" i="1"/>
  <c r="AC1331" i="1" s="1"/>
  <c r="Z1331" i="1"/>
  <c r="Z1337" i="1" s="1"/>
  <c r="P1090" i="1"/>
  <c r="S1079" i="1"/>
  <c r="L1004" i="1"/>
  <c r="O993" i="1"/>
  <c r="F746" i="1"/>
  <c r="I735" i="1"/>
  <c r="B746" i="1"/>
  <c r="E735" i="1"/>
  <c r="G1503" i="1" l="1"/>
  <c r="G1509" i="1" s="1"/>
  <c r="G1520" i="1" s="1"/>
  <c r="G1546" i="1" s="1"/>
  <c r="G1552" i="1" s="1"/>
  <c r="G1563" i="1" s="1"/>
  <c r="G1589" i="1" s="1"/>
  <c r="G1595" i="1" s="1"/>
  <c r="AG1337" i="1"/>
  <c r="AD1348" i="1"/>
  <c r="Z1348" i="1"/>
  <c r="AC1337" i="1"/>
  <c r="V1331" i="1"/>
  <c r="V1337" i="1" s="1"/>
  <c r="Y1305" i="1"/>
  <c r="Y1331" i="1" s="1"/>
  <c r="P1116" i="1"/>
  <c r="P1122" i="1" s="1"/>
  <c r="S1090" i="1"/>
  <c r="S1116" i="1" s="1"/>
  <c r="L1030" i="1"/>
  <c r="L1036" i="1" s="1"/>
  <c r="O1004" i="1"/>
  <c r="O1030" i="1" s="1"/>
  <c r="F772" i="1"/>
  <c r="F778" i="1" s="1"/>
  <c r="I746" i="1"/>
  <c r="I772" i="1" s="1"/>
  <c r="E746" i="1"/>
  <c r="E772" i="1" s="1"/>
  <c r="B772" i="1"/>
  <c r="B778" i="1" s="1"/>
  <c r="G1606" i="1" l="1"/>
  <c r="AC1348" i="1"/>
  <c r="AC1374" i="1" s="1"/>
  <c r="Z1374" i="1"/>
  <c r="Z1380" i="1" s="1"/>
  <c r="V1348" i="1"/>
  <c r="Y1337" i="1"/>
  <c r="AG1348" i="1"/>
  <c r="AG1374" i="1" s="1"/>
  <c r="AD1374" i="1"/>
  <c r="AD1380" i="1" s="1"/>
  <c r="P1133" i="1"/>
  <c r="S1122" i="1"/>
  <c r="O1036" i="1"/>
  <c r="L1047" i="1"/>
  <c r="E778" i="1"/>
  <c r="B789" i="1"/>
  <c r="I778" i="1"/>
  <c r="F789" i="1"/>
  <c r="G1632" i="1" l="1"/>
  <c r="G1638" i="1" s="1"/>
  <c r="G1649" i="1" s="1"/>
  <c r="G1675" i="1" s="1"/>
  <c r="G1681" i="1" s="1"/>
  <c r="G1692" i="1" s="1"/>
  <c r="G1718" i="1" s="1"/>
  <c r="G1724" i="1" s="1"/>
  <c r="G1735" i="1" s="1"/>
  <c r="G1761" i="1" s="1"/>
  <c r="G1767" i="1" s="1"/>
  <c r="G1778" i="1" s="1"/>
  <c r="G1804" i="1" s="1"/>
  <c r="G1810" i="1" s="1"/>
  <c r="G1821" i="1" s="1"/>
  <c r="G1847" i="1" s="1"/>
  <c r="G1853" i="1" s="1"/>
  <c r="G1864" i="1" s="1"/>
  <c r="G1890" i="1" s="1"/>
  <c r="G1896" i="1" s="1"/>
  <c r="G1907" i="1" s="1"/>
  <c r="G1933" i="1" s="1"/>
  <c r="G1939" i="1" s="1"/>
  <c r="G1950" i="1" s="1"/>
  <c r="G1976" i="1" s="1"/>
  <c r="G1982" i="1" s="1"/>
  <c r="G1993" i="1" s="1"/>
  <c r="G2019" i="1" s="1"/>
  <c r="G2025" i="1" s="1"/>
  <c r="G2036" i="1" s="1"/>
  <c r="G2062" i="1" s="1"/>
  <c r="G2068" i="1" s="1"/>
  <c r="G2079" i="1" s="1"/>
  <c r="G2105" i="1" s="1"/>
  <c r="G2111" i="1" s="1"/>
  <c r="AD1391" i="1"/>
  <c r="AG1380" i="1"/>
  <c r="Z1391" i="1"/>
  <c r="AC1380" i="1"/>
  <c r="Y1348" i="1"/>
  <c r="Y1374" i="1" s="1"/>
  <c r="V1374" i="1"/>
  <c r="V1380" i="1" s="1"/>
  <c r="P1159" i="1"/>
  <c r="P1165" i="1" s="1"/>
  <c r="S1133" i="1"/>
  <c r="S1159" i="1" s="1"/>
  <c r="L1073" i="1"/>
  <c r="L1079" i="1" s="1"/>
  <c r="O1047" i="1"/>
  <c r="O1073" i="1" s="1"/>
  <c r="E789" i="1"/>
  <c r="E815" i="1" s="1"/>
  <c r="B815" i="1"/>
  <c r="B821" i="1" s="1"/>
  <c r="I789" i="1"/>
  <c r="I815" i="1" s="1"/>
  <c r="F815" i="1"/>
  <c r="F821" i="1" s="1"/>
  <c r="G2122" i="1" l="1"/>
  <c r="V1391" i="1"/>
  <c r="Y1380" i="1"/>
  <c r="Z1417" i="1"/>
  <c r="Z1423" i="1" s="1"/>
  <c r="AC1391" i="1"/>
  <c r="AC1417" i="1" s="1"/>
  <c r="AD1417" i="1"/>
  <c r="AD1423" i="1" s="1"/>
  <c r="AG1391" i="1"/>
  <c r="AG1417" i="1" s="1"/>
  <c r="P1176" i="1"/>
  <c r="S1165" i="1"/>
  <c r="L1090" i="1"/>
  <c r="O1079" i="1"/>
  <c r="E821" i="1"/>
  <c r="B832" i="1"/>
  <c r="F832" i="1"/>
  <c r="I821" i="1"/>
  <c r="G2148" i="1" l="1"/>
  <c r="G2154" i="1" s="1"/>
  <c r="AD1434" i="1"/>
  <c r="AG1423" i="1"/>
  <c r="Z1434" i="1"/>
  <c r="AC1423" i="1"/>
  <c r="V1417" i="1"/>
  <c r="V1423" i="1" s="1"/>
  <c r="Y1391" i="1"/>
  <c r="Y1417" i="1" s="1"/>
  <c r="P1202" i="1"/>
  <c r="P1208" i="1" s="1"/>
  <c r="S1176" i="1"/>
  <c r="S1202" i="1" s="1"/>
  <c r="L1116" i="1"/>
  <c r="O1090" i="1"/>
  <c r="O1116" i="1" s="1"/>
  <c r="I832" i="1"/>
  <c r="I858" i="1" s="1"/>
  <c r="F858" i="1"/>
  <c r="F864" i="1" s="1"/>
  <c r="E832" i="1"/>
  <c r="E858" i="1" s="1"/>
  <c r="B858" i="1"/>
  <c r="B864" i="1" s="1"/>
  <c r="G2165" i="1" l="1"/>
  <c r="Y1423" i="1"/>
  <c r="V1434" i="1"/>
  <c r="AC1434" i="1"/>
  <c r="AC1460" i="1" s="1"/>
  <c r="Z1460" i="1"/>
  <c r="Z1466" i="1" s="1"/>
  <c r="AD1460" i="1"/>
  <c r="AD1466" i="1" s="1"/>
  <c r="AG1434" i="1"/>
  <c r="AG1460" i="1" s="1"/>
  <c r="P1219" i="1"/>
  <c r="S1208" i="1"/>
  <c r="L1122" i="1"/>
  <c r="O1122" i="1" s="1"/>
  <c r="E864" i="1"/>
  <c r="B875" i="1"/>
  <c r="I864" i="1"/>
  <c r="F875" i="1"/>
  <c r="G2191" i="1" l="1"/>
  <c r="G2197" i="1" s="1"/>
  <c r="AG1466" i="1"/>
  <c r="AD1477" i="1"/>
  <c r="Z1477" i="1"/>
  <c r="AC1466" i="1"/>
  <c r="V1460" i="1"/>
  <c r="V1466" i="1" s="1"/>
  <c r="Y1434" i="1"/>
  <c r="Y1460" i="1" s="1"/>
  <c r="S1219" i="1"/>
  <c r="S1245" i="1" s="1"/>
  <c r="P1245" i="1"/>
  <c r="P1251" i="1" s="1"/>
  <c r="L1133" i="1"/>
  <c r="O1133" i="1" s="1"/>
  <c r="O1159" i="1" s="1"/>
  <c r="I875" i="1"/>
  <c r="I901" i="1" s="1"/>
  <c r="F901" i="1"/>
  <c r="F907" i="1" s="1"/>
  <c r="E875" i="1"/>
  <c r="E901" i="1" s="1"/>
  <c r="B901" i="1"/>
  <c r="B907" i="1" s="1"/>
  <c r="G2208" i="1" l="1"/>
  <c r="V1477" i="1"/>
  <c r="Y1466" i="1"/>
  <c r="Z1503" i="1"/>
  <c r="Z1509" i="1" s="1"/>
  <c r="AC1477" i="1"/>
  <c r="AC1503" i="1" s="1"/>
  <c r="AG1477" i="1"/>
  <c r="AG1503" i="1" s="1"/>
  <c r="AD1503" i="1"/>
  <c r="AD1509" i="1" s="1"/>
  <c r="P1262" i="1"/>
  <c r="S1251" i="1"/>
  <c r="L1159" i="1"/>
  <c r="L1165" i="1" s="1"/>
  <c r="B918" i="1"/>
  <c r="E907" i="1"/>
  <c r="F918" i="1"/>
  <c r="I907" i="1"/>
  <c r="G2234" i="1" l="1"/>
  <c r="AG1509" i="1"/>
  <c r="AD1520" i="1"/>
  <c r="Z1520" i="1"/>
  <c r="AC1509" i="1"/>
  <c r="V1503" i="1"/>
  <c r="V1509" i="1" s="1"/>
  <c r="Y1477" i="1"/>
  <c r="Y1503" i="1" s="1"/>
  <c r="P1288" i="1"/>
  <c r="P1294" i="1" s="1"/>
  <c r="S1262" i="1"/>
  <c r="S1288" i="1" s="1"/>
  <c r="L1176" i="1"/>
  <c r="O1165" i="1"/>
  <c r="F944" i="1"/>
  <c r="F950" i="1" s="1"/>
  <c r="I918" i="1"/>
  <c r="I944" i="1" s="1"/>
  <c r="E918" i="1"/>
  <c r="E944" i="1" s="1"/>
  <c r="B944" i="1"/>
  <c r="B950" i="1" s="1"/>
  <c r="AG1520" i="1" l="1"/>
  <c r="AG1546" i="1" s="1"/>
  <c r="AD1546" i="1"/>
  <c r="AD1552" i="1" s="1"/>
  <c r="Y1509" i="1"/>
  <c r="V1520" i="1"/>
  <c r="Z1546" i="1"/>
  <c r="Z1552" i="1" s="1"/>
  <c r="AC1520" i="1"/>
  <c r="AC1546" i="1" s="1"/>
  <c r="P1305" i="1"/>
  <c r="S1294" i="1"/>
  <c r="L1202" i="1"/>
  <c r="L1208" i="1" s="1"/>
  <c r="O1176" i="1"/>
  <c r="O1202" i="1" s="1"/>
  <c r="F961" i="1"/>
  <c r="I950" i="1"/>
  <c r="B961" i="1"/>
  <c r="E950" i="1"/>
  <c r="AG1552" i="1" l="1"/>
  <c r="AD1563" i="1"/>
  <c r="AC1552" i="1"/>
  <c r="Z1563" i="1"/>
  <c r="Y1520" i="1"/>
  <c r="Y1546" i="1" s="1"/>
  <c r="V1546" i="1"/>
  <c r="V1552" i="1" s="1"/>
  <c r="P1331" i="1"/>
  <c r="P1337" i="1" s="1"/>
  <c r="S1305" i="1"/>
  <c r="S1331" i="1" s="1"/>
  <c r="L1219" i="1"/>
  <c r="O1208" i="1"/>
  <c r="I961" i="1"/>
  <c r="I987" i="1" s="1"/>
  <c r="F987" i="1"/>
  <c r="F993" i="1" s="1"/>
  <c r="B987" i="1"/>
  <c r="B993" i="1" s="1"/>
  <c r="E961" i="1"/>
  <c r="E987" i="1" s="1"/>
  <c r="Z1589" i="1" l="1"/>
  <c r="Z1595" i="1" s="1"/>
  <c r="AC1563" i="1"/>
  <c r="AC1589" i="1" s="1"/>
  <c r="AG1563" i="1"/>
  <c r="AG1589" i="1" s="1"/>
  <c r="AD1589" i="1"/>
  <c r="AD1595" i="1" s="1"/>
  <c r="Y1552" i="1"/>
  <c r="V1563" i="1"/>
  <c r="S1337" i="1"/>
  <c r="P1348" i="1"/>
  <c r="O1219" i="1"/>
  <c r="O1245" i="1" s="1"/>
  <c r="L1245" i="1"/>
  <c r="L1251" i="1" s="1"/>
  <c r="F1004" i="1"/>
  <c r="I993" i="1"/>
  <c r="B1004" i="1"/>
  <c r="E993" i="1"/>
  <c r="AD1606" i="1" l="1"/>
  <c r="AG1595" i="1"/>
  <c r="Z1606" i="1"/>
  <c r="AC1595" i="1"/>
  <c r="Y1563" i="1"/>
  <c r="Y1589" i="1" s="1"/>
  <c r="V1589" i="1"/>
  <c r="V1595" i="1" s="1"/>
  <c r="P1374" i="1"/>
  <c r="P1380" i="1" s="1"/>
  <c r="S1348" i="1"/>
  <c r="S1374" i="1" s="1"/>
  <c r="O1251" i="1"/>
  <c r="L1262" i="1"/>
  <c r="B1030" i="1"/>
  <c r="B1036" i="1" s="1"/>
  <c r="E1004" i="1"/>
  <c r="E1030" i="1" s="1"/>
  <c r="F1030" i="1"/>
  <c r="F1036" i="1" s="1"/>
  <c r="I1004" i="1"/>
  <c r="I1030" i="1" s="1"/>
  <c r="Z1632" i="1" l="1"/>
  <c r="Z1638" i="1" s="1"/>
  <c r="AC1606" i="1"/>
  <c r="AC1632" i="1" s="1"/>
  <c r="AG1606" i="1"/>
  <c r="AG1632" i="1" s="1"/>
  <c r="AD1632" i="1"/>
  <c r="AD1638" i="1" s="1"/>
  <c r="V1606" i="1"/>
  <c r="Y1595" i="1"/>
  <c r="P1391" i="1"/>
  <c r="S1380" i="1"/>
  <c r="O1262" i="1"/>
  <c r="O1288" i="1" s="1"/>
  <c r="L1288" i="1"/>
  <c r="L1294" i="1" s="1"/>
  <c r="F1047" i="1"/>
  <c r="I1036" i="1"/>
  <c r="B1047" i="1"/>
  <c r="E1036" i="1"/>
  <c r="AD1649" i="1" l="1"/>
  <c r="AG1638" i="1"/>
  <c r="Z1649" i="1"/>
  <c r="AC1638" i="1"/>
  <c r="Y1606" i="1"/>
  <c r="Y1632" i="1" s="1"/>
  <c r="V1632" i="1"/>
  <c r="V1638" i="1" s="1"/>
  <c r="P1417" i="1"/>
  <c r="P1423" i="1" s="1"/>
  <c r="S1391" i="1"/>
  <c r="S1417" i="1" s="1"/>
  <c r="L1305" i="1"/>
  <c r="O1294" i="1"/>
  <c r="E1047" i="1"/>
  <c r="E1073" i="1" s="1"/>
  <c r="B1073" i="1"/>
  <c r="B1079" i="1" s="1"/>
  <c r="F1073" i="1"/>
  <c r="F1079" i="1" s="1"/>
  <c r="I1047" i="1"/>
  <c r="I1073" i="1" s="1"/>
  <c r="Z1675" i="1" l="1"/>
  <c r="Z1681" i="1" s="1"/>
  <c r="AC1649" i="1"/>
  <c r="AC1675" i="1" s="1"/>
  <c r="V1649" i="1"/>
  <c r="Y1638" i="1"/>
  <c r="AG1649" i="1"/>
  <c r="AG1675" i="1" s="1"/>
  <c r="AD1675" i="1"/>
  <c r="AD1681" i="1" s="1"/>
  <c r="P1434" i="1"/>
  <c r="S1423" i="1"/>
  <c r="L1331" i="1"/>
  <c r="L1337" i="1" s="1"/>
  <c r="O1305" i="1"/>
  <c r="O1331" i="1" s="1"/>
  <c r="F1090" i="1"/>
  <c r="I1079" i="1"/>
  <c r="B1090" i="1"/>
  <c r="E1079" i="1"/>
  <c r="AD1692" i="1" l="1"/>
  <c r="AG1681" i="1"/>
  <c r="Z1692" i="1"/>
  <c r="AC1681" i="1"/>
  <c r="Y1649" i="1"/>
  <c r="Y1675" i="1" s="1"/>
  <c r="V1675" i="1"/>
  <c r="V1681" i="1" s="1"/>
  <c r="S1434" i="1"/>
  <c r="S1460" i="1" s="1"/>
  <c r="P1460" i="1"/>
  <c r="P1466" i="1" s="1"/>
  <c r="L1348" i="1"/>
  <c r="O1337" i="1"/>
  <c r="B1116" i="1"/>
  <c r="B1122" i="1" s="1"/>
  <c r="E1090" i="1"/>
  <c r="E1116" i="1" s="1"/>
  <c r="F1116" i="1"/>
  <c r="F1122" i="1" s="1"/>
  <c r="I1090" i="1"/>
  <c r="I1116" i="1" s="1"/>
  <c r="AD1718" i="1" l="1"/>
  <c r="AD1724" i="1" s="1"/>
  <c r="AG1692" i="1"/>
  <c r="AG1718" i="1" s="1"/>
  <c r="Z1718" i="1"/>
  <c r="Z1724" i="1" s="1"/>
  <c r="AC1692" i="1"/>
  <c r="AC1718" i="1" s="1"/>
  <c r="Y1681" i="1"/>
  <c r="V1692" i="1"/>
  <c r="P1477" i="1"/>
  <c r="S1466" i="1"/>
  <c r="O1348" i="1"/>
  <c r="O1374" i="1" s="1"/>
  <c r="L1374" i="1"/>
  <c r="L1380" i="1" s="1"/>
  <c r="I1122" i="1"/>
  <c r="F1133" i="1"/>
  <c r="B1133" i="1"/>
  <c r="E1122" i="1"/>
  <c r="AC1724" i="1" l="1"/>
  <c r="Z1735" i="1"/>
  <c r="AG1724" i="1"/>
  <c r="AD1735" i="1"/>
  <c r="Y1692" i="1"/>
  <c r="Y1718" i="1" s="1"/>
  <c r="V1718" i="1"/>
  <c r="V1724" i="1" s="1"/>
  <c r="P1503" i="1"/>
  <c r="P1509" i="1" s="1"/>
  <c r="S1477" i="1"/>
  <c r="S1503" i="1" s="1"/>
  <c r="L1391" i="1"/>
  <c r="O1380" i="1"/>
  <c r="B1159" i="1"/>
  <c r="B1165" i="1" s="1"/>
  <c r="E1133" i="1"/>
  <c r="E1159" i="1" s="1"/>
  <c r="I1133" i="1"/>
  <c r="I1159" i="1" s="1"/>
  <c r="F1159" i="1"/>
  <c r="F1165" i="1" s="1"/>
  <c r="AG1735" i="1" l="1"/>
  <c r="AG1761" i="1" s="1"/>
  <c r="AD1761" i="1"/>
  <c r="AD1767" i="1" s="1"/>
  <c r="Y1724" i="1"/>
  <c r="V1735" i="1"/>
  <c r="Z1761" i="1"/>
  <c r="Z1767" i="1" s="1"/>
  <c r="AC1735" i="1"/>
  <c r="AC1761" i="1" s="1"/>
  <c r="P1520" i="1"/>
  <c r="S1509" i="1"/>
  <c r="L1417" i="1"/>
  <c r="L1423" i="1" s="1"/>
  <c r="O1391" i="1"/>
  <c r="O1417" i="1" s="1"/>
  <c r="I1165" i="1"/>
  <c r="F1176" i="1"/>
  <c r="B1176" i="1"/>
  <c r="E1165" i="1"/>
  <c r="AD1778" i="1" l="1"/>
  <c r="AG1767" i="1"/>
  <c r="Z1778" i="1"/>
  <c r="AC1767" i="1"/>
  <c r="Y1735" i="1"/>
  <c r="Y1761" i="1" s="1"/>
  <c r="V1761" i="1"/>
  <c r="V1767" i="1" s="1"/>
  <c r="S1520" i="1"/>
  <c r="S1546" i="1" s="1"/>
  <c r="P1546" i="1"/>
  <c r="P1552" i="1" s="1"/>
  <c r="L1434" i="1"/>
  <c r="O1423" i="1"/>
  <c r="I1176" i="1"/>
  <c r="I1202" i="1" s="1"/>
  <c r="F1202" i="1"/>
  <c r="F1208" i="1" s="1"/>
  <c r="B1202" i="1"/>
  <c r="B1208" i="1" s="1"/>
  <c r="E1176" i="1"/>
  <c r="E1202" i="1" s="1"/>
  <c r="AG1778" i="1" l="1"/>
  <c r="AG1804" i="1" s="1"/>
  <c r="AD1804" i="1"/>
  <c r="AD1810" i="1" s="1"/>
  <c r="Z1804" i="1"/>
  <c r="Z1810" i="1" s="1"/>
  <c r="AC1778" i="1"/>
  <c r="AC1804" i="1" s="1"/>
  <c r="V1778" i="1"/>
  <c r="Y1767" i="1"/>
  <c r="P1563" i="1"/>
  <c r="S1552" i="1"/>
  <c r="L1460" i="1"/>
  <c r="L1466" i="1" s="1"/>
  <c r="O1434" i="1"/>
  <c r="O1460" i="1" s="1"/>
  <c r="I1208" i="1"/>
  <c r="F1219" i="1"/>
  <c r="B1219" i="1"/>
  <c r="E1208" i="1"/>
  <c r="AG1810" i="1" l="1"/>
  <c r="AD1821" i="1"/>
  <c r="Z1821" i="1"/>
  <c r="AC1810" i="1"/>
  <c r="V1804" i="1"/>
  <c r="V1810" i="1" s="1"/>
  <c r="Y1778" i="1"/>
  <c r="Y1804" i="1" s="1"/>
  <c r="S1563" i="1"/>
  <c r="S1589" i="1" s="1"/>
  <c r="P1589" i="1"/>
  <c r="P1595" i="1" s="1"/>
  <c r="L1477" i="1"/>
  <c r="O1466" i="1"/>
  <c r="F1245" i="1"/>
  <c r="F1251" i="1" s="1"/>
  <c r="I1219" i="1"/>
  <c r="I1245" i="1" s="1"/>
  <c r="E1219" i="1"/>
  <c r="E1245" i="1" s="1"/>
  <c r="B1245" i="1"/>
  <c r="B1251" i="1" s="1"/>
  <c r="AG1821" i="1" l="1"/>
  <c r="AG1847" i="1" s="1"/>
  <c r="AD1847" i="1"/>
  <c r="AD1853" i="1" s="1"/>
  <c r="Z1847" i="1"/>
  <c r="Z1853" i="1" s="1"/>
  <c r="AC1821" i="1"/>
  <c r="AC1847" i="1" s="1"/>
  <c r="V1821" i="1"/>
  <c r="Y1810" i="1"/>
  <c r="P1606" i="1"/>
  <c r="S1595" i="1"/>
  <c r="L1503" i="1"/>
  <c r="L1509" i="1" s="1"/>
  <c r="O1477" i="1"/>
  <c r="O1503" i="1" s="1"/>
  <c r="B1262" i="1"/>
  <c r="E1251" i="1"/>
  <c r="F1262" i="1"/>
  <c r="I1251" i="1"/>
  <c r="AC1853" i="1" l="1"/>
  <c r="Z1864" i="1"/>
  <c r="AD1864" i="1"/>
  <c r="AG1853" i="1"/>
  <c r="V1847" i="1"/>
  <c r="V1853" i="1" s="1"/>
  <c r="Y1821" i="1"/>
  <c r="Y1847" i="1" s="1"/>
  <c r="L1520" i="1"/>
  <c r="O1509" i="1"/>
  <c r="P1632" i="1"/>
  <c r="P1638" i="1" s="1"/>
  <c r="S1606" i="1"/>
  <c r="S1632" i="1" s="1"/>
  <c r="F1288" i="1"/>
  <c r="F1294" i="1" s="1"/>
  <c r="I1262" i="1"/>
  <c r="I1288" i="1" s="1"/>
  <c r="B1288" i="1"/>
  <c r="B1294" i="1" s="1"/>
  <c r="E1262" i="1"/>
  <c r="E1288" i="1" s="1"/>
  <c r="AD1890" i="1" l="1"/>
  <c r="AD1896" i="1" s="1"/>
  <c r="AG1864" i="1"/>
  <c r="AG1890" i="1" s="1"/>
  <c r="Z1890" i="1"/>
  <c r="Z1896" i="1" s="1"/>
  <c r="AC1864" i="1"/>
  <c r="AC1890" i="1" s="1"/>
  <c r="Y1853" i="1"/>
  <c r="V1864" i="1"/>
  <c r="P1649" i="1"/>
  <c r="S1638" i="1"/>
  <c r="L1546" i="1"/>
  <c r="O1520" i="1"/>
  <c r="O1546" i="1" s="1"/>
  <c r="B1305" i="1"/>
  <c r="E1294" i="1"/>
  <c r="F1305" i="1"/>
  <c r="I1294" i="1"/>
  <c r="AC1896" i="1" l="1"/>
  <c r="Z1907" i="1"/>
  <c r="Y1864" i="1"/>
  <c r="Y1890" i="1" s="1"/>
  <c r="V1890" i="1"/>
  <c r="V1896" i="1" s="1"/>
  <c r="AG1896" i="1"/>
  <c r="AD1907" i="1"/>
  <c r="S1649" i="1"/>
  <c r="S1675" i="1" s="1"/>
  <c r="P1675" i="1"/>
  <c r="L1552" i="1"/>
  <c r="F1331" i="1"/>
  <c r="F1337" i="1" s="1"/>
  <c r="I1305" i="1"/>
  <c r="I1331" i="1" s="1"/>
  <c r="B1331" i="1"/>
  <c r="B1337" i="1" s="1"/>
  <c r="E1305" i="1"/>
  <c r="E1331" i="1" s="1"/>
  <c r="AD1933" i="1" l="1"/>
  <c r="AD1939" i="1" s="1"/>
  <c r="AG1907" i="1"/>
  <c r="AG1933" i="1" s="1"/>
  <c r="AC1907" i="1"/>
  <c r="AC1933" i="1" s="1"/>
  <c r="Z1933" i="1"/>
  <c r="Z1939" i="1" s="1"/>
  <c r="Y1896" i="1"/>
  <c r="V1907" i="1"/>
  <c r="P1692" i="1"/>
  <c r="O1552" i="1"/>
  <c r="L1563" i="1"/>
  <c r="B1348" i="1"/>
  <c r="E1337" i="1"/>
  <c r="F1348" i="1"/>
  <c r="I1337" i="1"/>
  <c r="AG1939" i="1" l="1"/>
  <c r="AD1950" i="1"/>
  <c r="AC1939" i="1"/>
  <c r="Z1950" i="1"/>
  <c r="V1933" i="1"/>
  <c r="V1939" i="1" s="1"/>
  <c r="Y1907" i="1"/>
  <c r="Y1933" i="1" s="1"/>
  <c r="S1692" i="1"/>
  <c r="S1718" i="1" s="1"/>
  <c r="S1724" i="1" s="1"/>
  <c r="S1735" i="1" s="1"/>
  <c r="S1761" i="1" s="1"/>
  <c r="S1767" i="1" s="1"/>
  <c r="P1718" i="1"/>
  <c r="P1724" i="1" s="1"/>
  <c r="P1735" i="1" s="1"/>
  <c r="P1761" i="1" s="1"/>
  <c r="P1767" i="1" s="1"/>
  <c r="L1589" i="1"/>
  <c r="L1595" i="1" s="1"/>
  <c r="O1563" i="1"/>
  <c r="O1589" i="1" s="1"/>
  <c r="F1374" i="1"/>
  <c r="F1380" i="1" s="1"/>
  <c r="I1348" i="1"/>
  <c r="I1374" i="1" s="1"/>
  <c r="E1348" i="1"/>
  <c r="E1374" i="1" s="1"/>
  <c r="B1374" i="1"/>
  <c r="B1380" i="1" s="1"/>
  <c r="AG1950" i="1" l="1"/>
  <c r="AG1976" i="1" s="1"/>
  <c r="AD1976" i="1"/>
  <c r="AD1982" i="1" s="1"/>
  <c r="AC1950" i="1"/>
  <c r="AC1976" i="1" s="1"/>
  <c r="Z1976" i="1"/>
  <c r="Z1982" i="1" s="1"/>
  <c r="V1950" i="1"/>
  <c r="Y1939" i="1"/>
  <c r="O1595" i="1"/>
  <c r="L1606" i="1"/>
  <c r="B1391" i="1"/>
  <c r="E1380" i="1"/>
  <c r="F1391" i="1"/>
  <c r="I1380" i="1"/>
  <c r="Z1993" i="1" l="1"/>
  <c r="AC1982" i="1"/>
  <c r="AD1993" i="1"/>
  <c r="AG1982" i="1"/>
  <c r="V1976" i="1"/>
  <c r="V1982" i="1" s="1"/>
  <c r="Y1950" i="1"/>
  <c r="Y1976" i="1" s="1"/>
  <c r="S1762" i="1"/>
  <c r="O1606" i="1"/>
  <c r="O1632" i="1" s="1"/>
  <c r="L1632" i="1"/>
  <c r="L1638" i="1" s="1"/>
  <c r="I1391" i="1"/>
  <c r="I1417" i="1" s="1"/>
  <c r="F1417" i="1"/>
  <c r="F1423" i="1" s="1"/>
  <c r="B1417" i="1"/>
  <c r="B1423" i="1" s="1"/>
  <c r="E1391" i="1"/>
  <c r="E1417" i="1" s="1"/>
  <c r="AG1993" i="1" l="1"/>
  <c r="AG2019" i="1" s="1"/>
  <c r="AD2019" i="1"/>
  <c r="AD2025" i="1" s="1"/>
  <c r="V1993" i="1"/>
  <c r="Y1982" i="1"/>
  <c r="AC1993" i="1"/>
  <c r="AC2019" i="1" s="1"/>
  <c r="Z2019" i="1"/>
  <c r="Z2025" i="1" s="1"/>
  <c r="P1762" i="1"/>
  <c r="L1649" i="1"/>
  <c r="O1638" i="1"/>
  <c r="B1434" i="1"/>
  <c r="E1423" i="1"/>
  <c r="I1423" i="1"/>
  <c r="F1434" i="1"/>
  <c r="S1778" i="1" l="1"/>
  <c r="P1778" i="1"/>
  <c r="P1804" i="1" s="1"/>
  <c r="Z2036" i="1"/>
  <c r="AC2025" i="1"/>
  <c r="AD2036" i="1"/>
  <c r="AG2025" i="1"/>
  <c r="Y1993" i="1"/>
  <c r="Y2019" i="1" s="1"/>
  <c r="V2019" i="1"/>
  <c r="V2025" i="1" s="1"/>
  <c r="S1804" i="1"/>
  <c r="S1810" i="1" s="1"/>
  <c r="L1675" i="1"/>
  <c r="O1649" i="1"/>
  <c r="O1675" i="1" s="1"/>
  <c r="F1460" i="1"/>
  <c r="F1466" i="1" s="1"/>
  <c r="I1434" i="1"/>
  <c r="I1460" i="1" s="1"/>
  <c r="E1434" i="1"/>
  <c r="E1460" i="1" s="1"/>
  <c r="B1460" i="1"/>
  <c r="B1466" i="1" s="1"/>
  <c r="P1810" i="1" l="1"/>
  <c r="P1821" i="1" s="1"/>
  <c r="P1847" i="1" s="1"/>
  <c r="P1853" i="1" s="1"/>
  <c r="V2036" i="1"/>
  <c r="Y2025" i="1"/>
  <c r="AG2036" i="1"/>
  <c r="AG2062" i="1" s="1"/>
  <c r="AD2062" i="1"/>
  <c r="AD2068" i="1" s="1"/>
  <c r="Z2062" i="1"/>
  <c r="Z2068" i="1" s="1"/>
  <c r="AC2036" i="1"/>
  <c r="AC2062" i="1" s="1"/>
  <c r="S1821" i="1"/>
  <c r="L1692" i="1"/>
  <c r="F1477" i="1"/>
  <c r="I1466" i="1"/>
  <c r="B1477" i="1"/>
  <c r="E1466" i="1"/>
  <c r="AG2068" i="1" l="1"/>
  <c r="AD2079" i="1"/>
  <c r="AC2068" i="1"/>
  <c r="Z2079" i="1"/>
  <c r="V2062" i="1"/>
  <c r="V2068" i="1" s="1"/>
  <c r="Y2036" i="1"/>
  <c r="Y2062" i="1" s="1"/>
  <c r="S1847" i="1"/>
  <c r="S1853" i="1" s="1"/>
  <c r="P1864" i="1"/>
  <c r="L1718" i="1"/>
  <c r="L1724" i="1" s="1"/>
  <c r="L1735" i="1" s="1"/>
  <c r="L1761" i="1" s="1"/>
  <c r="L1767" i="1" s="1"/>
  <c r="O1692" i="1"/>
  <c r="O1718" i="1" s="1"/>
  <c r="O1724" i="1" s="1"/>
  <c r="O1735" i="1" s="1"/>
  <c r="O1761" i="1" s="1"/>
  <c r="O1767" i="1" s="1"/>
  <c r="F1503" i="1"/>
  <c r="F1509" i="1" s="1"/>
  <c r="I1477" i="1"/>
  <c r="I1503" i="1" s="1"/>
  <c r="B1503" i="1"/>
  <c r="B1509" i="1" s="1"/>
  <c r="E1477" i="1"/>
  <c r="E1503" i="1" s="1"/>
  <c r="Z2105" i="1" l="1"/>
  <c r="Z2111" i="1" s="1"/>
  <c r="AC2079" i="1"/>
  <c r="AC2105" i="1" s="1"/>
  <c r="AG2079" i="1"/>
  <c r="AG2105" i="1" s="1"/>
  <c r="AD2105" i="1"/>
  <c r="AD2111" i="1" s="1"/>
  <c r="Y2068" i="1"/>
  <c r="V2079" i="1"/>
  <c r="P1890" i="1"/>
  <c r="P1896" i="1" s="1"/>
  <c r="S1864" i="1"/>
  <c r="F1520" i="1"/>
  <c r="I1509" i="1"/>
  <c r="E1509" i="1"/>
  <c r="B1520" i="1"/>
  <c r="AD2122" i="1" l="1"/>
  <c r="AG2111" i="1"/>
  <c r="Z2122" i="1"/>
  <c r="AC2111" i="1"/>
  <c r="Y2079" i="1"/>
  <c r="Y2105" i="1" s="1"/>
  <c r="V2105" i="1"/>
  <c r="V2111" i="1" s="1"/>
  <c r="P1907" i="1"/>
  <c r="S1890" i="1"/>
  <c r="S1896" i="1" s="1"/>
  <c r="O1762" i="1"/>
  <c r="L1762" i="1"/>
  <c r="I1520" i="1"/>
  <c r="I1546" i="1" s="1"/>
  <c r="F1546" i="1"/>
  <c r="F1552" i="1" s="1"/>
  <c r="B1546" i="1"/>
  <c r="B1552" i="1" s="1"/>
  <c r="E1520" i="1"/>
  <c r="E1546" i="1" s="1"/>
  <c r="AD2148" i="1" l="1"/>
  <c r="AD2154" i="1" s="1"/>
  <c r="AG2122" i="1"/>
  <c r="AG2148" i="1" s="1"/>
  <c r="Z2148" i="1"/>
  <c r="Z2154" i="1" s="1"/>
  <c r="AC2122" i="1"/>
  <c r="AC2148" i="1" s="1"/>
  <c r="V2122" i="1"/>
  <c r="Y2111" i="1"/>
  <c r="S1907" i="1"/>
  <c r="P1933" i="1"/>
  <c r="P1939" i="1" s="1"/>
  <c r="B1563" i="1"/>
  <c r="E1552" i="1"/>
  <c r="F1563" i="1"/>
  <c r="I1552" i="1"/>
  <c r="AD2165" i="1" l="1"/>
  <c r="AG2154" i="1"/>
  <c r="Z2165" i="1"/>
  <c r="AC2154" i="1"/>
  <c r="V2148" i="1"/>
  <c r="V2154" i="1" s="1"/>
  <c r="Y2122" i="1"/>
  <c r="Y2148" i="1" s="1"/>
  <c r="O1778" i="1"/>
  <c r="L1778" i="1"/>
  <c r="L1804" i="1" s="1"/>
  <c r="L1810" i="1" s="1"/>
  <c r="S1933" i="1"/>
  <c r="S1939" i="1" s="1"/>
  <c r="P1950" i="1"/>
  <c r="O1804" i="1"/>
  <c r="O1810" i="1" s="1"/>
  <c r="F1589" i="1"/>
  <c r="F1595" i="1" s="1"/>
  <c r="I1563" i="1"/>
  <c r="I1589" i="1" s="1"/>
  <c r="B1589" i="1"/>
  <c r="B1595" i="1" s="1"/>
  <c r="E1563" i="1"/>
  <c r="E1589" i="1" s="1"/>
  <c r="AD2191" i="1" l="1"/>
  <c r="AD2197" i="1" s="1"/>
  <c r="AG2165" i="1"/>
  <c r="AG2191" i="1" s="1"/>
  <c r="Z2191" i="1"/>
  <c r="Z2197" i="1" s="1"/>
  <c r="AC2165" i="1"/>
  <c r="AC2191" i="1" s="1"/>
  <c r="V2165" i="1"/>
  <c r="Y2154" i="1"/>
  <c r="S1950" i="1"/>
  <c r="P1976" i="1"/>
  <c r="P1982" i="1" s="1"/>
  <c r="L1805" i="1"/>
  <c r="N1805" i="1"/>
  <c r="O1805" i="1"/>
  <c r="M1805" i="1"/>
  <c r="F1606" i="1"/>
  <c r="I1595" i="1"/>
  <c r="B1606" i="1"/>
  <c r="E1595" i="1"/>
  <c r="AD2208" i="1" l="1"/>
  <c r="AG2197" i="1"/>
  <c r="AC2197" i="1"/>
  <c r="Z2208" i="1"/>
  <c r="Y2165" i="1"/>
  <c r="Y2191" i="1" s="1"/>
  <c r="V2191" i="1"/>
  <c r="V2197" i="1" s="1"/>
  <c r="O1821" i="1"/>
  <c r="L1821" i="1"/>
  <c r="P1993" i="1"/>
  <c r="S1976" i="1"/>
  <c r="S1982" i="1" s="1"/>
  <c r="F1632" i="1"/>
  <c r="F1638" i="1" s="1"/>
  <c r="I1606" i="1"/>
  <c r="I1632" i="1" s="1"/>
  <c r="B1632" i="1"/>
  <c r="B1638" i="1" s="1"/>
  <c r="E1606" i="1"/>
  <c r="E1632" i="1" s="1"/>
  <c r="AG2208" i="1" l="1"/>
  <c r="AG2234" i="1" s="1"/>
  <c r="AD2234" i="1"/>
  <c r="Z2234" i="1"/>
  <c r="AC2208" i="1"/>
  <c r="AC2234" i="1" s="1"/>
  <c r="Y2197" i="1"/>
  <c r="V2208" i="1"/>
  <c r="L1847" i="1"/>
  <c r="L1853" i="1" s="1"/>
  <c r="S1993" i="1"/>
  <c r="P2019" i="1"/>
  <c r="P2025" i="1" s="1"/>
  <c r="O1847" i="1"/>
  <c r="O1853" i="1" s="1"/>
  <c r="I1638" i="1"/>
  <c r="F1649" i="1"/>
  <c r="E1638" i="1"/>
  <c r="B1649" i="1"/>
  <c r="V2234" i="1" l="1"/>
  <c r="Y2208" i="1"/>
  <c r="Y2234" i="1" s="1"/>
  <c r="L1864" i="1"/>
  <c r="L1890" i="1" s="1"/>
  <c r="S2019" i="1"/>
  <c r="S2025" i="1" s="1"/>
  <c r="P2036" i="1"/>
  <c r="I1649" i="1"/>
  <c r="I1675" i="1" s="1"/>
  <c r="F1675" i="1"/>
  <c r="F1681" i="1" s="1"/>
  <c r="B1675" i="1"/>
  <c r="B1681" i="1" s="1"/>
  <c r="E1649" i="1"/>
  <c r="E1675" i="1" s="1"/>
  <c r="L1896" i="1" l="1"/>
  <c r="L1907" i="1" s="1"/>
  <c r="L1933" i="1" s="1"/>
  <c r="L1939" i="1" s="1"/>
  <c r="O1864" i="1"/>
  <c r="O1890" i="1" s="1"/>
  <c r="O1896" i="1" s="1"/>
  <c r="O1907" i="1" s="1"/>
  <c r="S2036" i="1"/>
  <c r="P2062" i="1"/>
  <c r="P2068" i="1" s="1"/>
  <c r="I1681" i="1"/>
  <c r="F1692" i="1"/>
  <c r="E1681" i="1"/>
  <c r="B1692" i="1"/>
  <c r="X2020" i="1" l="1"/>
  <c r="W2020" i="1"/>
  <c r="Y2020" i="1"/>
  <c r="V2020" i="1"/>
  <c r="S2062" i="1"/>
  <c r="S2068" i="1" s="1"/>
  <c r="P2079" i="1"/>
  <c r="O1933" i="1"/>
  <c r="O1939" i="1" s="1"/>
  <c r="L1950" i="1"/>
  <c r="I1692" i="1"/>
  <c r="I1718" i="1" s="1"/>
  <c r="F1718" i="1"/>
  <c r="F1724" i="1" s="1"/>
  <c r="B1718" i="1"/>
  <c r="B1724" i="1" s="1"/>
  <c r="E1692" i="1"/>
  <c r="E1718" i="1" s="1"/>
  <c r="S2079" i="1" l="1"/>
  <c r="P2105" i="1"/>
  <c r="P2111" i="1" s="1"/>
  <c r="P2122" i="1" s="1"/>
  <c r="P2148" i="1" s="1"/>
  <c r="P2154" i="1" s="1"/>
  <c r="P2165" i="1" s="1"/>
  <c r="P2191" i="1" s="1"/>
  <c r="P2197" i="1" s="1"/>
  <c r="P2208" i="1" s="1"/>
  <c r="P2234" i="1" s="1"/>
  <c r="O1950" i="1"/>
  <c r="L1976" i="1"/>
  <c r="L1982" i="1" s="1"/>
  <c r="F1735" i="1"/>
  <c r="I1724" i="1"/>
  <c r="B1735" i="1"/>
  <c r="E1724" i="1"/>
  <c r="S2105" i="1" l="1"/>
  <c r="S2111" i="1" s="1"/>
  <c r="S2122" i="1" s="1"/>
  <c r="S2148" i="1" s="1"/>
  <c r="S2154" i="1" s="1"/>
  <c r="S2165" i="1" s="1"/>
  <c r="S2191" i="1" s="1"/>
  <c r="S2197" i="1" s="1"/>
  <c r="S2208" i="1" s="1"/>
  <c r="S2234" i="1" s="1"/>
  <c r="O1976" i="1"/>
  <c r="O1982" i="1" s="1"/>
  <c r="L1993" i="1"/>
  <c r="F1761" i="1"/>
  <c r="F1767" i="1" s="1"/>
  <c r="I1735" i="1"/>
  <c r="I1761" i="1" s="1"/>
  <c r="B1761" i="1"/>
  <c r="B1767" i="1" s="1"/>
  <c r="E1735" i="1"/>
  <c r="E1761" i="1" s="1"/>
  <c r="O1993" i="1" l="1"/>
  <c r="L2019" i="1"/>
  <c r="L2025" i="1" s="1"/>
  <c r="F1778" i="1"/>
  <c r="I1767" i="1"/>
  <c r="B1778" i="1"/>
  <c r="E1767" i="1"/>
  <c r="L2036" i="1" l="1"/>
  <c r="O2019" i="1"/>
  <c r="O2025" i="1" s="1"/>
  <c r="F1804" i="1"/>
  <c r="F1810" i="1" s="1"/>
  <c r="I1778" i="1"/>
  <c r="I1804" i="1" s="1"/>
  <c r="B1804" i="1"/>
  <c r="B1810" i="1" s="1"/>
  <c r="E1778" i="1"/>
  <c r="E1804" i="1" s="1"/>
  <c r="O2036" i="1" l="1"/>
  <c r="L2062" i="1"/>
  <c r="L2068" i="1" s="1"/>
  <c r="F1821" i="1"/>
  <c r="I1810" i="1"/>
  <c r="E1810" i="1"/>
  <c r="B1821" i="1"/>
  <c r="O2062" i="1" l="1"/>
  <c r="O2068" i="1" s="1"/>
  <c r="L2079" i="1"/>
  <c r="I1821" i="1"/>
  <c r="I1847" i="1" s="1"/>
  <c r="F1847" i="1"/>
  <c r="F1853" i="1" s="1"/>
  <c r="B1847" i="1"/>
  <c r="B1853" i="1" s="1"/>
  <c r="E1821" i="1"/>
  <c r="E1847" i="1" s="1"/>
  <c r="O2079" i="1" l="1"/>
  <c r="L2105" i="1"/>
  <c r="L2111" i="1" s="1"/>
  <c r="L2122" i="1" s="1"/>
  <c r="L2148" i="1" s="1"/>
  <c r="L2154" i="1" s="1"/>
  <c r="L2165" i="1" s="1"/>
  <c r="L2191" i="1" s="1"/>
  <c r="L2197" i="1" s="1"/>
  <c r="L2208" i="1" s="1"/>
  <c r="L2234" i="1" s="1"/>
  <c r="F1864" i="1"/>
  <c r="I1853" i="1"/>
  <c r="B1864" i="1"/>
  <c r="E1853" i="1"/>
  <c r="O2105" i="1" l="1"/>
  <c r="F1890" i="1"/>
  <c r="F1896" i="1" s="1"/>
  <c r="I1864" i="1"/>
  <c r="I1890" i="1" s="1"/>
  <c r="B1890" i="1"/>
  <c r="B1896" i="1" s="1"/>
  <c r="E1864" i="1"/>
  <c r="E1890" i="1" s="1"/>
  <c r="O2111" i="1" l="1"/>
  <c r="O2122" i="1" s="1"/>
  <c r="O2148" i="1" s="1"/>
  <c r="O2154" i="1" s="1"/>
  <c r="O2165" i="1" s="1"/>
  <c r="O2191" i="1" s="1"/>
  <c r="O2197" i="1" s="1"/>
  <c r="O2208" i="1" s="1"/>
  <c r="O2234" i="1" s="1"/>
  <c r="M2106" i="1"/>
  <c r="N2106" i="1"/>
  <c r="O2106" i="1"/>
  <c r="L2106" i="1"/>
  <c r="I1896" i="1"/>
  <c r="F1907" i="1"/>
  <c r="E1896" i="1"/>
  <c r="B1907" i="1"/>
  <c r="F1933" i="1" l="1"/>
  <c r="F1939" i="1" s="1"/>
  <c r="I1907" i="1"/>
  <c r="I1933" i="1" s="1"/>
  <c r="E1907" i="1"/>
  <c r="E1933" i="1" s="1"/>
  <c r="B1933" i="1"/>
  <c r="B1939" i="1" s="1"/>
  <c r="F1950" i="1" l="1"/>
  <c r="I1939" i="1"/>
  <c r="E1939" i="1"/>
  <c r="B1950" i="1"/>
  <c r="F1976" i="1" l="1"/>
  <c r="F1982" i="1" s="1"/>
  <c r="I1950" i="1"/>
  <c r="I1976" i="1" s="1"/>
  <c r="E1950" i="1"/>
  <c r="E1976" i="1" s="1"/>
  <c r="B1976" i="1"/>
  <c r="B1982" i="1" s="1"/>
  <c r="I1982" i="1" l="1"/>
  <c r="F1993" i="1"/>
  <c r="E1982" i="1"/>
  <c r="B1993" i="1"/>
  <c r="I1993" i="1" l="1"/>
  <c r="I2019" i="1" s="1"/>
  <c r="F2019" i="1"/>
  <c r="F2025" i="1" s="1"/>
  <c r="E1993" i="1"/>
  <c r="E2019" i="1" s="1"/>
  <c r="B2019" i="1"/>
  <c r="B2025" i="1" s="1"/>
  <c r="I2025" i="1" l="1"/>
  <c r="F2036" i="1"/>
  <c r="E2025" i="1"/>
  <c r="B2036" i="1"/>
  <c r="I2036" i="1" l="1"/>
  <c r="I2062" i="1" s="1"/>
  <c r="F2062" i="1"/>
  <c r="F2068" i="1" s="1"/>
  <c r="E2036" i="1"/>
  <c r="E2062" i="1" s="1"/>
  <c r="B2062" i="1"/>
  <c r="B2068" i="1" s="1"/>
  <c r="I2068" i="1" l="1"/>
  <c r="F2079" i="1"/>
  <c r="E2068" i="1"/>
  <c r="B2079" i="1"/>
  <c r="I2079" i="1" l="1"/>
  <c r="I2105" i="1" s="1"/>
  <c r="F2105" i="1"/>
  <c r="F2111" i="1" s="1"/>
  <c r="E2079" i="1"/>
  <c r="E2105" i="1" s="1"/>
  <c r="B2105" i="1"/>
  <c r="B2111" i="1" s="1"/>
  <c r="F2122" i="1" l="1"/>
  <c r="I2111" i="1"/>
  <c r="B2122" i="1"/>
  <c r="E2111" i="1"/>
  <c r="F2148" i="1" l="1"/>
  <c r="F2154" i="1" s="1"/>
  <c r="I2122" i="1"/>
  <c r="I2148" i="1" s="1"/>
  <c r="B2148" i="1"/>
  <c r="B2154" i="1" s="1"/>
  <c r="E2122" i="1"/>
  <c r="E2148" i="1" s="1"/>
  <c r="F2165" i="1" l="1"/>
  <c r="I2154" i="1"/>
  <c r="B2165" i="1"/>
  <c r="E2154" i="1"/>
  <c r="F2191" i="1" l="1"/>
  <c r="F2197" i="1" s="1"/>
  <c r="I2165" i="1"/>
  <c r="I2191" i="1" s="1"/>
  <c r="B2191" i="1"/>
  <c r="B2197" i="1" s="1"/>
  <c r="E2165" i="1"/>
  <c r="E2191" i="1" s="1"/>
  <c r="F2208" i="1" l="1"/>
  <c r="I2197" i="1"/>
  <c r="B2208" i="1"/>
  <c r="E2197" i="1"/>
  <c r="F2234" i="1" l="1"/>
  <c r="I2208" i="1"/>
  <c r="I2234" i="1" s="1"/>
  <c r="B2234" i="1"/>
  <c r="E2208" i="1"/>
  <c r="E22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yumehan8</author>
    <author>yumehan-M715q</author>
  </authors>
  <commentList>
    <comment ref="K324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商品名が異なるので
注意してください
</t>
        </r>
      </text>
    </comment>
    <comment ref="J337" authorId="1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戻ってきます</t>
        </r>
      </text>
    </comment>
    <comment ref="A339" authorId="0" shapeId="0" xr:uid="{00000000-0006-0000-00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商品名が異なるので
注意してください
</t>
        </r>
      </text>
    </comment>
    <comment ref="K361" authorId="0" shapeId="0" xr:uid="{00000000-0006-0000-0000-000004000000}">
      <text>
        <r>
          <rPr>
            <sz val="9"/>
            <color indexed="81"/>
            <rFont val="ＭＳ Ｐゴシック"/>
            <family val="3"/>
            <charset val="128"/>
          </rPr>
          <t xml:space="preserve">商品名が異なるので
注意してください
</t>
        </r>
      </text>
    </comment>
    <comment ref="K383" authorId="0" shapeId="0" xr:uid="{00000000-0006-0000-00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商品名が異なるので
注意してください
</t>
        </r>
      </text>
    </comment>
  </commentList>
</comments>
</file>

<file path=xl/sharedStrings.xml><?xml version="1.0" encoding="utf-8"?>
<sst xmlns="http://schemas.openxmlformats.org/spreadsheetml/2006/main" count="5768" uniqueCount="1226">
  <si>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</si>
  <si>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</si>
  <si>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</si>
  <si>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</si>
  <si>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</si>
  <si>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</si>
  <si>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</si>
  <si>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3"/>
  </si>
  <si>
    <t>M</t>
    <phoneticPr fontId="7"/>
  </si>
  <si>
    <t>L</t>
    <phoneticPr fontId="7"/>
  </si>
  <si>
    <t>LL</t>
    <phoneticPr fontId="7"/>
  </si>
  <si>
    <t>M</t>
    <phoneticPr fontId="7"/>
  </si>
  <si>
    <t>L</t>
    <phoneticPr fontId="7"/>
  </si>
  <si>
    <t>ピーチ</t>
    <phoneticPr fontId="7"/>
  </si>
  <si>
    <t>初回</t>
    <rPh sb="0" eb="2">
      <t>ショカイ</t>
    </rPh>
    <phoneticPr fontId="3"/>
  </si>
  <si>
    <t>＜No.1852　綿ジャガードブラキャミ＞夢販在庫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</si>
  <si>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t>JOD色校正用サンプル</t>
    <rPh sb="3" eb="7">
      <t>イロコウセイヨウ</t>
    </rPh>
    <phoneticPr fontId="7"/>
  </si>
  <si>
    <t>パープル</t>
    <phoneticPr fontId="7"/>
  </si>
  <si>
    <t>なごみサンプル</t>
    <phoneticPr fontId="7"/>
  </si>
  <si>
    <t>キレイラインＶＩＰ①</t>
    <phoneticPr fontId="7"/>
  </si>
  <si>
    <t>キレイライン赤坂</t>
    <rPh sb="6" eb="8">
      <t>アカサカ</t>
    </rPh>
    <phoneticPr fontId="7"/>
  </si>
  <si>
    <t>キレイラインＶＩＰ6/8</t>
    <phoneticPr fontId="7"/>
  </si>
  <si>
    <t>IEI２色４枚</t>
    <rPh sb="4" eb="5">
      <t>ショク</t>
    </rPh>
    <rPh sb="6" eb="7">
      <t>マイ</t>
    </rPh>
    <phoneticPr fontId="7"/>
  </si>
  <si>
    <t>JOD②</t>
    <phoneticPr fontId="7"/>
  </si>
  <si>
    <t>JOD①</t>
    <phoneticPr fontId="7"/>
  </si>
  <si>
    <t>JOD③</t>
    <phoneticPr fontId="7"/>
  </si>
  <si>
    <t>JOD③残</t>
    <rPh sb="4" eb="5">
      <t>ザン</t>
    </rPh>
    <phoneticPr fontId="7"/>
  </si>
  <si>
    <t>JOD④</t>
    <phoneticPr fontId="7"/>
  </si>
  <si>
    <t>JOD⑤</t>
    <phoneticPr fontId="7"/>
  </si>
  <si>
    <t>JOD色校正用サンプル返却</t>
    <rPh sb="3" eb="7">
      <t>イロコウセイヨウ</t>
    </rPh>
    <rPh sb="11" eb="13">
      <t>ヘンキャク</t>
    </rPh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</si>
  <si>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</si>
  <si>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</si>
  <si>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</si>
  <si>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</si>
  <si>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</si>
  <si>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IEI交換</t>
    <rPh sb="3" eb="5">
      <t>コウカン</t>
    </rPh>
    <phoneticPr fontId="7"/>
  </si>
  <si>
    <t>JOD⑪</t>
    <phoneticPr fontId="7"/>
  </si>
  <si>
    <t>JOD返品</t>
    <rPh sb="3" eb="5">
      <t>ヘンピン</t>
    </rPh>
    <phoneticPr fontId="3"/>
  </si>
  <si>
    <t>追加（清光ネーム）</t>
    <rPh sb="0" eb="2">
      <t>ツイカ</t>
    </rPh>
    <rPh sb="3" eb="5">
      <t>セイコウ</t>
    </rPh>
    <phoneticPr fontId="3"/>
  </si>
  <si>
    <t>JOD⑫</t>
    <phoneticPr fontId="7"/>
  </si>
  <si>
    <t>JOD⑬</t>
    <phoneticPr fontId="7"/>
  </si>
  <si>
    <t>JOD⑭</t>
    <phoneticPr fontId="7"/>
  </si>
  <si>
    <t>ＩＥＩ返品</t>
    <rPh sb="3" eb="5">
      <t>ヘンピン</t>
    </rPh>
    <phoneticPr fontId="7"/>
  </si>
  <si>
    <t>JOD⑮</t>
    <phoneticPr fontId="7"/>
  </si>
  <si>
    <t>なごみ検品用サンプル</t>
    <rPh sb="3" eb="6">
      <t>ケンピンヨウ</t>
    </rPh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</si>
  <si>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</si>
  <si>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</si>
  <si>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</si>
  <si>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</si>
  <si>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</si>
  <si>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ネット</t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</si>
  <si>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</si>
  <si>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</si>
  <si>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</si>
  <si>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</si>
  <si>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なごみ②</t>
    <phoneticPr fontId="7"/>
  </si>
  <si>
    <t>なごみ①</t>
    <phoneticPr fontId="7"/>
  </si>
  <si>
    <t>JOD㉕</t>
    <phoneticPr fontId="7"/>
  </si>
  <si>
    <t>なごみ③</t>
    <phoneticPr fontId="7"/>
  </si>
  <si>
    <t>JOD㉖</t>
    <phoneticPr fontId="7"/>
  </si>
  <si>
    <t>JOD㉗</t>
    <phoneticPr fontId="7"/>
  </si>
  <si>
    <t>キレイラインVIP</t>
    <phoneticPr fontId="7"/>
  </si>
  <si>
    <t>JOD㉘</t>
    <phoneticPr fontId="7"/>
  </si>
  <si>
    <t>JOD㉙</t>
    <phoneticPr fontId="7"/>
  </si>
  <si>
    <t>JOD㉚</t>
    <phoneticPr fontId="7"/>
  </si>
  <si>
    <t>なごみ④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</si>
  <si>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</si>
  <si>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</si>
  <si>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</si>
  <si>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</si>
  <si>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</si>
  <si>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</si>
  <si>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JOD㊲</t>
    <phoneticPr fontId="7"/>
  </si>
  <si>
    <t>JOD㊳</t>
    <phoneticPr fontId="7"/>
  </si>
  <si>
    <t>JOD㊴</t>
    <phoneticPr fontId="7"/>
  </si>
  <si>
    <t>JOD㊵</t>
    <phoneticPr fontId="7"/>
  </si>
  <si>
    <t>JOD㊶</t>
    <phoneticPr fontId="7"/>
  </si>
  <si>
    <t>JOD㊷</t>
    <phoneticPr fontId="7"/>
  </si>
  <si>
    <t>IEI返品</t>
    <rPh sb="3" eb="5">
      <t>ヘンピン</t>
    </rPh>
    <phoneticPr fontId="3"/>
  </si>
  <si>
    <t>なごみ返品</t>
    <rPh sb="3" eb="5">
      <t>ヘンピン</t>
    </rPh>
    <phoneticPr fontId="3"/>
  </si>
  <si>
    <t>JOD㊸</t>
    <phoneticPr fontId="7"/>
  </si>
  <si>
    <t>キレイライン赤坂</t>
    <rPh sb="6" eb="8">
      <t>アカサカ</t>
    </rPh>
    <phoneticPr fontId="7"/>
  </si>
  <si>
    <t>JOD</t>
    <phoneticPr fontId="7"/>
  </si>
  <si>
    <t>1回目（夢販）</t>
    <rPh sb="1" eb="2">
      <t>カイ</t>
    </rPh>
    <rPh sb="2" eb="3">
      <t>メ</t>
    </rPh>
    <rPh sb="4" eb="5">
      <t>ユメ</t>
    </rPh>
    <rPh sb="5" eb="6">
      <t>ハン</t>
    </rPh>
    <phoneticPr fontId="7"/>
  </si>
  <si>
    <t>2回目（夢販）</t>
    <rPh sb="1" eb="2">
      <t>カイ</t>
    </rPh>
    <rPh sb="2" eb="3">
      <t>メ</t>
    </rPh>
    <rPh sb="4" eb="5">
      <t>ユメ</t>
    </rPh>
    <rPh sb="5" eb="6">
      <t>ハン</t>
    </rPh>
    <phoneticPr fontId="7"/>
  </si>
  <si>
    <t>3回目（夢販）</t>
    <rPh sb="1" eb="3">
      <t>カイメ</t>
    </rPh>
    <rPh sb="4" eb="5">
      <t>ユメ</t>
    </rPh>
    <rPh sb="5" eb="6">
      <t>ハン</t>
    </rPh>
    <phoneticPr fontId="7"/>
  </si>
  <si>
    <t>4回目（夢販）</t>
    <rPh sb="1" eb="3">
      <t>カイメ</t>
    </rPh>
    <rPh sb="4" eb="5">
      <t>ユメ</t>
    </rPh>
    <rPh sb="5" eb="6">
      <t>ハン</t>
    </rPh>
    <phoneticPr fontId="7"/>
  </si>
  <si>
    <t>＜No.1852　綿ジャガードブラキャミ＞清光在庫</t>
    <rPh sb="9" eb="10">
      <t>メン</t>
    </rPh>
    <rPh sb="21" eb="23">
      <t>セイコウ</t>
    </rPh>
    <rPh sb="23" eb="25">
      <t>ザイコ</t>
    </rPh>
    <phoneticPr fontId="3"/>
  </si>
  <si>
    <t>4/23～</t>
    <phoneticPr fontId="7"/>
  </si>
  <si>
    <t>JODアクセス7060</t>
    <phoneticPr fontId="7"/>
  </si>
  <si>
    <t>ネット</t>
    <phoneticPr fontId="7"/>
  </si>
  <si>
    <t>5/16～</t>
    <phoneticPr fontId="7"/>
  </si>
  <si>
    <t>JOD特別号（表4）</t>
    <rPh sb="3" eb="5">
      <t>トクベツ</t>
    </rPh>
    <rPh sb="5" eb="6">
      <t>ゴウ</t>
    </rPh>
    <rPh sb="7" eb="8">
      <t>ヒョウ</t>
    </rPh>
    <phoneticPr fontId="7"/>
  </si>
  <si>
    <t>キレイライン赤坂</t>
    <phoneticPr fontId="7"/>
  </si>
  <si>
    <t>キレイライン赤坂</t>
    <phoneticPr fontId="7"/>
  </si>
  <si>
    <t>JODアクセス7061</t>
    <phoneticPr fontId="7"/>
  </si>
  <si>
    <t>6/1～</t>
    <phoneticPr fontId="7"/>
  </si>
  <si>
    <t>5/27～</t>
    <phoneticPr fontId="7"/>
  </si>
  <si>
    <t>IEI　6月号</t>
    <rPh sb="5" eb="6">
      <t>ガツ</t>
    </rPh>
    <rPh sb="6" eb="7">
      <t>ゴウ</t>
    </rPh>
    <phoneticPr fontId="7"/>
  </si>
  <si>
    <t>JODメルシー0527</t>
    <phoneticPr fontId="7"/>
  </si>
  <si>
    <t>JODメルシー0615</t>
    <phoneticPr fontId="7"/>
  </si>
  <si>
    <t>6/15～</t>
    <phoneticPr fontId="7"/>
  </si>
  <si>
    <t>ネット</t>
    <phoneticPr fontId="7"/>
  </si>
  <si>
    <t>なごみ8月号</t>
    <rPh sb="4" eb="5">
      <t>ガツ</t>
    </rPh>
    <rPh sb="5" eb="6">
      <t>ゴウ</t>
    </rPh>
    <phoneticPr fontId="7"/>
  </si>
  <si>
    <t>なごみサンプル</t>
    <phoneticPr fontId="7"/>
  </si>
  <si>
    <t>6/25～</t>
    <phoneticPr fontId="7"/>
  </si>
  <si>
    <t>JODインナー裏6478</t>
    <rPh sb="7" eb="8">
      <t>ウラ</t>
    </rPh>
    <phoneticPr fontId="7"/>
  </si>
  <si>
    <t>追加(清光ネーム）</t>
    <rPh sb="0" eb="2">
      <t>ツイカ</t>
    </rPh>
    <rPh sb="3" eb="5">
      <t>セイコウ</t>
    </rPh>
    <phoneticPr fontId="3"/>
  </si>
  <si>
    <t>JODアクセス7062</t>
    <phoneticPr fontId="7"/>
  </si>
  <si>
    <t>7/10～</t>
    <phoneticPr fontId="7"/>
  </si>
  <si>
    <t>JOD特別号9605</t>
    <rPh sb="3" eb="5">
      <t>トクベツ</t>
    </rPh>
    <rPh sb="5" eb="6">
      <t>ゴウ</t>
    </rPh>
    <phoneticPr fontId="7"/>
  </si>
  <si>
    <t>7/12～</t>
    <phoneticPr fontId="7"/>
  </si>
  <si>
    <t>IEI　7月号</t>
    <rPh sb="5" eb="6">
      <t>ガツ</t>
    </rPh>
    <rPh sb="6" eb="7">
      <t>ゴウ</t>
    </rPh>
    <phoneticPr fontId="7"/>
  </si>
  <si>
    <t>ネット</t>
    <phoneticPr fontId="7"/>
  </si>
  <si>
    <t>JOD特別号9528</t>
    <rPh sb="3" eb="5">
      <t>トクベツ</t>
    </rPh>
    <rPh sb="5" eb="6">
      <t>ゴウ</t>
    </rPh>
    <phoneticPr fontId="7"/>
  </si>
  <si>
    <t>8/9～</t>
    <phoneticPr fontId="7"/>
  </si>
  <si>
    <t>7/16～</t>
    <phoneticPr fontId="7"/>
  </si>
  <si>
    <t>なごみ8月号②</t>
    <rPh sb="4" eb="5">
      <t>ガツ</t>
    </rPh>
    <rPh sb="5" eb="6">
      <t>ゴウ</t>
    </rPh>
    <phoneticPr fontId="7"/>
  </si>
  <si>
    <t>なごみ8月号③</t>
    <rPh sb="4" eb="5">
      <t>ガツ</t>
    </rPh>
    <rPh sb="5" eb="6">
      <t>ゴウ</t>
    </rPh>
    <phoneticPr fontId="7"/>
  </si>
  <si>
    <t>IEI交換</t>
    <rPh sb="3" eb="5">
      <t>コウカン</t>
    </rPh>
    <phoneticPr fontId="7"/>
  </si>
  <si>
    <t>ネット</t>
    <phoneticPr fontId="7"/>
  </si>
  <si>
    <t>なごみ8月号④</t>
    <rPh sb="4" eb="5">
      <t>ガツ</t>
    </rPh>
    <rPh sb="5" eb="6">
      <t>ゴウ</t>
    </rPh>
    <phoneticPr fontId="7"/>
  </si>
  <si>
    <t>2019/9/4伝数</t>
    <rPh sb="8" eb="9">
      <t>デン</t>
    </rPh>
    <rPh sb="9" eb="10">
      <t>スウ</t>
    </rPh>
    <phoneticPr fontId="7"/>
  </si>
  <si>
    <t>JODアクセス7063</t>
    <phoneticPr fontId="7"/>
  </si>
  <si>
    <t>8/16～</t>
    <phoneticPr fontId="7"/>
  </si>
  <si>
    <t>＜No.1852　綿ジャガードブラキャミ＞KPORT在庫</t>
    <rPh sb="9" eb="10">
      <t>メン</t>
    </rPh>
    <rPh sb="26" eb="28">
      <t>ザイコ</t>
    </rPh>
    <phoneticPr fontId="3"/>
  </si>
  <si>
    <t>2019/8/19数伝</t>
    <rPh sb="9" eb="10">
      <t>スウ</t>
    </rPh>
    <rPh sb="10" eb="11">
      <t>デン</t>
    </rPh>
    <phoneticPr fontId="7"/>
  </si>
  <si>
    <t>ネット</t>
    <phoneticPr fontId="7"/>
  </si>
  <si>
    <t>KPORT</t>
    <phoneticPr fontId="7"/>
  </si>
  <si>
    <t>夢販移動</t>
    <rPh sb="0" eb="2">
      <t>ユメハン</t>
    </rPh>
    <rPh sb="2" eb="4">
      <t>イドウ</t>
    </rPh>
    <phoneticPr fontId="3"/>
  </si>
  <si>
    <t>KPORT</t>
    <phoneticPr fontId="7"/>
  </si>
  <si>
    <t>丸藤（九州）sample</t>
    <rPh sb="0" eb="2">
      <t>マルフジ</t>
    </rPh>
    <rPh sb="3" eb="5">
      <t>キュウシュウ</t>
    </rPh>
    <phoneticPr fontId="7"/>
  </si>
  <si>
    <t>なごみサンプル</t>
    <phoneticPr fontId="7"/>
  </si>
  <si>
    <t>ディノスsample</t>
    <phoneticPr fontId="7"/>
  </si>
  <si>
    <t>ディノスselrct7</t>
    <phoneticPr fontId="7"/>
  </si>
  <si>
    <t>事前4/28、5/8～3/31</t>
    <rPh sb="0" eb="2">
      <t>ジゼン</t>
    </rPh>
    <phoneticPr fontId="7"/>
  </si>
  <si>
    <t>点4/7、アバウト4/14、4/16、4/20</t>
    <rPh sb="0" eb="1">
      <t>テン</t>
    </rPh>
    <phoneticPr fontId="7"/>
  </si>
  <si>
    <t>IEI2色4枚　 ４月</t>
    <rPh sb="4" eb="5">
      <t>ショク</t>
    </rPh>
    <rPh sb="6" eb="7">
      <t>マイ</t>
    </rPh>
    <rPh sb="10" eb="11">
      <t>ガツ</t>
    </rPh>
    <phoneticPr fontId="7"/>
  </si>
  <si>
    <t>4/13～</t>
    <phoneticPr fontId="7"/>
  </si>
  <si>
    <t>検査用</t>
    <rPh sb="0" eb="3">
      <t>ケンサヨウ</t>
    </rPh>
    <phoneticPr fontId="7"/>
  </si>
  <si>
    <t>ディノスselrct7①</t>
    <phoneticPr fontId="7"/>
  </si>
  <si>
    <t>追加2-1</t>
    <rPh sb="0" eb="2">
      <t>ツイカ</t>
    </rPh>
    <phoneticPr fontId="3"/>
  </si>
  <si>
    <t>追加2-2</t>
    <rPh sb="0" eb="2">
      <t>ツイカ</t>
    </rPh>
    <phoneticPr fontId="3"/>
  </si>
  <si>
    <t>KPORT2-2</t>
    <phoneticPr fontId="7"/>
  </si>
  <si>
    <t>再検査用</t>
    <rPh sb="0" eb="1">
      <t>サイ</t>
    </rPh>
    <rPh sb="1" eb="4">
      <t>ケンサヨウ</t>
    </rPh>
    <phoneticPr fontId="7"/>
  </si>
  <si>
    <t>グリーンコープ5号不透明袋</t>
    <rPh sb="8" eb="9">
      <t>ゴウ</t>
    </rPh>
    <rPh sb="9" eb="12">
      <t>フトウメイ</t>
    </rPh>
    <rPh sb="12" eb="13">
      <t>フクロ</t>
    </rPh>
    <phoneticPr fontId="7"/>
  </si>
  <si>
    <t>グリーンコープ5号不透明袋①</t>
    <rPh sb="8" eb="9">
      <t>ゴウ</t>
    </rPh>
    <rPh sb="9" eb="12">
      <t>フトウメイ</t>
    </rPh>
    <rPh sb="12" eb="13">
      <t>フクロ</t>
    </rPh>
    <phoneticPr fontId="7"/>
  </si>
  <si>
    <t>6/8～</t>
    <phoneticPr fontId="7"/>
  </si>
  <si>
    <t>IEI2色4枚　 ６月</t>
    <rPh sb="4" eb="5">
      <t>ショク</t>
    </rPh>
    <rPh sb="6" eb="7">
      <t>マイ</t>
    </rPh>
    <rPh sb="10" eb="11">
      <t>ガツ</t>
    </rPh>
    <phoneticPr fontId="7"/>
  </si>
  <si>
    <t>JODメルシー0518</t>
    <phoneticPr fontId="7"/>
  </si>
  <si>
    <t>5/18～</t>
    <phoneticPr fontId="7"/>
  </si>
  <si>
    <t>IEI2色4枚　 ４月①</t>
    <rPh sb="4" eb="5">
      <t>ショク</t>
    </rPh>
    <rPh sb="6" eb="7">
      <t>マイ</t>
    </rPh>
    <rPh sb="10" eb="11">
      <t>ガツ</t>
    </rPh>
    <phoneticPr fontId="7"/>
  </si>
  <si>
    <t>グリーンコープ5号不透明袋②</t>
    <rPh sb="8" eb="9">
      <t>ゴウ</t>
    </rPh>
    <rPh sb="9" eb="12">
      <t>フトウメイ</t>
    </rPh>
    <rPh sb="12" eb="13">
      <t>フクロ</t>
    </rPh>
    <phoneticPr fontId="7"/>
  </si>
  <si>
    <t>JODアクセス7069</t>
    <phoneticPr fontId="7"/>
  </si>
  <si>
    <t>6/13～</t>
    <phoneticPr fontId="7"/>
  </si>
  <si>
    <t>再検査用返却</t>
    <rPh sb="0" eb="1">
      <t>サイ</t>
    </rPh>
    <rPh sb="1" eb="4">
      <t>ケンサヨウ</t>
    </rPh>
    <rPh sb="4" eb="6">
      <t>ヘンキャク</t>
    </rPh>
    <phoneticPr fontId="7"/>
  </si>
  <si>
    <t>グリーンコープ5号不透明袋③</t>
    <rPh sb="8" eb="9">
      <t>ゴウ</t>
    </rPh>
    <rPh sb="9" eb="12">
      <t>フトウメイ</t>
    </rPh>
    <rPh sb="12" eb="13">
      <t>フクロ</t>
    </rPh>
    <phoneticPr fontId="7"/>
  </si>
  <si>
    <t>IEI2色4枚　 ４月②</t>
    <rPh sb="4" eb="5">
      <t>ショク</t>
    </rPh>
    <rPh sb="6" eb="7">
      <t>マイ</t>
    </rPh>
    <rPh sb="10" eb="11">
      <t>ガツ</t>
    </rPh>
    <phoneticPr fontId="7"/>
  </si>
  <si>
    <t>IEI2色4枚　 ４月③</t>
    <rPh sb="4" eb="5">
      <t>ショク</t>
    </rPh>
    <rPh sb="6" eb="7">
      <t>マイ</t>
    </rPh>
    <rPh sb="10" eb="11">
      <t>ガツ</t>
    </rPh>
    <phoneticPr fontId="7"/>
  </si>
  <si>
    <t>JODララコフレ7254</t>
    <phoneticPr fontId="7"/>
  </si>
  <si>
    <t>5/22～</t>
    <phoneticPr fontId="7"/>
  </si>
  <si>
    <t>JOD置き撮りsample</t>
    <rPh sb="3" eb="4">
      <t>オ</t>
    </rPh>
    <rPh sb="5" eb="6">
      <t>ト</t>
    </rPh>
    <phoneticPr fontId="7"/>
  </si>
  <si>
    <t>IEI2色4枚　 ４月④</t>
    <rPh sb="4" eb="5">
      <t>ショク</t>
    </rPh>
    <rPh sb="6" eb="7">
      <t>マイ</t>
    </rPh>
    <rPh sb="10" eb="11">
      <t>ガツ</t>
    </rPh>
    <phoneticPr fontId="7"/>
  </si>
  <si>
    <t>JOD特別号（表1）9556</t>
    <rPh sb="3" eb="5">
      <t>トクベツ</t>
    </rPh>
    <rPh sb="5" eb="6">
      <t>ゴウ</t>
    </rPh>
    <rPh sb="7" eb="8">
      <t>ヒョウ</t>
    </rPh>
    <phoneticPr fontId="7"/>
  </si>
  <si>
    <t>6/10～</t>
    <phoneticPr fontId="7"/>
  </si>
  <si>
    <t>JODアクセス7068</t>
    <phoneticPr fontId="7"/>
  </si>
  <si>
    <t>JODアクセス7070</t>
    <phoneticPr fontId="7"/>
  </si>
  <si>
    <t>ディノスselrct7②</t>
    <phoneticPr fontId="7"/>
  </si>
  <si>
    <t>2020/5/15数伝</t>
    <rPh sb="9" eb="10">
      <t>スウ</t>
    </rPh>
    <rPh sb="10" eb="11">
      <t>デン</t>
    </rPh>
    <phoneticPr fontId="7"/>
  </si>
  <si>
    <t>ディノスselrct7③</t>
    <phoneticPr fontId="7"/>
  </si>
  <si>
    <t>JOD誤送分</t>
    <rPh sb="3" eb="5">
      <t>ゴソウ</t>
    </rPh>
    <rPh sb="5" eb="6">
      <t>ブン</t>
    </rPh>
    <phoneticPr fontId="7"/>
  </si>
  <si>
    <t>ディノスselrct7④</t>
    <phoneticPr fontId="7"/>
  </si>
  <si>
    <t>ディノスselrct7⑤</t>
    <phoneticPr fontId="7"/>
  </si>
  <si>
    <t>8/1～9/20</t>
    <phoneticPr fontId="7"/>
  </si>
  <si>
    <t>なごみ　8月DM</t>
    <rPh sb="5" eb="6">
      <t>ガツ</t>
    </rPh>
    <phoneticPr fontId="7"/>
  </si>
  <si>
    <t>追加1-1</t>
    <rPh sb="0" eb="2">
      <t>ツイカ</t>
    </rPh>
    <phoneticPr fontId="3"/>
  </si>
  <si>
    <t>KPORT</t>
    <phoneticPr fontId="7"/>
  </si>
  <si>
    <t>なごみ　8月DM①</t>
    <rPh sb="5" eb="6">
      <t>ガツ</t>
    </rPh>
    <phoneticPr fontId="7"/>
  </si>
  <si>
    <t>なごみ8月号sample</t>
    <rPh sb="4" eb="6">
      <t>ガツゴウ</t>
    </rPh>
    <phoneticPr fontId="7"/>
  </si>
  <si>
    <t>IEI2色4枚　 ６月①</t>
    <rPh sb="4" eb="5">
      <t>ショク</t>
    </rPh>
    <rPh sb="6" eb="7">
      <t>マイ</t>
    </rPh>
    <rPh sb="10" eb="11">
      <t>ガツ</t>
    </rPh>
    <phoneticPr fontId="7"/>
  </si>
  <si>
    <t>ディノスselrct7⑥</t>
    <phoneticPr fontId="7"/>
  </si>
  <si>
    <t>ネット</t>
    <phoneticPr fontId="7"/>
  </si>
  <si>
    <t>JOD(西濃）</t>
    <rPh sb="4" eb="6">
      <t>セイノウ</t>
    </rPh>
    <phoneticPr fontId="7"/>
  </si>
  <si>
    <t>ディノスselrct7⑦</t>
    <phoneticPr fontId="7"/>
  </si>
  <si>
    <t>ディノスselrct7⑧</t>
    <phoneticPr fontId="7"/>
  </si>
  <si>
    <t>ディノスselrct7　継続</t>
    <rPh sb="12" eb="14">
      <t>ケイゾク</t>
    </rPh>
    <phoneticPr fontId="7"/>
  </si>
  <si>
    <t>7/20～4/7</t>
    <phoneticPr fontId="7"/>
  </si>
  <si>
    <t>ディノスselrct7⑨</t>
    <phoneticPr fontId="7"/>
  </si>
  <si>
    <t>IEI2色4枚　 ６月②</t>
    <rPh sb="4" eb="5">
      <t>ショク</t>
    </rPh>
    <rPh sb="6" eb="7">
      <t>マイ</t>
    </rPh>
    <rPh sb="10" eb="11">
      <t>ガツ</t>
    </rPh>
    <phoneticPr fontId="7"/>
  </si>
  <si>
    <t>ディノスselrct7⑩</t>
    <phoneticPr fontId="7"/>
  </si>
  <si>
    <t>ディノスselrct7⑪</t>
    <phoneticPr fontId="7"/>
  </si>
  <si>
    <t>ディノスselrct7⑫</t>
    <phoneticPr fontId="7"/>
  </si>
  <si>
    <t>ディノスselrct7⑬</t>
    <phoneticPr fontId="7"/>
  </si>
  <si>
    <t>ディノスselrct7⑭</t>
    <phoneticPr fontId="7"/>
  </si>
  <si>
    <t>ディノスselrct7⑮</t>
    <phoneticPr fontId="7"/>
  </si>
  <si>
    <t>ディノスselrct7⑯</t>
    <phoneticPr fontId="7"/>
  </si>
  <si>
    <t>ディノス返品</t>
    <rPh sb="4" eb="6">
      <t>ヘンピン</t>
    </rPh>
    <phoneticPr fontId="3"/>
  </si>
  <si>
    <t>ディノスselrct7⑰</t>
    <phoneticPr fontId="7"/>
  </si>
  <si>
    <t>ディノスsample返却</t>
    <rPh sb="10" eb="12">
      <t>ヘンキャク</t>
    </rPh>
    <phoneticPr fontId="7"/>
  </si>
  <si>
    <t>JODルフェリ0715</t>
    <phoneticPr fontId="7"/>
  </si>
  <si>
    <t>7/15～</t>
    <phoneticPr fontId="7"/>
  </si>
  <si>
    <t>IEI2色4枚　 ６月③</t>
    <rPh sb="4" eb="5">
      <t>ショク</t>
    </rPh>
    <rPh sb="6" eb="7">
      <t>マイ</t>
    </rPh>
    <rPh sb="10" eb="11">
      <t>ガツ</t>
    </rPh>
    <phoneticPr fontId="7"/>
  </si>
  <si>
    <t>ディノスselrct7⑱</t>
    <phoneticPr fontId="7"/>
  </si>
  <si>
    <t>JOD</t>
    <phoneticPr fontId="7"/>
  </si>
  <si>
    <t>7/1伝</t>
    <rPh sb="3" eb="4">
      <t>デン</t>
    </rPh>
    <phoneticPr fontId="7"/>
  </si>
  <si>
    <t>6/18数</t>
    <rPh sb="4" eb="5">
      <t>スウ</t>
    </rPh>
    <phoneticPr fontId="7"/>
  </si>
  <si>
    <t>ディノスselrct7⑲</t>
    <phoneticPr fontId="7"/>
  </si>
  <si>
    <t>ディノスselrct7⑳</t>
    <phoneticPr fontId="7"/>
  </si>
  <si>
    <t>KPORT1-1</t>
  </si>
  <si>
    <t>ディノスselrct7㉑</t>
    <phoneticPr fontId="7"/>
  </si>
  <si>
    <t>K-PORT</t>
    <phoneticPr fontId="7"/>
  </si>
  <si>
    <t>ディノスselrct7㉒</t>
    <phoneticPr fontId="7"/>
  </si>
  <si>
    <t>ディノスselrct7㉓</t>
    <phoneticPr fontId="7"/>
  </si>
  <si>
    <t>在庫確認</t>
    <rPh sb="0" eb="4">
      <t>ザイコカクニン</t>
    </rPh>
    <phoneticPr fontId="3"/>
  </si>
  <si>
    <t>ディノスselrct7㉔</t>
    <phoneticPr fontId="7"/>
  </si>
  <si>
    <t>KPORT</t>
    <phoneticPr fontId="7"/>
  </si>
  <si>
    <t>2020/7/1数伝</t>
    <rPh sb="8" eb="9">
      <t>スウ</t>
    </rPh>
    <rPh sb="9" eb="10">
      <t>デン</t>
    </rPh>
    <phoneticPr fontId="7"/>
  </si>
  <si>
    <t>ゆめはん</t>
    <phoneticPr fontId="7"/>
  </si>
  <si>
    <t>ディノスselrct7㉕</t>
    <phoneticPr fontId="7"/>
  </si>
  <si>
    <t>ディノスselrct7㉖</t>
    <phoneticPr fontId="7"/>
  </si>
  <si>
    <t>IEI交換</t>
    <rPh sb="3" eb="5">
      <t>コウカン</t>
    </rPh>
    <phoneticPr fontId="7"/>
  </si>
  <si>
    <t>ディノスselrct7㉗</t>
    <phoneticPr fontId="7"/>
  </si>
  <si>
    <t>ディノスselrct7㉘</t>
    <phoneticPr fontId="7"/>
  </si>
  <si>
    <t>2020/7/15数伝</t>
    <rPh sb="9" eb="10">
      <t>スウ</t>
    </rPh>
    <rPh sb="10" eb="11">
      <t>デン</t>
    </rPh>
    <phoneticPr fontId="7"/>
  </si>
  <si>
    <t>夢販</t>
    <rPh sb="0" eb="2">
      <t>ユメハン</t>
    </rPh>
    <phoneticPr fontId="3"/>
  </si>
  <si>
    <t>ディノスselrct7㉙</t>
    <phoneticPr fontId="7"/>
  </si>
  <si>
    <t>JOD</t>
  </si>
  <si>
    <t>ディノスselrct7㉚</t>
    <phoneticPr fontId="7"/>
  </si>
  <si>
    <t>なごみ　8月DM②</t>
    <rPh sb="5" eb="6">
      <t>ガツ</t>
    </rPh>
    <phoneticPr fontId="7"/>
  </si>
  <si>
    <t>なごみ　8月DM③</t>
    <rPh sb="5" eb="6">
      <t>ガツ</t>
    </rPh>
    <phoneticPr fontId="7"/>
  </si>
  <si>
    <t>なごみ　8月DM④　</t>
    <rPh sb="5" eb="6">
      <t>ガツ</t>
    </rPh>
    <phoneticPr fontId="7"/>
  </si>
  <si>
    <t>追加(代替品）</t>
    <rPh sb="0" eb="2">
      <t>ツイカ</t>
    </rPh>
    <rPh sb="3" eb="6">
      <t>ダイタイヒン</t>
    </rPh>
    <phoneticPr fontId="3"/>
  </si>
  <si>
    <t>JOD</t>
    <phoneticPr fontId="7"/>
  </si>
  <si>
    <t>JOD代替品</t>
    <rPh sb="3" eb="6">
      <t>ダイタイヒン</t>
    </rPh>
    <phoneticPr fontId="7"/>
  </si>
  <si>
    <t>JOD代替品残数</t>
    <rPh sb="3" eb="6">
      <t>ダイタイヒン</t>
    </rPh>
    <rPh sb="6" eb="8">
      <t>ザンスウ</t>
    </rPh>
    <phoneticPr fontId="7"/>
  </si>
  <si>
    <t>追加（正規品）</t>
    <rPh sb="0" eb="2">
      <t>ツイカ</t>
    </rPh>
    <rPh sb="3" eb="6">
      <t>セイキヒン</t>
    </rPh>
    <phoneticPr fontId="3"/>
  </si>
  <si>
    <t>2020/8/12数伝</t>
    <rPh sb="9" eb="10">
      <t>スウ</t>
    </rPh>
    <rPh sb="10" eb="11">
      <t>デン</t>
    </rPh>
    <phoneticPr fontId="7"/>
  </si>
  <si>
    <t>ディノスselrct7㉛</t>
    <phoneticPr fontId="7"/>
  </si>
  <si>
    <t>なごみ　8月DM⑤</t>
    <rPh sb="5" eb="6">
      <t>ガツ</t>
    </rPh>
    <phoneticPr fontId="7"/>
  </si>
  <si>
    <t>なごみ　8月DM⑥</t>
    <rPh sb="5" eb="6">
      <t>ガツ</t>
    </rPh>
    <phoneticPr fontId="7"/>
  </si>
  <si>
    <t>JOD置き撮りsample返却</t>
    <rPh sb="3" eb="4">
      <t>オ</t>
    </rPh>
    <rPh sb="5" eb="6">
      <t>ト</t>
    </rPh>
    <rPh sb="13" eb="15">
      <t>ヘンキャク</t>
    </rPh>
    <phoneticPr fontId="7"/>
  </si>
  <si>
    <t>追加案？？？？？</t>
    <rPh sb="0" eb="2">
      <t>ツイカ</t>
    </rPh>
    <rPh sb="2" eb="3">
      <t>アン</t>
    </rPh>
    <phoneticPr fontId="3"/>
  </si>
  <si>
    <t>モカ</t>
    <phoneticPr fontId="7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</si>
  <si>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</si>
  <si>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r>
      <t>＜No.1852　</t>
    </r>
    <r>
      <rPr>
        <b/>
        <sz val="22"/>
        <rFont val="ＭＳ Ｐゴシック"/>
        <family val="3"/>
        <charset val="128"/>
      </rPr>
      <t>3色組</t>
    </r>
    <r>
      <rPr>
        <b/>
        <sz val="18"/>
        <rFont val="ＭＳ Ｐゴシック"/>
        <family val="3"/>
        <charset val="128"/>
      </rPr>
      <t>　綿ジャガードブラキャミ＞KPORT在庫</t>
    </r>
    <rPh sb="10" eb="12">
      <t>ショクグミ</t>
    </rPh>
    <rPh sb="13" eb="14">
      <t>メン</t>
    </rPh>
    <rPh sb="30" eb="32">
      <t>ザイコ</t>
    </rPh>
    <phoneticPr fontId="3"/>
  </si>
  <si>
    <t>JOD</t>
    <phoneticPr fontId="7"/>
  </si>
  <si>
    <t>丸藤（九州）sample返却</t>
    <rPh sb="0" eb="2">
      <t>マルフジ</t>
    </rPh>
    <rPh sb="3" eb="5">
      <t>キュウシュウ</t>
    </rPh>
    <rPh sb="12" eb="14">
      <t>ヘンキャク</t>
    </rPh>
    <phoneticPr fontId="7"/>
  </si>
  <si>
    <t>IEI 4月号</t>
    <rPh sb="5" eb="7">
      <t>ガツゴウ</t>
    </rPh>
    <phoneticPr fontId="7"/>
  </si>
  <si>
    <t>4/12～</t>
    <phoneticPr fontId="7"/>
  </si>
  <si>
    <t>IEI色合わせ用サンプル</t>
    <rPh sb="3" eb="5">
      <t>イロア</t>
    </rPh>
    <rPh sb="7" eb="8">
      <t>ヨウ</t>
    </rPh>
    <phoneticPr fontId="7"/>
  </si>
  <si>
    <t>.</t>
    <phoneticPr fontId="7"/>
  </si>
  <si>
    <t>ディノスselect9</t>
    <phoneticPr fontId="7"/>
  </si>
  <si>
    <t>なごみ8月号DM</t>
    <rPh sb="4" eb="6">
      <t>ガツゴウ</t>
    </rPh>
    <phoneticPr fontId="7"/>
  </si>
  <si>
    <t>事前4/23、5/10～</t>
    <rPh sb="0" eb="2">
      <t>ジゼン</t>
    </rPh>
    <phoneticPr fontId="7"/>
  </si>
  <si>
    <t>JODアクセス7076</t>
    <phoneticPr fontId="7"/>
  </si>
  <si>
    <t>＜No.1852　2色組　綿ジャガードブラキャミ＞夢販在庫</t>
    <rPh sb="10" eb="12">
      <t>ショクグミ</t>
    </rPh>
    <rPh sb="13" eb="14">
      <t>メン</t>
    </rPh>
    <rPh sb="25" eb="26">
      <t>ユメ</t>
    </rPh>
    <rPh sb="26" eb="27">
      <t>ハン</t>
    </rPh>
    <rPh sb="27" eb="29">
      <t>ザイコ</t>
    </rPh>
    <phoneticPr fontId="3"/>
  </si>
  <si>
    <t>JOD特別版0416</t>
    <rPh sb="3" eb="5">
      <t>トクベツ</t>
    </rPh>
    <rPh sb="5" eb="6">
      <t>バン</t>
    </rPh>
    <phoneticPr fontId="7"/>
  </si>
  <si>
    <t>4/16～</t>
    <phoneticPr fontId="7"/>
  </si>
  <si>
    <t>IEI 6月号</t>
    <rPh sb="5" eb="7">
      <t>ガツゴウ</t>
    </rPh>
    <phoneticPr fontId="7"/>
  </si>
  <si>
    <t>6/7～</t>
    <phoneticPr fontId="7"/>
  </si>
  <si>
    <t>JODメルシー0506</t>
    <phoneticPr fontId="7"/>
  </si>
  <si>
    <t>5/6～</t>
    <phoneticPr fontId="7"/>
  </si>
  <si>
    <t>でんわ注文</t>
    <rPh sb="3" eb="5">
      <t>チュウモン</t>
    </rPh>
    <phoneticPr fontId="7"/>
  </si>
  <si>
    <t>IEI 4月号①</t>
    <rPh sb="5" eb="7">
      <t>ガツゴウ</t>
    </rPh>
    <phoneticPr fontId="7"/>
  </si>
  <si>
    <t>2021/4/9伝数</t>
    <rPh sb="8" eb="9">
      <t>デン</t>
    </rPh>
    <rPh sb="9" eb="10">
      <t>スウ</t>
    </rPh>
    <phoneticPr fontId="7"/>
  </si>
  <si>
    <t>追加3-1</t>
    <rPh sb="0" eb="2">
      <t>ツイカ</t>
    </rPh>
    <phoneticPr fontId="3"/>
  </si>
  <si>
    <t>追加3-2</t>
    <rPh sb="0" eb="2">
      <t>ツイカ</t>
    </rPh>
    <phoneticPr fontId="3"/>
  </si>
  <si>
    <t>JOD特別版0520</t>
    <rPh sb="3" eb="6">
      <t>トクベツバン</t>
    </rPh>
    <phoneticPr fontId="7"/>
  </si>
  <si>
    <t>5/19～</t>
    <phoneticPr fontId="7"/>
  </si>
  <si>
    <t>IEI 4月号②</t>
    <rPh sb="5" eb="7">
      <t>ガツゴウ</t>
    </rPh>
    <phoneticPr fontId="7"/>
  </si>
  <si>
    <t>IEI 4月号③</t>
    <rPh sb="5" eb="7">
      <t>ガツゴウ</t>
    </rPh>
    <phoneticPr fontId="7"/>
  </si>
  <si>
    <t>JOD特別号9633</t>
    <rPh sb="3" eb="5">
      <t>トクベツ</t>
    </rPh>
    <rPh sb="5" eb="6">
      <t>ゴウ</t>
    </rPh>
    <phoneticPr fontId="7"/>
  </si>
  <si>
    <t>6/11～</t>
    <phoneticPr fontId="7"/>
  </si>
  <si>
    <t>JOD②</t>
    <phoneticPr fontId="7"/>
  </si>
  <si>
    <t>JODメルシー0605（裏表紙）</t>
    <rPh sb="12" eb="13">
      <t>ウラ</t>
    </rPh>
    <rPh sb="13" eb="15">
      <t>ヒョウシ</t>
    </rPh>
    <phoneticPr fontId="7"/>
  </si>
  <si>
    <t>6/5～</t>
    <phoneticPr fontId="7"/>
  </si>
  <si>
    <t>JOD③</t>
    <phoneticPr fontId="7"/>
  </si>
  <si>
    <t>JOD①誤送</t>
    <rPh sb="4" eb="6">
      <t>ゴソウ</t>
    </rPh>
    <phoneticPr fontId="7"/>
  </si>
  <si>
    <t>JOD④</t>
    <phoneticPr fontId="7"/>
  </si>
  <si>
    <t>JOD⑤</t>
    <phoneticPr fontId="7"/>
  </si>
  <si>
    <t>IEI返品（3P）</t>
    <rPh sb="3" eb="5">
      <t>ヘンピン</t>
    </rPh>
    <phoneticPr fontId="3"/>
  </si>
  <si>
    <t>JOD⑥</t>
    <phoneticPr fontId="7"/>
  </si>
  <si>
    <t>JOD⑦</t>
    <phoneticPr fontId="7"/>
  </si>
  <si>
    <t>ディノスselect9①</t>
    <phoneticPr fontId="7"/>
  </si>
  <si>
    <t>JOD⑧</t>
    <phoneticPr fontId="7"/>
  </si>
  <si>
    <t>KPORT(3P)</t>
    <phoneticPr fontId="7"/>
  </si>
  <si>
    <t>JOD⑨</t>
    <phoneticPr fontId="7"/>
  </si>
  <si>
    <t>JOD⑩</t>
    <phoneticPr fontId="7"/>
  </si>
  <si>
    <t>IEI 4月号④</t>
    <rPh sb="5" eb="7">
      <t>ガツゴウ</t>
    </rPh>
    <phoneticPr fontId="7"/>
  </si>
  <si>
    <t>JOD⑪</t>
    <phoneticPr fontId="7"/>
  </si>
  <si>
    <t>JOD⑫</t>
    <phoneticPr fontId="7"/>
  </si>
  <si>
    <t>IEI 7月号</t>
    <rPh sb="5" eb="7">
      <t>ガツゴウ</t>
    </rPh>
    <phoneticPr fontId="7"/>
  </si>
  <si>
    <t>JOD⑬</t>
    <phoneticPr fontId="7"/>
  </si>
  <si>
    <t>JODアクセス7078</t>
    <phoneticPr fontId="7"/>
  </si>
  <si>
    <t>7/13～</t>
    <phoneticPr fontId="7"/>
  </si>
  <si>
    <t>夢販</t>
    <rPh sb="0" eb="2">
      <t>ユメハン</t>
    </rPh>
    <phoneticPr fontId="7"/>
  </si>
  <si>
    <t>JOD⑭</t>
    <phoneticPr fontId="7"/>
  </si>
  <si>
    <t>ディノスselect9③</t>
    <phoneticPr fontId="7"/>
  </si>
  <si>
    <t>ディノスselect9②</t>
    <phoneticPr fontId="7"/>
  </si>
  <si>
    <t>ディノスselect9④</t>
    <phoneticPr fontId="7"/>
  </si>
  <si>
    <t>JOD⑮（西濃）</t>
    <rPh sb="5" eb="7">
      <t>セイノウ</t>
    </rPh>
    <phoneticPr fontId="7"/>
  </si>
  <si>
    <t>JOD⑮</t>
    <phoneticPr fontId="7"/>
  </si>
  <si>
    <t>JOD⑯</t>
    <phoneticPr fontId="7"/>
  </si>
  <si>
    <t>JOD⑰</t>
    <phoneticPr fontId="7"/>
  </si>
  <si>
    <t>ディノスselect9⑤</t>
    <phoneticPr fontId="7"/>
  </si>
  <si>
    <t>IEI返品（3色）</t>
    <rPh sb="3" eb="5">
      <t>ヘンピン</t>
    </rPh>
    <rPh sb="7" eb="8">
      <t>ショク</t>
    </rPh>
    <phoneticPr fontId="3"/>
  </si>
  <si>
    <t>JOD⑱</t>
    <phoneticPr fontId="7"/>
  </si>
  <si>
    <t>なごみ8月提案sample</t>
    <rPh sb="4" eb="5">
      <t>ガツ</t>
    </rPh>
    <rPh sb="5" eb="7">
      <t>テイアン</t>
    </rPh>
    <phoneticPr fontId="7"/>
  </si>
  <si>
    <t>JOD⑲</t>
    <phoneticPr fontId="7"/>
  </si>
  <si>
    <t>8/1～9/30</t>
    <phoneticPr fontId="7"/>
  </si>
  <si>
    <t>なごみ8月号DM①</t>
    <rPh sb="4" eb="6">
      <t>ガツゴウ</t>
    </rPh>
    <phoneticPr fontId="7"/>
  </si>
  <si>
    <t>なごみ8月検品用sample</t>
    <rPh sb="4" eb="5">
      <t>ガツ</t>
    </rPh>
    <rPh sb="5" eb="8">
      <t>ケンピンヨウ</t>
    </rPh>
    <phoneticPr fontId="7"/>
  </si>
  <si>
    <t>JOD⑳</t>
    <phoneticPr fontId="7"/>
  </si>
  <si>
    <t>ディノスselect9⑥</t>
    <phoneticPr fontId="7"/>
  </si>
  <si>
    <t>JOD㉑</t>
    <phoneticPr fontId="7"/>
  </si>
  <si>
    <t>JODメルシー0624</t>
    <phoneticPr fontId="7"/>
  </si>
  <si>
    <t>6/24～</t>
    <phoneticPr fontId="7"/>
  </si>
  <si>
    <t>JOD㉒</t>
    <phoneticPr fontId="7"/>
  </si>
  <si>
    <t>JOD㉓</t>
    <phoneticPr fontId="7"/>
  </si>
  <si>
    <t>KPORT</t>
    <phoneticPr fontId="7"/>
  </si>
  <si>
    <t>KPORT</t>
    <phoneticPr fontId="3"/>
  </si>
  <si>
    <t>JOD㉔</t>
    <phoneticPr fontId="7"/>
  </si>
  <si>
    <t>JOD㉕</t>
    <phoneticPr fontId="7"/>
  </si>
  <si>
    <t>JOD㉖</t>
    <phoneticPr fontId="7"/>
  </si>
  <si>
    <t>ディノスselect9C秋冬（継続）</t>
    <rPh sb="12" eb="14">
      <t>アキフユ</t>
    </rPh>
    <rPh sb="15" eb="17">
      <t>ケイゾク</t>
    </rPh>
    <phoneticPr fontId="7"/>
  </si>
  <si>
    <t>8月中旬</t>
    <rPh sb="1" eb="2">
      <t>ガツ</t>
    </rPh>
    <rPh sb="2" eb="4">
      <t>チュウジュン</t>
    </rPh>
    <phoneticPr fontId="7"/>
  </si>
  <si>
    <t>JOD㉗</t>
    <phoneticPr fontId="7"/>
  </si>
  <si>
    <t>JOD㉘</t>
    <phoneticPr fontId="7"/>
  </si>
  <si>
    <t>JOD㉙</t>
    <phoneticPr fontId="7"/>
  </si>
  <si>
    <t>ディノスselect9⑦</t>
    <phoneticPr fontId="7"/>
  </si>
  <si>
    <t>JOD㉚</t>
    <phoneticPr fontId="7"/>
  </si>
  <si>
    <t>JOD㉛</t>
    <phoneticPr fontId="7"/>
  </si>
  <si>
    <t>JOD㉜</t>
    <phoneticPr fontId="7"/>
  </si>
  <si>
    <t>2021/6/11数伝</t>
    <rPh sb="9" eb="10">
      <t>スウ</t>
    </rPh>
    <rPh sb="10" eb="11">
      <t>デン</t>
    </rPh>
    <phoneticPr fontId="7"/>
  </si>
  <si>
    <t>JOD㉝</t>
    <phoneticPr fontId="7"/>
  </si>
  <si>
    <t>2021/5/7伝数</t>
    <rPh sb="8" eb="10">
      <t>デンスウ</t>
    </rPh>
    <phoneticPr fontId="7"/>
  </si>
  <si>
    <t>JOD㉞（西濃）</t>
    <rPh sb="5" eb="7">
      <t>セイノウ</t>
    </rPh>
    <phoneticPr fontId="7"/>
  </si>
  <si>
    <t>JOD㉞</t>
    <phoneticPr fontId="7"/>
  </si>
  <si>
    <t>ディノスselect9⑧</t>
    <phoneticPr fontId="7"/>
  </si>
  <si>
    <t>IEI 6月号①</t>
    <rPh sb="5" eb="7">
      <t>ガツゴウ</t>
    </rPh>
    <phoneticPr fontId="7"/>
  </si>
  <si>
    <t>JOD㉟</t>
    <phoneticPr fontId="7"/>
  </si>
  <si>
    <t>ディノスselect9⑨</t>
    <phoneticPr fontId="7"/>
  </si>
  <si>
    <t>JOD㊱</t>
    <phoneticPr fontId="7"/>
  </si>
  <si>
    <t>追加3-3</t>
    <rPh sb="0" eb="2">
      <t>ツイカ</t>
    </rPh>
    <phoneticPr fontId="3"/>
  </si>
  <si>
    <t>K-PORT</t>
    <phoneticPr fontId="7"/>
  </si>
  <si>
    <t>JOD㊲</t>
    <phoneticPr fontId="7"/>
  </si>
  <si>
    <t>JOD㊳</t>
    <phoneticPr fontId="7"/>
  </si>
  <si>
    <t>JODメルシー0726</t>
    <phoneticPr fontId="7"/>
  </si>
  <si>
    <t>7/26～</t>
    <phoneticPr fontId="7"/>
  </si>
  <si>
    <t>JOD㊴</t>
    <phoneticPr fontId="7"/>
  </si>
  <si>
    <t>ディノスselect9⑩</t>
    <phoneticPr fontId="7"/>
  </si>
  <si>
    <t>JOD㊶</t>
    <phoneticPr fontId="7"/>
  </si>
  <si>
    <t>JOD㊷</t>
    <phoneticPr fontId="7"/>
  </si>
  <si>
    <t>JODアクセス7079</t>
    <phoneticPr fontId="7"/>
  </si>
  <si>
    <t>8/17～</t>
    <phoneticPr fontId="7"/>
  </si>
  <si>
    <t>JOD㊸</t>
    <phoneticPr fontId="7"/>
  </si>
  <si>
    <t>JOD㊹</t>
    <phoneticPr fontId="7"/>
  </si>
  <si>
    <t>JOD㊺</t>
    <phoneticPr fontId="7"/>
  </si>
  <si>
    <t>JOD㊻</t>
    <phoneticPr fontId="7"/>
  </si>
  <si>
    <t>2021/7/1数伝</t>
    <rPh sb="8" eb="9">
      <t>スウ</t>
    </rPh>
    <rPh sb="9" eb="10">
      <t>デン</t>
    </rPh>
    <phoneticPr fontId="7"/>
  </si>
  <si>
    <t>IEI 7月号①</t>
    <rPh sb="5" eb="7">
      <t>ガツゴウ</t>
    </rPh>
    <phoneticPr fontId="7"/>
  </si>
  <si>
    <t>JOD㊼</t>
    <phoneticPr fontId="7"/>
  </si>
  <si>
    <t>JOD㊼(西濃）</t>
    <rPh sb="5" eb="7">
      <t>セイノウ</t>
    </rPh>
    <phoneticPr fontId="7"/>
  </si>
  <si>
    <t>ディノスselect9⑪</t>
    <phoneticPr fontId="7"/>
  </si>
  <si>
    <t>JOD㊽</t>
    <phoneticPr fontId="7"/>
  </si>
  <si>
    <t>ディノスselect9⑫</t>
    <phoneticPr fontId="7"/>
  </si>
  <si>
    <t>JOD㊾</t>
    <phoneticPr fontId="7"/>
  </si>
  <si>
    <t>ディノスselect9⑬</t>
    <phoneticPr fontId="7"/>
  </si>
  <si>
    <t>JOD50</t>
    <phoneticPr fontId="7"/>
  </si>
  <si>
    <t>追加3-4</t>
    <rPh sb="0" eb="2">
      <t>ツイカ</t>
    </rPh>
    <phoneticPr fontId="3"/>
  </si>
  <si>
    <t>追加3-5</t>
    <rPh sb="0" eb="2">
      <t>ツイカ</t>
    </rPh>
    <phoneticPr fontId="3"/>
  </si>
  <si>
    <t>JOD51</t>
  </si>
  <si>
    <t>JOD52</t>
  </si>
  <si>
    <t>JOD53</t>
  </si>
  <si>
    <t>ディノスselect9⑭</t>
    <phoneticPr fontId="7"/>
  </si>
  <si>
    <t>JOD54</t>
    <phoneticPr fontId="7"/>
  </si>
  <si>
    <t>ディノスselect9⑮</t>
    <phoneticPr fontId="7"/>
  </si>
  <si>
    <t>JOD55</t>
    <phoneticPr fontId="7"/>
  </si>
  <si>
    <t>JOD56</t>
  </si>
  <si>
    <t>JOD57</t>
    <phoneticPr fontId="7"/>
  </si>
  <si>
    <t>JOD58(西濃）</t>
    <rPh sb="6" eb="8">
      <t>セイノウ</t>
    </rPh>
    <phoneticPr fontId="7"/>
  </si>
  <si>
    <t>JOD58</t>
    <phoneticPr fontId="7"/>
  </si>
  <si>
    <t>JOD59</t>
    <phoneticPr fontId="7"/>
  </si>
  <si>
    <t>JOD60</t>
  </si>
  <si>
    <t>IEI 7月号②</t>
    <rPh sb="5" eb="7">
      <t>ガツゴウ</t>
    </rPh>
    <phoneticPr fontId="7"/>
  </si>
  <si>
    <t>JOD61</t>
  </si>
  <si>
    <t>JOD62</t>
  </si>
  <si>
    <t>IEI 7月号③</t>
    <rPh sb="5" eb="7">
      <t>ガツゴウ</t>
    </rPh>
    <phoneticPr fontId="7"/>
  </si>
  <si>
    <t>はぴねす3色組</t>
    <rPh sb="5" eb="7">
      <t>ショクグミ</t>
    </rPh>
    <phoneticPr fontId="3"/>
  </si>
  <si>
    <t>JOD63</t>
  </si>
  <si>
    <t>JOD64</t>
  </si>
  <si>
    <t>JOD65</t>
  </si>
  <si>
    <t>K-PORT（3色）</t>
    <rPh sb="8" eb="9">
      <t>ショク</t>
    </rPh>
    <phoneticPr fontId="7"/>
  </si>
  <si>
    <t>JOD66</t>
  </si>
  <si>
    <t>2021/8/2伝数</t>
    <rPh sb="8" eb="9">
      <t>デン</t>
    </rPh>
    <rPh sb="9" eb="10">
      <t>スウ</t>
    </rPh>
    <phoneticPr fontId="7"/>
  </si>
  <si>
    <t>JOD67</t>
  </si>
  <si>
    <t>ディノスselect9⑯</t>
    <phoneticPr fontId="7"/>
  </si>
  <si>
    <t>JOD68</t>
    <phoneticPr fontId="7"/>
  </si>
  <si>
    <t>JOD69</t>
  </si>
  <si>
    <t>JOD70</t>
  </si>
  <si>
    <t>JOD71</t>
  </si>
  <si>
    <t>なごみ8月号DM②</t>
    <rPh sb="4" eb="6">
      <t>ガツゴウ</t>
    </rPh>
    <phoneticPr fontId="7"/>
  </si>
  <si>
    <t>JOD72</t>
    <phoneticPr fontId="7"/>
  </si>
  <si>
    <t>なごみ8月号DM③</t>
    <rPh sb="4" eb="6">
      <t>ガツゴウ</t>
    </rPh>
    <phoneticPr fontId="7"/>
  </si>
  <si>
    <t>JOD73</t>
    <phoneticPr fontId="7"/>
  </si>
  <si>
    <t>IEI 7月号④</t>
    <rPh sb="5" eb="7">
      <t>ガツゴウ</t>
    </rPh>
    <phoneticPr fontId="7"/>
  </si>
  <si>
    <t>3P移行</t>
    <rPh sb="2" eb="4">
      <t>イコウ</t>
    </rPh>
    <phoneticPr fontId="7"/>
  </si>
  <si>
    <t>JOD74(西濃）</t>
    <rPh sb="6" eb="8">
      <t>セイノウ</t>
    </rPh>
    <phoneticPr fontId="7"/>
  </si>
  <si>
    <t>JOD74</t>
    <phoneticPr fontId="7"/>
  </si>
  <si>
    <t>JOD75</t>
    <phoneticPr fontId="7"/>
  </si>
  <si>
    <t>JOD76</t>
  </si>
  <si>
    <t>JOD76(西濃）</t>
    <rPh sb="6" eb="8">
      <t>セイノウ</t>
    </rPh>
    <phoneticPr fontId="7"/>
  </si>
  <si>
    <t>IEI3色返品</t>
    <rPh sb="4" eb="5">
      <t>ショク</t>
    </rPh>
    <rPh sb="5" eb="7">
      <t>ヘンピン</t>
    </rPh>
    <phoneticPr fontId="3"/>
  </si>
  <si>
    <t>K-PORT</t>
    <phoneticPr fontId="7"/>
  </si>
  <si>
    <t>K-PORT（3色)</t>
    <rPh sb="8" eb="9">
      <t>ショク</t>
    </rPh>
    <phoneticPr fontId="7"/>
  </si>
  <si>
    <t>JOD77</t>
    <phoneticPr fontId="7"/>
  </si>
  <si>
    <t>JOD78</t>
  </si>
  <si>
    <t>JOD79</t>
  </si>
  <si>
    <t>JOD80</t>
    <phoneticPr fontId="7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</si>
  <si>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綿ジャガードブラキャミ＞KPORT在庫2p\3980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</si>
  <si>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t>＜No.1852　綿ジャガードブラキャミ＞夢販在庫2P\3980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</si>
  <si>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t>8/28(伝9/1）</t>
    <rPh sb="5" eb="6">
      <t>デン</t>
    </rPh>
    <phoneticPr fontId="7"/>
  </si>
  <si>
    <t>JOD81</t>
  </si>
  <si>
    <t>なごみ8月号DM④</t>
    <rPh sb="4" eb="6">
      <t>ガツゴウ</t>
    </rPh>
    <phoneticPr fontId="7"/>
  </si>
  <si>
    <t>IEI交換</t>
    <rPh sb="3" eb="5">
      <t>コウカン</t>
    </rPh>
    <phoneticPr fontId="7"/>
  </si>
  <si>
    <t>追加3色</t>
    <rPh sb="0" eb="2">
      <t>ツイカ</t>
    </rPh>
    <rPh sb="3" eb="4">
      <t>ショク</t>
    </rPh>
    <phoneticPr fontId="3"/>
  </si>
  <si>
    <t>JOD82</t>
    <phoneticPr fontId="7"/>
  </si>
  <si>
    <t>夢販</t>
    <rPh sb="0" eb="2">
      <t>ユメハン</t>
    </rPh>
    <phoneticPr fontId="7"/>
  </si>
  <si>
    <t>JOD83</t>
  </si>
  <si>
    <t>JOD84</t>
  </si>
  <si>
    <t>JOD85</t>
  </si>
  <si>
    <t>JOD86(西濃）</t>
    <rPh sb="6" eb="8">
      <t>セイノウ</t>
    </rPh>
    <phoneticPr fontId="7"/>
  </si>
  <si>
    <t>JOD86</t>
  </si>
  <si>
    <t>JOD87</t>
  </si>
  <si>
    <t>JOD88</t>
  </si>
  <si>
    <t>タクト</t>
    <phoneticPr fontId="7"/>
  </si>
  <si>
    <t>JOD89</t>
  </si>
  <si>
    <t>JOD90</t>
  </si>
  <si>
    <t>IEI 7月号⑤</t>
    <rPh sb="5" eb="7">
      <t>ガツゴウ</t>
    </rPh>
    <phoneticPr fontId="7"/>
  </si>
  <si>
    <t>IEI 7月号⑥</t>
    <rPh sb="5" eb="7">
      <t>ガツゴウ</t>
    </rPh>
    <phoneticPr fontId="7"/>
  </si>
  <si>
    <t>3P移行</t>
    <rPh sb="2" eb="4">
      <t>イコウ</t>
    </rPh>
    <phoneticPr fontId="7"/>
  </si>
  <si>
    <t>追加移行分含む</t>
    <rPh sb="0" eb="2">
      <t>ツイカ</t>
    </rPh>
    <rPh sb="2" eb="4">
      <t>イコウ</t>
    </rPh>
    <rPh sb="4" eb="5">
      <t>ブン</t>
    </rPh>
    <rPh sb="5" eb="6">
      <t>フク</t>
    </rPh>
    <phoneticPr fontId="3"/>
  </si>
  <si>
    <t>夢販</t>
    <rPh sb="0" eb="2">
      <t>ユメハン</t>
    </rPh>
    <phoneticPr fontId="7"/>
  </si>
  <si>
    <t>なごみ8月号DM⑤</t>
    <rPh sb="4" eb="6">
      <t>ガツゴウ</t>
    </rPh>
    <phoneticPr fontId="7"/>
  </si>
  <si>
    <t>IEI交換3p</t>
    <rPh sb="3" eb="5">
      <t>コウカン</t>
    </rPh>
    <phoneticPr fontId="7"/>
  </si>
  <si>
    <t>IEI交換3pKKOPRT</t>
    <rPh sb="3" eb="5">
      <t>コウカン</t>
    </rPh>
    <phoneticPr fontId="7"/>
  </si>
  <si>
    <t>ゆめはんより移動</t>
    <rPh sb="6" eb="8">
      <t>イドウ</t>
    </rPh>
    <phoneticPr fontId="3"/>
  </si>
  <si>
    <t>JOD91</t>
    <phoneticPr fontId="7"/>
  </si>
  <si>
    <t>JOD92</t>
  </si>
  <si>
    <t>JOD93</t>
  </si>
  <si>
    <t>JOD94</t>
  </si>
  <si>
    <t>JOD95</t>
  </si>
  <si>
    <t>JOD96</t>
  </si>
  <si>
    <t>JOD97</t>
    <phoneticPr fontId="7"/>
  </si>
  <si>
    <t>JOD98</t>
  </si>
  <si>
    <t>JOD99</t>
  </si>
  <si>
    <t>JOD100</t>
  </si>
  <si>
    <t>JOD101</t>
    <phoneticPr fontId="7"/>
  </si>
  <si>
    <t>JOD102</t>
    <phoneticPr fontId="7"/>
  </si>
  <si>
    <t>JOD103</t>
  </si>
  <si>
    <t>JOD104</t>
  </si>
  <si>
    <t>JOD106</t>
    <phoneticPr fontId="7"/>
  </si>
  <si>
    <t>丸藤返品</t>
    <rPh sb="0" eb="2">
      <t>マルフジ</t>
    </rPh>
    <rPh sb="2" eb="4">
      <t>ヘンピン</t>
    </rPh>
    <phoneticPr fontId="3"/>
  </si>
  <si>
    <t>IEI返品（3P)</t>
    <rPh sb="3" eb="5">
      <t>ヘンピン</t>
    </rPh>
    <phoneticPr fontId="3"/>
  </si>
  <si>
    <t>K-PORT</t>
    <phoneticPr fontId="7"/>
  </si>
  <si>
    <t>K-PORT（3色)</t>
    <phoneticPr fontId="7"/>
  </si>
  <si>
    <t>夢販</t>
    <rPh sb="0" eb="2">
      <t>ユメハン</t>
    </rPh>
    <phoneticPr fontId="7"/>
  </si>
  <si>
    <t>再生</t>
    <rPh sb="0" eb="2">
      <t>サイセイ</t>
    </rPh>
    <phoneticPr fontId="3"/>
  </si>
  <si>
    <t>再生（3P)</t>
    <rPh sb="0" eb="2">
      <t>サイセイ</t>
    </rPh>
    <phoneticPr fontId="3"/>
  </si>
  <si>
    <t>JOD107</t>
  </si>
  <si>
    <t>JOD108</t>
    <phoneticPr fontId="7"/>
  </si>
  <si>
    <t>JOD109</t>
  </si>
  <si>
    <t>JOD110</t>
    <phoneticPr fontId="7"/>
  </si>
  <si>
    <t>JOD111</t>
    <phoneticPr fontId="7"/>
  </si>
  <si>
    <t>はぴねすくらぶsample</t>
    <phoneticPr fontId="7"/>
  </si>
  <si>
    <t>4/11～</t>
    <phoneticPr fontId="7"/>
  </si>
  <si>
    <t>全国通販sample</t>
    <rPh sb="0" eb="4">
      <t>ゼンコクツウハン</t>
    </rPh>
    <phoneticPr fontId="7"/>
  </si>
  <si>
    <t>JOD111</t>
  </si>
  <si>
    <t>丸藤(パル)sample</t>
    <rPh sb="0" eb="2">
      <t>マルフジ</t>
    </rPh>
    <phoneticPr fontId="7"/>
  </si>
  <si>
    <t>ディノス⑰</t>
    <phoneticPr fontId="7"/>
  </si>
  <si>
    <t>追加IEI分</t>
    <rPh sb="0" eb="2">
      <t>ツイカ</t>
    </rPh>
    <rPh sb="5" eb="6">
      <t>ブン</t>
    </rPh>
    <phoneticPr fontId="3"/>
  </si>
  <si>
    <t>追加　IEI分</t>
    <rPh sb="0" eb="2">
      <t>ツイカ</t>
    </rPh>
    <rPh sb="6" eb="7">
      <t>ブン</t>
    </rPh>
    <phoneticPr fontId="3"/>
  </si>
  <si>
    <t>4/5～</t>
    <phoneticPr fontId="7"/>
  </si>
  <si>
    <t>全国通販sample返却</t>
    <rPh sb="0" eb="4">
      <t>ゼンコクツウハン</t>
    </rPh>
    <rPh sb="10" eb="12">
      <t>ヘンキャク</t>
    </rPh>
    <phoneticPr fontId="7"/>
  </si>
  <si>
    <t>フジプラス色校正用</t>
    <rPh sb="5" eb="9">
      <t>イロコウセイヨウ</t>
    </rPh>
    <phoneticPr fontId="7"/>
  </si>
  <si>
    <t>JOD特別版0507</t>
    <rPh sb="3" eb="6">
      <t>トクベツバン</t>
    </rPh>
    <phoneticPr fontId="7"/>
  </si>
  <si>
    <t>6/20～</t>
    <phoneticPr fontId="7"/>
  </si>
  <si>
    <t>千趣会CRAS　７月号掲載</t>
    <rPh sb="0" eb="3">
      <t>センシュカイ</t>
    </rPh>
    <rPh sb="9" eb="10">
      <t>ガツ</t>
    </rPh>
    <rPh sb="10" eb="11">
      <t>ゴウ</t>
    </rPh>
    <rPh sb="11" eb="13">
      <t>ケイサイ</t>
    </rPh>
    <phoneticPr fontId="7"/>
  </si>
  <si>
    <t>IEI4月号\5940</t>
    <rPh sb="4" eb="6">
      <t>ガツゴウ</t>
    </rPh>
    <phoneticPr fontId="7"/>
  </si>
  <si>
    <t>IEI5月号\5940</t>
    <rPh sb="4" eb="6">
      <t>ガツゴウ</t>
    </rPh>
    <phoneticPr fontId="7"/>
  </si>
  <si>
    <t>IEI4月号\5940①</t>
    <rPh sb="4" eb="6">
      <t>ガツゴウ</t>
    </rPh>
    <phoneticPr fontId="7"/>
  </si>
  <si>
    <t>4/5数伝</t>
    <rPh sb="3" eb="4">
      <t>スウ</t>
    </rPh>
    <rPh sb="4" eb="5">
      <t>デン</t>
    </rPh>
    <phoneticPr fontId="7"/>
  </si>
  <si>
    <t>JODアクセス7085</t>
    <phoneticPr fontId="7"/>
  </si>
  <si>
    <t>JODメルシー0526</t>
    <phoneticPr fontId="7"/>
  </si>
  <si>
    <t>5/26～</t>
    <phoneticPr fontId="7"/>
  </si>
  <si>
    <t>はぴねすくらぶsample返却</t>
    <rPh sb="13" eb="15">
      <t>ヘンキャク</t>
    </rPh>
    <phoneticPr fontId="7"/>
  </si>
  <si>
    <t>JOD色合せ用sample</t>
    <rPh sb="3" eb="5">
      <t>イロアワ</t>
    </rPh>
    <rPh sb="6" eb="7">
      <t>ヨウ</t>
    </rPh>
    <phoneticPr fontId="7"/>
  </si>
  <si>
    <t>JOD表4ララコフレ7264</t>
    <rPh sb="3" eb="4">
      <t>ヒョウ</t>
    </rPh>
    <phoneticPr fontId="7"/>
  </si>
  <si>
    <t>IEI4月号\5940②</t>
    <rPh sb="4" eb="6">
      <t>ガツゴウ</t>
    </rPh>
    <phoneticPr fontId="7"/>
  </si>
  <si>
    <t>全国通販撮影sample</t>
    <rPh sb="0" eb="4">
      <t>ゼンコクツウハン</t>
    </rPh>
    <rPh sb="4" eb="6">
      <t>サツエイ</t>
    </rPh>
    <phoneticPr fontId="7"/>
  </si>
  <si>
    <t>フジプラス色校正用返却</t>
    <rPh sb="5" eb="9">
      <t>イロコウセイヨウ</t>
    </rPh>
    <rPh sb="9" eb="11">
      <t>ヘンキャク</t>
    </rPh>
    <phoneticPr fontId="7"/>
  </si>
  <si>
    <t>IEI4月号\5940③</t>
    <rPh sb="4" eb="6">
      <t>ガツゴウ</t>
    </rPh>
    <phoneticPr fontId="7"/>
  </si>
  <si>
    <t>JOD特別号9533</t>
    <rPh sb="3" eb="6">
      <t>トクベツゴウ</t>
    </rPh>
    <phoneticPr fontId="7"/>
  </si>
  <si>
    <t>JOD①</t>
    <phoneticPr fontId="7"/>
  </si>
  <si>
    <t>ジェス撮影用sample</t>
    <rPh sb="3" eb="6">
      <t>サツエイヨウ</t>
    </rPh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</si>
  <si>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</si>
  <si>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</si>
  <si>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</si>
  <si>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</si>
  <si>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JOD⑥(西濃）</t>
    <rPh sb="5" eb="7">
      <t>セイノウ</t>
    </rPh>
    <phoneticPr fontId="7"/>
  </si>
  <si>
    <t>JOD⑥</t>
    <phoneticPr fontId="7"/>
  </si>
  <si>
    <t>JOD⑦</t>
    <phoneticPr fontId="7"/>
  </si>
  <si>
    <t>JODアクセス7086</t>
    <phoneticPr fontId="7"/>
  </si>
  <si>
    <t>全国通販ことせ7月2152</t>
    <rPh sb="0" eb="4">
      <t>ゼンコクツウハン</t>
    </rPh>
    <rPh sb="8" eb="9">
      <t>ガツ</t>
    </rPh>
    <phoneticPr fontId="7"/>
  </si>
  <si>
    <t>7/2～9/30</t>
    <phoneticPr fontId="7"/>
  </si>
  <si>
    <t>JODメルシー0625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</si>
  <si>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</si>
  <si>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</si>
  <si>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</si>
  <si>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</si>
  <si>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JOD⑫</t>
    <phoneticPr fontId="7"/>
  </si>
  <si>
    <t>全国通販検品sample</t>
    <rPh sb="0" eb="4">
      <t>ゼンコクツウハン</t>
    </rPh>
    <rPh sb="4" eb="6">
      <t>ケンピン</t>
    </rPh>
    <phoneticPr fontId="7"/>
  </si>
  <si>
    <t>JOD⑬</t>
    <phoneticPr fontId="7"/>
  </si>
  <si>
    <t>ジェス8月（京都通販本誌・チラシ）</t>
    <rPh sb="4" eb="5">
      <t>ガツ</t>
    </rPh>
    <rPh sb="6" eb="12">
      <t>キョウトツウハンホンシ</t>
    </rPh>
    <phoneticPr fontId="7"/>
  </si>
  <si>
    <t>千趣会CRAS　７月号掲載①</t>
    <rPh sb="0" eb="3">
      <t>センシュカイ</t>
    </rPh>
    <rPh sb="9" eb="10">
      <t>ガツ</t>
    </rPh>
    <rPh sb="10" eb="11">
      <t>ゴウ</t>
    </rPh>
    <rPh sb="11" eb="13">
      <t>ケイサイ</t>
    </rPh>
    <phoneticPr fontId="7"/>
  </si>
  <si>
    <t>JOD⑭</t>
    <phoneticPr fontId="7"/>
  </si>
  <si>
    <t>K-PORT</t>
    <phoneticPr fontId="7"/>
  </si>
  <si>
    <t>JOD⑮</t>
    <phoneticPr fontId="7"/>
  </si>
  <si>
    <t>JOD⑯</t>
    <phoneticPr fontId="7"/>
  </si>
  <si>
    <t>2022/6/3伝</t>
    <rPh sb="8" eb="9">
      <t>デン</t>
    </rPh>
    <phoneticPr fontId="7"/>
  </si>
  <si>
    <t>電話注文</t>
    <rPh sb="0" eb="4">
      <t>デンワチュウモン</t>
    </rPh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</si>
  <si>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</si>
  <si>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</si>
  <si>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</si>
  <si>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</si>
  <si>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</si>
  <si>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JOD㉒</t>
    <phoneticPr fontId="7"/>
  </si>
  <si>
    <t>JOD㉓</t>
    <phoneticPr fontId="7"/>
  </si>
  <si>
    <t>JOD㉕</t>
    <phoneticPr fontId="7"/>
  </si>
  <si>
    <t>JOD㉖</t>
    <phoneticPr fontId="7"/>
  </si>
  <si>
    <t>JODメルシー0713</t>
    <phoneticPr fontId="7"/>
  </si>
  <si>
    <t>全国通販ことせ7月2152①</t>
    <rPh sb="0" eb="4">
      <t>ゼンコクツウハン</t>
    </rPh>
    <rPh sb="8" eb="9">
      <t>ガツ</t>
    </rPh>
    <phoneticPr fontId="7"/>
  </si>
  <si>
    <t>JOD㉗</t>
    <phoneticPr fontId="7"/>
  </si>
  <si>
    <t>JOD㉘</t>
    <phoneticPr fontId="7"/>
  </si>
  <si>
    <t>全国通販検品sample返却</t>
    <rPh sb="0" eb="4">
      <t>ゼンコクツウハン</t>
    </rPh>
    <rPh sb="4" eb="6">
      <t>ケンピン</t>
    </rPh>
    <rPh sb="12" eb="14">
      <t>ヘンキャク</t>
    </rPh>
    <phoneticPr fontId="7"/>
  </si>
  <si>
    <t>JOD㉙</t>
    <phoneticPr fontId="7"/>
  </si>
  <si>
    <t>JOD㉚</t>
    <phoneticPr fontId="7"/>
  </si>
  <si>
    <t>JOD㉛（西濃）</t>
    <rPh sb="5" eb="7">
      <t>セイノウ</t>
    </rPh>
    <phoneticPr fontId="7"/>
  </si>
  <si>
    <t>JOD㉛</t>
    <phoneticPr fontId="7"/>
  </si>
  <si>
    <t>JOD㉜</t>
    <phoneticPr fontId="7"/>
  </si>
  <si>
    <t>JODメルシー0728</t>
    <phoneticPr fontId="7"/>
  </si>
  <si>
    <t>7/28～</t>
    <phoneticPr fontId="7"/>
  </si>
  <si>
    <t>JOD㉝</t>
    <phoneticPr fontId="7"/>
  </si>
  <si>
    <t>千趣会CRAS　７月号掲載②</t>
    <rPh sb="0" eb="3">
      <t>センシュカイ</t>
    </rPh>
    <rPh sb="9" eb="10">
      <t>ガツ</t>
    </rPh>
    <rPh sb="10" eb="11">
      <t>ゴウ</t>
    </rPh>
    <rPh sb="11" eb="13">
      <t>ケイサイ</t>
    </rPh>
    <phoneticPr fontId="7"/>
  </si>
  <si>
    <t>JOD㉞</t>
    <phoneticPr fontId="7"/>
  </si>
  <si>
    <t>夢販</t>
    <rPh sb="0" eb="2">
      <t>ユメハン</t>
    </rPh>
    <phoneticPr fontId="7"/>
  </si>
  <si>
    <t>IEI交換</t>
    <rPh sb="3" eb="5">
      <t>コウカン</t>
    </rPh>
    <phoneticPr fontId="7"/>
  </si>
  <si>
    <t>JOD㉟</t>
    <phoneticPr fontId="7"/>
  </si>
  <si>
    <t>JOD㊱</t>
    <phoneticPr fontId="7"/>
  </si>
  <si>
    <t>千趣会CRAS　７月号掲載③</t>
    <rPh sb="0" eb="3">
      <t>センシュカイ</t>
    </rPh>
    <rPh sb="9" eb="10">
      <t>ガツ</t>
    </rPh>
    <rPh sb="10" eb="11">
      <t>ゴウ</t>
    </rPh>
    <rPh sb="11" eb="13">
      <t>ケイサイ</t>
    </rPh>
    <phoneticPr fontId="7"/>
  </si>
  <si>
    <t>JOD㊳</t>
    <phoneticPr fontId="7"/>
  </si>
  <si>
    <t>JOD㊴</t>
    <phoneticPr fontId="7"/>
  </si>
  <si>
    <t>千趣会CRAS　７月号掲載④</t>
    <rPh sb="0" eb="3">
      <t>センシュカイ</t>
    </rPh>
    <rPh sb="9" eb="10">
      <t>ガツ</t>
    </rPh>
    <rPh sb="10" eb="11">
      <t>ゴウ</t>
    </rPh>
    <rPh sb="11" eb="13">
      <t>ケイサイ</t>
    </rPh>
    <phoneticPr fontId="7"/>
  </si>
  <si>
    <t>JOD㊶</t>
    <phoneticPr fontId="7"/>
  </si>
  <si>
    <t>JOD㊶（西濃）</t>
    <rPh sb="5" eb="7">
      <t>セイノウ</t>
    </rPh>
    <phoneticPr fontId="7"/>
  </si>
  <si>
    <t>JOD㊷</t>
    <phoneticPr fontId="7"/>
  </si>
  <si>
    <t>JOD㊸</t>
    <phoneticPr fontId="7"/>
  </si>
  <si>
    <t>JOD㊹</t>
    <phoneticPr fontId="7"/>
  </si>
  <si>
    <t>IEI交換</t>
    <rPh sb="3" eb="5">
      <t>コウカン</t>
    </rPh>
    <phoneticPr fontId="7"/>
  </si>
  <si>
    <t>夢販</t>
    <rPh sb="0" eb="2">
      <t>ユメハン</t>
    </rPh>
    <phoneticPr fontId="7"/>
  </si>
  <si>
    <t>全国通販ことせ7月2152②</t>
    <rPh sb="0" eb="4">
      <t>ゼンコクツウハン</t>
    </rPh>
    <rPh sb="8" eb="9">
      <t>ガツ</t>
    </rPh>
    <phoneticPr fontId="7"/>
  </si>
  <si>
    <t>追加1-1清光ネーム</t>
    <rPh sb="0" eb="2">
      <t>ツイカ</t>
    </rPh>
    <rPh sb="5" eb="7">
      <t>セイコウ</t>
    </rPh>
    <phoneticPr fontId="3"/>
  </si>
  <si>
    <t>全国通販撮影sample返却</t>
    <rPh sb="0" eb="4">
      <t>ゼンコクツウハン</t>
    </rPh>
    <rPh sb="4" eb="6">
      <t>サツエイ</t>
    </rPh>
    <rPh sb="12" eb="14">
      <t>ヘンキャク</t>
    </rPh>
    <phoneticPr fontId="7"/>
  </si>
  <si>
    <t>JOD色合せ用sample返却</t>
    <rPh sb="3" eb="5">
      <t>イロアワ</t>
    </rPh>
    <rPh sb="6" eb="7">
      <t>ヨウ</t>
    </rPh>
    <rPh sb="13" eb="15">
      <t>ヘンキャク</t>
    </rPh>
    <phoneticPr fontId="7"/>
  </si>
  <si>
    <t>2022/7/13数伝</t>
    <rPh sb="9" eb="11">
      <t>スウデン</t>
    </rPh>
    <phoneticPr fontId="7"/>
  </si>
  <si>
    <t>全国通販ことせ7月2152③</t>
    <rPh sb="0" eb="4">
      <t>ゼンコクツウハン</t>
    </rPh>
    <rPh sb="8" eb="9">
      <t>ガツ</t>
    </rPh>
    <phoneticPr fontId="7"/>
  </si>
  <si>
    <t>JOD㊺</t>
    <phoneticPr fontId="7"/>
  </si>
  <si>
    <t>JOD㊻</t>
    <phoneticPr fontId="7"/>
  </si>
  <si>
    <t>JOD㊼</t>
    <phoneticPr fontId="7"/>
  </si>
  <si>
    <t>JOD㊽</t>
    <phoneticPr fontId="7"/>
  </si>
  <si>
    <t>JOD㊾</t>
    <phoneticPr fontId="7"/>
  </si>
  <si>
    <t>JOD㊿</t>
    <phoneticPr fontId="7"/>
  </si>
  <si>
    <t>JOD51</t>
    <phoneticPr fontId="7"/>
  </si>
  <si>
    <t>JOD53</t>
    <phoneticPr fontId="7"/>
  </si>
  <si>
    <t>KPORT</t>
    <phoneticPr fontId="7"/>
  </si>
  <si>
    <t>JOD54</t>
  </si>
  <si>
    <t>千趣会CRAS　７月号掲載⑤</t>
    <rPh sb="0" eb="3">
      <t>センシュカイ</t>
    </rPh>
    <rPh sb="9" eb="10">
      <t>ガツ</t>
    </rPh>
    <rPh sb="10" eb="11">
      <t>ゴウ</t>
    </rPh>
    <rPh sb="11" eb="13">
      <t>ケイサイ</t>
    </rPh>
    <phoneticPr fontId="7"/>
  </si>
  <si>
    <t>夢販</t>
    <rPh sb="0" eb="2">
      <t>ユメハン</t>
    </rPh>
    <phoneticPr fontId="7"/>
  </si>
  <si>
    <t>JOD55</t>
    <phoneticPr fontId="7"/>
  </si>
  <si>
    <t>JOD57</t>
  </si>
  <si>
    <t>ジェス返品</t>
    <rPh sb="3" eb="5">
      <t>ヘンピン</t>
    </rPh>
    <phoneticPr fontId="3"/>
  </si>
  <si>
    <t>2022/8/3伝</t>
    <rPh sb="8" eb="9">
      <t>デン</t>
    </rPh>
    <phoneticPr fontId="7"/>
  </si>
  <si>
    <t>JOD58</t>
  </si>
  <si>
    <t>JOD59</t>
  </si>
  <si>
    <t>夢販</t>
    <rPh sb="0" eb="2">
      <t>ユメハン</t>
    </rPh>
    <phoneticPr fontId="7"/>
  </si>
  <si>
    <t>IEI交換</t>
    <rPh sb="3" eb="5">
      <t>コウカン</t>
    </rPh>
    <phoneticPr fontId="7"/>
  </si>
  <si>
    <t>JOD64(西濃）</t>
    <rPh sb="6" eb="8">
      <t>セイノウ</t>
    </rPh>
    <phoneticPr fontId="7"/>
  </si>
  <si>
    <t>ジェス①</t>
    <phoneticPr fontId="7"/>
  </si>
  <si>
    <t>JOD65(西濃）</t>
    <rPh sb="6" eb="8">
      <t>セイノウ</t>
    </rPh>
    <phoneticPr fontId="7"/>
  </si>
  <si>
    <t>ジェス②</t>
    <phoneticPr fontId="7"/>
  </si>
  <si>
    <t>JOD66</t>
    <phoneticPr fontId="7"/>
  </si>
  <si>
    <t>ジェス③</t>
    <phoneticPr fontId="7"/>
  </si>
  <si>
    <t>JOD67</t>
    <phoneticPr fontId="7"/>
  </si>
  <si>
    <t>ジェス④</t>
    <phoneticPr fontId="7"/>
  </si>
  <si>
    <t>ジェス⑤</t>
    <phoneticPr fontId="7"/>
  </si>
  <si>
    <t>JOD68</t>
  </si>
  <si>
    <t>ジェス⑥</t>
    <phoneticPr fontId="7"/>
  </si>
  <si>
    <t>棚卸</t>
    <rPh sb="0" eb="2">
      <t>タナオロシ</t>
    </rPh>
    <phoneticPr fontId="3"/>
  </si>
  <si>
    <t>IEI交換</t>
    <rPh sb="3" eb="5">
      <t>コウカン</t>
    </rPh>
    <phoneticPr fontId="7"/>
  </si>
  <si>
    <t>JOD69</t>
    <phoneticPr fontId="7"/>
  </si>
  <si>
    <t>夢販</t>
    <rPh sb="0" eb="2">
      <t>ユメハン</t>
    </rPh>
    <phoneticPr fontId="7"/>
  </si>
  <si>
    <t>KPORT</t>
    <phoneticPr fontId="7"/>
  </si>
  <si>
    <t>夢販移動</t>
    <rPh sb="0" eb="4">
      <t>ユメハンイドウ</t>
    </rPh>
    <phoneticPr fontId="3"/>
  </si>
  <si>
    <t>JOD72</t>
  </si>
  <si>
    <t>ジェス⑦</t>
    <phoneticPr fontId="7"/>
  </si>
  <si>
    <t>JOD73</t>
    <phoneticPr fontId="7"/>
  </si>
  <si>
    <t>ジェス⑧</t>
    <phoneticPr fontId="7"/>
  </si>
  <si>
    <t>夢販</t>
    <rPh sb="0" eb="2">
      <t>ユメハン</t>
    </rPh>
    <phoneticPr fontId="7"/>
  </si>
  <si>
    <t>JOD76</t>
    <phoneticPr fontId="7"/>
  </si>
  <si>
    <t>ジェス⑨</t>
    <phoneticPr fontId="7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</si>
  <si>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綿ジャガードブラキャミ＞KPORT在庫2p\4600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</si>
  <si>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t>＜No.1852　綿ジャガードブラキャミ＞夢販在庫2p\4600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</si>
  <si>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r>
      <t>＜No.1852　</t>
    </r>
    <r>
      <rPr>
        <b/>
        <sz val="22"/>
        <rFont val="ＭＳ Ｐゴシック"/>
        <family val="3"/>
        <charset val="128"/>
      </rPr>
      <t>3色組</t>
    </r>
    <r>
      <rPr>
        <b/>
        <sz val="18"/>
        <rFont val="ＭＳ Ｐゴシック"/>
        <family val="3"/>
        <charset val="128"/>
      </rPr>
      <t>　綿ジャガードブラキャミ＞KPORT在庫3p\6900</t>
    </r>
    <rPh sb="10" eb="12">
      <t>ショクグミ</t>
    </rPh>
    <rPh sb="13" eb="14">
      <t>メン</t>
    </rPh>
    <rPh sb="30" eb="32">
      <t>ザイコ</t>
    </rPh>
    <phoneticPr fontId="3"/>
  </si>
  <si>
    <t>JOD77</t>
  </si>
  <si>
    <t>千趣会返品</t>
    <rPh sb="0" eb="3">
      <t>センシュカイ</t>
    </rPh>
    <rPh sb="3" eb="5">
      <t>ヘンピン</t>
    </rPh>
    <phoneticPr fontId="3"/>
  </si>
  <si>
    <t>JOD78</t>
    <phoneticPr fontId="7"/>
  </si>
  <si>
    <t>JOD79</t>
    <phoneticPr fontId="7"/>
  </si>
  <si>
    <t>全国通販撮影用sample</t>
    <rPh sb="0" eb="4">
      <t>ゼンコクツウハン</t>
    </rPh>
    <rPh sb="4" eb="7">
      <t>サツエイヨウ</t>
    </rPh>
    <phoneticPr fontId="7"/>
  </si>
  <si>
    <t>JOD80</t>
    <phoneticPr fontId="7"/>
  </si>
  <si>
    <t>JOD81</t>
    <phoneticPr fontId="7"/>
  </si>
  <si>
    <t>全国通販返品</t>
    <rPh sb="0" eb="4">
      <t>ゼンコクツウハン</t>
    </rPh>
    <rPh sb="4" eb="6">
      <t>ヘンピン</t>
    </rPh>
    <phoneticPr fontId="3"/>
  </si>
  <si>
    <t>ジェス返品</t>
    <rPh sb="3" eb="5">
      <t>ヘンピン</t>
    </rPh>
    <phoneticPr fontId="7"/>
  </si>
  <si>
    <t>ディノスsample</t>
    <phoneticPr fontId="7"/>
  </si>
  <si>
    <t>JOD82</t>
  </si>
  <si>
    <t>ジェス⑩</t>
    <phoneticPr fontId="7"/>
  </si>
  <si>
    <t>ディノス23盛夏</t>
    <rPh sb="6" eb="8">
      <t>セイカ</t>
    </rPh>
    <phoneticPr fontId="7"/>
  </si>
  <si>
    <t>JOD83</t>
    <phoneticPr fontId="7"/>
  </si>
  <si>
    <t>5/30～</t>
    <phoneticPr fontId="7"/>
  </si>
  <si>
    <t>ディノス23盛夏差分予測</t>
    <rPh sb="6" eb="8">
      <t>セイカ</t>
    </rPh>
    <rPh sb="8" eb="12">
      <t>サブンヨソク</t>
    </rPh>
    <phoneticPr fontId="7"/>
  </si>
  <si>
    <t>ベルーナ3盛夏sample</t>
    <rPh sb="5" eb="7">
      <t>セイカ</t>
    </rPh>
    <phoneticPr fontId="7"/>
  </si>
  <si>
    <t>IEI3月号</t>
    <rPh sb="4" eb="6">
      <t>ガツゴウ</t>
    </rPh>
    <phoneticPr fontId="7"/>
  </si>
  <si>
    <t>3/13～</t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</si>
  <si>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</si>
  <si>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</si>
  <si>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IEI</t>
    <phoneticPr fontId="7"/>
  </si>
  <si>
    <t>点3/21、アバウト3/28、本3/30、4/3</t>
    <rPh sb="0" eb="1">
      <t>テン</t>
    </rPh>
    <rPh sb="15" eb="16">
      <t>ホン</t>
    </rPh>
    <phoneticPr fontId="7"/>
  </si>
  <si>
    <t>グリーンコープ3月号差分予測</t>
    <rPh sb="8" eb="9">
      <t>ガツ</t>
    </rPh>
    <rPh sb="9" eb="10">
      <t>ゴウ</t>
    </rPh>
    <rPh sb="10" eb="14">
      <t>サブンヨソク</t>
    </rPh>
    <phoneticPr fontId="7"/>
  </si>
  <si>
    <t>ベルーナ水検査</t>
    <rPh sb="4" eb="7">
      <t>ミズケンサ</t>
    </rPh>
    <phoneticPr fontId="7"/>
  </si>
  <si>
    <t>IEI4月号</t>
    <rPh sb="4" eb="6">
      <t>ガツゴウ</t>
    </rPh>
    <phoneticPr fontId="7"/>
  </si>
  <si>
    <t>4/10～</t>
    <phoneticPr fontId="7"/>
  </si>
  <si>
    <t>追加2-1清光ネーム</t>
    <rPh sb="0" eb="2">
      <t>ツイカ</t>
    </rPh>
    <phoneticPr fontId="3"/>
  </si>
  <si>
    <t>追加2-2清光ネーム</t>
    <rPh sb="0" eb="2">
      <t>ツイカ</t>
    </rPh>
    <phoneticPr fontId="3"/>
  </si>
  <si>
    <t>追加清光ネーム</t>
    <rPh sb="0" eb="2">
      <t>ツイカ</t>
    </rPh>
    <phoneticPr fontId="3"/>
  </si>
  <si>
    <t>2022年IEI4月5月実績</t>
    <rPh sb="4" eb="5">
      <t>ネン</t>
    </rPh>
    <rPh sb="9" eb="10">
      <t>ガツ</t>
    </rPh>
    <rPh sb="11" eb="12">
      <t>ガツ</t>
    </rPh>
    <rPh sb="12" eb="14">
      <t>ジッセキ</t>
    </rPh>
    <phoneticPr fontId="7"/>
  </si>
  <si>
    <t>テスト4/5　本番5下旬</t>
    <rPh sb="7" eb="9">
      <t>ホンバン</t>
    </rPh>
    <rPh sb="10" eb="12">
      <t>ゲジュン</t>
    </rPh>
    <phoneticPr fontId="7"/>
  </si>
  <si>
    <t>ベルーナ3企23盛夏</t>
    <rPh sb="5" eb="6">
      <t>キ</t>
    </rPh>
    <rPh sb="8" eb="10">
      <t>セイカ</t>
    </rPh>
    <phoneticPr fontId="7"/>
  </si>
  <si>
    <t>ベルーナ3企23盛夏 差分予測</t>
    <rPh sb="5" eb="6">
      <t>キ</t>
    </rPh>
    <rPh sb="8" eb="10">
      <t>セイカ</t>
    </rPh>
    <rPh sb="11" eb="15">
      <t>サブンヨソク</t>
    </rPh>
    <phoneticPr fontId="7"/>
  </si>
  <si>
    <t>全国通販先上げ検品分</t>
    <rPh sb="0" eb="4">
      <t>ゼンコクツウハン</t>
    </rPh>
    <rPh sb="4" eb="6">
      <t>サキア</t>
    </rPh>
    <rPh sb="7" eb="9">
      <t>ケンピン</t>
    </rPh>
    <rPh sb="9" eb="10">
      <t>ブン</t>
    </rPh>
    <phoneticPr fontId="7"/>
  </si>
  <si>
    <t>2023/3/2伝数</t>
    <rPh sb="8" eb="10">
      <t>デンスウ</t>
    </rPh>
    <phoneticPr fontId="7"/>
  </si>
  <si>
    <t>全国通販テスト2279/4月</t>
    <rPh sb="0" eb="4">
      <t>ゼンコクツウハン</t>
    </rPh>
    <rPh sb="13" eb="14">
      <t>ガツ</t>
    </rPh>
    <phoneticPr fontId="7"/>
  </si>
  <si>
    <t>全国通販テスト2289/5月</t>
    <rPh sb="0" eb="4">
      <t>ゼンコクツウハン</t>
    </rPh>
    <rPh sb="13" eb="14">
      <t>ガツ</t>
    </rPh>
    <phoneticPr fontId="7"/>
  </si>
  <si>
    <t>5/2～7/31</t>
    <phoneticPr fontId="7"/>
  </si>
  <si>
    <t>全国通販先上げ検品分返却</t>
    <rPh sb="0" eb="4">
      <t>ゼンコクツウハン</t>
    </rPh>
    <rPh sb="4" eb="6">
      <t>サキア</t>
    </rPh>
    <rPh sb="7" eb="9">
      <t>ケンピン</t>
    </rPh>
    <rPh sb="9" eb="10">
      <t>ブン</t>
    </rPh>
    <rPh sb="10" eb="12">
      <t>ヘンキャク</t>
    </rPh>
    <phoneticPr fontId="7"/>
  </si>
  <si>
    <t>全国通販（佐々木さん）sample</t>
    <rPh sb="0" eb="4">
      <t>ゼンコクツウハン</t>
    </rPh>
    <rPh sb="5" eb="8">
      <t>ササキ</t>
    </rPh>
    <phoneticPr fontId="7"/>
  </si>
  <si>
    <t>全国通販①</t>
    <rPh sb="0" eb="4">
      <t>ゼンコクツウハン</t>
    </rPh>
    <phoneticPr fontId="7"/>
  </si>
  <si>
    <t>ベルーナ3企23盛夏①</t>
    <rPh sb="5" eb="6">
      <t>キ</t>
    </rPh>
    <rPh sb="8" eb="10">
      <t>セイカ</t>
    </rPh>
    <phoneticPr fontId="7"/>
  </si>
  <si>
    <t>IEI3月号①</t>
    <rPh sb="4" eb="6">
      <t>ガツゴウ</t>
    </rPh>
    <phoneticPr fontId="7"/>
  </si>
  <si>
    <t>はぴねすくらぶ6月号</t>
    <rPh sb="8" eb="10">
      <t>ガツゴウ</t>
    </rPh>
    <phoneticPr fontId="7"/>
  </si>
  <si>
    <t>グリーンコープ3月号/品名【綿混】・不透袋・未開封シール</t>
    <rPh sb="8" eb="9">
      <t>ガツ</t>
    </rPh>
    <rPh sb="9" eb="10">
      <t>ゴウ</t>
    </rPh>
    <rPh sb="11" eb="13">
      <t>シナメイ</t>
    </rPh>
    <rPh sb="14" eb="16">
      <t>メンコン</t>
    </rPh>
    <rPh sb="18" eb="19">
      <t>フ</t>
    </rPh>
    <rPh sb="19" eb="20">
      <t>トウ</t>
    </rPh>
    <rPh sb="20" eb="21">
      <t>フクロ</t>
    </rPh>
    <rPh sb="22" eb="25">
      <t>ミカイフウ</t>
    </rPh>
    <phoneticPr fontId="7"/>
  </si>
  <si>
    <t>グリーンコープ3月号/品名【綿混】・不透袋・未開封シール①</t>
    <rPh sb="8" eb="9">
      <t>ガツ</t>
    </rPh>
    <rPh sb="9" eb="10">
      <t>ゴウ</t>
    </rPh>
    <rPh sb="11" eb="13">
      <t>シナメイ</t>
    </rPh>
    <rPh sb="14" eb="16">
      <t>メンコン</t>
    </rPh>
    <rPh sb="18" eb="19">
      <t>フ</t>
    </rPh>
    <rPh sb="19" eb="20">
      <t>トウ</t>
    </rPh>
    <rPh sb="20" eb="21">
      <t>フクロ</t>
    </rPh>
    <rPh sb="22" eb="25">
      <t>ミカイフウ</t>
    </rPh>
    <phoneticPr fontId="7"/>
  </si>
  <si>
    <t>グリーンコープ3月号/品名【綿混】・不透袋・未開封シール②</t>
    <rPh sb="8" eb="9">
      <t>ガツ</t>
    </rPh>
    <rPh sb="9" eb="10">
      <t>ゴウ</t>
    </rPh>
    <rPh sb="11" eb="13">
      <t>シナメイ</t>
    </rPh>
    <rPh sb="14" eb="16">
      <t>メンコン</t>
    </rPh>
    <rPh sb="18" eb="19">
      <t>フ</t>
    </rPh>
    <rPh sb="19" eb="20">
      <t>トウ</t>
    </rPh>
    <rPh sb="20" eb="21">
      <t>フクロ</t>
    </rPh>
    <rPh sb="22" eb="25">
      <t>ミカイフウ</t>
    </rPh>
    <phoneticPr fontId="7"/>
  </si>
  <si>
    <t>K-PORT</t>
    <phoneticPr fontId="7"/>
  </si>
  <si>
    <t>グリーンコープ3月号/品名【綿混】・不透袋・未開封シール③</t>
    <rPh sb="8" eb="9">
      <t>ガツ</t>
    </rPh>
    <rPh sb="9" eb="10">
      <t>ゴウ</t>
    </rPh>
    <rPh sb="11" eb="13">
      <t>シナメイ</t>
    </rPh>
    <rPh sb="14" eb="16">
      <t>メンコン</t>
    </rPh>
    <rPh sb="18" eb="19">
      <t>フ</t>
    </rPh>
    <rPh sb="19" eb="20">
      <t>トウ</t>
    </rPh>
    <rPh sb="20" eb="21">
      <t>フクロ</t>
    </rPh>
    <rPh sb="22" eb="25">
      <t>ミカイフウ</t>
    </rPh>
    <phoneticPr fontId="7"/>
  </si>
  <si>
    <t>IE6月号</t>
    <rPh sb="3" eb="5">
      <t>ガツゴウ</t>
    </rPh>
    <phoneticPr fontId="7"/>
  </si>
  <si>
    <t>JODアクセス7093</t>
    <phoneticPr fontId="7"/>
  </si>
  <si>
    <t>全国通販②</t>
    <rPh sb="0" eb="4">
      <t>ゼンコクツウハン</t>
    </rPh>
    <phoneticPr fontId="7"/>
  </si>
  <si>
    <t>全国通販③</t>
    <rPh sb="0" eb="4">
      <t>ゼンコクツウハン</t>
    </rPh>
    <phoneticPr fontId="7"/>
  </si>
  <si>
    <t>全国通販④</t>
    <rPh sb="0" eb="4">
      <t>ゼンコクツウハン</t>
    </rPh>
    <phoneticPr fontId="7"/>
  </si>
  <si>
    <t>ディノス23盛夏①-2事前</t>
    <rPh sb="6" eb="8">
      <t>セイカ</t>
    </rPh>
    <rPh sb="11" eb="13">
      <t>ジゼン</t>
    </rPh>
    <phoneticPr fontId="7"/>
  </si>
  <si>
    <t>ディノス23盛夏①-1事前</t>
    <rPh sb="6" eb="8">
      <t>セイカ</t>
    </rPh>
    <rPh sb="11" eb="13">
      <t>ジゼン</t>
    </rPh>
    <phoneticPr fontId="7"/>
  </si>
  <si>
    <t>KPORT</t>
    <phoneticPr fontId="7"/>
  </si>
  <si>
    <t>JOD特別号9569</t>
    <rPh sb="3" eb="6">
      <t>トクベツゴウ</t>
    </rPh>
    <phoneticPr fontId="7"/>
  </si>
  <si>
    <t>4/1～6/30</t>
    <phoneticPr fontId="7"/>
  </si>
  <si>
    <t>IEI4月号差分予測</t>
    <rPh sb="4" eb="6">
      <t>ガツゴウ</t>
    </rPh>
    <rPh sb="6" eb="10">
      <t>サブンヨソク</t>
    </rPh>
    <phoneticPr fontId="7"/>
  </si>
  <si>
    <t>モカ清光在庫　売り切り</t>
    <rPh sb="2" eb="4">
      <t>セイコウ</t>
    </rPh>
    <rPh sb="4" eb="6">
      <t>ザイコ</t>
    </rPh>
    <rPh sb="7" eb="8">
      <t>ウ</t>
    </rPh>
    <rPh sb="9" eb="10">
      <t>キ</t>
    </rPh>
    <phoneticPr fontId="7"/>
  </si>
  <si>
    <t>（2023.4.26現在）</t>
    <rPh sb="10" eb="12">
      <t>ゲンザイ</t>
    </rPh>
    <phoneticPr fontId="7"/>
  </si>
  <si>
    <t>JOD特別版0606</t>
    <rPh sb="3" eb="6">
      <t>トクベツバン</t>
    </rPh>
    <phoneticPr fontId="7"/>
  </si>
  <si>
    <t>IEI4月号①</t>
    <rPh sb="4" eb="6">
      <t>ガツゴウ</t>
    </rPh>
    <phoneticPr fontId="7"/>
  </si>
  <si>
    <t>夢販交換分</t>
    <rPh sb="0" eb="2">
      <t>ユメハン</t>
    </rPh>
    <rPh sb="2" eb="4">
      <t>コウカン</t>
    </rPh>
    <rPh sb="4" eb="5">
      <t>ブン</t>
    </rPh>
    <phoneticPr fontId="7"/>
  </si>
  <si>
    <t>返品交換分</t>
    <rPh sb="0" eb="2">
      <t>ヘンピン</t>
    </rPh>
    <rPh sb="2" eb="4">
      <t>コウカン</t>
    </rPh>
    <rPh sb="4" eb="5">
      <t>ブン</t>
    </rPh>
    <phoneticPr fontId="7"/>
  </si>
  <si>
    <t>IEI7月号</t>
    <rPh sb="4" eb="6">
      <t>ガツゴウ</t>
    </rPh>
    <phoneticPr fontId="7"/>
  </si>
  <si>
    <t>2023/5/1数伝</t>
    <rPh sb="8" eb="9">
      <t>スウ</t>
    </rPh>
    <rPh sb="9" eb="10">
      <t>デン</t>
    </rPh>
    <phoneticPr fontId="7"/>
  </si>
  <si>
    <t>追加3Pセットへ移行分</t>
    <rPh sb="0" eb="2">
      <t>ツイカ</t>
    </rPh>
    <rPh sb="8" eb="10">
      <t>イコウ</t>
    </rPh>
    <rPh sb="10" eb="11">
      <t>ブン</t>
    </rPh>
    <phoneticPr fontId="3"/>
  </si>
  <si>
    <t>ベルーナ3盛夏sample返却</t>
    <rPh sb="5" eb="7">
      <t>セイカ</t>
    </rPh>
    <rPh sb="13" eb="15">
      <t>ヘンキャク</t>
    </rPh>
    <phoneticPr fontId="7"/>
  </si>
  <si>
    <t>JOD②</t>
    <phoneticPr fontId="7"/>
  </si>
  <si>
    <t>IEI4月号②</t>
    <rPh sb="4" eb="6">
      <t>ガツゴウ</t>
    </rPh>
    <phoneticPr fontId="7"/>
  </si>
  <si>
    <t>JOD③</t>
    <phoneticPr fontId="7"/>
  </si>
  <si>
    <t>全国通販①</t>
    <rPh sb="0" eb="4">
      <t>ゼンコクツウハン</t>
    </rPh>
    <phoneticPr fontId="7"/>
  </si>
  <si>
    <t>JOD④</t>
    <phoneticPr fontId="7"/>
  </si>
  <si>
    <t>JOD⑤</t>
    <phoneticPr fontId="7"/>
  </si>
  <si>
    <t>JOD特別号9572(表4)</t>
    <rPh sb="3" eb="6">
      <t>トクベツゴウ</t>
    </rPh>
    <rPh sb="11" eb="12">
      <t>ヒョウ</t>
    </rPh>
    <phoneticPr fontId="7"/>
  </si>
  <si>
    <t>6/21～</t>
    <phoneticPr fontId="7"/>
  </si>
  <si>
    <t>JOD⑥</t>
    <phoneticPr fontId="7"/>
  </si>
  <si>
    <t>JOD⑦</t>
    <phoneticPr fontId="7"/>
  </si>
  <si>
    <t>JODアクセス7094</t>
    <phoneticPr fontId="7"/>
  </si>
  <si>
    <t>JOD⑧</t>
    <phoneticPr fontId="7"/>
  </si>
  <si>
    <t>ベルーナ3企23盛夏②</t>
    <rPh sb="5" eb="6">
      <t>キ</t>
    </rPh>
    <rPh sb="8" eb="10">
      <t>セイカ</t>
    </rPh>
    <phoneticPr fontId="7"/>
  </si>
  <si>
    <t>JOD⑨</t>
    <phoneticPr fontId="7"/>
  </si>
  <si>
    <t>JOD⑩</t>
    <phoneticPr fontId="7"/>
  </si>
  <si>
    <t>JOD⑪</t>
    <phoneticPr fontId="7"/>
  </si>
  <si>
    <t>JOD⑫</t>
    <phoneticPr fontId="7"/>
  </si>
  <si>
    <t>電話注文</t>
    <rPh sb="0" eb="4">
      <t>デンワチュウモン</t>
    </rPh>
    <phoneticPr fontId="7"/>
  </si>
  <si>
    <t>夢販</t>
    <rPh sb="0" eb="2">
      <t>ユメハン</t>
    </rPh>
    <phoneticPr fontId="7"/>
  </si>
  <si>
    <t>JOD⑬（西濃）</t>
    <rPh sb="5" eb="7">
      <t>セイノウ</t>
    </rPh>
    <phoneticPr fontId="7"/>
  </si>
  <si>
    <t>JOD⑬</t>
    <phoneticPr fontId="7"/>
  </si>
  <si>
    <t>JOD⑭</t>
    <phoneticPr fontId="7"/>
  </si>
  <si>
    <t>JOD⑮</t>
    <phoneticPr fontId="7"/>
  </si>
  <si>
    <t>はぴねすくらぶ6月号①</t>
    <rPh sb="8" eb="10">
      <t>ガツゴウ</t>
    </rPh>
    <phoneticPr fontId="7"/>
  </si>
  <si>
    <t>ベルーナ3企23盛夏③</t>
    <rPh sb="5" eb="6">
      <t>キ</t>
    </rPh>
    <rPh sb="8" eb="10">
      <t>セイカ</t>
    </rPh>
    <phoneticPr fontId="7"/>
  </si>
  <si>
    <t>JOD⑯</t>
    <phoneticPr fontId="7"/>
  </si>
  <si>
    <t>JOD⑰</t>
    <phoneticPr fontId="7"/>
  </si>
  <si>
    <t>JOD特別版0706(表4)</t>
    <rPh sb="3" eb="5">
      <t>トクベツ</t>
    </rPh>
    <rPh sb="5" eb="6">
      <t>バン</t>
    </rPh>
    <rPh sb="11" eb="12">
      <t>ヒョウ</t>
    </rPh>
    <phoneticPr fontId="7"/>
  </si>
  <si>
    <t>7/5～</t>
    <phoneticPr fontId="7"/>
  </si>
  <si>
    <t>JOD⑱</t>
    <phoneticPr fontId="7"/>
  </si>
  <si>
    <t>JOD⑲</t>
    <phoneticPr fontId="7"/>
  </si>
  <si>
    <t>全国通販ことせ7月2271</t>
    <rPh sb="0" eb="4">
      <t>ゼンコクツウハン</t>
    </rPh>
    <rPh sb="8" eb="9">
      <t>ガツ</t>
    </rPh>
    <phoneticPr fontId="7"/>
  </si>
  <si>
    <t>6/30～9/30</t>
    <phoneticPr fontId="7"/>
  </si>
  <si>
    <t>7月伝票</t>
    <rPh sb="1" eb="2">
      <t>ガツ</t>
    </rPh>
    <rPh sb="2" eb="4">
      <t>デンピョウ</t>
    </rPh>
    <phoneticPr fontId="7"/>
  </si>
  <si>
    <t>6/15納品分の2色組より移行</t>
    <rPh sb="4" eb="7">
      <t>ノウヒンブン</t>
    </rPh>
    <rPh sb="9" eb="11">
      <t>ショクグミ</t>
    </rPh>
    <rPh sb="13" eb="15">
      <t>イコウ</t>
    </rPh>
    <phoneticPr fontId="7"/>
  </si>
  <si>
    <t>全国通販（佐々木さん）sample返却</t>
    <rPh sb="0" eb="4">
      <t>ゼンコクツウハン</t>
    </rPh>
    <rPh sb="5" eb="8">
      <t>ササキ</t>
    </rPh>
    <rPh sb="17" eb="19">
      <t>ヘンキャク</t>
    </rPh>
    <phoneticPr fontId="7"/>
  </si>
  <si>
    <t>ベルーナ3企23盛夏④</t>
    <rPh sb="5" eb="6">
      <t>キ</t>
    </rPh>
    <rPh sb="8" eb="10">
      <t>セイカ</t>
    </rPh>
    <phoneticPr fontId="7"/>
  </si>
  <si>
    <t>全国通販ことせ7月2271①</t>
    <rPh sb="0" eb="4">
      <t>ゼンコクツウハン</t>
    </rPh>
    <rPh sb="8" eb="9">
      <t>ガツ</t>
    </rPh>
    <phoneticPr fontId="7"/>
  </si>
  <si>
    <t>JOD㉑</t>
    <phoneticPr fontId="7"/>
  </si>
  <si>
    <t>JOD㉒</t>
    <phoneticPr fontId="7"/>
  </si>
  <si>
    <t>IE6月号①</t>
    <rPh sb="3" eb="5">
      <t>ガツゴウ</t>
    </rPh>
    <phoneticPr fontId="7"/>
  </si>
  <si>
    <t>JOD㉓</t>
    <phoneticPr fontId="7"/>
  </si>
  <si>
    <t>ベルーナ3企23盛夏⑤</t>
    <rPh sb="5" eb="6">
      <t>キ</t>
    </rPh>
    <rPh sb="8" eb="10">
      <t>セイカ</t>
    </rPh>
    <phoneticPr fontId="7"/>
  </si>
  <si>
    <t>2023/6/15数伝</t>
    <rPh sb="9" eb="10">
      <t>スウ</t>
    </rPh>
    <rPh sb="10" eb="11">
      <t>デン</t>
    </rPh>
    <phoneticPr fontId="7"/>
  </si>
  <si>
    <t>2023/6/15数伝</t>
    <rPh sb="9" eb="11">
      <t>スウデン</t>
    </rPh>
    <phoneticPr fontId="7"/>
  </si>
  <si>
    <t>ベルーナ3企23盛夏⑥</t>
    <rPh sb="5" eb="6">
      <t>キ</t>
    </rPh>
    <rPh sb="8" eb="10">
      <t>セイカ</t>
    </rPh>
    <phoneticPr fontId="7"/>
  </si>
  <si>
    <t>JOD㉕</t>
    <phoneticPr fontId="7"/>
  </si>
  <si>
    <t>はぴねすくらぶ6月号②</t>
    <rPh sb="8" eb="10">
      <t>ガツゴウ</t>
    </rPh>
    <phoneticPr fontId="7"/>
  </si>
  <si>
    <t>牧野</t>
    <rPh sb="0" eb="2">
      <t>マキノ</t>
    </rPh>
    <phoneticPr fontId="7"/>
  </si>
  <si>
    <t>夢販</t>
    <rPh sb="0" eb="2">
      <t>ユメハン</t>
    </rPh>
    <phoneticPr fontId="7"/>
  </si>
  <si>
    <t>はぴねすくらぶ6月号③</t>
    <rPh sb="8" eb="10">
      <t>ガツゴウ</t>
    </rPh>
    <phoneticPr fontId="7"/>
  </si>
  <si>
    <t>JOD㉖</t>
    <phoneticPr fontId="7"/>
  </si>
  <si>
    <t>JOD㉗</t>
    <phoneticPr fontId="7"/>
  </si>
  <si>
    <t>JOD㉘</t>
    <phoneticPr fontId="7"/>
  </si>
  <si>
    <t>はぴねすくらぶ6月号④</t>
    <rPh sb="8" eb="10">
      <t>ガツゴウ</t>
    </rPh>
    <phoneticPr fontId="7"/>
  </si>
  <si>
    <t>JOD㉙</t>
    <phoneticPr fontId="7"/>
  </si>
  <si>
    <t>ベルーナ3企23盛夏⑦</t>
    <rPh sb="5" eb="6">
      <t>キ</t>
    </rPh>
    <rPh sb="8" eb="10">
      <t>セイカ</t>
    </rPh>
    <phoneticPr fontId="7"/>
  </si>
  <si>
    <t>JOD㉚</t>
    <phoneticPr fontId="7"/>
  </si>
  <si>
    <t>JOD㉛</t>
    <phoneticPr fontId="7"/>
  </si>
  <si>
    <t>JOD㉜</t>
    <phoneticPr fontId="7"/>
  </si>
  <si>
    <t>ベルーナ3企23盛夏⑧</t>
    <rPh sb="5" eb="6">
      <t>キ</t>
    </rPh>
    <rPh sb="8" eb="10">
      <t>セイカ</t>
    </rPh>
    <phoneticPr fontId="7"/>
  </si>
  <si>
    <t>ベルーナ3企23盛夏⑨</t>
    <rPh sb="5" eb="6">
      <t>キ</t>
    </rPh>
    <rPh sb="8" eb="10">
      <t>セイカ</t>
    </rPh>
    <phoneticPr fontId="7"/>
  </si>
  <si>
    <t>2023/6/27済伝</t>
    <rPh sb="9" eb="10">
      <t>スミ</t>
    </rPh>
    <rPh sb="10" eb="11">
      <t>デン</t>
    </rPh>
    <phoneticPr fontId="7"/>
  </si>
  <si>
    <t>JOD㉝</t>
    <phoneticPr fontId="7"/>
  </si>
  <si>
    <t>電話注文品</t>
    <rPh sb="0" eb="5">
      <t>デンワチュウモンヒン</t>
    </rPh>
    <phoneticPr fontId="7"/>
  </si>
  <si>
    <t>IEI7月号①</t>
    <rPh sb="4" eb="6">
      <t>ガツゴウ</t>
    </rPh>
    <phoneticPr fontId="7"/>
  </si>
  <si>
    <t>JOD㉞</t>
    <phoneticPr fontId="7"/>
  </si>
  <si>
    <t>JOD特別号9575</t>
    <rPh sb="3" eb="6">
      <t>トクベツゴウ</t>
    </rPh>
    <phoneticPr fontId="7"/>
  </si>
  <si>
    <t>JOD㉟</t>
    <phoneticPr fontId="7"/>
  </si>
  <si>
    <t>はぴねすくらぶ6月号⑤</t>
    <rPh sb="8" eb="10">
      <t>ガツゴウ</t>
    </rPh>
    <phoneticPr fontId="7"/>
  </si>
  <si>
    <t>JOD㊱</t>
    <phoneticPr fontId="7"/>
  </si>
  <si>
    <t>JOD㊲</t>
    <phoneticPr fontId="7"/>
  </si>
  <si>
    <t>全国通販ことせ7月2271②</t>
    <rPh sb="0" eb="4">
      <t>ゼンコクツウハン</t>
    </rPh>
    <rPh sb="8" eb="9">
      <t>ガツ</t>
    </rPh>
    <phoneticPr fontId="7"/>
  </si>
  <si>
    <t>JOD㊳</t>
    <phoneticPr fontId="7"/>
  </si>
  <si>
    <t>全国通販8月ことせ2281</t>
    <rPh sb="0" eb="4">
      <t>ゼンコクツウハン</t>
    </rPh>
    <rPh sb="5" eb="6">
      <t>ガツ</t>
    </rPh>
    <phoneticPr fontId="7"/>
  </si>
  <si>
    <t>7/28～10/31</t>
    <phoneticPr fontId="7"/>
  </si>
  <si>
    <t>ベルーナ3企23盛夏⑩</t>
    <rPh sb="5" eb="6">
      <t>キ</t>
    </rPh>
    <rPh sb="8" eb="10">
      <t>セイカ</t>
    </rPh>
    <phoneticPr fontId="7"/>
  </si>
  <si>
    <t>全国通販ことせ7月2271③</t>
    <rPh sb="0" eb="4">
      <t>ゼンコクツウハン</t>
    </rPh>
    <rPh sb="8" eb="9">
      <t>ガツ</t>
    </rPh>
    <phoneticPr fontId="7"/>
  </si>
  <si>
    <t>はぴねすくらぶ6月号⑥</t>
    <rPh sb="8" eb="10">
      <t>ガツゴウ</t>
    </rPh>
    <phoneticPr fontId="7"/>
  </si>
  <si>
    <t>全国通販ことせ7月2271④</t>
    <rPh sb="0" eb="4">
      <t>ゼンコクツウハン</t>
    </rPh>
    <rPh sb="8" eb="9">
      <t>ガツ</t>
    </rPh>
    <phoneticPr fontId="7"/>
  </si>
  <si>
    <t>JOD㊴</t>
    <phoneticPr fontId="7"/>
  </si>
  <si>
    <t>全国通販ことせ7月2271⑤</t>
    <rPh sb="0" eb="4">
      <t>ゼンコクツウハン</t>
    </rPh>
    <rPh sb="8" eb="9">
      <t>ガツ</t>
    </rPh>
    <phoneticPr fontId="7"/>
  </si>
  <si>
    <t>JOD㊵</t>
    <phoneticPr fontId="7"/>
  </si>
  <si>
    <t>JOD㊶</t>
    <phoneticPr fontId="7"/>
  </si>
  <si>
    <t>JOD㊷</t>
    <phoneticPr fontId="7"/>
  </si>
  <si>
    <t>ベルーナ3企23盛夏⑪</t>
    <rPh sb="5" eb="6">
      <t>キ</t>
    </rPh>
    <rPh sb="8" eb="10">
      <t>セイカ</t>
    </rPh>
    <phoneticPr fontId="7"/>
  </si>
  <si>
    <t>IEI7月号②</t>
    <rPh sb="4" eb="6">
      <t>ガツゴウ</t>
    </rPh>
    <phoneticPr fontId="7"/>
  </si>
  <si>
    <t>2023/7/11済伝</t>
    <rPh sb="9" eb="10">
      <t>スミ</t>
    </rPh>
    <rPh sb="10" eb="11">
      <t>デン</t>
    </rPh>
    <phoneticPr fontId="7"/>
  </si>
  <si>
    <t>JOD㊸</t>
    <phoneticPr fontId="7"/>
  </si>
  <si>
    <t>JOD㊹</t>
    <phoneticPr fontId="7"/>
  </si>
  <si>
    <t>はぴねすくらぶ6月号⑦</t>
    <rPh sb="8" eb="10">
      <t>ガツゴウ</t>
    </rPh>
    <phoneticPr fontId="7"/>
  </si>
  <si>
    <t>全国通販ことせ7月2271⑥</t>
    <rPh sb="0" eb="4">
      <t>ゼンコクツウハン</t>
    </rPh>
    <rPh sb="8" eb="9">
      <t>ガツ</t>
    </rPh>
    <phoneticPr fontId="7"/>
  </si>
  <si>
    <t>全国通販ことせ7月2271⑦</t>
    <rPh sb="0" eb="4">
      <t>ゼンコクツウハン</t>
    </rPh>
    <rPh sb="8" eb="9">
      <t>ガツ</t>
    </rPh>
    <phoneticPr fontId="7"/>
  </si>
  <si>
    <t>JOD㊺</t>
    <phoneticPr fontId="7"/>
  </si>
  <si>
    <t>IEI7月号③</t>
    <rPh sb="4" eb="6">
      <t>ガツゴウ</t>
    </rPh>
    <phoneticPr fontId="7"/>
  </si>
  <si>
    <t>ベルーナ3企23盛夏⑫</t>
    <rPh sb="5" eb="6">
      <t>キ</t>
    </rPh>
    <rPh sb="8" eb="10">
      <t>セイカ</t>
    </rPh>
    <phoneticPr fontId="7"/>
  </si>
  <si>
    <t>JOD㊻</t>
    <phoneticPr fontId="7"/>
  </si>
  <si>
    <t>JOD㊼</t>
    <phoneticPr fontId="7"/>
  </si>
  <si>
    <t>ここから2P¥4600</t>
    <phoneticPr fontId="7"/>
  </si>
  <si>
    <t>JOD㊽</t>
    <phoneticPr fontId="7"/>
  </si>
  <si>
    <t>ベルーナ3企23盛夏⑬</t>
    <rPh sb="5" eb="6">
      <t>キ</t>
    </rPh>
    <rPh sb="8" eb="10">
      <t>セイカ</t>
    </rPh>
    <phoneticPr fontId="7"/>
  </si>
  <si>
    <t>全国通販8月ことせ2281⑧</t>
    <rPh sb="0" eb="4">
      <t>ゼンコクツウハン</t>
    </rPh>
    <rPh sb="5" eb="6">
      <t>ガツ</t>
    </rPh>
    <phoneticPr fontId="7"/>
  </si>
  <si>
    <t>JOD㊾</t>
    <phoneticPr fontId="7"/>
  </si>
  <si>
    <t>IEI7月号④</t>
    <rPh sb="4" eb="6">
      <t>ガツゴウ</t>
    </rPh>
    <phoneticPr fontId="7"/>
  </si>
  <si>
    <t>全国通販撮影用sample返却</t>
    <rPh sb="0" eb="4">
      <t>ゼンコクツウハン</t>
    </rPh>
    <rPh sb="4" eb="7">
      <t>サツエイヨウ</t>
    </rPh>
    <rPh sb="13" eb="15">
      <t>ヘンキャク</t>
    </rPh>
    <phoneticPr fontId="7"/>
  </si>
  <si>
    <t>JOD㊿</t>
    <phoneticPr fontId="7"/>
  </si>
  <si>
    <t>ベルーナ3企23盛夏⑭</t>
    <rPh sb="5" eb="6">
      <t>キ</t>
    </rPh>
    <rPh sb="8" eb="10">
      <t>セイカ</t>
    </rPh>
    <phoneticPr fontId="7"/>
  </si>
  <si>
    <t>JOD51</t>
    <phoneticPr fontId="7"/>
  </si>
  <si>
    <t>JOD52</t>
    <phoneticPr fontId="7"/>
  </si>
  <si>
    <t>全国通販8月ことせ2281⑨</t>
    <rPh sb="0" eb="4">
      <t>ゼンコクツウハン</t>
    </rPh>
    <rPh sb="5" eb="6">
      <t>ガツ</t>
    </rPh>
    <phoneticPr fontId="7"/>
  </si>
  <si>
    <t>はぴねすくらぶ6月号⑧</t>
    <rPh sb="8" eb="10">
      <t>ガツゴウ</t>
    </rPh>
    <phoneticPr fontId="7"/>
  </si>
  <si>
    <t>ベルーナ3企23盛夏⑮</t>
    <rPh sb="5" eb="6">
      <t>キ</t>
    </rPh>
    <rPh sb="8" eb="10">
      <t>セイカ</t>
    </rPh>
    <phoneticPr fontId="7"/>
  </si>
  <si>
    <t>全国通販8月ことせ2281⑩</t>
    <rPh sb="0" eb="4">
      <t>ゼンコクツウハン</t>
    </rPh>
    <rPh sb="5" eb="6">
      <t>ガツ</t>
    </rPh>
    <phoneticPr fontId="7"/>
  </si>
  <si>
    <t>JOD56</t>
    <phoneticPr fontId="7"/>
  </si>
  <si>
    <t>はぴねすくらぶ6月号⑨</t>
    <rPh sb="8" eb="10">
      <t>ガツゴウ</t>
    </rPh>
    <phoneticPr fontId="7"/>
  </si>
  <si>
    <t>JOD57</t>
    <phoneticPr fontId="7"/>
  </si>
  <si>
    <t>8/8～</t>
    <phoneticPr fontId="7"/>
  </si>
  <si>
    <t>JOD59</t>
    <phoneticPr fontId="7"/>
  </si>
  <si>
    <t>JOD60</t>
    <phoneticPr fontId="7"/>
  </si>
  <si>
    <t>全国通販8月ことせ2281⑪</t>
    <rPh sb="0" eb="4">
      <t>ゼンコクツウハン</t>
    </rPh>
    <rPh sb="5" eb="6">
      <t>ガツ</t>
    </rPh>
    <phoneticPr fontId="7"/>
  </si>
  <si>
    <t>電話注文</t>
    <rPh sb="0" eb="4">
      <t>デンワチュウモン</t>
    </rPh>
    <phoneticPr fontId="7"/>
  </si>
  <si>
    <t>JOD62</t>
    <phoneticPr fontId="7"/>
  </si>
  <si>
    <t>IEI7月号⑤</t>
    <rPh sb="4" eb="6">
      <t>ガツゴウ</t>
    </rPh>
    <phoneticPr fontId="7"/>
  </si>
  <si>
    <t>3Pへ移行</t>
    <rPh sb="3" eb="5">
      <t>イコウ</t>
    </rPh>
    <phoneticPr fontId="7"/>
  </si>
  <si>
    <t>追加2Pより移行</t>
    <rPh sb="0" eb="2">
      <t>ツイカ</t>
    </rPh>
    <rPh sb="6" eb="8">
      <t>イコウ</t>
    </rPh>
    <phoneticPr fontId="3"/>
  </si>
  <si>
    <t>JOD65</t>
    <phoneticPr fontId="7"/>
  </si>
  <si>
    <t>はぴねすくらぶ6月号⑩</t>
    <rPh sb="8" eb="10">
      <t>ガツゴウ</t>
    </rPh>
    <phoneticPr fontId="7"/>
  </si>
  <si>
    <t>夢販</t>
    <rPh sb="0" eb="2">
      <t>ユメハン</t>
    </rPh>
    <phoneticPr fontId="7"/>
  </si>
  <si>
    <t>はぴねすくらぶ6月号⑪</t>
    <rPh sb="8" eb="10">
      <t>ガツゴウ</t>
    </rPh>
    <phoneticPr fontId="7"/>
  </si>
  <si>
    <t>全国通販8月ことせ2281⑫</t>
    <rPh sb="0" eb="4">
      <t>ゼンコクツウハン</t>
    </rPh>
    <rPh sb="5" eb="6">
      <t>ガツ</t>
    </rPh>
    <phoneticPr fontId="7"/>
  </si>
  <si>
    <t>ベルーナ3企23盛夏⑯</t>
    <rPh sb="5" eb="6">
      <t>キ</t>
    </rPh>
    <rPh sb="8" eb="10">
      <t>セイカ</t>
    </rPh>
    <phoneticPr fontId="7"/>
  </si>
  <si>
    <t>JOD68</t>
    <phoneticPr fontId="7"/>
  </si>
  <si>
    <t>全国通販8月ことせ2281⑬</t>
    <rPh sb="0" eb="4">
      <t>ゼンコクツウハン</t>
    </rPh>
    <rPh sb="5" eb="6">
      <t>ガツ</t>
    </rPh>
    <phoneticPr fontId="7"/>
  </si>
  <si>
    <t>全国通販8月ことせ2281⑭</t>
    <rPh sb="0" eb="4">
      <t>ゼンコクツウハン</t>
    </rPh>
    <rPh sb="5" eb="6">
      <t>ガツ</t>
    </rPh>
    <phoneticPr fontId="7"/>
  </si>
  <si>
    <t>夢販</t>
    <rPh sb="0" eb="2">
      <t>ユメハン</t>
    </rPh>
    <phoneticPr fontId="7"/>
  </si>
  <si>
    <t>全国通販8月ことせ2281⑮</t>
    <rPh sb="0" eb="4">
      <t>ゼンコクツウハン</t>
    </rPh>
    <rPh sb="5" eb="6">
      <t>ガツ</t>
    </rPh>
    <phoneticPr fontId="7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</si>
  <si>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綿ジャガードブラキャミ＞KPORT在庫1P@710　2p\4600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</si>
  <si>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t>＜No.1852　綿ジャガードブラキャミ＞夢販在庫1P@７１０　2p\4600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</si>
  <si>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t>IEI交換</t>
    <rPh sb="3" eb="5">
      <t>コウカン</t>
    </rPh>
    <phoneticPr fontId="3"/>
  </si>
  <si>
    <t>全国通販8月ことせ2281⑯</t>
    <rPh sb="0" eb="4">
      <t>ゼンコクツウハン</t>
    </rPh>
    <rPh sb="5" eb="6">
      <t>ガツ</t>
    </rPh>
    <phoneticPr fontId="7"/>
  </si>
  <si>
    <t>ベルーナ3企23盛夏⑰</t>
    <rPh sb="5" eb="6">
      <t>キ</t>
    </rPh>
    <rPh sb="8" eb="10">
      <t>セイカ</t>
    </rPh>
    <phoneticPr fontId="7"/>
  </si>
  <si>
    <t>JOD70</t>
    <phoneticPr fontId="7"/>
  </si>
  <si>
    <t>全国通販8月ことせ2281⑰</t>
    <rPh sb="0" eb="4">
      <t>ゼンコクツウハン</t>
    </rPh>
    <rPh sb="5" eb="6">
      <t>ガツ</t>
    </rPh>
    <phoneticPr fontId="7"/>
  </si>
  <si>
    <t>夢販</t>
    <rPh sb="0" eb="2">
      <t>ユメハン</t>
    </rPh>
    <phoneticPr fontId="7"/>
  </si>
  <si>
    <t>ベルーナ3企23盛夏⑱</t>
    <rPh sb="5" eb="6">
      <t>キ</t>
    </rPh>
    <rPh sb="8" eb="10">
      <t>セイカ</t>
    </rPh>
    <phoneticPr fontId="7"/>
  </si>
  <si>
    <t>JOD71</t>
    <phoneticPr fontId="7"/>
  </si>
  <si>
    <t>全国通販8月ことせ2281⑱</t>
    <rPh sb="0" eb="4">
      <t>ゼンコクツウハン</t>
    </rPh>
    <rPh sb="5" eb="6">
      <t>ガツ</t>
    </rPh>
    <phoneticPr fontId="7"/>
  </si>
  <si>
    <t>２０２３年実績9/13</t>
    <rPh sb="4" eb="5">
      <t>ネン</t>
    </rPh>
    <rPh sb="5" eb="7">
      <t>ジッセキ</t>
    </rPh>
    <phoneticPr fontId="7"/>
  </si>
  <si>
    <t>ベルーナ3企23盛夏⑲</t>
    <rPh sb="5" eb="6">
      <t>キ</t>
    </rPh>
    <rPh sb="8" eb="10">
      <t>セイカ</t>
    </rPh>
    <phoneticPr fontId="7"/>
  </si>
  <si>
    <t>ベルーナ3企23盛夏⑳</t>
    <rPh sb="5" eb="6">
      <t>キ</t>
    </rPh>
    <rPh sb="8" eb="10">
      <t>セイカ</t>
    </rPh>
    <phoneticPr fontId="7"/>
  </si>
  <si>
    <t>IEI7月号⑥</t>
    <rPh sb="4" eb="6">
      <t>ガツゴウ</t>
    </rPh>
    <phoneticPr fontId="7"/>
  </si>
  <si>
    <t>2P→3Pへ移行</t>
    <rPh sb="6" eb="8">
      <t>イコウ</t>
    </rPh>
    <phoneticPr fontId="7"/>
  </si>
  <si>
    <t>ベルーナ3企23盛夏㉑</t>
    <rPh sb="5" eb="6">
      <t>キ</t>
    </rPh>
    <rPh sb="8" eb="10">
      <t>セイカ</t>
    </rPh>
    <phoneticPr fontId="7"/>
  </si>
  <si>
    <t>JOD73</t>
    <phoneticPr fontId="7"/>
  </si>
  <si>
    <t>JOD74</t>
  </si>
  <si>
    <t>JOD75</t>
  </si>
  <si>
    <t>ベルーナ返品</t>
    <rPh sb="4" eb="6">
      <t>ヘンピン</t>
    </rPh>
    <phoneticPr fontId="3"/>
  </si>
  <si>
    <t>はぴねす返品</t>
    <rPh sb="4" eb="6">
      <t>ヘンピン</t>
    </rPh>
    <phoneticPr fontId="7"/>
  </si>
  <si>
    <t>全国通販8月ことせ2281⑲</t>
    <rPh sb="0" eb="4">
      <t>ゼンコクツウハン</t>
    </rPh>
    <rPh sb="5" eb="6">
      <t>ガツ</t>
    </rPh>
    <phoneticPr fontId="7"/>
  </si>
  <si>
    <t>全国通販8月ことせ2281⑳</t>
    <rPh sb="0" eb="4">
      <t>ゼンコクツウハン</t>
    </rPh>
    <rPh sb="5" eb="6">
      <t>ガツ</t>
    </rPh>
    <phoneticPr fontId="7"/>
  </si>
  <si>
    <t>全国通販5月撮影用sample</t>
    <rPh sb="0" eb="4">
      <t>ゼンコクツウハン</t>
    </rPh>
    <rPh sb="5" eb="6">
      <t>ガツ</t>
    </rPh>
    <rPh sb="6" eb="9">
      <t>サツエイヨウ</t>
    </rPh>
    <phoneticPr fontId="7"/>
  </si>
  <si>
    <t>ベルーナ3企23盛夏㉒</t>
    <rPh sb="5" eb="6">
      <t>キ</t>
    </rPh>
    <rPh sb="8" eb="10">
      <t>セイカ</t>
    </rPh>
    <phoneticPr fontId="7"/>
  </si>
  <si>
    <t>在庫確認</t>
    <rPh sb="0" eb="4">
      <t>ザイコカクニン</t>
    </rPh>
    <phoneticPr fontId="7"/>
  </si>
  <si>
    <t>ロイヤルステージsample</t>
    <phoneticPr fontId="7"/>
  </si>
  <si>
    <t>千趣会sample(大江さん)</t>
    <rPh sb="0" eb="3">
      <t>センシュカイ</t>
    </rPh>
    <rPh sb="10" eb="12">
      <t>オオエ</t>
    </rPh>
    <phoneticPr fontId="7"/>
  </si>
  <si>
    <t>くらし（西山さん）サンプル</t>
    <rPh sb="4" eb="6">
      <t>ニシヤマ</t>
    </rPh>
    <phoneticPr fontId="7"/>
  </si>
  <si>
    <t>全国通販ことせ2379</t>
    <rPh sb="0" eb="4">
      <t>ゼンコクツウハン</t>
    </rPh>
    <phoneticPr fontId="7"/>
  </si>
  <si>
    <t>2/2～4/30</t>
    <phoneticPr fontId="7"/>
  </si>
  <si>
    <t>5/1～8/15</t>
    <phoneticPr fontId="7"/>
  </si>
  <si>
    <t>毎日が発見撮影用sample</t>
    <rPh sb="0" eb="2">
      <t>マイニチ</t>
    </rPh>
    <rPh sb="3" eb="8">
      <t>ハッケンサツエイヨウ</t>
    </rPh>
    <phoneticPr fontId="7"/>
  </si>
  <si>
    <t>ロイヤルステージ5月号</t>
    <rPh sb="9" eb="10">
      <t>ガツ</t>
    </rPh>
    <rPh sb="10" eb="11">
      <t>ゴウ</t>
    </rPh>
    <phoneticPr fontId="7"/>
  </si>
  <si>
    <t>IEI使ってヨカッタ4月号</t>
    <rPh sb="3" eb="4">
      <t>ツカ</t>
    </rPh>
    <rPh sb="11" eb="13">
      <t>ガツゴウ</t>
    </rPh>
    <phoneticPr fontId="7"/>
  </si>
  <si>
    <t>IEI6月号・7月号モカM/57、L/57、LL/58</t>
    <rPh sb="4" eb="6">
      <t>ガツゴウ</t>
    </rPh>
    <rPh sb="8" eb="10">
      <t>ガツゴウ</t>
    </rPh>
    <phoneticPr fontId="7"/>
  </si>
  <si>
    <t>全国通販ことせ2379①</t>
    <rPh sb="0" eb="4">
      <t>ゼンコクツウハン</t>
    </rPh>
    <phoneticPr fontId="7"/>
  </si>
  <si>
    <t xml:space="preserve">２０２４年はここから </t>
    <rPh sb="4" eb="5">
      <t>ネン</t>
    </rPh>
    <phoneticPr fontId="7"/>
  </si>
  <si>
    <t>全国通販ことせ2379②</t>
    <rPh sb="0" eb="4">
      <t>ゼンコクツウハン</t>
    </rPh>
    <phoneticPr fontId="7"/>
  </si>
  <si>
    <t>電話注文</t>
    <rPh sb="0" eb="4">
      <t>デンワチュウモン</t>
    </rPh>
    <phoneticPr fontId="7"/>
  </si>
  <si>
    <t>全国通販sample</t>
    <rPh sb="0" eb="10">
      <t>ゼンコクツウハンサンプル</t>
    </rPh>
    <phoneticPr fontId="7"/>
  </si>
  <si>
    <t>5/1～</t>
    <phoneticPr fontId="7"/>
  </si>
  <si>
    <t>JODメルシー0507</t>
    <phoneticPr fontId="7"/>
  </si>
  <si>
    <t>5/7～</t>
    <phoneticPr fontId="7"/>
  </si>
  <si>
    <t>全国通販ダイジェストW080</t>
    <rPh sb="0" eb="4">
      <t>ゼンコクツウハン</t>
    </rPh>
    <phoneticPr fontId="7"/>
  </si>
  <si>
    <t>4/24～7/31</t>
    <phoneticPr fontId="7"/>
  </si>
  <si>
    <t>全国通販ことせ2409/8月号テスト</t>
    <rPh sb="0" eb="4">
      <t>ゼンコクツウハン</t>
    </rPh>
    <rPh sb="13" eb="15">
      <t>ガツゴウ</t>
    </rPh>
    <phoneticPr fontId="7"/>
  </si>
  <si>
    <t>全国通販ことせ2399/7月号テスト</t>
    <rPh sb="0" eb="4">
      <t>ゼンコクツウハン</t>
    </rPh>
    <rPh sb="13" eb="15">
      <t>ガツゴウ</t>
    </rPh>
    <phoneticPr fontId="7"/>
  </si>
  <si>
    <t>全国通販2371</t>
    <rPh sb="0" eb="4">
      <t>ゼンコクツウハン</t>
    </rPh>
    <phoneticPr fontId="7"/>
  </si>
  <si>
    <t>4/8～</t>
    <phoneticPr fontId="7"/>
  </si>
  <si>
    <t>モカ２０２４年3/29時清光実在庫</t>
    <rPh sb="6" eb="7">
      <t>ネン</t>
    </rPh>
    <rPh sb="11" eb="12">
      <t>ジ</t>
    </rPh>
    <rPh sb="12" eb="14">
      <t>キヨミツ</t>
    </rPh>
    <rPh sb="13" eb="14">
      <t>コウ</t>
    </rPh>
    <rPh sb="14" eb="17">
      <t>ジツザイコ</t>
    </rPh>
    <phoneticPr fontId="7"/>
  </si>
  <si>
    <t>IEI使ってヨカッタ6月号</t>
    <rPh sb="3" eb="4">
      <t>ツカ</t>
    </rPh>
    <rPh sb="11" eb="13">
      <t>ガツゴウ</t>
    </rPh>
    <phoneticPr fontId="7"/>
  </si>
  <si>
    <t>6/3～</t>
    <phoneticPr fontId="7"/>
  </si>
  <si>
    <t>JODアクセス7001</t>
    <phoneticPr fontId="7"/>
  </si>
  <si>
    <t>6/14～</t>
    <phoneticPr fontId="7"/>
  </si>
  <si>
    <t>2024/4/2数伝</t>
    <rPh sb="8" eb="9">
      <t>スウ</t>
    </rPh>
    <rPh sb="9" eb="10">
      <t>デン</t>
    </rPh>
    <phoneticPr fontId="7"/>
  </si>
  <si>
    <t>はぴねすくらぶ4月号①</t>
    <rPh sb="8" eb="10">
      <t>ガツゴウ</t>
    </rPh>
    <phoneticPr fontId="7"/>
  </si>
  <si>
    <t>はぴねすくらぶ4月号</t>
    <rPh sb="8" eb="10">
      <t>ガツゴウ</t>
    </rPh>
    <phoneticPr fontId="7"/>
  </si>
  <si>
    <t>4/1～</t>
    <phoneticPr fontId="7"/>
  </si>
  <si>
    <t>IEI使ってヨカッタ4月号①</t>
    <rPh sb="3" eb="4">
      <t>ツカ</t>
    </rPh>
    <rPh sb="11" eb="13">
      <t>ガツゴウ</t>
    </rPh>
    <phoneticPr fontId="7"/>
  </si>
  <si>
    <t>全国通販チラシ2388</t>
    <rPh sb="0" eb="4">
      <t>ゼンコクツウハン</t>
    </rPh>
    <phoneticPr fontId="7"/>
  </si>
  <si>
    <t>5/31～8/31</t>
    <phoneticPr fontId="7"/>
  </si>
  <si>
    <t>毎日が発見5月号</t>
    <rPh sb="0" eb="2">
      <t>マイニチ</t>
    </rPh>
    <rPh sb="3" eb="5">
      <t>ハッケン</t>
    </rPh>
    <rPh sb="6" eb="8">
      <t>ガツゴウ</t>
    </rPh>
    <phoneticPr fontId="7"/>
  </si>
  <si>
    <t>毎日が発見5月号①</t>
    <rPh sb="0" eb="2">
      <t>マイニチ</t>
    </rPh>
    <rPh sb="3" eb="5">
      <t>ハッケン</t>
    </rPh>
    <rPh sb="6" eb="8">
      <t>ガツゴウ</t>
    </rPh>
    <phoneticPr fontId="7"/>
  </si>
  <si>
    <t>3色セット組分へ</t>
    <rPh sb="1" eb="2">
      <t>ショク</t>
    </rPh>
    <rPh sb="5" eb="6">
      <t>グミ</t>
    </rPh>
    <rPh sb="6" eb="7">
      <t>ブン</t>
    </rPh>
    <phoneticPr fontId="7"/>
  </si>
  <si>
    <t>はぴねすくらぶ4月号②</t>
    <rPh sb="8" eb="10">
      <t>ガツゴウ</t>
    </rPh>
    <phoneticPr fontId="7"/>
  </si>
  <si>
    <t>JODララコフレ7274</t>
    <phoneticPr fontId="7"/>
  </si>
  <si>
    <t>5/23～</t>
    <phoneticPr fontId="7"/>
  </si>
  <si>
    <t>2024/4/18数伝</t>
    <rPh sb="9" eb="11">
      <t>スウデン</t>
    </rPh>
    <phoneticPr fontId="7"/>
  </si>
  <si>
    <t>JOD特別版0605</t>
    <rPh sb="3" eb="6">
      <t>トクベツバン</t>
    </rPh>
    <phoneticPr fontId="7"/>
  </si>
  <si>
    <t>6/4～</t>
    <phoneticPr fontId="7"/>
  </si>
  <si>
    <t>JODメルシー0605</t>
    <phoneticPr fontId="7"/>
  </si>
  <si>
    <t>はぴねすくらぶ4月号③</t>
    <rPh sb="8" eb="10">
      <t>ガツゴウ</t>
    </rPh>
    <phoneticPr fontId="7"/>
  </si>
  <si>
    <t>JOD特別号9500</t>
    <rPh sb="3" eb="6">
      <t>トクベツゴウ</t>
    </rPh>
    <phoneticPr fontId="7"/>
  </si>
  <si>
    <t>2024/5/1伝数</t>
    <rPh sb="8" eb="9">
      <t>デン</t>
    </rPh>
    <rPh sb="9" eb="10">
      <t>スウ</t>
    </rPh>
    <phoneticPr fontId="7"/>
  </si>
  <si>
    <t>JOD①</t>
    <phoneticPr fontId="7"/>
  </si>
  <si>
    <t>はぴねすくらぶ4月号④</t>
    <rPh sb="8" eb="10">
      <t>ガツゴウ</t>
    </rPh>
    <phoneticPr fontId="7"/>
  </si>
  <si>
    <t>IEI使ってヨカッタ7月号</t>
    <rPh sb="3" eb="4">
      <t>ツカ</t>
    </rPh>
    <rPh sb="11" eb="13">
      <t>ガツゴウ</t>
    </rPh>
    <phoneticPr fontId="7"/>
  </si>
  <si>
    <t>7/8～</t>
    <phoneticPr fontId="7"/>
  </si>
  <si>
    <t>3色セット組分へ（7月納品分）</t>
    <rPh sb="1" eb="2">
      <t>ショク</t>
    </rPh>
    <rPh sb="5" eb="6">
      <t>グミ</t>
    </rPh>
    <rPh sb="6" eb="7">
      <t>ブン</t>
    </rPh>
    <rPh sb="10" eb="11">
      <t>ガツ</t>
    </rPh>
    <rPh sb="11" eb="14">
      <t>ノウヒンブン</t>
    </rPh>
    <phoneticPr fontId="7"/>
  </si>
  <si>
    <t>ロイヤルステージ5月号①</t>
    <rPh sb="9" eb="10">
      <t>ガツ</t>
    </rPh>
    <rPh sb="10" eb="11">
      <t>ゴウ</t>
    </rPh>
    <phoneticPr fontId="7"/>
  </si>
  <si>
    <t>はぴねすくらぶ4月号⑤</t>
    <rPh sb="8" eb="10">
      <t>ガツゴウ</t>
    </rPh>
    <phoneticPr fontId="7"/>
  </si>
  <si>
    <t>全国通販⑤</t>
    <rPh sb="0" eb="4">
      <t>ゼンコクツウハン</t>
    </rPh>
    <phoneticPr fontId="7"/>
  </si>
  <si>
    <t>はぴねすくらぶ4月号⑥</t>
    <rPh sb="8" eb="10">
      <t>ガツゴウ</t>
    </rPh>
    <phoneticPr fontId="7"/>
  </si>
  <si>
    <t>全国通販⑥</t>
    <rPh sb="0" eb="4">
      <t>ゼンコクツウハン</t>
    </rPh>
    <phoneticPr fontId="7"/>
  </si>
  <si>
    <t>全国通販⑦</t>
    <rPh sb="0" eb="4">
      <t>ゼンコクツウハン</t>
    </rPh>
    <phoneticPr fontId="7"/>
  </si>
  <si>
    <t>はぴねすくらぶ4月号⑦</t>
    <rPh sb="8" eb="10">
      <t>ガツゴウ</t>
    </rPh>
    <phoneticPr fontId="7"/>
  </si>
  <si>
    <t>IEI使ってヨカッタ78月号</t>
    <rPh sb="3" eb="4">
      <t>ツカ</t>
    </rPh>
    <rPh sb="12" eb="14">
      <t>ガツゴウ</t>
    </rPh>
    <phoneticPr fontId="7"/>
  </si>
  <si>
    <t>8/2～</t>
    <phoneticPr fontId="7"/>
  </si>
  <si>
    <t>全国通販⑧</t>
    <rPh sb="0" eb="4">
      <t>ゼンコクツウハン</t>
    </rPh>
    <phoneticPr fontId="7"/>
  </si>
  <si>
    <t>毎日が発見5月号②</t>
    <rPh sb="0" eb="2">
      <t>マイニチ</t>
    </rPh>
    <rPh sb="3" eb="5">
      <t>ハッケン</t>
    </rPh>
    <rPh sb="6" eb="8">
      <t>ガツゴウ</t>
    </rPh>
    <phoneticPr fontId="7"/>
  </si>
  <si>
    <t>全国通販⑨</t>
    <rPh sb="0" eb="4">
      <t>ゼンコクツウハン</t>
    </rPh>
    <phoneticPr fontId="7"/>
  </si>
  <si>
    <t>IEI使ってヨカッタ6月①</t>
    <rPh sb="3" eb="4">
      <t>ツカ</t>
    </rPh>
    <rPh sb="11" eb="12">
      <t>ガツ</t>
    </rPh>
    <phoneticPr fontId="7"/>
  </si>
  <si>
    <t>毎日が発見5月号③</t>
    <rPh sb="0" eb="2">
      <t>マイニチ</t>
    </rPh>
    <rPh sb="3" eb="5">
      <t>ハッケン</t>
    </rPh>
    <rPh sb="6" eb="8">
      <t>ガツゴウ</t>
    </rPh>
    <phoneticPr fontId="7"/>
  </si>
  <si>
    <t>全国通販⑩</t>
    <rPh sb="0" eb="4">
      <t>ゼンコクツウハン</t>
    </rPh>
    <phoneticPr fontId="7"/>
  </si>
  <si>
    <t>ロイヤルステージ5月号②</t>
    <rPh sb="9" eb="10">
      <t>ガツ</t>
    </rPh>
    <rPh sb="10" eb="11">
      <t>ゴウ</t>
    </rPh>
    <phoneticPr fontId="7"/>
  </si>
  <si>
    <t>毎日が発見5月号④</t>
    <rPh sb="0" eb="2">
      <t>マイニチ</t>
    </rPh>
    <rPh sb="3" eb="5">
      <t>ハッケン</t>
    </rPh>
    <rPh sb="6" eb="8">
      <t>ガツゴウ</t>
    </rPh>
    <phoneticPr fontId="7"/>
  </si>
  <si>
    <t>全国通販⑪</t>
    <rPh sb="0" eb="4">
      <t>ゼンコクツウハン</t>
    </rPh>
    <phoneticPr fontId="7"/>
  </si>
  <si>
    <t>全国通販⑫</t>
    <rPh sb="0" eb="4">
      <t>ゼンコクツウハン</t>
    </rPh>
    <phoneticPr fontId="7"/>
  </si>
  <si>
    <t>はぴねすくらぶ4月号⑧</t>
    <rPh sb="8" eb="10">
      <t>ガツゴウ</t>
    </rPh>
    <phoneticPr fontId="7"/>
  </si>
  <si>
    <t>はぴねすくらぶ4月号⑨</t>
    <rPh sb="8" eb="10">
      <t>ガツゴウ</t>
    </rPh>
    <phoneticPr fontId="7"/>
  </si>
  <si>
    <t xml:space="preserve">2024/6/1数伝 </t>
    <rPh sb="8" eb="9">
      <t>スウ</t>
    </rPh>
    <rPh sb="9" eb="10">
      <t>デン</t>
    </rPh>
    <phoneticPr fontId="7"/>
  </si>
  <si>
    <t>はぴねすくらぶ4月号⑩</t>
    <rPh sb="8" eb="10">
      <t>ガツゴウ</t>
    </rPh>
    <phoneticPr fontId="7"/>
  </si>
  <si>
    <t>全国通販ことせ2391/7月号</t>
    <rPh sb="0" eb="4">
      <t>ゼンコクツウハン</t>
    </rPh>
    <rPh sb="13" eb="14">
      <t>ガツ</t>
    </rPh>
    <rPh sb="14" eb="15">
      <t>ゴウ</t>
    </rPh>
    <phoneticPr fontId="7"/>
  </si>
  <si>
    <t>6/28～9/30</t>
    <phoneticPr fontId="7"/>
  </si>
  <si>
    <t>はぴねすくらぶ4月号⑪</t>
    <rPh sb="8" eb="10">
      <t>ガツゴウ</t>
    </rPh>
    <phoneticPr fontId="7"/>
  </si>
  <si>
    <t>JODメルシー0725</t>
    <phoneticPr fontId="7"/>
  </si>
  <si>
    <t>7/25～</t>
    <phoneticPr fontId="7"/>
  </si>
  <si>
    <t>毎日が発見撮影用sample返却</t>
    <rPh sb="0" eb="2">
      <t>マイニチ</t>
    </rPh>
    <rPh sb="3" eb="8">
      <t>ハッケンサツエイヨウ</t>
    </rPh>
    <rPh sb="14" eb="16">
      <t>ヘンキャク</t>
    </rPh>
    <phoneticPr fontId="7"/>
  </si>
  <si>
    <t>JOD㉒西濃</t>
    <rPh sb="4" eb="6">
      <t>セイノウ</t>
    </rPh>
    <phoneticPr fontId="7"/>
  </si>
  <si>
    <t>全国通販⑬</t>
    <rPh sb="0" eb="4">
      <t>ゼンコクツウハン</t>
    </rPh>
    <phoneticPr fontId="7"/>
  </si>
  <si>
    <t>はぴねすくらぶ4月号⑫</t>
    <rPh sb="8" eb="10">
      <t>ガツゴウ</t>
    </rPh>
    <phoneticPr fontId="7"/>
  </si>
  <si>
    <t>全国通販⑭</t>
    <rPh sb="0" eb="4">
      <t>ゼンコクツウハン</t>
    </rPh>
    <phoneticPr fontId="7"/>
  </si>
  <si>
    <t>IEI使ってヨカッタ7月号①</t>
    <rPh sb="3" eb="4">
      <t>ツカ</t>
    </rPh>
    <rPh sb="11" eb="13">
      <t>ガツゴウ</t>
    </rPh>
    <phoneticPr fontId="7"/>
  </si>
  <si>
    <t>JOD特別版0803</t>
    <rPh sb="3" eb="6">
      <t>トクベツバン</t>
    </rPh>
    <phoneticPr fontId="7"/>
  </si>
  <si>
    <t>8/3～</t>
    <phoneticPr fontId="7"/>
  </si>
  <si>
    <t>はぴねすくらぶ4月号⑬</t>
    <rPh sb="8" eb="10">
      <t>ガツゴウ</t>
    </rPh>
    <phoneticPr fontId="7"/>
  </si>
  <si>
    <t>2024/7/1数伝</t>
    <rPh sb="8" eb="10">
      <t>スウデン</t>
    </rPh>
    <phoneticPr fontId="7"/>
  </si>
  <si>
    <t>2024/7/1数伝</t>
    <rPh sb="8" eb="10">
      <t>スウデン</t>
    </rPh>
    <phoneticPr fontId="7"/>
  </si>
  <si>
    <t>JOD特別号9507</t>
    <rPh sb="3" eb="5">
      <t>トクベツ</t>
    </rPh>
    <rPh sb="5" eb="6">
      <t>ゴウ</t>
    </rPh>
    <phoneticPr fontId="7"/>
  </si>
  <si>
    <t>8/7～</t>
    <phoneticPr fontId="7"/>
  </si>
  <si>
    <t>毎日が発見5月号⑤</t>
    <rPh sb="0" eb="2">
      <t>マイニチ</t>
    </rPh>
    <rPh sb="3" eb="5">
      <t>ハッケン</t>
    </rPh>
    <rPh sb="6" eb="8">
      <t>ガツゴウ</t>
    </rPh>
    <phoneticPr fontId="7"/>
  </si>
  <si>
    <t>はぴねすくらぶ4月号⑭</t>
    <rPh sb="8" eb="10">
      <t>ガツゴウ</t>
    </rPh>
    <phoneticPr fontId="7"/>
  </si>
  <si>
    <t>全国通販⑮</t>
    <rPh sb="0" eb="4">
      <t>ゼンコクツウハン</t>
    </rPh>
    <phoneticPr fontId="7"/>
  </si>
  <si>
    <t>全国通販ことせ2401/8月号</t>
    <rPh sb="0" eb="4">
      <t>ゼンコクツウハン</t>
    </rPh>
    <rPh sb="13" eb="14">
      <t>ガツ</t>
    </rPh>
    <rPh sb="14" eb="15">
      <t>ゴウ</t>
    </rPh>
    <phoneticPr fontId="7"/>
  </si>
  <si>
    <t>7/26～10/31</t>
    <phoneticPr fontId="7"/>
  </si>
  <si>
    <t>はぴねすくらぶ4月号⑮</t>
    <rPh sb="8" eb="10">
      <t>ガツゴウ</t>
    </rPh>
    <phoneticPr fontId="7"/>
  </si>
  <si>
    <t>毎日が発見5月号⑥</t>
    <rPh sb="0" eb="2">
      <t>マイニチ</t>
    </rPh>
    <rPh sb="3" eb="5">
      <t>ハッケン</t>
    </rPh>
    <rPh sb="6" eb="8">
      <t>ガツゴウ</t>
    </rPh>
    <phoneticPr fontId="7"/>
  </si>
  <si>
    <t>全国通販⑯</t>
    <rPh sb="0" eb="4">
      <t>ゼンコクツウハン</t>
    </rPh>
    <phoneticPr fontId="7"/>
  </si>
  <si>
    <t>全国通販⑰</t>
    <rPh sb="0" eb="4">
      <t>ゼンコクツウハン</t>
    </rPh>
    <phoneticPr fontId="7"/>
  </si>
  <si>
    <t>はぴねすくらぶ4月号⑯</t>
    <rPh sb="8" eb="10">
      <t>ガツゴウ</t>
    </rPh>
    <phoneticPr fontId="7"/>
  </si>
  <si>
    <t>全国通販⑱</t>
    <rPh sb="0" eb="4">
      <t>ゼンコクツウハン</t>
    </rPh>
    <phoneticPr fontId="7"/>
  </si>
  <si>
    <t>IEI使ってヨカッタ78月号①</t>
    <rPh sb="3" eb="4">
      <t>ツカ</t>
    </rPh>
    <rPh sb="12" eb="14">
      <t>ガツゴウ</t>
    </rPh>
    <phoneticPr fontId="7"/>
  </si>
  <si>
    <t>全国通販⑲</t>
    <rPh sb="0" eb="4">
      <t>ゼンコクツウハン</t>
    </rPh>
    <phoneticPr fontId="7"/>
  </si>
  <si>
    <t>全国通販⑳</t>
    <rPh sb="0" eb="4">
      <t>ゼンコクツウハン</t>
    </rPh>
    <phoneticPr fontId="7"/>
  </si>
  <si>
    <t>全国通販㉑</t>
    <rPh sb="0" eb="4">
      <t>ゼンコクツウハン</t>
    </rPh>
    <phoneticPr fontId="7"/>
  </si>
  <si>
    <t>全国通販㉒</t>
    <rPh sb="0" eb="4">
      <t>ゼンコクツウハン</t>
    </rPh>
    <phoneticPr fontId="7"/>
  </si>
  <si>
    <t>IEI使ってヨカッタ79月号</t>
    <rPh sb="3" eb="4">
      <t>ツカ</t>
    </rPh>
    <rPh sb="12" eb="14">
      <t>ガツゴウ</t>
    </rPh>
    <phoneticPr fontId="7"/>
  </si>
  <si>
    <t>IEI3色組へ移行</t>
    <rPh sb="4" eb="5">
      <t>ショク</t>
    </rPh>
    <rPh sb="5" eb="6">
      <t>グミ</t>
    </rPh>
    <rPh sb="7" eb="9">
      <t>イコウ</t>
    </rPh>
    <phoneticPr fontId="7"/>
  </si>
  <si>
    <t>9/2～</t>
    <phoneticPr fontId="7"/>
  </si>
  <si>
    <t>ロイヤル返品</t>
    <rPh sb="4" eb="6">
      <t>ヘンピン</t>
    </rPh>
    <phoneticPr fontId="3"/>
  </si>
  <si>
    <t>全国通販㉓</t>
    <rPh sb="0" eb="4">
      <t>ゼンコクツウハン</t>
    </rPh>
    <phoneticPr fontId="7"/>
  </si>
  <si>
    <t>9月伝票</t>
    <rPh sb="1" eb="4">
      <t>ガツデンピョウ</t>
    </rPh>
    <phoneticPr fontId="7"/>
  </si>
  <si>
    <t>全国通販㉔</t>
    <rPh sb="0" eb="4">
      <t>ゼンコクツウハン</t>
    </rPh>
    <phoneticPr fontId="7"/>
  </si>
  <si>
    <t>9月伝票</t>
    <rPh sb="1" eb="2">
      <t>ガツ</t>
    </rPh>
    <rPh sb="2" eb="4">
      <t>デンピョウ</t>
    </rPh>
    <phoneticPr fontId="7"/>
  </si>
  <si>
    <t>JOD55</t>
  </si>
  <si>
    <t>JOD57</t>
    <phoneticPr fontId="7"/>
  </si>
  <si>
    <t>JOD58</t>
    <phoneticPr fontId="7"/>
  </si>
  <si>
    <t>全国通販㉕</t>
    <rPh sb="0" eb="4">
      <t>ゼンコクツウハン</t>
    </rPh>
    <phoneticPr fontId="7"/>
  </si>
  <si>
    <t>JOD61</t>
    <phoneticPr fontId="7"/>
  </si>
  <si>
    <t>電話注文</t>
    <rPh sb="0" eb="4">
      <t>デンワチュウモン</t>
    </rPh>
    <phoneticPr fontId="7"/>
  </si>
  <si>
    <t>IEI使ってヨカッタ79月号①</t>
    <rPh sb="3" eb="4">
      <t>ツカ</t>
    </rPh>
    <rPh sb="12" eb="14">
      <t>ガツゴウ</t>
    </rPh>
    <phoneticPr fontId="7"/>
  </si>
  <si>
    <t>JOD64</t>
    <phoneticPr fontId="7"/>
  </si>
  <si>
    <t>全国通販㉖</t>
    <rPh sb="0" eb="4">
      <t>ゼンコクツウハン</t>
    </rPh>
    <phoneticPr fontId="7"/>
  </si>
  <si>
    <t>２０２５年～</t>
    <rPh sb="4" eb="5">
      <t>ネン</t>
    </rPh>
    <phoneticPr fontId="7"/>
  </si>
  <si>
    <t>2024年実績</t>
    <rPh sb="4" eb="5">
      <t>ネン</t>
    </rPh>
    <rPh sb="5" eb="7">
      <t>ジッセキ</t>
    </rPh>
    <phoneticPr fontId="7"/>
  </si>
  <si>
    <t>全国通販㉗</t>
    <rPh sb="0" eb="4">
      <t>ゼンコクツウハン</t>
    </rPh>
    <phoneticPr fontId="7"/>
  </si>
  <si>
    <t>サクラマチ斎藤様sample</t>
    <rPh sb="5" eb="8">
      <t>サイトウサマ</t>
    </rPh>
    <phoneticPr fontId="7"/>
  </si>
  <si>
    <t>IEI交換</t>
    <rPh sb="3" eb="5">
      <t>コウカン</t>
    </rPh>
    <phoneticPr fontId="7"/>
  </si>
  <si>
    <t>ニッセン25初夏号アトランダムAP</t>
    <rPh sb="6" eb="9">
      <t>ショカゴウ</t>
    </rPh>
    <phoneticPr fontId="7"/>
  </si>
  <si>
    <t>3/下旬～9/末</t>
    <rPh sb="2" eb="4">
      <t>ゲジュン</t>
    </rPh>
    <rPh sb="7" eb="8">
      <t>マツ</t>
    </rPh>
    <phoneticPr fontId="7"/>
  </si>
  <si>
    <t>＜No.1852　綿ジャガードブラキャミ＞夢販在庫1P@82０　2p\4600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</si>
  <si>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綿ジャガードブラキャミ＞KPORT在庫1P@820　2p\4600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</si>
  <si>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t>全国通販㉘</t>
    <rPh sb="0" eb="4">
      <t>ゼンコクツウハン</t>
    </rPh>
    <phoneticPr fontId="7"/>
  </si>
  <si>
    <t>夢販</t>
    <rPh sb="0" eb="2">
      <t>ユメハン</t>
    </rPh>
    <phoneticPr fontId="7"/>
  </si>
  <si>
    <t>JOD69</t>
    <phoneticPr fontId="7"/>
  </si>
  <si>
    <t>IEI使ってヨカッタ79月号②</t>
    <rPh sb="3" eb="4">
      <t>ツカ</t>
    </rPh>
    <rPh sb="12" eb="14">
      <t>ガツゴウ</t>
    </rPh>
    <phoneticPr fontId="7"/>
  </si>
  <si>
    <t>JOD70</t>
    <phoneticPr fontId="7"/>
  </si>
  <si>
    <t>JOD73</t>
  </si>
  <si>
    <t>全国通販㉙</t>
    <rPh sb="0" eb="4">
      <t>ゼンコクツウハン</t>
    </rPh>
    <phoneticPr fontId="7"/>
  </si>
  <si>
    <t>JOD74</t>
    <phoneticPr fontId="7"/>
  </si>
  <si>
    <t>電話注文</t>
    <rPh sb="0" eb="4">
      <t>デンワチュウモン</t>
    </rPh>
    <phoneticPr fontId="7"/>
  </si>
  <si>
    <t>ニッセン撮影用sample</t>
    <rPh sb="4" eb="6">
      <t>サツエイ</t>
    </rPh>
    <rPh sb="6" eb="7">
      <t>ヨウ</t>
    </rPh>
    <phoneticPr fontId="7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</si>
  <si>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綿ジャガードブラキャミ＞KPORT在庫1P@820→802　2p\4600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</si>
  <si>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t>追加 3-2</t>
    <rPh sb="0" eb="2">
      <t>ツイカ</t>
    </rPh>
    <phoneticPr fontId="3"/>
  </si>
  <si>
    <t>追加 3-1</t>
    <rPh sb="0" eb="2">
      <t>ツイカ</t>
    </rPh>
    <phoneticPr fontId="3"/>
  </si>
  <si>
    <t>追加 3-3</t>
    <rPh sb="0" eb="2">
      <t>ツイカ</t>
    </rPh>
    <phoneticPr fontId="3"/>
  </si>
  <si>
    <t>＜No.1852　綿ジャガードブラキャミ＞夢販在庫1P@82０→802　2p\4600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</si>
  <si>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t>毎日が発見返品</t>
    <rPh sb="0" eb="2">
      <t>マイニチ</t>
    </rPh>
    <rPh sb="3" eb="7">
      <t>ハッケンヘンピン</t>
    </rPh>
    <phoneticPr fontId="3"/>
  </si>
  <si>
    <t>全国通販㉚</t>
    <rPh sb="0" eb="4">
      <t>ゼンコクツウハン</t>
    </rPh>
    <phoneticPr fontId="7"/>
  </si>
  <si>
    <t>全国通販㉛</t>
    <rPh sb="0" eb="4">
      <t>ゼンコクツウハン</t>
    </rPh>
    <phoneticPr fontId="7"/>
  </si>
  <si>
    <t>ことせ2499（ハルメクアルファ）</t>
    <phoneticPr fontId="7"/>
  </si>
  <si>
    <t>1/31～4/30</t>
    <phoneticPr fontId="7"/>
  </si>
  <si>
    <t>全国通販sample返却</t>
    <rPh sb="10" eb="12">
      <t>ヘンキャク</t>
    </rPh>
    <phoneticPr fontId="7"/>
  </si>
  <si>
    <t>毎日が発見2025年6月号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</si>
  <si>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ロイヤルステージsample返却</t>
    <rPh sb="14" eb="16">
      <t>ヘンキャク</t>
    </rPh>
    <phoneticPr fontId="7"/>
  </si>
  <si>
    <t>モカ在庫1/6</t>
    <rPh sb="2" eb="4">
      <t>ザイコ</t>
    </rPh>
    <phoneticPr fontId="7"/>
  </si>
  <si>
    <t>２０２４年　IEI実績</t>
    <rPh sb="4" eb="5">
      <t>ネン</t>
    </rPh>
    <rPh sb="9" eb="11">
      <t>ジッセキ</t>
    </rPh>
    <phoneticPr fontId="7"/>
  </si>
  <si>
    <t>追加 1-1</t>
    <rPh sb="0" eb="2">
      <t>ツイカ</t>
    </rPh>
    <phoneticPr fontId="3"/>
  </si>
  <si>
    <t>ことせ2519（ハルメクアルファ）</t>
    <phoneticPr fontId="7"/>
  </si>
  <si>
    <t>毎日が発見2025年6月号差分予測</t>
    <rPh sb="0" eb="2">
      <t>マイニチ</t>
    </rPh>
    <rPh sb="3" eb="5">
      <t>ハッケン</t>
    </rPh>
    <rPh sb="9" eb="10">
      <t>ネン</t>
    </rPh>
    <rPh sb="11" eb="13">
      <t>ガツゴウ</t>
    </rPh>
    <rPh sb="13" eb="17">
      <t>サブンヨソク</t>
    </rPh>
    <phoneticPr fontId="7"/>
  </si>
  <si>
    <t>ニッセン25初夏号アトランダム差分予測</t>
    <rPh sb="6" eb="9">
      <t>ショカゴウ</t>
    </rPh>
    <rPh sb="15" eb="19">
      <t>サブンヨソク</t>
    </rPh>
    <phoneticPr fontId="7"/>
  </si>
  <si>
    <t>ハルメク総合差分予測</t>
    <rPh sb="4" eb="6">
      <t>ソウゴウ</t>
    </rPh>
    <rPh sb="6" eb="10">
      <t>サブンヨソク</t>
    </rPh>
    <phoneticPr fontId="7"/>
  </si>
  <si>
    <t>２色組より移動</t>
    <rPh sb="1" eb="3">
      <t>ショクグミ</t>
    </rPh>
    <rPh sb="5" eb="7">
      <t>イドウ</t>
    </rPh>
    <phoneticPr fontId="3"/>
  </si>
  <si>
    <t>4/7～</t>
    <phoneticPr fontId="7"/>
  </si>
  <si>
    <t>ことせ2499（ハルメクアルファ）①</t>
    <phoneticPr fontId="7"/>
  </si>
  <si>
    <t>ことせ2529（ハルメクアルファ）</t>
    <phoneticPr fontId="7"/>
  </si>
  <si>
    <t>JODメルシー0325</t>
    <phoneticPr fontId="7"/>
  </si>
  <si>
    <t>3/25～</t>
    <phoneticPr fontId="7"/>
  </si>
  <si>
    <t>ニッセン25初夏号アトランダムAP①</t>
    <rPh sb="6" eb="9">
      <t>ショカゴウ</t>
    </rPh>
    <phoneticPr fontId="7"/>
  </si>
  <si>
    <t>点6/12　アバ6/24　6/24～6/30</t>
    <rPh sb="0" eb="1">
      <t>テン</t>
    </rPh>
    <phoneticPr fontId="7"/>
  </si>
  <si>
    <t>パルシステムキナリ7月１回</t>
    <rPh sb="10" eb="11">
      <t>ガツ</t>
    </rPh>
    <rPh sb="12" eb="13">
      <t>カイ</t>
    </rPh>
    <phoneticPr fontId="7"/>
  </si>
  <si>
    <t>パルシステムキナリ7月1回差分予測</t>
    <rPh sb="10" eb="11">
      <t>ガツ</t>
    </rPh>
    <rPh sb="12" eb="13">
      <t>カイ</t>
    </rPh>
    <rPh sb="13" eb="17">
      <t>サブンヨソク</t>
    </rPh>
    <phoneticPr fontId="7"/>
  </si>
  <si>
    <t>在庫</t>
    <rPh sb="0" eb="2">
      <t>ザイコ</t>
    </rPh>
    <phoneticPr fontId="7"/>
  </si>
  <si>
    <t>実績</t>
    <rPh sb="0" eb="2">
      <t>ジッセキ</t>
    </rPh>
    <phoneticPr fontId="7"/>
  </si>
  <si>
    <t>在庫構成比</t>
    <rPh sb="0" eb="2">
      <t>ザイコ</t>
    </rPh>
    <rPh sb="2" eb="5">
      <t>コウセイヒ</t>
    </rPh>
    <phoneticPr fontId="7"/>
  </si>
  <si>
    <t>IEI 3Pセット(3Pへ移行する）</t>
    <rPh sb="13" eb="15">
      <t>イコウ</t>
    </rPh>
    <phoneticPr fontId="7"/>
  </si>
  <si>
    <t>くらし（きなり流）sample</t>
    <rPh sb="7" eb="8">
      <t>リュウ</t>
    </rPh>
    <phoneticPr fontId="7"/>
  </si>
  <si>
    <t>電話注文品</t>
    <rPh sb="0" eb="5">
      <t>デンワチュウモンヒン</t>
    </rPh>
    <phoneticPr fontId="7"/>
  </si>
  <si>
    <t>JODルリネ0418</t>
    <phoneticPr fontId="7"/>
  </si>
  <si>
    <t>4/15～</t>
    <phoneticPr fontId="7"/>
  </si>
  <si>
    <t>チラシ2508（ハルメクアルファ）</t>
    <phoneticPr fontId="7"/>
  </si>
  <si>
    <t>5/30～8/31</t>
    <phoneticPr fontId="7"/>
  </si>
  <si>
    <t>ことせ5月号2491（ハルメクアルファ）</t>
    <rPh sb="4" eb="6">
      <t>ガツゴウ</t>
    </rPh>
    <phoneticPr fontId="7"/>
  </si>
  <si>
    <t>JOD①</t>
    <phoneticPr fontId="7"/>
  </si>
  <si>
    <t>JODメルシー0519</t>
    <phoneticPr fontId="7"/>
  </si>
  <si>
    <t>IEI使ってヨカッタ8月号 3Pセット</t>
    <rPh sb="3" eb="4">
      <t>ツカ</t>
    </rPh>
    <rPh sb="11" eb="13">
      <t>ガツゴウ</t>
    </rPh>
    <phoneticPr fontId="7"/>
  </si>
  <si>
    <t>ニッセン25初夏号アトランダムAP②</t>
    <rPh sb="6" eb="9">
      <t>ショカゴウ</t>
    </rPh>
    <phoneticPr fontId="7"/>
  </si>
  <si>
    <t>毎日が発見2025年6月号①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</si>
  <si>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2025/4/18数伝</t>
    <rPh sb="9" eb="10">
      <t>スウ</t>
    </rPh>
    <rPh sb="10" eb="11">
      <t>デン</t>
    </rPh>
    <phoneticPr fontId="7"/>
  </si>
  <si>
    <t>JOD⑰（西濃）</t>
    <rPh sb="5" eb="7">
      <t>セイノウ</t>
    </rPh>
    <phoneticPr fontId="7"/>
  </si>
  <si>
    <t>2024/5/1数伝</t>
    <rPh sb="8" eb="9">
      <t>スウ</t>
    </rPh>
    <rPh sb="9" eb="10">
      <t>デン</t>
    </rPh>
    <phoneticPr fontId="7"/>
  </si>
  <si>
    <t>ニッセン25初夏号アトランダムAP③</t>
    <rPh sb="6" eb="9">
      <t>ショカゴウ</t>
    </rPh>
    <phoneticPr fontId="7"/>
  </si>
  <si>
    <t>ハルメクアルファ①</t>
    <phoneticPr fontId="7"/>
  </si>
  <si>
    <t>ハルメクアルファ②</t>
    <phoneticPr fontId="7"/>
  </si>
  <si>
    <t>毎日が発見2025年6月号②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</si>
  <si>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ハルメクアルファ③</t>
    <phoneticPr fontId="7"/>
  </si>
  <si>
    <t>→</t>
    <phoneticPr fontId="7"/>
  </si>
  <si>
    <t>ニッセン25初夏号アトランダムAP④</t>
    <rPh sb="6" eb="9">
      <t>ショカゴウ</t>
    </rPh>
    <phoneticPr fontId="7"/>
  </si>
  <si>
    <t>ニッセン25初夏号アトランダムAP⑤</t>
    <rPh sb="6" eb="9">
      <t>ショカゴウ</t>
    </rPh>
    <phoneticPr fontId="7"/>
  </si>
  <si>
    <t>毎日が発見2025年6月号③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</si>
  <si>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ハルメクアルファ④</t>
    <phoneticPr fontId="7"/>
  </si>
  <si>
    <t>ハルメクアルファ⑤</t>
    <phoneticPr fontId="7"/>
  </si>
  <si>
    <t>8/4～</t>
    <phoneticPr fontId="7"/>
  </si>
  <si>
    <t>ハルメクアルファ⑥</t>
    <phoneticPr fontId="7"/>
  </si>
  <si>
    <t>ことせ5月号2491差分予測</t>
    <rPh sb="4" eb="6">
      <t>ガツゴウ</t>
    </rPh>
    <rPh sb="10" eb="14">
      <t>サブンヨソク</t>
    </rPh>
    <phoneticPr fontId="7"/>
  </si>
  <si>
    <t>JODメルシー0704</t>
    <phoneticPr fontId="7"/>
  </si>
  <si>
    <t>7/4～</t>
    <phoneticPr fontId="7"/>
  </si>
  <si>
    <t>パルシステムキナリ7月１回①</t>
    <rPh sb="10" eb="11">
      <t>ガツ</t>
    </rPh>
    <rPh sb="12" eb="13">
      <t>カイ</t>
    </rPh>
    <phoneticPr fontId="7"/>
  </si>
  <si>
    <t>JOD特別版0718</t>
    <rPh sb="3" eb="6">
      <t>トクベツバン</t>
    </rPh>
    <phoneticPr fontId="7"/>
  </si>
  <si>
    <t>7/17～</t>
    <phoneticPr fontId="7"/>
  </si>
  <si>
    <t>2025/6/3数伝</t>
    <rPh sb="8" eb="9">
      <t>スウ</t>
    </rPh>
    <rPh sb="9" eb="10">
      <t>デン</t>
    </rPh>
    <phoneticPr fontId="7"/>
  </si>
  <si>
    <t>ことせ7月号2511（ハルメクアルファ）</t>
    <rPh sb="4" eb="6">
      <t>ガツゴウ</t>
    </rPh>
    <phoneticPr fontId="7"/>
  </si>
  <si>
    <t>ことせ7月号2511（ハルメクアルファ）差分予測</t>
    <rPh sb="4" eb="5">
      <t>ガツ</t>
    </rPh>
    <rPh sb="5" eb="6">
      <t>ゴウ</t>
    </rPh>
    <rPh sb="20" eb="24">
      <t>サブンヨソク</t>
    </rPh>
    <phoneticPr fontId="7"/>
  </si>
  <si>
    <t>6/27～9/30</t>
    <phoneticPr fontId="7"/>
  </si>
  <si>
    <t>毎日が発見2025年6月号④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</si>
  <si>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JODララコフレ7464（表）</t>
    <rPh sb="13" eb="14">
      <t>オモテ</t>
    </rPh>
    <phoneticPr fontId="7"/>
  </si>
  <si>
    <t>毎日が発見2025年6月号⑤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</si>
  <si>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ニッセン撮影用sample返却</t>
    <rPh sb="4" eb="6">
      <t>サツエイ</t>
    </rPh>
    <rPh sb="6" eb="7">
      <t>ヨウ</t>
    </rPh>
    <rPh sb="13" eb="15">
      <t>ヘンキャク</t>
    </rPh>
    <phoneticPr fontId="7"/>
  </si>
  <si>
    <t>JOD7011アクセス</t>
    <phoneticPr fontId="7"/>
  </si>
  <si>
    <t>8/18～</t>
    <phoneticPr fontId="7"/>
  </si>
  <si>
    <t>ハルメクアルファ⑦</t>
    <phoneticPr fontId="7"/>
  </si>
  <si>
    <t>パルシステムキナリ7月１回②</t>
    <rPh sb="10" eb="11">
      <t>ガツ</t>
    </rPh>
    <rPh sb="12" eb="13">
      <t>カイ</t>
    </rPh>
    <phoneticPr fontId="7"/>
  </si>
  <si>
    <t>2024/7/1→６/２４までに依頼済み数伝</t>
    <rPh sb="16" eb="18">
      <t>イライ</t>
    </rPh>
    <rPh sb="18" eb="19">
      <t>ズ</t>
    </rPh>
    <rPh sb="20" eb="21">
      <t>スウ</t>
    </rPh>
    <rPh sb="21" eb="22">
      <t>デン</t>
    </rPh>
    <phoneticPr fontId="7"/>
  </si>
  <si>
    <t>ハルメクアルファ⑧</t>
    <phoneticPr fontId="7"/>
  </si>
  <si>
    <t>パルシステムキナリ7月１回③</t>
    <rPh sb="10" eb="11">
      <t>ガツ</t>
    </rPh>
    <rPh sb="12" eb="13">
      <t>カイ</t>
    </rPh>
    <phoneticPr fontId="7"/>
  </si>
  <si>
    <t>7/1数伝モカのみ清光ランジェリーより仕入れ</t>
    <rPh sb="3" eb="5">
      <t>スウデン</t>
    </rPh>
    <rPh sb="9" eb="11">
      <t>セイコウ</t>
    </rPh>
    <rPh sb="19" eb="21">
      <t>シイ</t>
    </rPh>
    <phoneticPr fontId="7"/>
  </si>
  <si>
    <t>毎日が発見2025年6月号⑥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</si>
  <si>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ことせ8月号2521（ハルメクアルファ）</t>
    <rPh sb="4" eb="6">
      <t>ガツゴウ</t>
    </rPh>
    <phoneticPr fontId="7"/>
  </si>
  <si>
    <t>7/25～10/31</t>
    <phoneticPr fontId="7"/>
  </si>
  <si>
    <t>清光ランジェリー　モカ在庫1/6</t>
    <rPh sb="0" eb="1">
      <t>キヨ</t>
    </rPh>
    <rPh sb="1" eb="2">
      <t>ヒカリ</t>
    </rPh>
    <rPh sb="11" eb="13">
      <t>ザイコ</t>
    </rPh>
    <phoneticPr fontId="7"/>
  </si>
  <si>
    <t>ハルメクアルファ⑨</t>
    <phoneticPr fontId="7"/>
  </si>
  <si>
    <t>ニッセン25初夏号アトランダムAP⑥</t>
    <rPh sb="6" eb="9">
      <t>ショカゴウ</t>
    </rPh>
    <phoneticPr fontId="7"/>
  </si>
  <si>
    <t>ハルメクアルファ⑩</t>
    <phoneticPr fontId="7"/>
  </si>
  <si>
    <t>毎日が発見2025年6月号⑦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</si>
  <si>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2025/7/10数伝</t>
    <rPh sb="9" eb="10">
      <t>スウ</t>
    </rPh>
    <rPh sb="10" eb="11">
      <t>デン</t>
    </rPh>
    <phoneticPr fontId="7"/>
  </si>
  <si>
    <t>毎日が発見2025年6月号⑧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</si>
  <si>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2025/7/15数伝</t>
    <rPh sb="9" eb="10">
      <t>スウ</t>
    </rPh>
    <rPh sb="10" eb="11">
      <t>デン</t>
    </rPh>
    <phoneticPr fontId="7"/>
  </si>
  <si>
    <t>毎日が発見2025年6月号⑨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</si>
  <si>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ハルメクアルファ⑪</t>
    <phoneticPr fontId="7"/>
  </si>
  <si>
    <t>JOD㊽</t>
    <phoneticPr fontId="7"/>
  </si>
  <si>
    <t>ハルメクアルファ⑫</t>
    <phoneticPr fontId="7"/>
  </si>
  <si>
    <t>IEI使ってヨカッタ8月号 3Pセット①</t>
    <rPh sb="3" eb="4">
      <t>ツカ</t>
    </rPh>
    <rPh sb="11" eb="13">
      <t>ガツゴウ</t>
    </rPh>
    <phoneticPr fontId="7"/>
  </si>
  <si>
    <t>ニッセン25初夏号アトランダムAP⑦</t>
    <rPh sb="6" eb="9">
      <t>ショカゴウ</t>
    </rPh>
    <phoneticPr fontId="7"/>
  </si>
  <si>
    <t>ハルメクアルファ⑬</t>
    <phoneticPr fontId="7"/>
  </si>
  <si>
    <t>ニッセン25初夏号アトランダムAP⑧</t>
    <rPh sb="6" eb="9">
      <t>ショカゴウ</t>
    </rPh>
    <phoneticPr fontId="7"/>
  </si>
  <si>
    <t>ハルメクアルファ⑭</t>
    <phoneticPr fontId="7"/>
  </si>
  <si>
    <t>ハルメクアルファ⑮</t>
    <phoneticPr fontId="7"/>
  </si>
  <si>
    <t>IEI使ってヨカッタ8月号 3Pセット②</t>
    <rPh sb="3" eb="4">
      <t>ツカ</t>
    </rPh>
    <rPh sb="11" eb="13">
      <t>ガツゴウ</t>
    </rPh>
    <phoneticPr fontId="7"/>
  </si>
  <si>
    <t>JOD59</t>
    <phoneticPr fontId="7"/>
  </si>
  <si>
    <t>ハルメクアルファ⑯</t>
    <phoneticPr fontId="7"/>
  </si>
  <si>
    <t>ハルメクアルファ⑰</t>
    <phoneticPr fontId="7"/>
  </si>
  <si>
    <t>ハルメクアルファ⑱</t>
    <phoneticPr fontId="7"/>
  </si>
  <si>
    <t>ハルメクアルファ⑲</t>
    <phoneticPr fontId="7"/>
  </si>
  <si>
    <t>←ここまで式確認2025/8/28</t>
    <rPh sb="0" eb="8">
      <t>&lt;-ココマデシキカクニン</t>
    </rPh>
    <phoneticPr fontId="7"/>
  </si>
  <si>
    <t>IEI交換</t>
    <rPh sb="3" eb="5">
      <t>コウカン</t>
    </rPh>
    <phoneticPr fontId="7"/>
  </si>
  <si>
    <t>ハルメクアルファ⑳</t>
    <phoneticPr fontId="7"/>
  </si>
  <si>
    <t>IEI使ってヨカッタ8月号 3Pセット③</t>
    <rPh sb="3" eb="4">
      <t>ツカ</t>
    </rPh>
    <rPh sb="11" eb="13">
      <t>ガツゴウ</t>
    </rPh>
    <phoneticPr fontId="7"/>
  </si>
  <si>
    <t>ハルメクアルファ㉑</t>
    <phoneticPr fontId="7"/>
  </si>
  <si>
    <t>JOD70</t>
    <phoneticPr fontId="7"/>
  </si>
  <si>
    <t>2025年2/10～９/２２実績数</t>
    <rPh sb="4" eb="5">
      <t>ネン</t>
    </rPh>
    <rPh sb="14" eb="16">
      <t>ジッセキ</t>
    </rPh>
    <rPh sb="16" eb="17">
      <t>スウ</t>
    </rPh>
    <phoneticPr fontId="7"/>
  </si>
  <si>
    <t>実績構成比</t>
    <rPh sb="0" eb="2">
      <t>ジッセキ</t>
    </rPh>
    <rPh sb="2" eb="5">
      <t>コウセイヒ</t>
    </rPh>
    <phoneticPr fontId="7"/>
  </si>
  <si>
    <t>ハルメクアルファ㉒</t>
    <phoneticPr fontId="7"/>
  </si>
  <si>
    <t>ハルメクアルファ㉓</t>
    <phoneticPr fontId="7"/>
  </si>
  <si>
    <t>ハルメクアルファ㉔</t>
    <phoneticPr fontId="7"/>
  </si>
  <si>
    <t>サクラマチsample</t>
    <phoneticPr fontId="7"/>
  </si>
  <si>
    <t>はぴねす返品</t>
    <rPh sb="4" eb="6">
      <t>ヘンピン</t>
    </rPh>
    <phoneticPr fontId="3"/>
  </si>
  <si>
    <t>ハルメクアルファ㉕</t>
    <phoneticPr fontId="7"/>
  </si>
  <si>
    <r>
      <t>＜No.1852　</t>
    </r>
    <r>
      <rPr>
        <b/>
        <sz val="22"/>
        <rFont val="ＭＳ Ｐゴシック"/>
        <family val="3"/>
        <charset val="128"/>
      </rPr>
      <t>2色組　</t>
    </r>
    <r>
      <rPr>
        <b/>
        <sz val="18"/>
        <rFont val="ＭＳ Ｐゴシック"/>
        <family val="3"/>
        <charset val="128"/>
      </rPr>
      <t>綿ジャガードブラキャミ＞KPORT在庫1P@820→802→865　2p\4600</t>
    </r>
    <rPh sb="10" eb="11">
      <t>ショク</t>
    </rPh>
    <rPh sb="11" eb="12">
      <t>グミ</t>
    </rPh>
    <rPh sb="13" eb="14">
      <t>メン</t>
    </rPh>
    <rPh sb="30" eb="32">
      <t>ザイコ</t>
    </rPh>
    <phoneticPr fontId="3"/>
  </si>
  <si>
    <t>＜No.1852　綿ジャガードブラキャミ＞夢販在庫1P@82０→802→865　2p\4600</t>
    <rPh sb="9" eb="10">
      <t>メン</t>
    </rPh>
    <rPh sb="21" eb="22">
      <t>ユメ</t>
    </rPh>
    <rPh sb="22" eb="23">
      <t>ハン</t>
    </rPh>
    <rPh sb="23" eb="25">
      <t>ザイコ</t>
    </rPh>
    <phoneticPr fontId="3"/>
  </si>
  <si>
    <t>追加 2-1</t>
    <rPh sb="0" eb="2">
      <t>ツイカ</t>
    </rPh>
    <phoneticPr fontId="3"/>
  </si>
  <si>
    <t>追加 2-2</t>
    <rPh sb="0" eb="2">
      <t>ツイカ</t>
    </rPh>
    <phoneticPr fontId="3"/>
  </si>
  <si>
    <t>IEI使ってヨカッタ8月号 3Pセット④</t>
    <rPh sb="3" eb="4">
      <t>ツカ</t>
    </rPh>
    <rPh sb="11" eb="13">
      <t>ガツゴウ</t>
    </rPh>
    <phoneticPr fontId="7"/>
  </si>
  <si>
    <t>JOD73</t>
    <phoneticPr fontId="7"/>
  </si>
  <si>
    <t>ハルメクアルファ㉖</t>
    <phoneticPr fontId="7"/>
  </si>
  <si>
    <t>客注（飯塚尊子様）</t>
    <rPh sb="0" eb="2">
      <t>キャクチュウ</t>
    </rPh>
    <rPh sb="3" eb="5">
      <t>イイヅカ</t>
    </rPh>
    <rPh sb="5" eb="7">
      <t>タカコ</t>
    </rPh>
    <rPh sb="7" eb="8">
      <t>サマ</t>
    </rPh>
    <phoneticPr fontId="7"/>
  </si>
  <si>
    <t>調整</t>
    <rPh sb="0" eb="2">
      <t>チョウセイ</t>
    </rPh>
    <phoneticPr fontId="7"/>
  </si>
  <si>
    <t>夢販</t>
    <rPh sb="0" eb="2">
      <t>ユメハン</t>
    </rPh>
    <phoneticPr fontId="7"/>
  </si>
  <si>
    <t>ハルメクアルファ返品</t>
    <rPh sb="8" eb="10">
      <t>ヘンピン</t>
    </rPh>
    <phoneticPr fontId="3"/>
  </si>
  <si>
    <t>ユーコープ5-3ｗ</t>
    <phoneticPr fontId="7"/>
  </si>
  <si>
    <t>ＩＥＩ使ってヨカッタ3月号3色組</t>
    <rPh sb="3" eb="4">
      <t>ツカ</t>
    </rPh>
    <rPh sb="11" eb="13">
      <t>ガツゴウ</t>
    </rPh>
    <rPh sb="14" eb="16">
      <t>ショククミ</t>
    </rPh>
    <phoneticPr fontId="7"/>
  </si>
  <si>
    <t>3/7～4/30</t>
    <phoneticPr fontId="7"/>
  </si>
  <si>
    <t>ＩＥＩ使ってヨカッタ3月号3色組へ移行</t>
    <rPh sb="3" eb="4">
      <t>ツカ</t>
    </rPh>
    <rPh sb="17" eb="19">
      <t>イコウ</t>
    </rPh>
    <phoneticPr fontId="7"/>
  </si>
  <si>
    <t>ユーコープ5-3ｗ 差分予測</t>
    <rPh sb="10" eb="14">
      <t>サブンヨソク</t>
    </rPh>
    <phoneticPr fontId="7"/>
  </si>
  <si>
    <t>JODアクセス7016</t>
    <phoneticPr fontId="7"/>
  </si>
  <si>
    <t>4/25～</t>
    <phoneticPr fontId="7"/>
  </si>
  <si>
    <t>JOD再撮用sample</t>
    <rPh sb="3" eb="6">
      <t>サイサツヨウ</t>
    </rPh>
    <phoneticPr fontId="7"/>
  </si>
  <si>
    <t>サクラマチsample（九州）</t>
    <rPh sb="12" eb="14">
      <t>キュウシュウ</t>
    </rPh>
    <phoneticPr fontId="7"/>
  </si>
  <si>
    <t>←ここまで在庫管理済2026/2/25</t>
    <rPh sb="5" eb="10">
      <t>ザイコカンリスミ</t>
    </rPh>
    <phoneticPr fontId="7"/>
  </si>
  <si>
    <t>←ここまで在庫管理済2026/2/25</t>
    <rPh sb="0" eb="10">
      <t>ヤジルシココマデザイコカンリスミ</t>
    </rPh>
    <phoneticPr fontId="7"/>
  </si>
  <si>
    <t>ヴィヴァン４月号同梱別冊3色組へ移行</t>
    <rPh sb="6" eb="7">
      <t>ガツ</t>
    </rPh>
    <rPh sb="7" eb="8">
      <t>ゴウ</t>
    </rPh>
    <rPh sb="8" eb="10">
      <t>ドウコン</t>
    </rPh>
    <rPh sb="10" eb="12">
      <t>ベッサツ</t>
    </rPh>
    <rPh sb="13" eb="14">
      <t>ショク</t>
    </rPh>
    <rPh sb="14" eb="15">
      <t>グミ</t>
    </rPh>
    <rPh sb="16" eb="18">
      <t>イコウ</t>
    </rPh>
    <phoneticPr fontId="7"/>
  </si>
  <si>
    <t>4/4～7/31</t>
    <phoneticPr fontId="7"/>
  </si>
  <si>
    <t>ヴィヴァン４月号同梱冊子3色組</t>
    <rPh sb="6" eb="7">
      <t>ガツ</t>
    </rPh>
    <rPh sb="7" eb="8">
      <t>ゴウ</t>
    </rPh>
    <rPh sb="8" eb="10">
      <t>ドウコン</t>
    </rPh>
    <rPh sb="10" eb="12">
      <t>サッシ</t>
    </rPh>
    <phoneticPr fontId="7"/>
  </si>
  <si>
    <t>JODメルシー0415</t>
    <phoneticPr fontId="7"/>
  </si>
  <si>
    <t>パルシステムきなり流7月1回　限定数量</t>
    <rPh sb="9" eb="10">
      <t>リュウ</t>
    </rPh>
    <rPh sb="11" eb="12">
      <t>ガツ</t>
    </rPh>
    <rPh sb="13" eb="14">
      <t>カイ</t>
    </rPh>
    <rPh sb="15" eb="17">
      <t>ゲンテイ</t>
    </rPh>
    <rPh sb="17" eb="19">
      <t>スウリョウ</t>
    </rPh>
    <phoneticPr fontId="7"/>
  </si>
  <si>
    <t>点6/11、初回・アバウト6/23、最終発注日6/29</t>
    <rPh sb="0" eb="1">
      <t>テン</t>
    </rPh>
    <rPh sb="6" eb="8">
      <t>ショカイ</t>
    </rPh>
    <rPh sb="18" eb="23">
      <t>サイシュウハッチュウビ</t>
    </rPh>
    <phoneticPr fontId="7"/>
  </si>
  <si>
    <t>パルシステムきなり流7月1回　差分予測</t>
    <rPh sb="9" eb="10">
      <t>リュウ</t>
    </rPh>
    <rPh sb="11" eb="12">
      <t>ガツ</t>
    </rPh>
    <rPh sb="13" eb="14">
      <t>カイ</t>
    </rPh>
    <rPh sb="15" eb="19">
      <t>サブンヨソク</t>
    </rPh>
    <phoneticPr fontId="7"/>
  </si>
  <si>
    <t>ＩＥＩ使ってヨカッタ3月号3色組①</t>
    <rPh sb="3" eb="4">
      <t>ツカ</t>
    </rPh>
    <rPh sb="11" eb="13">
      <t>ガツゴウ</t>
    </rPh>
    <rPh sb="14" eb="16">
      <t>ショククミ</t>
    </rPh>
    <phoneticPr fontId="7"/>
  </si>
  <si>
    <t>サクラマチsample（水島さん）</t>
    <rPh sb="12" eb="14">
      <t>ミズシマ</t>
    </rPh>
    <phoneticPr fontId="7"/>
  </si>
  <si>
    <t>JODエレソア0409</t>
    <phoneticPr fontId="7"/>
  </si>
  <si>
    <t>5/8～20</t>
    <phoneticPr fontId="7"/>
  </si>
  <si>
    <t>くらし（きなり流）sample返却</t>
    <rPh sb="7" eb="8">
      <t>リュウ</t>
    </rPh>
    <rPh sb="15" eb="17">
      <t>ヘンキャク</t>
    </rPh>
    <phoneticPr fontId="7"/>
  </si>
  <si>
    <t>コープ九州7月5回</t>
    <rPh sb="3" eb="5">
      <t>キュウシュウ</t>
    </rPh>
    <rPh sb="6" eb="7">
      <t>ガツ</t>
    </rPh>
    <rPh sb="8" eb="9">
      <t>カイ</t>
    </rPh>
    <phoneticPr fontId="7"/>
  </si>
  <si>
    <t>2025/3/1数伝</t>
    <rPh sb="8" eb="10">
      <t>スウデン</t>
    </rPh>
    <phoneticPr fontId="7"/>
  </si>
  <si>
    <t>ＩＥＩ使ってヨカッタ3月号3色組②</t>
    <rPh sb="3" eb="4">
      <t>ツカ</t>
    </rPh>
    <rPh sb="11" eb="13">
      <t>ガツゴウ</t>
    </rPh>
    <rPh sb="14" eb="16">
      <t>ショククミ</t>
    </rPh>
    <phoneticPr fontId="7"/>
  </si>
  <si>
    <t>ＩＥＩ使ってヨカッタ6月号3色組</t>
    <rPh sb="3" eb="4">
      <t>ツカ</t>
    </rPh>
    <rPh sb="11" eb="13">
      <t>ガツゴウ</t>
    </rPh>
    <rPh sb="14" eb="16">
      <t>ショククミ</t>
    </rPh>
    <phoneticPr fontId="7"/>
  </si>
  <si>
    <t>5/30～9/30</t>
    <phoneticPr fontId="7"/>
  </si>
  <si>
    <t>コープ九州7月5回差分予測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7"/>
  </si>
  <si>
    <t>2026/4/6数伝</t>
    <rPh sb="8" eb="10">
      <t>スウデン</t>
    </rPh>
    <phoneticPr fontId="7"/>
  </si>
  <si>
    <t>7/15～29</t>
    <phoneticPr fontId="7"/>
  </si>
  <si>
    <t>清光ランジェリーモカ在庫2026年4/7</t>
    <rPh sb="0" eb="1">
      <t>キヨ</t>
    </rPh>
    <rPh sb="1" eb="2">
      <t>ヒカリ</t>
    </rPh>
    <rPh sb="10" eb="12">
      <t>ザイコ</t>
    </rPh>
    <rPh sb="16" eb="17">
      <t>ネン</t>
    </rPh>
    <phoneticPr fontId="7"/>
  </si>
  <si>
    <t>JODアクセス7017</t>
    <phoneticPr fontId="7"/>
  </si>
  <si>
    <t>サクラマチsample（九州）返却</t>
    <rPh sb="12" eb="14">
      <t>キュウシュウ</t>
    </rPh>
    <rPh sb="15" eb="17">
      <t>ヘンキャク</t>
    </rPh>
    <phoneticPr fontId="7"/>
  </si>
  <si>
    <t>JOD確保分</t>
    <rPh sb="3" eb="5">
      <t>カクホ</t>
    </rPh>
    <rPh sb="5" eb="6">
      <t>ブン</t>
    </rPh>
    <phoneticPr fontId="7"/>
  </si>
  <si>
    <t>6/26～9/30</t>
    <phoneticPr fontId="7"/>
  </si>
  <si>
    <t>ヴィヴァン４月号同梱冊子3色組①</t>
    <rPh sb="6" eb="7">
      <t>ガツ</t>
    </rPh>
    <rPh sb="7" eb="8">
      <t>ゴウ</t>
    </rPh>
    <rPh sb="8" eb="10">
      <t>ドウコン</t>
    </rPh>
    <rPh sb="10" eb="12">
      <t>サッシ</t>
    </rPh>
    <phoneticPr fontId="7"/>
  </si>
  <si>
    <t>JOD76</t>
    <phoneticPr fontId="7"/>
  </si>
  <si>
    <t>夢販</t>
    <rPh sb="0" eb="2">
      <t>y</t>
    </rPh>
    <phoneticPr fontId="7"/>
  </si>
  <si>
    <t>JOD79</t>
    <phoneticPr fontId="7"/>
  </si>
  <si>
    <t>ヴィヴァン４月号同梱冊子3色組②</t>
    <rPh sb="6" eb="7">
      <t>ガツ</t>
    </rPh>
    <rPh sb="7" eb="8">
      <t>ゴウ</t>
    </rPh>
    <rPh sb="8" eb="10">
      <t>ドウコン</t>
    </rPh>
    <rPh sb="10" eb="12">
      <t>サッシ</t>
    </rPh>
    <phoneticPr fontId="7"/>
  </si>
  <si>
    <t>JOD80</t>
  </si>
  <si>
    <t>ヴィヴァン４月号同梱冊子3色組③</t>
    <rPh sb="6" eb="7">
      <t>ガツ</t>
    </rPh>
    <rPh sb="7" eb="8">
      <t>ゴウ</t>
    </rPh>
    <rPh sb="8" eb="10">
      <t>ドウコン</t>
    </rPh>
    <rPh sb="10" eb="12">
      <t>サッシ</t>
    </rPh>
    <phoneticPr fontId="7"/>
  </si>
  <si>
    <t>ＩＥＩ使ってヨカッタ3色組へ移行</t>
    <rPh sb="3" eb="4">
      <t>ツカ</t>
    </rPh>
    <rPh sb="11" eb="13">
      <t>ショククミ</t>
    </rPh>
    <rPh sb="14" eb="16">
      <t>イコウ</t>
    </rPh>
    <phoneticPr fontId="7"/>
  </si>
  <si>
    <t>JOD82</t>
    <phoneticPr fontId="7"/>
  </si>
  <si>
    <t>ＩＥＩ使ってヨカッタ8月号3色組</t>
    <rPh sb="3" eb="4">
      <t>ツカ</t>
    </rPh>
    <rPh sb="11" eb="13">
      <t>ガツゴウ</t>
    </rPh>
    <rPh sb="14" eb="16">
      <t>ショククミ</t>
    </rPh>
    <phoneticPr fontId="7"/>
  </si>
  <si>
    <t>JOD84</t>
    <phoneticPr fontId="7"/>
  </si>
  <si>
    <t>JOD特別号9566</t>
    <rPh sb="3" eb="6">
      <t>トクベツゴウ</t>
    </rPh>
    <phoneticPr fontId="7"/>
  </si>
  <si>
    <t>6/9～</t>
    <phoneticPr fontId="7"/>
  </si>
  <si>
    <t>ユーコープ5-3ｗ①</t>
    <phoneticPr fontId="7"/>
  </si>
  <si>
    <t>ゆめはん</t>
    <phoneticPr fontId="7"/>
  </si>
  <si>
    <t>JOD89</t>
    <phoneticPr fontId="7"/>
  </si>
  <si>
    <t>ユーコープ5-3ｗ②</t>
    <phoneticPr fontId="7"/>
  </si>
  <si>
    <t>ユーコープ5-3ｗ③</t>
    <phoneticPr fontId="7"/>
  </si>
  <si>
    <t>ユーコープ5-3ｗ④</t>
    <phoneticPr fontId="7"/>
  </si>
  <si>
    <t>2025/6/1→５月初旬へ5/25</t>
    <rPh sb="10" eb="11">
      <t>ガツ</t>
    </rPh>
    <rPh sb="11" eb="13">
      <t>ショジュン</t>
    </rPh>
    <phoneticPr fontId="7"/>
  </si>
  <si>
    <t>JOD91</t>
  </si>
  <si>
    <t>JOD92</t>
    <phoneticPr fontId="7"/>
  </si>
  <si>
    <t>電話注文</t>
    <rPh sb="0" eb="4">
      <t>デンワチュウモン</t>
    </rPh>
    <phoneticPr fontId="7"/>
  </si>
  <si>
    <t>ゆめはん</t>
    <phoneticPr fontId="7"/>
  </si>
  <si>
    <t>JOD特別号R9822</t>
    <rPh sb="3" eb="6">
      <t>トクベツゴウ</t>
    </rPh>
    <phoneticPr fontId="7"/>
  </si>
  <si>
    <t>7/3～</t>
    <phoneticPr fontId="7"/>
  </si>
  <si>
    <t>ニッセン25初夏号アトランダムAP⑨</t>
    <rPh sb="6" eb="9">
      <t>ショカゴウ</t>
    </rPh>
    <phoneticPr fontId="7"/>
  </si>
  <si>
    <t>JOD92</t>
    <phoneticPr fontId="7"/>
  </si>
  <si>
    <t>JOD94</t>
    <phoneticPr fontId="7"/>
  </si>
  <si>
    <t>JOD特別版0705</t>
    <rPh sb="3" eb="5">
      <t>トクベツ</t>
    </rPh>
    <rPh sb="5" eb="6">
      <t>バン</t>
    </rPh>
    <phoneticPr fontId="7"/>
  </si>
  <si>
    <t>JOD95</t>
    <phoneticPr fontId="7"/>
  </si>
  <si>
    <t>ハルメクチラシ(インナー別冊)2638</t>
    <rPh sb="12" eb="14">
      <t>ベッサツ</t>
    </rPh>
    <phoneticPr fontId="7"/>
  </si>
  <si>
    <t>パルシステムきなり流7月1回　限定数量①</t>
    <rPh sb="9" eb="10">
      <t>リュウ</t>
    </rPh>
    <rPh sb="11" eb="12">
      <t>ガツ</t>
    </rPh>
    <rPh sb="13" eb="14">
      <t>カイ</t>
    </rPh>
    <rPh sb="15" eb="17">
      <t>ゲンテイ</t>
    </rPh>
    <rPh sb="17" eb="19">
      <t>スウリョウ</t>
    </rPh>
    <phoneticPr fontId="7"/>
  </si>
  <si>
    <t>JOD96</t>
    <phoneticPr fontId="7"/>
  </si>
  <si>
    <t>追加 3-3-1</t>
    <rPh sb="0" eb="2">
      <t>ツイカ</t>
    </rPh>
    <phoneticPr fontId="3"/>
  </si>
  <si>
    <t>追加 3-3-2</t>
    <rPh sb="0" eb="2">
      <t>ツイカ</t>
    </rPh>
    <phoneticPr fontId="3"/>
  </si>
  <si>
    <t>3Pから移行</t>
    <rPh sb="4" eb="6">
      <t>イコウ</t>
    </rPh>
    <phoneticPr fontId="7"/>
  </si>
  <si>
    <t>ハルメクチラシ(インナー別冊)2638①</t>
    <rPh sb="12" eb="14">
      <t>ベッサツ</t>
    </rPh>
    <phoneticPr fontId="7"/>
  </si>
  <si>
    <t>JOD99</t>
    <phoneticPr fontId="7"/>
  </si>
  <si>
    <t>JOD特別号9574</t>
    <rPh sb="3" eb="5">
      <t>トクベツ</t>
    </rPh>
    <rPh sb="5" eb="6">
      <t>ゴウ</t>
    </rPh>
    <phoneticPr fontId="7"/>
  </si>
  <si>
    <t>7/21～</t>
    <phoneticPr fontId="7"/>
  </si>
  <si>
    <t>JOD101</t>
    <phoneticPr fontId="7"/>
  </si>
  <si>
    <t>JOD102</t>
  </si>
  <si>
    <t>ゆめはん</t>
    <phoneticPr fontId="7"/>
  </si>
  <si>
    <t>JOD103</t>
    <phoneticPr fontId="7"/>
  </si>
  <si>
    <t>ＩＥＩ使ってヨカッタ6月号3色組①</t>
    <rPh sb="3" eb="4">
      <t>ツカ</t>
    </rPh>
    <rPh sb="11" eb="13">
      <t>ガツゴウ</t>
    </rPh>
    <rPh sb="14" eb="16">
      <t>ショククミ</t>
    </rPh>
    <phoneticPr fontId="7"/>
  </si>
  <si>
    <t>JOD105</t>
  </si>
  <si>
    <t>JOD106</t>
  </si>
  <si>
    <t>2026/6/17数伝</t>
    <rPh sb="9" eb="11">
      <t>スウデン</t>
    </rPh>
    <phoneticPr fontId="7"/>
  </si>
  <si>
    <t>サクラマチ返品</t>
    <rPh sb="0" eb="7">
      <t>s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</si>
</sst>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3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b/>
      <sz val="28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2" borderId="12" xfId="2" applyFill="1" applyBorder="1"/>
    <xf numFmtId="0" fontId="5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9" fillId="0" borderId="0" xfId="0" applyFont="1">
      <alignment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10" fillId="3" borderId="0" xfId="2" applyFont="1" applyFill="1"/>
    <xf numFmtId="0" fontId="11" fillId="3" borderId="0" xfId="2" applyFont="1" applyFill="1"/>
    <xf numFmtId="0" fontId="12" fillId="3" borderId="0" xfId="1" applyFont="1" applyFill="1">
      <alignment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6" fillId="0" borderId="6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56" fontId="9" fillId="0" borderId="0" xfId="1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8" fillId="0" borderId="0" xfId="1" applyFont="1" applyAlignment="1">
      <alignment horizontal="left" vertical="center"/>
    </xf>
    <xf numFmtId="56" fontId="8" fillId="0" borderId="0" xfId="1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9" fillId="0" borderId="0" xfId="0" applyNumberFormat="1" applyFont="1">
      <alignment vertical="center"/>
    </xf>
    <xf numFmtId="0" fontId="2" fillId="0" borderId="8" xfId="2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2" fillId="2" borderId="4" xfId="2" applyFill="1" applyBorder="1" applyAlignment="1">
      <alignment horizontal="right"/>
    </xf>
    <xf numFmtId="0" fontId="2" fillId="2" borderId="12" xfId="2" applyFill="1" applyBorder="1" applyAlignment="1">
      <alignment horizontal="right"/>
    </xf>
    <xf numFmtId="56" fontId="0" fillId="0" borderId="0" xfId="0" applyNumberFormat="1">
      <alignment vertic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8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5" xfId="2" applyBorder="1" applyAlignment="1">
      <alignment horizontal="center" vertical="center" shrinkToFit="1"/>
    </xf>
    <xf numFmtId="177" fontId="0" fillId="0" borderId="0" xfId="4" applyNumberFormat="1" applyFont="1">
      <alignment vertical="center"/>
    </xf>
    <xf numFmtId="0" fontId="1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2" applyFont="1"/>
    <xf numFmtId="0" fontId="6" fillId="0" borderId="0" xfId="2" applyFont="1" applyAlignment="1">
      <alignment horizontal="center" vertical="center"/>
    </xf>
    <xf numFmtId="0" fontId="18" fillId="0" borderId="0" xfId="0" applyFont="1">
      <alignment vertical="center"/>
    </xf>
    <xf numFmtId="0" fontId="4" fillId="0" borderId="6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2" borderId="4" xfId="2" applyFont="1" applyFill="1" applyBorder="1"/>
    <xf numFmtId="56" fontId="19" fillId="0" borderId="0" xfId="0" applyNumberFormat="1" applyFont="1" applyAlignment="1">
      <alignment horizontal="left"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56" fontId="19" fillId="0" borderId="0" xfId="0" applyNumberFormat="1" applyFont="1">
      <alignment vertical="center"/>
    </xf>
    <xf numFmtId="0" fontId="20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176" fontId="17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10" fillId="4" borderId="0" xfId="2" applyFont="1" applyFill="1"/>
    <xf numFmtId="0" fontId="11" fillId="4" borderId="0" xfId="2" applyFont="1" applyFill="1"/>
    <xf numFmtId="0" fontId="12" fillId="4" borderId="0" xfId="1" applyFont="1" applyFill="1">
      <alignment vertical="center"/>
    </xf>
    <xf numFmtId="0" fontId="20" fillId="0" borderId="5" xfId="2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56" fontId="17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56" fontId="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2" fillId="0" borderId="6" xfId="2" applyBorder="1" applyAlignment="1">
      <alignment vertical="center"/>
    </xf>
    <xf numFmtId="0" fontId="2" fillId="0" borderId="5" xfId="2" applyBorder="1" applyAlignment="1">
      <alignment vertical="center"/>
    </xf>
    <xf numFmtId="0" fontId="5" fillId="0" borderId="7" xfId="2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14" fontId="9" fillId="0" borderId="0" xfId="0" applyNumberFormat="1" applyFont="1" applyAlignment="1">
      <alignment horizontal="left" vertical="center"/>
    </xf>
    <xf numFmtId="0" fontId="20" fillId="0" borderId="5" xfId="2" applyFont="1" applyBorder="1" applyAlignment="1">
      <alignment horizontal="left" vertical="center"/>
    </xf>
    <xf numFmtId="176" fontId="18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0" fontId="22" fillId="0" borderId="0" xfId="0" applyFont="1">
      <alignment vertical="center"/>
    </xf>
    <xf numFmtId="1" fontId="17" fillId="0" borderId="0" xfId="0" applyNumberFormat="1" applyFont="1">
      <alignment vertical="center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8" fillId="0" borderId="0" xfId="0" applyNumberFormat="1" applyFont="1" applyAlignment="1">
      <alignment horizontal="left" vertical="center"/>
    </xf>
    <xf numFmtId="0" fontId="10" fillId="5" borderId="0" xfId="2" applyFont="1" applyFill="1"/>
    <xf numFmtId="0" fontId="11" fillId="5" borderId="0" xfId="2" applyFont="1" applyFill="1"/>
    <xf numFmtId="0" fontId="12" fillId="5" borderId="0" xfId="1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6" borderId="5" xfId="2" applyFill="1" applyBorder="1" applyAlignment="1">
      <alignment horizontal="center" vertical="center" shrinkToFit="1"/>
    </xf>
    <xf numFmtId="0" fontId="4" fillId="0" borderId="9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23" fillId="0" borderId="4" xfId="2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" fillId="7" borderId="0" xfId="2" applyFont="1" applyFill="1"/>
    <xf numFmtId="0" fontId="11" fillId="7" borderId="0" xfId="2" applyFont="1" applyFill="1"/>
    <xf numFmtId="0" fontId="12" fillId="7" borderId="0" xfId="1" applyFont="1" applyFill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ill="1">
      <alignment vertical="center"/>
    </xf>
    <xf numFmtId="56" fontId="17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0" fillId="8" borderId="0" xfId="0" applyFill="1">
      <alignment vertical="center"/>
    </xf>
    <xf numFmtId="0" fontId="0" fillId="8" borderId="0" xfId="0" applyFill="1" applyAlignment="1">
      <alignment horizontal="left" vertical="center"/>
    </xf>
    <xf numFmtId="56" fontId="17" fillId="8" borderId="0" xfId="0" applyNumberFormat="1" applyFont="1" applyFill="1" applyAlignment="1">
      <alignment horizontal="right" vertical="center"/>
    </xf>
    <xf numFmtId="0" fontId="17" fillId="8" borderId="0" xfId="0" applyFont="1" applyFill="1">
      <alignment vertical="center"/>
    </xf>
    <xf numFmtId="176" fontId="18" fillId="8" borderId="0" xfId="0" applyNumberFormat="1" applyFont="1" applyFill="1">
      <alignment vertical="center"/>
    </xf>
    <xf numFmtId="0" fontId="4" fillId="0" borderId="9" xfId="2" applyFont="1" applyBorder="1" applyAlignment="1">
      <alignment horizontal="center"/>
    </xf>
    <xf numFmtId="0" fontId="2" fillId="0" borderId="12" xfId="2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6" fillId="0" borderId="12" xfId="2" applyFont="1" applyBorder="1"/>
    <xf numFmtId="0" fontId="17" fillId="0" borderId="0" xfId="0" applyFont="1" applyAlignment="1">
      <alignment horizontal="right" vertical="center"/>
    </xf>
    <xf numFmtId="0" fontId="2" fillId="0" borderId="12" xfId="2" applyBorder="1"/>
    <xf numFmtId="177" fontId="0" fillId="0" borderId="0" xfId="0" applyNumberForma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3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8" xfId="2" applyBorder="1" applyAlignment="1">
      <alignment horizontal="center"/>
    </xf>
    <xf numFmtId="0" fontId="5" fillId="0" borderId="12" xfId="2" applyFont="1" applyBorder="1"/>
    <xf numFmtId="0" fontId="2" fillId="0" borderId="4" xfId="2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176" fontId="18" fillId="4" borderId="0" xfId="0" applyNumberFormat="1" applyFont="1" applyFill="1">
      <alignment vertical="center"/>
    </xf>
    <xf numFmtId="0" fontId="18" fillId="4" borderId="0" xfId="0" applyFont="1" applyFill="1">
      <alignment vertical="center"/>
    </xf>
    <xf numFmtId="0" fontId="29" fillId="0" borderId="5" xfId="2" applyFont="1" applyBorder="1" applyAlignment="1">
      <alignment horizontal="center" vertical="center"/>
    </xf>
    <xf numFmtId="0" fontId="30" fillId="0" borderId="6" xfId="2" applyFont="1" applyBorder="1" applyAlignment="1">
      <alignment horizontal="center" vertical="center"/>
    </xf>
    <xf numFmtId="0" fontId="30" fillId="0" borderId="5" xfId="2" applyFont="1" applyBorder="1" applyAlignment="1">
      <alignment horizontal="center" vertical="center"/>
    </xf>
    <xf numFmtId="0" fontId="30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30" fillId="0" borderId="9" xfId="2" applyFont="1" applyBorder="1"/>
    <xf numFmtId="0" fontId="30" fillId="0" borderId="5" xfId="2" applyFont="1" applyBorder="1"/>
    <xf numFmtId="0" fontId="30" fillId="0" borderId="6" xfId="2" applyFont="1" applyBorder="1"/>
    <xf numFmtId="0" fontId="30" fillId="2" borderId="5" xfId="2" applyFont="1" applyFill="1" applyBorder="1"/>
    <xf numFmtId="0" fontId="17" fillId="0" borderId="0" xfId="0" applyFont="1" applyAlignment="1">
      <alignment horizontal="left" vertical="center"/>
    </xf>
    <xf numFmtId="0" fontId="31" fillId="0" borderId="4" xfId="2" applyFont="1" applyBorder="1" applyAlignment="1">
      <alignment horizontal="center" vertical="center"/>
    </xf>
    <xf numFmtId="0" fontId="5" fillId="0" borderId="9" xfId="2" applyFont="1" applyBorder="1"/>
    <xf numFmtId="0" fontId="5" fillId="0" borderId="5" xfId="2" applyFont="1" applyBorder="1"/>
    <xf numFmtId="0" fontId="5" fillId="0" borderId="6" xfId="2" applyFont="1" applyBorder="1"/>
    <xf numFmtId="0" fontId="5" fillId="2" borderId="5" xfId="2" applyFont="1" applyFill="1" applyBorder="1"/>
    <xf numFmtId="0" fontId="30" fillId="0" borderId="4" xfId="2" applyFont="1" applyBorder="1" applyAlignment="1">
      <alignment horizontal="center" vertical="center"/>
    </xf>
    <xf numFmtId="0" fontId="5" fillId="0" borderId="14" xfId="2" applyFont="1" applyBorder="1"/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25" fillId="9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9" xfId="2" applyFont="1" applyBorder="1"/>
    <xf numFmtId="0" fontId="2" fillId="0" borderId="5" xfId="2" applyFont="1" applyBorder="1"/>
    <xf numFmtId="0" fontId="2" fillId="0" borderId="6" xfId="2" applyFont="1" applyBorder="1"/>
    <xf numFmtId="0" fontId="2" fillId="2" borderId="4" xfId="2" applyFont="1" applyFill="1" applyBorder="1"/>
  </cellXfs>
  <cellStyles count="5">
    <cellStyle name="パーセント" xfId="4" builtinId="5"/>
    <cellStyle name="標準" xfId="0" builtinId="0"/>
    <cellStyle name="標準 2" xfId="2" xr:uid="{00000000-0005-0000-0000-000002000000}"/>
    <cellStyle name="標準 3" xfId="3" xr:uid="{00000000-0005-0000-0000-000003000000}"/>
    <cellStyle name="標準 4" xfId="1" xr:uid="{00000000-0005-0000-0000-000004000000}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AT2235"/>
  <sheetViews>
    <sheetView tabSelected="1" topLeftCell="C2154" zoomScaleNormal="100" workbookViewId="0">
      <selection activeCell="T2181" sqref="T2181"/>
    </sheetView>
  </sheetViews>
  <sheetFormatPr defaultRowHeight="13.5"/>
  <cols>
    <col min="1" max="1" width="24" customWidth="1"/>
    <col min="2" max="9" width="7.625" customWidth="1"/>
    <col min="10" max="10" width="12.25" style="48" customWidth="1"/>
    <col min="11" max="11" width="41.25" customWidth="1"/>
    <col min="12" max="19" width="7.625" customWidth="1"/>
    <col min="20" max="20" width="32.875" style="48" customWidth="1"/>
    <col min="21" max="21" width="33.5" customWidth="1"/>
    <col min="22" max="33" width="7.625" customWidth="1"/>
    <col min="34" max="34" width="42.75" style="48" bestFit="1" customWidth="1"/>
    <col min="35" max="35" width="18.25" customWidth="1"/>
    <col min="36" max="43" width="9.25" customWidth="1"/>
    <col min="44" max="44" width="9.875" customWidth="1"/>
  </cols>
  <sheetData>
    <row r="1" spans="1:35" ht="21.75" thickBot="1">
      <c r="A1" s="33" t="s">
        <v>15</v>
      </c>
      <c r="B1" s="34"/>
      <c r="C1" s="34"/>
      <c r="D1" s="34"/>
      <c r="E1" s="34"/>
      <c r="F1" s="35"/>
      <c r="G1" s="35"/>
      <c r="H1" s="35"/>
      <c r="I1" s="35"/>
      <c r="J1" s="44"/>
    </row>
    <row r="2" spans="1:35" ht="14.25" thickBot="1">
      <c r="A2" s="1" t="s">
        <v>0</v>
      </c>
      <c r="B2" s="182" t="s">
        <v>17</v>
      </c>
      <c r="C2" s="182"/>
      <c r="D2" s="182"/>
      <c r="E2" s="183"/>
      <c r="F2" s="182" t="s">
        <v>13</v>
      </c>
      <c r="G2" s="182"/>
      <c r="H2" s="182"/>
      <c r="I2" s="183"/>
      <c r="J2" s="45"/>
    </row>
    <row r="3" spans="1:35" ht="14.25" thickBot="1">
      <c r="A3" s="1" t="s">
        <v>1</v>
      </c>
      <c r="B3" s="2" t="s">
        <v>8</v>
      </c>
      <c r="C3" s="1" t="s">
        <v>9</v>
      </c>
      <c r="D3" s="19" t="s">
        <v>10</v>
      </c>
      <c r="E3" s="1" t="s">
        <v>2</v>
      </c>
      <c r="F3" s="2" t="s">
        <v>11</v>
      </c>
      <c r="G3" s="1" t="s">
        <v>12</v>
      </c>
      <c r="H3" s="19" t="s">
        <v>10</v>
      </c>
      <c r="I3" s="1" t="s">
        <v>2</v>
      </c>
      <c r="J3" s="45"/>
    </row>
    <row r="4" spans="1:35">
      <c r="A4" s="40" t="s">
        <v>14</v>
      </c>
      <c r="B4" s="30">
        <v>50</v>
      </c>
      <c r="C4" s="31">
        <v>60</v>
      </c>
      <c r="D4" s="32">
        <v>40</v>
      </c>
      <c r="E4" s="4">
        <f t="shared" ref="E4" si="0">SUM(B4:D4)</f>
        <v>150</v>
      </c>
      <c r="F4" s="30">
        <v>50</v>
      </c>
      <c r="G4" s="31">
        <v>60</v>
      </c>
      <c r="H4" s="32">
        <v>40</v>
      </c>
      <c r="I4" s="4">
        <f t="shared" ref="I4" si="1">SUM(F4:H4)</f>
        <v>150</v>
      </c>
      <c r="J4" s="43">
        <v>43229</v>
      </c>
    </row>
    <row r="5" spans="1:35">
      <c r="A5" s="5" t="s">
        <v>3</v>
      </c>
      <c r="B5" s="16"/>
      <c r="C5" s="11"/>
      <c r="D5" s="16"/>
      <c r="E5" s="4">
        <f t="shared" ref="E5:E40" si="2">SUM(B5:D5)</f>
        <v>0</v>
      </c>
      <c r="F5" s="16"/>
      <c r="G5" s="11"/>
      <c r="H5" s="16"/>
      <c r="I5" s="4">
        <f t="shared" ref="I5:I40" si="3">SUM(F5:H5)</f>
        <v>0</v>
      </c>
      <c r="J5" s="42"/>
    </row>
    <row r="6" spans="1:35">
      <c r="A6" s="5" t="s">
        <v>3</v>
      </c>
      <c r="B6" s="16">
        <v>60</v>
      </c>
      <c r="C6" s="11">
        <v>70</v>
      </c>
      <c r="D6" s="16">
        <v>40</v>
      </c>
      <c r="E6" s="4">
        <f t="shared" si="2"/>
        <v>170</v>
      </c>
      <c r="F6" s="16">
        <v>60</v>
      </c>
      <c r="G6" s="11">
        <v>70</v>
      </c>
      <c r="H6" s="16">
        <v>40</v>
      </c>
      <c r="I6" s="4">
        <f t="shared" si="3"/>
        <v>170</v>
      </c>
      <c r="J6" s="42">
        <v>43252</v>
      </c>
      <c r="AI6" s="29"/>
    </row>
    <row r="7" spans="1:35">
      <c r="A7" s="5" t="s">
        <v>3</v>
      </c>
      <c r="B7" s="16"/>
      <c r="C7" s="11"/>
      <c r="D7" s="16"/>
      <c r="E7" s="4">
        <f t="shared" si="2"/>
        <v>0</v>
      </c>
      <c r="F7" s="16"/>
      <c r="G7" s="11"/>
      <c r="H7" s="16"/>
      <c r="I7" s="4">
        <f t="shared" si="3"/>
        <v>0</v>
      </c>
      <c r="J7" s="42"/>
    </row>
    <row r="8" spans="1:35">
      <c r="A8" s="5" t="s">
        <v>3</v>
      </c>
      <c r="B8" s="16"/>
      <c r="C8" s="11"/>
      <c r="D8" s="16"/>
      <c r="E8" s="4">
        <f t="shared" si="2"/>
        <v>0</v>
      </c>
      <c r="F8" s="16"/>
      <c r="G8" s="11"/>
      <c r="H8" s="16"/>
      <c r="I8" s="4">
        <f t="shared" si="3"/>
        <v>0</v>
      </c>
      <c r="J8" s="42"/>
    </row>
    <row r="9" spans="1:35">
      <c r="A9" s="5" t="s">
        <v>3</v>
      </c>
      <c r="B9" s="16">
        <v>90</v>
      </c>
      <c r="C9" s="11">
        <v>110</v>
      </c>
      <c r="D9" s="16">
        <v>50</v>
      </c>
      <c r="E9" s="4">
        <f t="shared" si="2"/>
        <v>250</v>
      </c>
      <c r="F9" s="16">
        <v>90</v>
      </c>
      <c r="G9" s="11">
        <v>110</v>
      </c>
      <c r="H9" s="16">
        <v>50</v>
      </c>
      <c r="I9" s="4">
        <f t="shared" si="3"/>
        <v>250</v>
      </c>
      <c r="J9" s="42">
        <v>43259</v>
      </c>
    </row>
    <row r="10" spans="1:35">
      <c r="A10" s="5" t="s">
        <v>3</v>
      </c>
      <c r="B10" s="16"/>
      <c r="C10" s="11"/>
      <c r="D10" s="16"/>
      <c r="E10" s="4">
        <f t="shared" si="2"/>
        <v>0</v>
      </c>
      <c r="F10" s="16"/>
      <c r="G10" s="11"/>
      <c r="H10" s="16"/>
      <c r="I10" s="4">
        <f t="shared" si="3"/>
        <v>0</v>
      </c>
      <c r="J10" s="42"/>
    </row>
    <row r="11" spans="1:35">
      <c r="A11" s="5" t="s">
        <v>38</v>
      </c>
      <c r="B11" s="16">
        <v>34</v>
      </c>
      <c r="C11" s="11">
        <v>35</v>
      </c>
      <c r="D11" s="16">
        <v>26</v>
      </c>
      <c r="E11" s="4">
        <f t="shared" si="2"/>
        <v>95</v>
      </c>
      <c r="F11" s="16">
        <v>34</v>
      </c>
      <c r="G11" s="11">
        <v>35</v>
      </c>
      <c r="H11" s="16">
        <v>26</v>
      </c>
      <c r="I11" s="4">
        <f t="shared" si="3"/>
        <v>95</v>
      </c>
      <c r="J11" s="42">
        <v>43265</v>
      </c>
    </row>
    <row r="12" spans="1:35">
      <c r="A12" s="5" t="s">
        <v>37</v>
      </c>
      <c r="B12" s="30">
        <v>2</v>
      </c>
      <c r="C12" s="31"/>
      <c r="D12" s="32">
        <v>1</v>
      </c>
      <c r="E12" s="7">
        <f t="shared" si="2"/>
        <v>3</v>
      </c>
      <c r="F12" s="30">
        <v>2</v>
      </c>
      <c r="G12" s="31"/>
      <c r="H12" s="32">
        <v>1</v>
      </c>
      <c r="I12" s="7">
        <f t="shared" si="3"/>
        <v>3</v>
      </c>
      <c r="J12" s="43">
        <v>43279</v>
      </c>
    </row>
    <row r="13" spans="1:35">
      <c r="A13" s="5" t="s">
        <v>3</v>
      </c>
      <c r="B13" s="30"/>
      <c r="C13" s="31"/>
      <c r="D13" s="32"/>
      <c r="E13" s="7">
        <f t="shared" si="2"/>
        <v>0</v>
      </c>
      <c r="F13" s="30"/>
      <c r="G13" s="31"/>
      <c r="H13" s="32"/>
      <c r="I13" s="7">
        <f t="shared" si="3"/>
        <v>0</v>
      </c>
      <c r="J13" s="43"/>
    </row>
    <row r="14" spans="1:35" ht="14.25" thickBot="1">
      <c r="A14" s="6" t="s">
        <v>3</v>
      </c>
      <c r="B14" s="36"/>
      <c r="C14" s="37"/>
      <c r="D14" s="36"/>
      <c r="E14" s="20">
        <f t="shared" si="2"/>
        <v>0</v>
      </c>
      <c r="F14" s="36"/>
      <c r="G14" s="37"/>
      <c r="H14" s="36"/>
      <c r="I14" s="20">
        <f t="shared" si="3"/>
        <v>0</v>
      </c>
      <c r="J14" s="42"/>
    </row>
    <row r="15" spans="1:35" ht="14.25" thickBot="1">
      <c r="A15" s="23" t="s">
        <v>4</v>
      </c>
      <c r="B15" s="24">
        <f>SUM(B4:B14)</f>
        <v>236</v>
      </c>
      <c r="C15" s="24">
        <f>SUM(C4:C14)</f>
        <v>275</v>
      </c>
      <c r="D15" s="25">
        <f>SUM(D4:D14)</f>
        <v>157</v>
      </c>
      <c r="E15" s="26">
        <f t="shared" si="2"/>
        <v>668</v>
      </c>
      <c r="F15" s="24">
        <f>SUM(F4:F14)</f>
        <v>236</v>
      </c>
      <c r="G15" s="24">
        <f>SUM(G4:G14)</f>
        <v>275</v>
      </c>
      <c r="H15" s="25">
        <f>SUM(H4:H14)</f>
        <v>157</v>
      </c>
      <c r="I15" s="26">
        <f t="shared" si="3"/>
        <v>668</v>
      </c>
      <c r="J15" s="45"/>
    </row>
    <row r="16" spans="1:35">
      <c r="A16" s="3" t="s">
        <v>16</v>
      </c>
      <c r="B16" s="8">
        <v>1</v>
      </c>
      <c r="C16" s="9"/>
      <c r="D16" s="10"/>
      <c r="E16" s="4">
        <f t="shared" si="2"/>
        <v>1</v>
      </c>
      <c r="F16" s="8">
        <v>1</v>
      </c>
      <c r="G16" s="9"/>
      <c r="H16" s="10"/>
      <c r="I16" s="4">
        <f t="shared" si="3"/>
        <v>1</v>
      </c>
      <c r="J16" s="42">
        <v>43229</v>
      </c>
    </row>
    <row r="17" spans="1:10">
      <c r="A17" s="3" t="s">
        <v>18</v>
      </c>
      <c r="B17" s="8">
        <v>1</v>
      </c>
      <c r="C17" s="9"/>
      <c r="D17" s="10"/>
      <c r="E17" s="4">
        <f t="shared" si="2"/>
        <v>1</v>
      </c>
      <c r="F17" s="8">
        <v>1</v>
      </c>
      <c r="G17" s="9"/>
      <c r="H17" s="10"/>
      <c r="I17" s="4">
        <f t="shared" si="3"/>
        <v>1</v>
      </c>
      <c r="J17" s="42">
        <v>43232</v>
      </c>
    </row>
    <row r="18" spans="1:10">
      <c r="A18" s="3" t="s">
        <v>19</v>
      </c>
      <c r="B18" s="8">
        <v>30</v>
      </c>
      <c r="C18" s="9">
        <v>30</v>
      </c>
      <c r="D18" s="10">
        <v>30</v>
      </c>
      <c r="E18" s="4">
        <f t="shared" si="2"/>
        <v>90</v>
      </c>
      <c r="F18" s="8">
        <v>30</v>
      </c>
      <c r="G18" s="9">
        <v>30</v>
      </c>
      <c r="H18" s="10">
        <v>30</v>
      </c>
      <c r="I18" s="4">
        <f t="shared" si="3"/>
        <v>90</v>
      </c>
      <c r="J18" s="42">
        <v>43248</v>
      </c>
    </row>
    <row r="19" spans="1:10">
      <c r="A19" s="3"/>
      <c r="B19" s="8"/>
      <c r="C19" s="9"/>
      <c r="D19" s="10"/>
      <c r="E19" s="4">
        <f t="shared" si="2"/>
        <v>0</v>
      </c>
      <c r="F19" s="8"/>
      <c r="G19" s="9"/>
      <c r="H19" s="10"/>
      <c r="I19" s="4">
        <f t="shared" si="3"/>
        <v>0</v>
      </c>
      <c r="J19" s="42"/>
    </row>
    <row r="20" spans="1:10">
      <c r="A20" s="3" t="s">
        <v>21</v>
      </c>
      <c r="B20" s="8">
        <v>25</v>
      </c>
      <c r="C20" s="9">
        <v>35</v>
      </c>
      <c r="D20" s="10">
        <v>10</v>
      </c>
      <c r="E20" s="4">
        <f t="shared" si="2"/>
        <v>70</v>
      </c>
      <c r="F20" s="8">
        <v>25</v>
      </c>
      <c r="G20" s="9">
        <v>35</v>
      </c>
      <c r="H20" s="10">
        <v>10</v>
      </c>
      <c r="I20" s="4">
        <f t="shared" si="3"/>
        <v>70</v>
      </c>
      <c r="J20" s="42">
        <v>43259</v>
      </c>
    </row>
    <row r="21" spans="1:10">
      <c r="A21" s="3"/>
      <c r="B21" s="8"/>
      <c r="C21" s="9"/>
      <c r="D21" s="10"/>
      <c r="E21" s="7">
        <f t="shared" si="2"/>
        <v>0</v>
      </c>
      <c r="F21" s="8"/>
      <c r="G21" s="9"/>
      <c r="H21" s="10"/>
      <c r="I21" s="7">
        <f t="shared" si="3"/>
        <v>0</v>
      </c>
      <c r="J21" s="42"/>
    </row>
    <row r="22" spans="1:10">
      <c r="A22" s="3" t="s">
        <v>20</v>
      </c>
      <c r="B22" s="8">
        <v>1</v>
      </c>
      <c r="C22" s="9"/>
      <c r="D22" s="10"/>
      <c r="E22" s="7">
        <f t="shared" si="2"/>
        <v>1</v>
      </c>
      <c r="F22" s="8">
        <v>1</v>
      </c>
      <c r="G22" s="9"/>
      <c r="H22" s="10"/>
      <c r="I22" s="7">
        <f t="shared" si="3"/>
        <v>1</v>
      </c>
      <c r="J22" s="42">
        <v>43245</v>
      </c>
    </row>
    <row r="23" spans="1:10">
      <c r="A23" s="3" t="s">
        <v>24</v>
      </c>
      <c r="B23" s="8">
        <v>1</v>
      </c>
      <c r="C23" s="9">
        <v>6</v>
      </c>
      <c r="D23" s="10">
        <v>9</v>
      </c>
      <c r="E23" s="7">
        <f t="shared" si="2"/>
        <v>16</v>
      </c>
      <c r="F23" s="8">
        <v>1</v>
      </c>
      <c r="G23" s="9">
        <v>6</v>
      </c>
      <c r="H23" s="10">
        <v>9</v>
      </c>
      <c r="I23" s="7">
        <f t="shared" si="3"/>
        <v>16</v>
      </c>
      <c r="J23" s="42">
        <v>43251</v>
      </c>
    </row>
    <row r="24" spans="1:10">
      <c r="A24" s="3" t="s">
        <v>22</v>
      </c>
      <c r="B24" s="8">
        <v>16</v>
      </c>
      <c r="C24" s="9">
        <v>16</v>
      </c>
      <c r="D24" s="10">
        <v>16</v>
      </c>
      <c r="E24" s="7">
        <f t="shared" si="2"/>
        <v>48</v>
      </c>
      <c r="F24" s="8">
        <v>16</v>
      </c>
      <c r="G24" s="9">
        <v>16</v>
      </c>
      <c r="H24" s="10">
        <v>16</v>
      </c>
      <c r="I24" s="7">
        <f t="shared" si="3"/>
        <v>48</v>
      </c>
      <c r="J24" s="42">
        <v>43255</v>
      </c>
    </row>
    <row r="25" spans="1:10">
      <c r="A25" s="3" t="s">
        <v>23</v>
      </c>
      <c r="B25" s="8">
        <v>18</v>
      </c>
      <c r="C25" s="9">
        <v>22</v>
      </c>
      <c r="D25" s="10">
        <v>4</v>
      </c>
      <c r="E25" s="7">
        <f t="shared" si="2"/>
        <v>44</v>
      </c>
      <c r="F25" s="8">
        <v>18</v>
      </c>
      <c r="G25" s="9">
        <v>22</v>
      </c>
      <c r="H25" s="10">
        <v>4</v>
      </c>
      <c r="I25" s="7">
        <f t="shared" si="3"/>
        <v>44</v>
      </c>
      <c r="J25" s="42">
        <v>43255</v>
      </c>
    </row>
    <row r="26" spans="1:10">
      <c r="A26" s="3" t="s">
        <v>25</v>
      </c>
      <c r="B26" s="8">
        <v>17</v>
      </c>
      <c r="C26" s="9">
        <v>21</v>
      </c>
      <c r="D26" s="10">
        <v>11</v>
      </c>
      <c r="E26" s="7">
        <f t="shared" si="2"/>
        <v>49</v>
      </c>
      <c r="F26" s="8">
        <v>17</v>
      </c>
      <c r="G26" s="9">
        <v>21</v>
      </c>
      <c r="H26" s="10">
        <v>11</v>
      </c>
      <c r="I26" s="7">
        <f t="shared" si="3"/>
        <v>49</v>
      </c>
      <c r="J26" s="42">
        <v>43257</v>
      </c>
    </row>
    <row r="27" spans="1:10">
      <c r="A27" s="3" t="s">
        <v>26</v>
      </c>
      <c r="B27" s="8">
        <v>41</v>
      </c>
      <c r="C27" s="9">
        <v>41</v>
      </c>
      <c r="D27" s="10">
        <v>30</v>
      </c>
      <c r="E27" s="7">
        <f t="shared" ref="E27:E28" si="4">SUM(B27:D27)</f>
        <v>112</v>
      </c>
      <c r="F27" s="8">
        <v>41</v>
      </c>
      <c r="G27" s="9">
        <v>41</v>
      </c>
      <c r="H27" s="10">
        <v>30</v>
      </c>
      <c r="I27" s="7">
        <f t="shared" ref="I27" si="5">SUM(F27:H27)</f>
        <v>112</v>
      </c>
      <c r="J27" s="42">
        <v>43260</v>
      </c>
    </row>
    <row r="28" spans="1:10">
      <c r="A28" s="3" t="s">
        <v>27</v>
      </c>
      <c r="B28" s="8">
        <v>9</v>
      </c>
      <c r="C28" s="9">
        <v>4</v>
      </c>
      <c r="D28" s="10">
        <v>5</v>
      </c>
      <c r="E28" s="7">
        <f t="shared" si="4"/>
        <v>18</v>
      </c>
      <c r="F28" s="8">
        <v>9</v>
      </c>
      <c r="G28" s="9">
        <v>4</v>
      </c>
      <c r="H28" s="10">
        <v>5</v>
      </c>
      <c r="I28" s="7">
        <f t="shared" si="3"/>
        <v>18</v>
      </c>
      <c r="J28" s="42">
        <v>43263</v>
      </c>
    </row>
    <row r="29" spans="1:10">
      <c r="A29" s="3" t="s">
        <v>22</v>
      </c>
      <c r="B29" s="8">
        <v>2</v>
      </c>
      <c r="C29" s="9">
        <v>38</v>
      </c>
      <c r="D29" s="10"/>
      <c r="E29" s="7">
        <f t="shared" si="2"/>
        <v>40</v>
      </c>
      <c r="F29" s="8">
        <v>2</v>
      </c>
      <c r="G29" s="9">
        <v>38</v>
      </c>
      <c r="H29" s="10"/>
      <c r="I29" s="7">
        <f t="shared" si="3"/>
        <v>40</v>
      </c>
      <c r="J29" s="42">
        <v>43266</v>
      </c>
    </row>
    <row r="30" spans="1:10">
      <c r="A30" s="3" t="s">
        <v>28</v>
      </c>
      <c r="B30" s="8"/>
      <c r="C30" s="9"/>
      <c r="D30" s="10">
        <v>9</v>
      </c>
      <c r="E30" s="7">
        <f t="shared" si="2"/>
        <v>9</v>
      </c>
      <c r="F30" s="8"/>
      <c r="G30" s="9"/>
      <c r="H30" s="10">
        <v>9</v>
      </c>
      <c r="I30" s="7">
        <f t="shared" si="3"/>
        <v>9</v>
      </c>
      <c r="J30" s="42">
        <v>43265</v>
      </c>
    </row>
    <row r="31" spans="1:10">
      <c r="A31" s="41" t="s">
        <v>29</v>
      </c>
      <c r="B31" s="8">
        <v>-1</v>
      </c>
      <c r="C31" s="9"/>
      <c r="D31" s="10"/>
      <c r="E31" s="7">
        <f t="shared" si="2"/>
        <v>-1</v>
      </c>
      <c r="F31" s="8">
        <v>-1</v>
      </c>
      <c r="G31" s="9"/>
      <c r="H31" s="10"/>
      <c r="I31" s="7">
        <f t="shared" si="3"/>
        <v>-1</v>
      </c>
      <c r="J31" s="42">
        <v>43265</v>
      </c>
    </row>
    <row r="32" spans="1:10">
      <c r="A32" s="3" t="s">
        <v>30</v>
      </c>
      <c r="B32" s="8">
        <v>3</v>
      </c>
      <c r="C32" s="9">
        <v>5</v>
      </c>
      <c r="D32" s="10"/>
      <c r="E32" s="7">
        <f t="shared" si="2"/>
        <v>8</v>
      </c>
      <c r="F32" s="8">
        <v>3</v>
      </c>
      <c r="G32" s="9">
        <v>5</v>
      </c>
      <c r="H32" s="10"/>
      <c r="I32" s="7">
        <f t="shared" si="3"/>
        <v>8</v>
      </c>
      <c r="J32" s="42">
        <v>43267</v>
      </c>
    </row>
    <row r="33" spans="1:35">
      <c r="A33" s="3" t="s">
        <v>31</v>
      </c>
      <c r="B33" s="8"/>
      <c r="C33" s="9">
        <v>1</v>
      </c>
      <c r="D33" s="10"/>
      <c r="E33" s="7">
        <f t="shared" si="2"/>
        <v>1</v>
      </c>
      <c r="F33" s="8"/>
      <c r="G33" s="9">
        <v>1</v>
      </c>
      <c r="H33" s="10"/>
      <c r="I33" s="7">
        <f t="shared" si="3"/>
        <v>1</v>
      </c>
      <c r="J33" s="42">
        <v>43271</v>
      </c>
    </row>
    <row r="34" spans="1:35">
      <c r="A34" s="3" t="s">
        <v>32</v>
      </c>
      <c r="B34" s="8"/>
      <c r="C34" s="9">
        <v>1</v>
      </c>
      <c r="D34" s="10">
        <v>1</v>
      </c>
      <c r="E34" s="7">
        <f t="shared" si="2"/>
        <v>2</v>
      </c>
      <c r="F34" s="8"/>
      <c r="G34" s="9">
        <v>1</v>
      </c>
      <c r="H34" s="10">
        <v>1</v>
      </c>
      <c r="I34" s="7">
        <f t="shared" si="3"/>
        <v>2</v>
      </c>
      <c r="J34" s="42">
        <v>43272</v>
      </c>
    </row>
    <row r="35" spans="1:35">
      <c r="A35" s="3" t="s">
        <v>33</v>
      </c>
      <c r="B35" s="8"/>
      <c r="C35" s="9">
        <v>2</v>
      </c>
      <c r="D35" s="10"/>
      <c r="E35" s="7">
        <f t="shared" si="2"/>
        <v>2</v>
      </c>
      <c r="F35" s="8"/>
      <c r="G35" s="9">
        <v>2</v>
      </c>
      <c r="H35" s="10"/>
      <c r="I35" s="7">
        <f t="shared" si="3"/>
        <v>2</v>
      </c>
      <c r="J35" s="42">
        <v>43274</v>
      </c>
    </row>
    <row r="36" spans="1:35">
      <c r="A36" s="3" t="s">
        <v>34</v>
      </c>
      <c r="B36" s="8">
        <v>1</v>
      </c>
      <c r="C36" s="9">
        <v>4</v>
      </c>
      <c r="D36" s="10"/>
      <c r="E36" s="7">
        <f t="shared" si="2"/>
        <v>5</v>
      </c>
      <c r="F36" s="8">
        <v>1</v>
      </c>
      <c r="G36" s="9">
        <v>4</v>
      </c>
      <c r="H36" s="10"/>
      <c r="I36" s="7">
        <f t="shared" si="3"/>
        <v>5</v>
      </c>
      <c r="J36" s="42">
        <v>43277</v>
      </c>
      <c r="AI36" s="29"/>
    </row>
    <row r="37" spans="1:35">
      <c r="A37" s="3" t="s">
        <v>35</v>
      </c>
      <c r="B37" s="8"/>
      <c r="C37" s="9">
        <v>-1</v>
      </c>
      <c r="D37" s="10">
        <v>1</v>
      </c>
      <c r="E37" s="7">
        <f t="shared" si="2"/>
        <v>0</v>
      </c>
      <c r="F37" s="8"/>
      <c r="G37" s="9">
        <v>-1</v>
      </c>
      <c r="H37" s="10">
        <v>1</v>
      </c>
      <c r="I37" s="7">
        <f t="shared" si="3"/>
        <v>0</v>
      </c>
      <c r="J37" s="42">
        <v>43278</v>
      </c>
    </row>
    <row r="38" spans="1:35">
      <c r="A38" s="3" t="s">
        <v>36</v>
      </c>
      <c r="B38" s="8">
        <v>5</v>
      </c>
      <c r="C38" s="9">
        <v>4</v>
      </c>
      <c r="D38" s="10"/>
      <c r="E38" s="7">
        <f t="shared" si="2"/>
        <v>9</v>
      </c>
      <c r="F38" s="8">
        <v>5</v>
      </c>
      <c r="G38" s="9">
        <v>4</v>
      </c>
      <c r="H38" s="10"/>
      <c r="I38" s="7">
        <f t="shared" si="3"/>
        <v>9</v>
      </c>
      <c r="J38" s="42">
        <v>43279</v>
      </c>
    </row>
    <row r="39" spans="1:35" ht="14.25" thickBot="1">
      <c r="A39" s="3" t="s">
        <v>35</v>
      </c>
      <c r="B39" s="8">
        <v>4</v>
      </c>
      <c r="C39" s="9">
        <v>-6</v>
      </c>
      <c r="D39" s="10">
        <v>2</v>
      </c>
      <c r="E39" s="7">
        <f t="shared" si="2"/>
        <v>0</v>
      </c>
      <c r="F39" s="8">
        <v>4</v>
      </c>
      <c r="G39" s="9">
        <v>-6</v>
      </c>
      <c r="H39" s="10">
        <v>2</v>
      </c>
      <c r="I39" s="7">
        <f t="shared" si="3"/>
        <v>0</v>
      </c>
      <c r="J39" s="42">
        <v>43280</v>
      </c>
    </row>
    <row r="40" spans="1:35" ht="14.25" thickBot="1">
      <c r="A40" s="2" t="s">
        <v>5</v>
      </c>
      <c r="B40" s="14">
        <f>SUM(B16:B39)</f>
        <v>174</v>
      </c>
      <c r="C40" s="14">
        <f>SUM(C16:C39)</f>
        <v>223</v>
      </c>
      <c r="D40" s="14">
        <f>SUM(D16:D39)</f>
        <v>128</v>
      </c>
      <c r="E40" s="15">
        <f t="shared" si="2"/>
        <v>525</v>
      </c>
      <c r="F40" s="14">
        <f>SUM(F16:F39)</f>
        <v>174</v>
      </c>
      <c r="G40" s="14">
        <f>SUM(G16:G39)</f>
        <v>223</v>
      </c>
      <c r="H40" s="14">
        <f>SUM(H16:H39)</f>
        <v>128</v>
      </c>
      <c r="I40" s="15">
        <f t="shared" si="3"/>
        <v>525</v>
      </c>
      <c r="J40" s="45"/>
    </row>
    <row r="41" spans="1:35" ht="14.25" thickBot="1">
      <c r="A41" s="27" t="s">
        <v>6</v>
      </c>
      <c r="B41" s="28">
        <f>B15-B40</f>
        <v>62</v>
      </c>
      <c r="C41" s="28">
        <f t="shared" ref="C41:E41" si="6">C15-C40</f>
        <v>52</v>
      </c>
      <c r="D41" s="28">
        <f t="shared" si="6"/>
        <v>29</v>
      </c>
      <c r="E41" s="28">
        <f t="shared" si="6"/>
        <v>143</v>
      </c>
      <c r="F41" s="28">
        <f>F15-F40</f>
        <v>62</v>
      </c>
      <c r="G41" s="28">
        <f>G15-G40</f>
        <v>52</v>
      </c>
      <c r="H41" s="28">
        <f>H15-H40</f>
        <v>29</v>
      </c>
      <c r="I41" s="26">
        <f t="shared" ref="I41" si="7">I15-I40</f>
        <v>143</v>
      </c>
      <c r="J41" s="45"/>
    </row>
    <row r="44" spans="1:35" ht="21.75" thickBot="1">
      <c r="A44" s="33" t="s">
        <v>15</v>
      </c>
      <c r="B44" s="34"/>
      <c r="C44" s="34"/>
      <c r="D44" s="34"/>
      <c r="E44" s="34"/>
      <c r="F44" s="35"/>
      <c r="G44" s="35"/>
      <c r="H44" s="35"/>
      <c r="I44" s="35"/>
      <c r="J44" s="45"/>
    </row>
    <row r="45" spans="1:35" ht="14.25" thickBot="1">
      <c r="A45" s="1" t="s">
        <v>0</v>
      </c>
      <c r="B45" s="182" t="s">
        <v>17</v>
      </c>
      <c r="C45" s="182"/>
      <c r="D45" s="182"/>
      <c r="E45" s="183"/>
      <c r="F45" s="182" t="s">
        <v>13</v>
      </c>
      <c r="G45" s="182"/>
      <c r="H45" s="182"/>
      <c r="I45" s="183"/>
      <c r="J45" s="45"/>
    </row>
    <row r="46" spans="1:35" ht="14.25" thickBot="1">
      <c r="A46" s="1" t="s">
        <v>1</v>
      </c>
      <c r="B46" s="2" t="s">
        <v>8</v>
      </c>
      <c r="C46" s="1" t="s">
        <v>9</v>
      </c>
      <c r="D46" s="19" t="s">
        <v>10</v>
      </c>
      <c r="E46" s="1" t="s">
        <v>2</v>
      </c>
      <c r="F46" s="2" t="s">
        <v>11</v>
      </c>
      <c r="G46" s="1" t="s">
        <v>12</v>
      </c>
      <c r="H46" s="19" t="s">
        <v>10</v>
      </c>
      <c r="I46" s="1" t="s">
        <v>2</v>
      </c>
      <c r="J46" s="45"/>
    </row>
    <row r="47" spans="1:35">
      <c r="A47" s="21" t="s">
        <v>7</v>
      </c>
      <c r="B47" s="18">
        <f>B41</f>
        <v>62</v>
      </c>
      <c r="C47" s="22">
        <f>C41</f>
        <v>52</v>
      </c>
      <c r="D47" s="22">
        <f>D41</f>
        <v>29</v>
      </c>
      <c r="E47" s="17">
        <f t="shared" ref="E47:E83" si="8">SUM(B47:D47)</f>
        <v>143</v>
      </c>
      <c r="F47" s="22">
        <f>F41</f>
        <v>62</v>
      </c>
      <c r="G47" s="22">
        <f>G41</f>
        <v>52</v>
      </c>
      <c r="H47" s="22">
        <f>H41</f>
        <v>29</v>
      </c>
      <c r="I47" s="17">
        <f t="shared" ref="I47:I83" si="9">SUM(F47:H47)</f>
        <v>143</v>
      </c>
      <c r="J47" s="46"/>
    </row>
    <row r="48" spans="1:35">
      <c r="A48" s="5" t="s">
        <v>3</v>
      </c>
      <c r="B48" s="38"/>
      <c r="C48" s="39"/>
      <c r="D48" s="38"/>
      <c r="E48" s="17">
        <f t="shared" si="8"/>
        <v>0</v>
      </c>
      <c r="F48" s="38"/>
      <c r="G48" s="39"/>
      <c r="H48" s="38"/>
      <c r="I48" s="17">
        <f t="shared" si="9"/>
        <v>0</v>
      </c>
      <c r="J48" s="47"/>
    </row>
    <row r="49" spans="1:10">
      <c r="A49" s="5" t="s">
        <v>38</v>
      </c>
      <c r="B49" s="16">
        <v>30</v>
      </c>
      <c r="C49" s="11">
        <v>30</v>
      </c>
      <c r="D49" s="16">
        <v>25</v>
      </c>
      <c r="E49" s="4">
        <f t="shared" ref="E49" si="10">SUM(B49:D49)</f>
        <v>85</v>
      </c>
      <c r="F49" s="16">
        <v>30</v>
      </c>
      <c r="G49" s="11">
        <v>30</v>
      </c>
      <c r="H49" s="16">
        <v>25</v>
      </c>
      <c r="I49" s="4">
        <f t="shared" ref="I49" si="11">SUM(F49:H49)</f>
        <v>85</v>
      </c>
      <c r="J49" s="42">
        <v>43290</v>
      </c>
    </row>
    <row r="50" spans="1:10">
      <c r="A50" s="5" t="s">
        <v>3</v>
      </c>
      <c r="B50" s="30">
        <v>6</v>
      </c>
      <c r="C50" s="31">
        <v>6</v>
      </c>
      <c r="D50" s="32">
        <v>8</v>
      </c>
      <c r="E50" s="4">
        <f t="shared" si="8"/>
        <v>20</v>
      </c>
      <c r="F50" s="30">
        <v>6</v>
      </c>
      <c r="G50" s="31">
        <v>6</v>
      </c>
      <c r="H50" s="32">
        <v>8</v>
      </c>
      <c r="I50" s="4">
        <f t="shared" si="9"/>
        <v>20</v>
      </c>
      <c r="J50" s="43">
        <v>43290</v>
      </c>
    </row>
    <row r="51" spans="1:10">
      <c r="A51" s="5" t="s">
        <v>37</v>
      </c>
      <c r="B51" s="16">
        <v>2</v>
      </c>
      <c r="C51" s="11">
        <v>1</v>
      </c>
      <c r="D51" s="16"/>
      <c r="E51" s="4">
        <f t="shared" ref="E51" si="12">SUM(B51:D51)</f>
        <v>3</v>
      </c>
      <c r="F51" s="16">
        <v>2</v>
      </c>
      <c r="G51" s="11">
        <v>1</v>
      </c>
      <c r="H51" s="16"/>
      <c r="I51" s="4">
        <f t="shared" ref="I51" si="13">SUM(F51:H51)</f>
        <v>3</v>
      </c>
      <c r="J51" s="42">
        <v>43290</v>
      </c>
    </row>
    <row r="52" spans="1:10">
      <c r="A52" s="5" t="s">
        <v>37</v>
      </c>
      <c r="B52" s="16">
        <v>1</v>
      </c>
      <c r="C52" s="11"/>
      <c r="D52" s="16"/>
      <c r="E52" s="4">
        <f t="shared" si="8"/>
        <v>1</v>
      </c>
      <c r="F52" s="16">
        <v>1</v>
      </c>
      <c r="G52" s="11"/>
      <c r="H52" s="16"/>
      <c r="I52" s="4">
        <f t="shared" si="9"/>
        <v>1</v>
      </c>
      <c r="J52" s="42">
        <v>43300</v>
      </c>
    </row>
    <row r="53" spans="1:10">
      <c r="A53" s="6" t="s">
        <v>3</v>
      </c>
      <c r="B53" s="32">
        <v>120</v>
      </c>
      <c r="C53" s="31">
        <v>150</v>
      </c>
      <c r="D53" s="32">
        <v>90</v>
      </c>
      <c r="E53" s="4">
        <f t="shared" si="8"/>
        <v>360</v>
      </c>
      <c r="F53" s="32">
        <v>120</v>
      </c>
      <c r="G53" s="31">
        <v>150</v>
      </c>
      <c r="H53" s="32">
        <v>90</v>
      </c>
      <c r="I53" s="4">
        <f t="shared" si="9"/>
        <v>360</v>
      </c>
      <c r="J53" s="42">
        <v>43313</v>
      </c>
    </row>
    <row r="54" spans="1:10">
      <c r="A54" s="5" t="s">
        <v>3</v>
      </c>
      <c r="B54" s="8"/>
      <c r="C54" s="9"/>
      <c r="D54" s="10"/>
      <c r="E54" s="4">
        <f t="shared" si="8"/>
        <v>0</v>
      </c>
      <c r="F54" s="8"/>
      <c r="G54" s="9"/>
      <c r="H54" s="10"/>
      <c r="I54" s="4">
        <f t="shared" si="9"/>
        <v>0</v>
      </c>
      <c r="J54" s="43"/>
    </row>
    <row r="55" spans="1:10">
      <c r="A55" s="5" t="s">
        <v>3</v>
      </c>
      <c r="B55" s="16">
        <v>60</v>
      </c>
      <c r="C55" s="11">
        <v>70</v>
      </c>
      <c r="D55" s="16">
        <v>70</v>
      </c>
      <c r="E55" s="4">
        <f t="shared" si="8"/>
        <v>200</v>
      </c>
      <c r="F55" s="16">
        <v>60</v>
      </c>
      <c r="G55" s="11">
        <v>70</v>
      </c>
      <c r="H55" s="16">
        <v>70</v>
      </c>
      <c r="I55" s="4">
        <f t="shared" si="9"/>
        <v>200</v>
      </c>
      <c r="J55" s="42">
        <v>43313</v>
      </c>
    </row>
    <row r="56" spans="1:10">
      <c r="A56" s="6" t="s">
        <v>3</v>
      </c>
      <c r="B56" s="32"/>
      <c r="C56" s="31"/>
      <c r="D56" s="32"/>
      <c r="E56" s="4">
        <f t="shared" si="8"/>
        <v>0</v>
      </c>
      <c r="F56" s="32"/>
      <c r="G56" s="31"/>
      <c r="H56" s="32"/>
      <c r="I56" s="4">
        <f t="shared" si="9"/>
        <v>0</v>
      </c>
      <c r="J56" s="42"/>
    </row>
    <row r="57" spans="1:10" ht="14.25" thickBot="1">
      <c r="A57" s="6" t="s">
        <v>3</v>
      </c>
      <c r="B57" s="36"/>
      <c r="C57" s="37"/>
      <c r="D57" s="36"/>
      <c r="E57" s="20">
        <f t="shared" si="8"/>
        <v>0</v>
      </c>
      <c r="F57" s="36"/>
      <c r="G57" s="37"/>
      <c r="H57" s="36"/>
      <c r="I57" s="20">
        <f t="shared" si="9"/>
        <v>0</v>
      </c>
      <c r="J57" s="45"/>
    </row>
    <row r="58" spans="1:10" ht="14.25" thickBot="1">
      <c r="A58" s="23" t="s">
        <v>4</v>
      </c>
      <c r="B58" s="24">
        <f>SUM(B47:B57)</f>
        <v>281</v>
      </c>
      <c r="C58" s="24">
        <f>SUM(C47:C57)</f>
        <v>309</v>
      </c>
      <c r="D58" s="25">
        <f>SUM(D47:D57)</f>
        <v>222</v>
      </c>
      <c r="E58" s="26">
        <f t="shared" si="8"/>
        <v>812</v>
      </c>
      <c r="F58" s="24">
        <f>SUM(F47:F57)</f>
        <v>281</v>
      </c>
      <c r="G58" s="24">
        <f>SUM(G47:G57)</f>
        <v>309</v>
      </c>
      <c r="H58" s="25">
        <f>SUM(H47:H57)</f>
        <v>222</v>
      </c>
      <c r="I58" s="26">
        <f t="shared" si="9"/>
        <v>812</v>
      </c>
      <c r="J58" s="45"/>
    </row>
    <row r="59" spans="1:10">
      <c r="A59" s="3" t="s">
        <v>36</v>
      </c>
      <c r="B59" s="8">
        <v>4</v>
      </c>
      <c r="C59" s="9"/>
      <c r="D59" s="10">
        <v>3</v>
      </c>
      <c r="E59" s="4">
        <f t="shared" si="8"/>
        <v>7</v>
      </c>
      <c r="F59" s="8">
        <v>4</v>
      </c>
      <c r="G59" s="9"/>
      <c r="H59" s="10">
        <v>3</v>
      </c>
      <c r="I59" s="4">
        <f t="shared" si="9"/>
        <v>7</v>
      </c>
      <c r="J59" s="42">
        <v>43281</v>
      </c>
    </row>
    <row r="60" spans="1:10">
      <c r="A60" s="3" t="s">
        <v>35</v>
      </c>
      <c r="B60" s="8"/>
      <c r="C60" s="9">
        <v>-2</v>
      </c>
      <c r="D60" s="10">
        <v>2</v>
      </c>
      <c r="E60" s="4">
        <f t="shared" si="8"/>
        <v>0</v>
      </c>
      <c r="F60" s="8"/>
      <c r="G60" s="9">
        <v>-2</v>
      </c>
      <c r="H60" s="10">
        <v>2</v>
      </c>
      <c r="I60" s="4">
        <f t="shared" si="9"/>
        <v>0</v>
      </c>
      <c r="J60" s="42">
        <v>43284</v>
      </c>
    </row>
    <row r="61" spans="1:10">
      <c r="A61" s="3" t="s">
        <v>39</v>
      </c>
      <c r="B61" s="8"/>
      <c r="C61" s="9">
        <v>3</v>
      </c>
      <c r="D61" s="10">
        <v>1</v>
      </c>
      <c r="E61" s="7">
        <f t="shared" si="8"/>
        <v>4</v>
      </c>
      <c r="F61" s="8"/>
      <c r="G61" s="9">
        <v>3</v>
      </c>
      <c r="H61" s="10">
        <v>1</v>
      </c>
      <c r="I61" s="7">
        <f t="shared" si="9"/>
        <v>4</v>
      </c>
      <c r="J61" s="42">
        <v>43284</v>
      </c>
    </row>
    <row r="62" spans="1:10">
      <c r="A62" s="3" t="s">
        <v>22</v>
      </c>
      <c r="B62" s="8">
        <v>6</v>
      </c>
      <c r="C62" s="9">
        <v>4</v>
      </c>
      <c r="D62" s="10">
        <v>6</v>
      </c>
      <c r="E62" s="4">
        <f t="shared" si="8"/>
        <v>16</v>
      </c>
      <c r="F62" s="8">
        <v>6</v>
      </c>
      <c r="G62" s="9">
        <v>4</v>
      </c>
      <c r="H62" s="10">
        <v>6</v>
      </c>
      <c r="I62" s="4">
        <f t="shared" si="9"/>
        <v>16</v>
      </c>
      <c r="J62" s="42">
        <v>43286</v>
      </c>
    </row>
    <row r="63" spans="1:10">
      <c r="A63" s="3" t="s">
        <v>40</v>
      </c>
      <c r="B63" s="8">
        <v>1</v>
      </c>
      <c r="C63" s="9">
        <v>5</v>
      </c>
      <c r="D63" s="10">
        <v>1</v>
      </c>
      <c r="E63" s="4">
        <f t="shared" si="8"/>
        <v>7</v>
      </c>
      <c r="F63" s="8">
        <v>1</v>
      </c>
      <c r="G63" s="9">
        <v>5</v>
      </c>
      <c r="H63" s="10">
        <v>1</v>
      </c>
      <c r="I63" s="4">
        <f t="shared" si="9"/>
        <v>7</v>
      </c>
      <c r="J63" s="42">
        <v>43286</v>
      </c>
    </row>
    <row r="64" spans="1:10">
      <c r="A64" s="3" t="s">
        <v>41</v>
      </c>
      <c r="B64" s="8">
        <v>4</v>
      </c>
      <c r="C64" s="9">
        <v>2</v>
      </c>
      <c r="D64" s="10">
        <v>1</v>
      </c>
      <c r="E64" s="7">
        <f t="shared" si="8"/>
        <v>7</v>
      </c>
      <c r="F64" s="8">
        <v>4</v>
      </c>
      <c r="G64" s="9">
        <v>2</v>
      </c>
      <c r="H64" s="10">
        <v>1</v>
      </c>
      <c r="I64" s="7">
        <f t="shared" si="9"/>
        <v>7</v>
      </c>
      <c r="J64" s="42">
        <v>43288</v>
      </c>
    </row>
    <row r="65" spans="1:10">
      <c r="A65" s="3" t="s">
        <v>42</v>
      </c>
      <c r="B65" s="8"/>
      <c r="C65" s="9">
        <v>-2</v>
      </c>
      <c r="D65" s="10"/>
      <c r="E65" s="7">
        <f t="shared" si="8"/>
        <v>-2</v>
      </c>
      <c r="F65" s="8"/>
      <c r="G65" s="9">
        <v>-2</v>
      </c>
      <c r="H65" s="10"/>
      <c r="I65" s="7">
        <f t="shared" si="9"/>
        <v>-2</v>
      </c>
      <c r="J65" s="42">
        <v>43288</v>
      </c>
    </row>
    <row r="66" spans="1:10">
      <c r="A66" s="3" t="s">
        <v>43</v>
      </c>
      <c r="B66" s="8">
        <v>3</v>
      </c>
      <c r="C66" s="9">
        <v>4</v>
      </c>
      <c r="D66" s="10">
        <v>3</v>
      </c>
      <c r="E66" s="7">
        <f t="shared" si="8"/>
        <v>10</v>
      </c>
      <c r="F66" s="8">
        <v>3</v>
      </c>
      <c r="G66" s="9">
        <v>4</v>
      </c>
      <c r="H66" s="10">
        <v>3</v>
      </c>
      <c r="I66" s="7">
        <f t="shared" si="9"/>
        <v>10</v>
      </c>
      <c r="J66" s="42">
        <v>43291</v>
      </c>
    </row>
    <row r="67" spans="1:10">
      <c r="A67" s="3" t="s">
        <v>44</v>
      </c>
      <c r="B67" s="8">
        <v>1</v>
      </c>
      <c r="C67" s="9">
        <v>1</v>
      </c>
      <c r="D67" s="10">
        <v>1</v>
      </c>
      <c r="E67" s="7">
        <f t="shared" si="8"/>
        <v>3</v>
      </c>
      <c r="F67" s="8">
        <v>1</v>
      </c>
      <c r="G67" s="9">
        <v>1</v>
      </c>
      <c r="H67" s="10">
        <v>1</v>
      </c>
      <c r="I67" s="7">
        <f t="shared" si="9"/>
        <v>3</v>
      </c>
      <c r="J67" s="42">
        <v>43291</v>
      </c>
    </row>
    <row r="68" spans="1:10">
      <c r="A68" s="3" t="s">
        <v>45</v>
      </c>
      <c r="B68" s="8"/>
      <c r="C68" s="9">
        <v>2</v>
      </c>
      <c r="D68" s="10"/>
      <c r="E68" s="7">
        <f t="shared" si="8"/>
        <v>2</v>
      </c>
      <c r="F68" s="8"/>
      <c r="G68" s="9">
        <v>2</v>
      </c>
      <c r="H68" s="10"/>
      <c r="I68" s="7">
        <f t="shared" si="9"/>
        <v>2</v>
      </c>
      <c r="J68" s="42">
        <v>43293</v>
      </c>
    </row>
    <row r="69" spans="1:10">
      <c r="A69" s="3" t="s">
        <v>46</v>
      </c>
      <c r="B69" s="8">
        <v>8</v>
      </c>
      <c r="C69" s="9">
        <v>1</v>
      </c>
      <c r="D69" s="10">
        <v>1</v>
      </c>
      <c r="E69" s="7">
        <f t="shared" si="8"/>
        <v>10</v>
      </c>
      <c r="F69" s="8">
        <v>8</v>
      </c>
      <c r="G69" s="9">
        <v>1</v>
      </c>
      <c r="H69" s="10">
        <v>1</v>
      </c>
      <c r="I69" s="7">
        <f t="shared" si="9"/>
        <v>10</v>
      </c>
      <c r="J69" s="42">
        <v>43295</v>
      </c>
    </row>
    <row r="70" spans="1:10">
      <c r="A70" s="3" t="s">
        <v>22</v>
      </c>
      <c r="B70" s="8">
        <v>4</v>
      </c>
      <c r="C70" s="9">
        <v>8</v>
      </c>
      <c r="D70" s="10">
        <v>4</v>
      </c>
      <c r="E70" s="7">
        <f t="shared" si="8"/>
        <v>16</v>
      </c>
      <c r="F70" s="8">
        <v>4</v>
      </c>
      <c r="G70" s="9">
        <v>8</v>
      </c>
      <c r="H70" s="10">
        <v>4</v>
      </c>
      <c r="I70" s="7">
        <f t="shared" si="9"/>
        <v>16</v>
      </c>
      <c r="J70" s="42">
        <v>43299</v>
      </c>
    </row>
    <row r="71" spans="1:10">
      <c r="A71" s="3" t="s">
        <v>47</v>
      </c>
      <c r="B71" s="8">
        <v>16</v>
      </c>
      <c r="C71" s="9">
        <v>5</v>
      </c>
      <c r="D71" s="10">
        <v>15</v>
      </c>
      <c r="E71" s="7">
        <f t="shared" si="8"/>
        <v>36</v>
      </c>
      <c r="F71" s="8">
        <v>16</v>
      </c>
      <c r="G71" s="9">
        <v>5</v>
      </c>
      <c r="H71" s="10">
        <v>15</v>
      </c>
      <c r="I71" s="7">
        <f t="shared" si="9"/>
        <v>36</v>
      </c>
      <c r="J71" s="42">
        <v>43299</v>
      </c>
    </row>
    <row r="72" spans="1:10">
      <c r="A72" s="3" t="s">
        <v>35</v>
      </c>
      <c r="B72" s="8">
        <v>-2</v>
      </c>
      <c r="C72" s="9"/>
      <c r="D72" s="10">
        <v>2</v>
      </c>
      <c r="E72" s="7">
        <f t="shared" si="8"/>
        <v>0</v>
      </c>
      <c r="F72" s="8">
        <v>-2</v>
      </c>
      <c r="G72" s="9"/>
      <c r="H72" s="10">
        <v>2</v>
      </c>
      <c r="I72" s="7">
        <f t="shared" si="9"/>
        <v>0</v>
      </c>
      <c r="J72" s="42">
        <v>43300</v>
      </c>
    </row>
    <row r="73" spans="1:10">
      <c r="A73" s="3" t="s">
        <v>48</v>
      </c>
      <c r="B73" s="8">
        <v>7</v>
      </c>
      <c r="C73" s="9">
        <v>11</v>
      </c>
      <c r="D73" s="10">
        <v>2</v>
      </c>
      <c r="E73" s="7">
        <f t="shared" si="8"/>
        <v>20</v>
      </c>
      <c r="F73" s="8">
        <v>7</v>
      </c>
      <c r="G73" s="9">
        <v>11</v>
      </c>
      <c r="H73" s="10">
        <v>2</v>
      </c>
      <c r="I73" s="7">
        <f t="shared" si="9"/>
        <v>20</v>
      </c>
      <c r="J73" s="42">
        <v>43301</v>
      </c>
    </row>
    <row r="74" spans="1:10">
      <c r="A74" s="3" t="s">
        <v>49</v>
      </c>
      <c r="B74" s="8">
        <v>5</v>
      </c>
      <c r="C74" s="9">
        <v>7</v>
      </c>
      <c r="D74" s="10">
        <v>1</v>
      </c>
      <c r="E74" s="7">
        <f t="shared" si="8"/>
        <v>13</v>
      </c>
      <c r="F74" s="8">
        <v>5</v>
      </c>
      <c r="G74" s="9">
        <v>7</v>
      </c>
      <c r="H74" s="10">
        <v>1</v>
      </c>
      <c r="I74" s="7">
        <f t="shared" si="9"/>
        <v>13</v>
      </c>
      <c r="J74" s="42">
        <v>43305</v>
      </c>
    </row>
    <row r="75" spans="1:10">
      <c r="A75" s="3" t="s">
        <v>50</v>
      </c>
      <c r="B75" s="8">
        <v>1</v>
      </c>
      <c r="C75" s="9"/>
      <c r="D75" s="10"/>
      <c r="E75" s="7">
        <f t="shared" si="8"/>
        <v>1</v>
      </c>
      <c r="F75" s="8">
        <v>1</v>
      </c>
      <c r="G75" s="9"/>
      <c r="H75" s="10"/>
      <c r="I75" s="7">
        <f t="shared" si="9"/>
        <v>1</v>
      </c>
      <c r="J75" s="42">
        <v>43304</v>
      </c>
    </row>
    <row r="76" spans="1:10">
      <c r="A76" s="3" t="s">
        <v>51</v>
      </c>
      <c r="B76" s="8"/>
      <c r="C76" s="9">
        <v>1</v>
      </c>
      <c r="D76" s="10"/>
      <c r="E76" s="7">
        <f t="shared" si="8"/>
        <v>1</v>
      </c>
      <c r="F76" s="8"/>
      <c r="G76" s="9">
        <v>1</v>
      </c>
      <c r="H76" s="10"/>
      <c r="I76" s="7">
        <f t="shared" si="9"/>
        <v>1</v>
      </c>
      <c r="J76" s="42">
        <v>43307</v>
      </c>
    </row>
    <row r="77" spans="1:10">
      <c r="A77" s="3" t="s">
        <v>56</v>
      </c>
      <c r="B77" s="8">
        <v>20</v>
      </c>
      <c r="C77" s="9">
        <v>20</v>
      </c>
      <c r="D77" s="10">
        <v>10</v>
      </c>
      <c r="E77" s="4">
        <f t="shared" si="8"/>
        <v>50</v>
      </c>
      <c r="F77" s="8">
        <v>20</v>
      </c>
      <c r="G77" s="9">
        <v>20</v>
      </c>
      <c r="H77" s="10">
        <v>10</v>
      </c>
      <c r="I77" s="4">
        <f t="shared" si="9"/>
        <v>50</v>
      </c>
      <c r="J77" s="42">
        <v>43308</v>
      </c>
    </row>
    <row r="78" spans="1:10">
      <c r="A78" s="3" t="s">
        <v>51</v>
      </c>
      <c r="B78" s="8">
        <v>14</v>
      </c>
      <c r="C78" s="9">
        <v>8</v>
      </c>
      <c r="D78" s="10">
        <v>7</v>
      </c>
      <c r="E78" s="7">
        <f t="shared" si="8"/>
        <v>29</v>
      </c>
      <c r="F78" s="8">
        <v>14</v>
      </c>
      <c r="G78" s="9">
        <v>8</v>
      </c>
      <c r="H78" s="10">
        <v>7</v>
      </c>
      <c r="I78" s="7">
        <f t="shared" si="9"/>
        <v>29</v>
      </c>
      <c r="J78" s="42">
        <v>43309</v>
      </c>
    </row>
    <row r="79" spans="1:10">
      <c r="A79" s="3" t="s">
        <v>52</v>
      </c>
      <c r="B79" s="8">
        <v>3</v>
      </c>
      <c r="C79" s="9">
        <v>8</v>
      </c>
      <c r="D79" s="10">
        <v>5</v>
      </c>
      <c r="E79" s="7">
        <f t="shared" si="8"/>
        <v>16</v>
      </c>
      <c r="F79" s="8">
        <v>3</v>
      </c>
      <c r="G79" s="9">
        <v>8</v>
      </c>
      <c r="H79" s="10">
        <v>5</v>
      </c>
      <c r="I79" s="7">
        <f t="shared" si="9"/>
        <v>16</v>
      </c>
      <c r="J79" s="42">
        <v>43314</v>
      </c>
    </row>
    <row r="80" spans="1:10">
      <c r="A80" s="3" t="s">
        <v>53</v>
      </c>
      <c r="B80" s="8">
        <v>6</v>
      </c>
      <c r="C80" s="9">
        <v>16</v>
      </c>
      <c r="D80" s="10">
        <v>7</v>
      </c>
      <c r="E80" s="7">
        <f t="shared" si="8"/>
        <v>29</v>
      </c>
      <c r="F80" s="8">
        <v>6</v>
      </c>
      <c r="G80" s="9">
        <v>16</v>
      </c>
      <c r="H80" s="10">
        <v>7</v>
      </c>
      <c r="I80" s="7">
        <f t="shared" si="9"/>
        <v>29</v>
      </c>
      <c r="J80" s="42">
        <v>43316</v>
      </c>
    </row>
    <row r="81" spans="1:10">
      <c r="A81" s="3" t="s">
        <v>54</v>
      </c>
      <c r="B81" s="8">
        <v>4</v>
      </c>
      <c r="C81" s="9">
        <v>6</v>
      </c>
      <c r="D81" s="10">
        <v>8</v>
      </c>
      <c r="E81" s="7">
        <f t="shared" ref="E81:E82" si="14">SUM(B81:D81)</f>
        <v>18</v>
      </c>
      <c r="F81" s="8">
        <v>4</v>
      </c>
      <c r="G81" s="9">
        <v>6</v>
      </c>
      <c r="H81" s="10">
        <v>8</v>
      </c>
      <c r="I81" s="7">
        <f t="shared" ref="I81:I82" si="15">SUM(F81:H81)</f>
        <v>18</v>
      </c>
      <c r="J81" s="42">
        <v>43319</v>
      </c>
    </row>
    <row r="82" spans="1:10" ht="14.25" thickBot="1">
      <c r="A82" s="3" t="s">
        <v>55</v>
      </c>
      <c r="B82" s="8">
        <v>30</v>
      </c>
      <c r="C82" s="9">
        <v>30</v>
      </c>
      <c r="D82" s="10">
        <v>30</v>
      </c>
      <c r="E82" s="4">
        <f t="shared" si="14"/>
        <v>90</v>
      </c>
      <c r="F82" s="8">
        <v>30</v>
      </c>
      <c r="G82" s="9">
        <v>30</v>
      </c>
      <c r="H82" s="10">
        <v>30</v>
      </c>
      <c r="I82" s="4">
        <f t="shared" si="15"/>
        <v>90</v>
      </c>
      <c r="J82" s="42">
        <v>43319</v>
      </c>
    </row>
    <row r="83" spans="1:10" ht="14.25" thickBot="1">
      <c r="A83" s="2" t="s">
        <v>5</v>
      </c>
      <c r="B83" s="14">
        <f>SUM(B59:B82)</f>
        <v>135</v>
      </c>
      <c r="C83" s="14">
        <f>SUM(C59:C82)</f>
        <v>138</v>
      </c>
      <c r="D83" s="14">
        <f>SUM(D59:D82)</f>
        <v>110</v>
      </c>
      <c r="E83" s="15">
        <f t="shared" si="8"/>
        <v>383</v>
      </c>
      <c r="F83" s="14">
        <f>SUM(F59:F82)</f>
        <v>135</v>
      </c>
      <c r="G83" s="14">
        <f>SUM(G59:G82)</f>
        <v>138</v>
      </c>
      <c r="H83" s="14">
        <f>SUM(H59:H82)</f>
        <v>110</v>
      </c>
      <c r="I83" s="15">
        <f t="shared" si="9"/>
        <v>383</v>
      </c>
      <c r="J83" s="45"/>
    </row>
    <row r="84" spans="1:10" ht="14.25" thickBot="1">
      <c r="A84" s="27" t="s">
        <v>6</v>
      </c>
      <c r="B84" s="28">
        <f>B58-B83</f>
        <v>146</v>
      </c>
      <c r="C84" s="28">
        <f t="shared" ref="C84" si="16">C58-C83</f>
        <v>171</v>
      </c>
      <c r="D84" s="28">
        <f t="shared" ref="D84" si="17">D58-D83</f>
        <v>112</v>
      </c>
      <c r="E84" s="28">
        <f t="shared" ref="E84" si="18">E58-E83</f>
        <v>429</v>
      </c>
      <c r="F84" s="28">
        <f>F58-F83</f>
        <v>146</v>
      </c>
      <c r="G84" s="28">
        <f t="shared" ref="G84" si="19">G58-G83</f>
        <v>171</v>
      </c>
      <c r="H84" s="28">
        <f t="shared" ref="H84" si="20">H58-H83</f>
        <v>112</v>
      </c>
      <c r="I84" s="26">
        <f t="shared" ref="I84" si="21">I58-I83</f>
        <v>429</v>
      </c>
      <c r="J84" s="45"/>
    </row>
    <row r="87" spans="1:10" ht="21.75" thickBot="1">
      <c r="A87" s="33" t="s">
        <v>15</v>
      </c>
      <c r="B87" s="34"/>
      <c r="C87" s="34"/>
      <c r="D87" s="34"/>
      <c r="E87" s="34"/>
      <c r="F87" s="35"/>
      <c r="G87" s="35"/>
      <c r="H87" s="35"/>
      <c r="I87" s="35"/>
      <c r="J87" s="45"/>
    </row>
    <row r="88" spans="1:10" ht="14.25" thickBot="1">
      <c r="A88" s="1" t="s">
        <v>0</v>
      </c>
      <c r="B88" s="182" t="s">
        <v>17</v>
      </c>
      <c r="C88" s="182"/>
      <c r="D88" s="182"/>
      <c r="E88" s="183"/>
      <c r="F88" s="182" t="s">
        <v>13</v>
      </c>
      <c r="G88" s="182"/>
      <c r="H88" s="182"/>
      <c r="I88" s="183"/>
      <c r="J88" s="45"/>
    </row>
    <row r="89" spans="1:10" ht="14.25" thickBot="1">
      <c r="A89" s="1" t="s">
        <v>1</v>
      </c>
      <c r="B89" s="2" t="s">
        <v>8</v>
      </c>
      <c r="C89" s="1" t="s">
        <v>9</v>
      </c>
      <c r="D89" s="19" t="s">
        <v>10</v>
      </c>
      <c r="E89" s="1" t="s">
        <v>2</v>
      </c>
      <c r="F89" s="2" t="s">
        <v>8</v>
      </c>
      <c r="G89" s="1" t="s">
        <v>9</v>
      </c>
      <c r="H89" s="19" t="s">
        <v>10</v>
      </c>
      <c r="I89" s="1" t="s">
        <v>2</v>
      </c>
      <c r="J89" s="45"/>
    </row>
    <row r="90" spans="1:10">
      <c r="A90" s="21" t="s">
        <v>7</v>
      </c>
      <c r="B90" s="18">
        <f>B84</f>
        <v>146</v>
      </c>
      <c r="C90" s="22">
        <f>C84</f>
        <v>171</v>
      </c>
      <c r="D90" s="22">
        <f>D84</f>
        <v>112</v>
      </c>
      <c r="E90" s="17">
        <f t="shared" ref="E90:E126" si="22">SUM(B90:D90)</f>
        <v>429</v>
      </c>
      <c r="F90" s="22">
        <f>F84</f>
        <v>146</v>
      </c>
      <c r="G90" s="22">
        <f>G84</f>
        <v>171</v>
      </c>
      <c r="H90" s="22">
        <f>H84</f>
        <v>112</v>
      </c>
      <c r="I90" s="17">
        <f t="shared" ref="I90:I126" si="23">SUM(F90:H90)</f>
        <v>429</v>
      </c>
      <c r="J90" s="46"/>
    </row>
    <row r="91" spans="1:10">
      <c r="A91" s="5" t="s">
        <v>37</v>
      </c>
      <c r="B91" s="16">
        <v>1</v>
      </c>
      <c r="C91" s="11">
        <v>2</v>
      </c>
      <c r="D91" s="16"/>
      <c r="E91" s="4">
        <f t="shared" si="22"/>
        <v>3</v>
      </c>
      <c r="F91" s="16">
        <v>1</v>
      </c>
      <c r="G91" s="11">
        <v>2</v>
      </c>
      <c r="H91" s="16"/>
      <c r="I91" s="4">
        <f t="shared" si="23"/>
        <v>3</v>
      </c>
      <c r="J91" s="42">
        <v>43321</v>
      </c>
    </row>
    <row r="92" spans="1:10">
      <c r="A92" s="5" t="s">
        <v>3</v>
      </c>
      <c r="B92" s="16">
        <v>73</v>
      </c>
      <c r="C92" s="11">
        <v>86</v>
      </c>
      <c r="D92" s="16">
        <v>85</v>
      </c>
      <c r="E92" s="4">
        <f t="shared" ref="E92" si="24">SUM(B92:D92)</f>
        <v>244</v>
      </c>
      <c r="F92" s="16">
        <v>73</v>
      </c>
      <c r="G92" s="11">
        <v>86</v>
      </c>
      <c r="H92" s="16">
        <v>85</v>
      </c>
      <c r="I92" s="4">
        <f t="shared" ref="I92" si="25">SUM(F92:H92)</f>
        <v>244</v>
      </c>
      <c r="J92" s="42">
        <v>43333</v>
      </c>
    </row>
    <row r="93" spans="1:10">
      <c r="A93" s="5" t="s">
        <v>37</v>
      </c>
      <c r="B93" s="8">
        <v>1</v>
      </c>
      <c r="C93" s="9">
        <v>2</v>
      </c>
      <c r="D93" s="10">
        <v>1</v>
      </c>
      <c r="E93" s="4">
        <f t="shared" si="22"/>
        <v>4</v>
      </c>
      <c r="F93" s="8">
        <v>1</v>
      </c>
      <c r="G93" s="9">
        <v>2</v>
      </c>
      <c r="H93" s="10">
        <v>1</v>
      </c>
      <c r="I93" s="4">
        <f t="shared" si="23"/>
        <v>4</v>
      </c>
      <c r="J93" s="43">
        <v>43341</v>
      </c>
    </row>
    <row r="94" spans="1:10">
      <c r="A94" s="5" t="s">
        <v>37</v>
      </c>
      <c r="B94" s="16"/>
      <c r="C94" s="11">
        <v>1</v>
      </c>
      <c r="D94" s="16"/>
      <c r="E94" s="4">
        <f t="shared" si="22"/>
        <v>1</v>
      </c>
      <c r="F94" s="16"/>
      <c r="G94" s="11">
        <v>1</v>
      </c>
      <c r="H94" s="16"/>
      <c r="I94" s="4">
        <f t="shared" si="23"/>
        <v>1</v>
      </c>
      <c r="J94" s="42">
        <v>43370</v>
      </c>
    </row>
    <row r="95" spans="1:10">
      <c r="A95" s="5" t="s">
        <v>78</v>
      </c>
      <c r="B95" s="16"/>
      <c r="C95" s="11">
        <v>4</v>
      </c>
      <c r="D95" s="16">
        <v>4</v>
      </c>
      <c r="E95" s="4">
        <f t="shared" si="22"/>
        <v>8</v>
      </c>
      <c r="F95" s="16"/>
      <c r="G95" s="11">
        <v>4</v>
      </c>
      <c r="H95" s="16">
        <v>4</v>
      </c>
      <c r="I95" s="4">
        <f t="shared" si="23"/>
        <v>8</v>
      </c>
      <c r="J95" s="42">
        <v>43375</v>
      </c>
    </row>
    <row r="96" spans="1:10">
      <c r="A96" s="5" t="s">
        <v>79</v>
      </c>
      <c r="B96" s="16">
        <v>10</v>
      </c>
      <c r="C96" s="11">
        <v>12</v>
      </c>
      <c r="D96" s="16">
        <v>8</v>
      </c>
      <c r="E96" s="4">
        <f t="shared" si="22"/>
        <v>30</v>
      </c>
      <c r="F96" s="16">
        <v>10</v>
      </c>
      <c r="G96" s="11">
        <v>12</v>
      </c>
      <c r="H96" s="16">
        <v>8</v>
      </c>
      <c r="I96" s="4">
        <f t="shared" si="23"/>
        <v>30</v>
      </c>
      <c r="J96" s="42">
        <v>43393</v>
      </c>
    </row>
    <row r="97" spans="1:35">
      <c r="A97" s="5" t="s">
        <v>79</v>
      </c>
      <c r="B97" s="10">
        <v>1</v>
      </c>
      <c r="C97" s="9">
        <v>1</v>
      </c>
      <c r="D97" s="10">
        <v>1</v>
      </c>
      <c r="E97" s="4">
        <f t="shared" si="22"/>
        <v>3</v>
      </c>
      <c r="F97" s="10">
        <v>1</v>
      </c>
      <c r="G97" s="9">
        <v>1</v>
      </c>
      <c r="H97" s="10">
        <v>1</v>
      </c>
      <c r="I97" s="4">
        <f t="shared" si="23"/>
        <v>3</v>
      </c>
      <c r="J97" s="42">
        <v>43430</v>
      </c>
      <c r="AI97" s="29"/>
    </row>
    <row r="98" spans="1:35">
      <c r="A98" s="6" t="s">
        <v>3</v>
      </c>
      <c r="B98" s="10"/>
      <c r="C98" s="9"/>
      <c r="D98" s="10"/>
      <c r="E98" s="4">
        <f t="shared" si="22"/>
        <v>0</v>
      </c>
      <c r="F98" s="10"/>
      <c r="G98" s="9"/>
      <c r="H98" s="10"/>
      <c r="I98" s="4">
        <f t="shared" si="23"/>
        <v>0</v>
      </c>
      <c r="J98" s="42"/>
    </row>
    <row r="99" spans="1:35">
      <c r="A99" s="6" t="s">
        <v>3</v>
      </c>
      <c r="B99" s="32"/>
      <c r="C99" s="31"/>
      <c r="D99" s="32"/>
      <c r="E99" s="4">
        <f t="shared" si="22"/>
        <v>0</v>
      </c>
      <c r="F99" s="32"/>
      <c r="G99" s="31"/>
      <c r="H99" s="32"/>
      <c r="I99" s="4">
        <f t="shared" si="23"/>
        <v>0</v>
      </c>
      <c r="J99" s="42"/>
    </row>
    <row r="100" spans="1:35" ht="14.25" thickBot="1">
      <c r="A100" s="6" t="s">
        <v>3</v>
      </c>
      <c r="B100" s="13"/>
      <c r="C100" s="12"/>
      <c r="D100" s="13"/>
      <c r="E100" s="20">
        <f t="shared" si="22"/>
        <v>0</v>
      </c>
      <c r="F100" s="13"/>
      <c r="G100" s="12"/>
      <c r="H100" s="13"/>
      <c r="I100" s="20">
        <f t="shared" si="23"/>
        <v>0</v>
      </c>
      <c r="J100" s="45"/>
    </row>
    <row r="101" spans="1:35" ht="14.25" thickBot="1">
      <c r="A101" s="23" t="s">
        <v>4</v>
      </c>
      <c r="B101" s="24">
        <f>SUM(B90:B100)</f>
        <v>232</v>
      </c>
      <c r="C101" s="24">
        <f>SUM(C90:C100)</f>
        <v>279</v>
      </c>
      <c r="D101" s="25">
        <f>SUM(D90:D100)</f>
        <v>211</v>
      </c>
      <c r="E101" s="26">
        <f t="shared" si="22"/>
        <v>722</v>
      </c>
      <c r="F101" s="24">
        <f>SUM(F90:F100)</f>
        <v>232</v>
      </c>
      <c r="G101" s="24">
        <f>SUM(G90:G100)</f>
        <v>279</v>
      </c>
      <c r="H101" s="25">
        <f>SUM(H90:H100)</f>
        <v>211</v>
      </c>
      <c r="I101" s="26">
        <f t="shared" si="23"/>
        <v>722</v>
      </c>
      <c r="J101" s="45"/>
    </row>
    <row r="102" spans="1:35">
      <c r="A102" s="3" t="s">
        <v>57</v>
      </c>
      <c r="B102" s="8">
        <v>6</v>
      </c>
      <c r="C102" s="9">
        <v>10</v>
      </c>
      <c r="D102" s="10">
        <v>11</v>
      </c>
      <c r="E102" s="4">
        <f t="shared" si="22"/>
        <v>27</v>
      </c>
      <c r="F102" s="8">
        <v>6</v>
      </c>
      <c r="G102" s="9">
        <v>10</v>
      </c>
      <c r="H102" s="10">
        <v>11</v>
      </c>
      <c r="I102" s="4">
        <f t="shared" si="23"/>
        <v>27</v>
      </c>
      <c r="J102" s="42">
        <v>43321</v>
      </c>
    </row>
    <row r="103" spans="1:35">
      <c r="A103" s="3" t="s">
        <v>58</v>
      </c>
      <c r="B103" s="8"/>
      <c r="C103" s="9">
        <v>15</v>
      </c>
      <c r="D103" s="10">
        <v>5</v>
      </c>
      <c r="E103" s="4">
        <f t="shared" si="22"/>
        <v>20</v>
      </c>
      <c r="F103" s="8"/>
      <c r="G103" s="9">
        <v>15</v>
      </c>
      <c r="H103" s="10">
        <v>5</v>
      </c>
      <c r="I103" s="4">
        <f t="shared" si="23"/>
        <v>20</v>
      </c>
      <c r="J103" s="42">
        <v>43325</v>
      </c>
    </row>
    <row r="104" spans="1:35">
      <c r="A104" s="3" t="s">
        <v>59</v>
      </c>
      <c r="B104" s="8">
        <v>5</v>
      </c>
      <c r="C104" s="9">
        <v>13</v>
      </c>
      <c r="D104" s="10">
        <v>2</v>
      </c>
      <c r="E104" s="7">
        <f t="shared" si="22"/>
        <v>20</v>
      </c>
      <c r="F104" s="8">
        <v>5</v>
      </c>
      <c r="G104" s="9">
        <v>13</v>
      </c>
      <c r="H104" s="10">
        <v>2</v>
      </c>
      <c r="I104" s="7">
        <f t="shared" si="23"/>
        <v>20</v>
      </c>
      <c r="J104" s="42">
        <v>43323</v>
      </c>
    </row>
    <row r="105" spans="1:35">
      <c r="A105" s="3" t="s">
        <v>60</v>
      </c>
      <c r="B105" s="8">
        <v>1</v>
      </c>
      <c r="C105" s="9">
        <v>1</v>
      </c>
      <c r="D105" s="10">
        <v>4</v>
      </c>
      <c r="E105" s="4">
        <f t="shared" si="22"/>
        <v>6</v>
      </c>
      <c r="F105" s="8">
        <v>1</v>
      </c>
      <c r="G105" s="9">
        <v>1</v>
      </c>
      <c r="H105" s="10">
        <v>4</v>
      </c>
      <c r="I105" s="4">
        <f t="shared" si="23"/>
        <v>6</v>
      </c>
      <c r="J105" s="42">
        <v>43329</v>
      </c>
    </row>
    <row r="106" spans="1:35">
      <c r="A106" s="3" t="s">
        <v>62</v>
      </c>
      <c r="B106" s="8">
        <v>3</v>
      </c>
      <c r="C106" s="9">
        <v>1</v>
      </c>
      <c r="D106" s="10"/>
      <c r="E106" s="4">
        <f t="shared" si="22"/>
        <v>4</v>
      </c>
      <c r="F106" s="8">
        <v>3</v>
      </c>
      <c r="G106" s="9">
        <v>1</v>
      </c>
      <c r="H106" s="10"/>
      <c r="I106" s="4">
        <f t="shared" si="23"/>
        <v>4</v>
      </c>
      <c r="J106" s="42">
        <v>43330</v>
      </c>
    </row>
    <row r="107" spans="1:35">
      <c r="A107" s="3" t="s">
        <v>63</v>
      </c>
      <c r="B107" s="8">
        <v>1</v>
      </c>
      <c r="C107" s="9">
        <v>1</v>
      </c>
      <c r="D107" s="10"/>
      <c r="E107" s="7">
        <f t="shared" si="22"/>
        <v>2</v>
      </c>
      <c r="F107" s="8">
        <v>1</v>
      </c>
      <c r="G107" s="9">
        <v>1</v>
      </c>
      <c r="H107" s="10"/>
      <c r="I107" s="7">
        <f t="shared" si="23"/>
        <v>2</v>
      </c>
      <c r="J107" s="42">
        <v>43333</v>
      </c>
    </row>
    <row r="108" spans="1:35">
      <c r="A108" s="3" t="s">
        <v>61</v>
      </c>
      <c r="B108" s="8">
        <v>100</v>
      </c>
      <c r="C108" s="9">
        <v>100</v>
      </c>
      <c r="D108" s="10">
        <v>100</v>
      </c>
      <c r="E108" s="7">
        <f t="shared" si="22"/>
        <v>300</v>
      </c>
      <c r="F108" s="8">
        <v>100</v>
      </c>
      <c r="G108" s="9">
        <v>100</v>
      </c>
      <c r="H108" s="10">
        <v>100</v>
      </c>
      <c r="I108" s="7">
        <f t="shared" si="23"/>
        <v>300</v>
      </c>
      <c r="J108" s="42">
        <v>43339</v>
      </c>
    </row>
    <row r="109" spans="1:35">
      <c r="A109" s="3" t="s">
        <v>64</v>
      </c>
      <c r="B109" s="8"/>
      <c r="C109" s="9"/>
      <c r="D109" s="10">
        <v>2</v>
      </c>
      <c r="E109" s="7">
        <f t="shared" si="22"/>
        <v>2</v>
      </c>
      <c r="F109" s="8"/>
      <c r="G109" s="9"/>
      <c r="H109" s="10">
        <v>2</v>
      </c>
      <c r="I109" s="7">
        <f t="shared" si="23"/>
        <v>2</v>
      </c>
      <c r="J109" s="42">
        <v>43335</v>
      </c>
    </row>
    <row r="110" spans="1:35">
      <c r="A110" s="3" t="s">
        <v>65</v>
      </c>
      <c r="B110" s="8"/>
      <c r="C110" s="9">
        <v>10</v>
      </c>
      <c r="D110" s="10">
        <v>10</v>
      </c>
      <c r="E110" s="7">
        <f t="shared" si="22"/>
        <v>20</v>
      </c>
      <c r="F110" s="8"/>
      <c r="G110" s="9">
        <v>10</v>
      </c>
      <c r="H110" s="10">
        <v>10</v>
      </c>
      <c r="I110" s="7">
        <f t="shared" si="23"/>
        <v>20</v>
      </c>
      <c r="J110" s="42">
        <v>43336</v>
      </c>
    </row>
    <row r="111" spans="1:35">
      <c r="A111" s="3" t="s">
        <v>66</v>
      </c>
      <c r="B111" s="8">
        <v>3</v>
      </c>
      <c r="C111" s="9"/>
      <c r="D111" s="10">
        <v>6</v>
      </c>
      <c r="E111" s="7">
        <f t="shared" si="22"/>
        <v>9</v>
      </c>
      <c r="F111" s="8">
        <v>3</v>
      </c>
      <c r="G111" s="9"/>
      <c r="H111" s="10">
        <v>6</v>
      </c>
      <c r="I111" s="7">
        <f t="shared" si="23"/>
        <v>9</v>
      </c>
      <c r="J111" s="42">
        <v>43337</v>
      </c>
    </row>
    <row r="112" spans="1:35">
      <c r="A112" s="3" t="s">
        <v>67</v>
      </c>
      <c r="B112" s="8">
        <v>3</v>
      </c>
      <c r="C112" s="9">
        <v>1</v>
      </c>
      <c r="D112" s="10"/>
      <c r="E112" s="7">
        <f t="shared" si="22"/>
        <v>4</v>
      </c>
      <c r="F112" s="8">
        <v>3</v>
      </c>
      <c r="G112" s="9">
        <v>1</v>
      </c>
      <c r="H112" s="10"/>
      <c r="I112" s="7">
        <f t="shared" si="23"/>
        <v>4</v>
      </c>
      <c r="J112" s="42">
        <v>43340</v>
      </c>
    </row>
    <row r="113" spans="1:35">
      <c r="A113" s="3" t="s">
        <v>68</v>
      </c>
      <c r="B113" s="8"/>
      <c r="C113" s="9">
        <v>6</v>
      </c>
      <c r="D113" s="10"/>
      <c r="E113" s="7">
        <f t="shared" si="22"/>
        <v>6</v>
      </c>
      <c r="F113" s="8"/>
      <c r="G113" s="9">
        <v>6</v>
      </c>
      <c r="H113" s="10"/>
      <c r="I113" s="7">
        <f t="shared" si="23"/>
        <v>6</v>
      </c>
      <c r="J113" s="42">
        <v>43342</v>
      </c>
    </row>
    <row r="114" spans="1:35">
      <c r="A114" s="3" t="s">
        <v>69</v>
      </c>
      <c r="B114" s="8"/>
      <c r="C114" s="9">
        <v>1</v>
      </c>
      <c r="D114" s="10"/>
      <c r="E114" s="7">
        <f t="shared" si="22"/>
        <v>1</v>
      </c>
      <c r="F114" s="8"/>
      <c r="G114" s="9">
        <v>1</v>
      </c>
      <c r="H114" s="10"/>
      <c r="I114" s="7">
        <f t="shared" si="23"/>
        <v>1</v>
      </c>
      <c r="J114" s="42">
        <v>43343</v>
      </c>
    </row>
    <row r="115" spans="1:35">
      <c r="A115" s="3" t="s">
        <v>70</v>
      </c>
      <c r="B115" s="8">
        <v>3</v>
      </c>
      <c r="C115" s="9">
        <v>5</v>
      </c>
      <c r="D115" s="10">
        <v>1</v>
      </c>
      <c r="E115" s="7">
        <f t="shared" si="22"/>
        <v>9</v>
      </c>
      <c r="F115" s="8">
        <v>3</v>
      </c>
      <c r="G115" s="9">
        <v>5</v>
      </c>
      <c r="H115" s="10">
        <v>1</v>
      </c>
      <c r="I115" s="7">
        <f t="shared" si="23"/>
        <v>9</v>
      </c>
      <c r="J115" s="42">
        <v>43347</v>
      </c>
    </row>
    <row r="116" spans="1:35">
      <c r="A116" s="3" t="s">
        <v>71</v>
      </c>
      <c r="B116" s="8"/>
      <c r="C116" s="9">
        <v>3</v>
      </c>
      <c r="D116" s="10"/>
      <c r="E116" s="7">
        <f t="shared" si="22"/>
        <v>3</v>
      </c>
      <c r="F116" s="8"/>
      <c r="G116" s="9">
        <v>3</v>
      </c>
      <c r="H116" s="10"/>
      <c r="I116" s="7">
        <f t="shared" si="23"/>
        <v>3</v>
      </c>
      <c r="J116" s="42">
        <v>43349</v>
      </c>
    </row>
    <row r="117" spans="1:35">
      <c r="A117" s="3" t="s">
        <v>72</v>
      </c>
      <c r="B117" s="8">
        <v>1</v>
      </c>
      <c r="C117" s="9">
        <v>1</v>
      </c>
      <c r="D117" s="10">
        <v>1</v>
      </c>
      <c r="E117" s="7">
        <f t="shared" si="22"/>
        <v>3</v>
      </c>
      <c r="F117" s="8">
        <v>1</v>
      </c>
      <c r="G117" s="9">
        <v>1</v>
      </c>
      <c r="H117" s="10">
        <v>1</v>
      </c>
      <c r="I117" s="7">
        <f t="shared" si="23"/>
        <v>3</v>
      </c>
      <c r="J117" s="42">
        <v>43351</v>
      </c>
    </row>
    <row r="118" spans="1:35">
      <c r="A118" s="3" t="s">
        <v>73</v>
      </c>
      <c r="B118" s="8"/>
      <c r="C118" s="9">
        <v>3</v>
      </c>
      <c r="D118" s="10">
        <v>1</v>
      </c>
      <c r="E118" s="7">
        <f t="shared" si="22"/>
        <v>4</v>
      </c>
      <c r="F118" s="8"/>
      <c r="G118" s="9">
        <v>3</v>
      </c>
      <c r="H118" s="10">
        <v>1</v>
      </c>
      <c r="I118" s="7">
        <f t="shared" si="23"/>
        <v>4</v>
      </c>
      <c r="J118" s="42">
        <v>43354</v>
      </c>
    </row>
    <row r="119" spans="1:35">
      <c r="A119" s="3" t="s">
        <v>74</v>
      </c>
      <c r="B119" s="8">
        <v>1</v>
      </c>
      <c r="C119" s="9">
        <v>2</v>
      </c>
      <c r="D119" s="10"/>
      <c r="E119" s="7">
        <f t="shared" si="22"/>
        <v>3</v>
      </c>
      <c r="F119" s="8">
        <v>1</v>
      </c>
      <c r="G119" s="9">
        <v>2</v>
      </c>
      <c r="H119" s="10"/>
      <c r="I119" s="7">
        <f t="shared" si="23"/>
        <v>3</v>
      </c>
      <c r="J119" s="42">
        <v>43356</v>
      </c>
      <c r="AI119" s="29"/>
    </row>
    <row r="120" spans="1:35">
      <c r="A120" s="3" t="s">
        <v>75</v>
      </c>
      <c r="B120" s="8">
        <v>2</v>
      </c>
      <c r="C120" s="9">
        <v>1</v>
      </c>
      <c r="D120" s="10"/>
      <c r="E120" s="7">
        <f t="shared" si="22"/>
        <v>3</v>
      </c>
      <c r="F120" s="8">
        <v>2</v>
      </c>
      <c r="G120" s="9">
        <v>1</v>
      </c>
      <c r="H120" s="10"/>
      <c r="I120" s="7">
        <f t="shared" si="23"/>
        <v>3</v>
      </c>
      <c r="J120" s="42">
        <v>43358</v>
      </c>
      <c r="AI120" s="29"/>
    </row>
    <row r="121" spans="1:35">
      <c r="A121" s="3" t="s">
        <v>76</v>
      </c>
      <c r="B121" s="8"/>
      <c r="C121" s="9"/>
      <c r="D121" s="10">
        <v>1</v>
      </c>
      <c r="E121" s="7">
        <f t="shared" ref="E121" si="26">SUM(B121:D121)</f>
        <v>1</v>
      </c>
      <c r="F121" s="8"/>
      <c r="G121" s="9"/>
      <c r="H121" s="10">
        <v>1</v>
      </c>
      <c r="I121" s="7">
        <f t="shared" ref="I121" si="27">SUM(F121:H121)</f>
        <v>1</v>
      </c>
      <c r="J121" s="42">
        <v>43365</v>
      </c>
      <c r="AI121" s="29"/>
    </row>
    <row r="122" spans="1:35">
      <c r="A122" s="3" t="s">
        <v>77</v>
      </c>
      <c r="B122" s="8">
        <v>1</v>
      </c>
      <c r="C122" s="9"/>
      <c r="D122" s="10"/>
      <c r="E122" s="7">
        <f t="shared" si="22"/>
        <v>1</v>
      </c>
      <c r="F122" s="8">
        <v>1</v>
      </c>
      <c r="G122" s="9"/>
      <c r="H122" s="10"/>
      <c r="I122" s="7">
        <f t="shared" si="23"/>
        <v>1</v>
      </c>
      <c r="J122" s="42">
        <v>43375</v>
      </c>
      <c r="AI122" s="29"/>
    </row>
    <row r="123" spans="1:35">
      <c r="A123" s="3" t="s">
        <v>22</v>
      </c>
      <c r="B123" s="8">
        <v>2</v>
      </c>
      <c r="C123" s="9"/>
      <c r="D123" s="10"/>
      <c r="E123" s="7">
        <f t="shared" si="22"/>
        <v>2</v>
      </c>
      <c r="F123" s="8">
        <v>2</v>
      </c>
      <c r="G123" s="9"/>
      <c r="H123" s="10"/>
      <c r="I123" s="7">
        <f t="shared" si="23"/>
        <v>2</v>
      </c>
      <c r="J123" s="42">
        <v>43378</v>
      </c>
      <c r="AI123" s="29"/>
    </row>
    <row r="124" spans="1:35">
      <c r="A124" s="3" t="s">
        <v>80</v>
      </c>
      <c r="B124" s="8"/>
      <c r="C124" s="9">
        <v>1</v>
      </c>
      <c r="D124" s="10"/>
      <c r="E124" s="7">
        <f t="shared" si="22"/>
        <v>1</v>
      </c>
      <c r="F124" s="8"/>
      <c r="G124" s="9">
        <v>1</v>
      </c>
      <c r="H124" s="10"/>
      <c r="I124" s="7">
        <f t="shared" si="23"/>
        <v>1</v>
      </c>
      <c r="J124" s="42">
        <v>43397</v>
      </c>
    </row>
    <row r="125" spans="1:35" ht="14.25" thickBot="1">
      <c r="A125" s="3" t="s">
        <v>81</v>
      </c>
      <c r="B125" s="8"/>
      <c r="C125" s="9"/>
      <c r="D125" s="10"/>
      <c r="E125" s="7">
        <f t="shared" si="22"/>
        <v>0</v>
      </c>
      <c r="F125" s="8"/>
      <c r="G125" s="9"/>
      <c r="H125" s="10"/>
      <c r="I125" s="7">
        <f t="shared" si="23"/>
        <v>0</v>
      </c>
      <c r="J125" s="42"/>
    </row>
    <row r="126" spans="1:35" ht="14.25" thickBot="1">
      <c r="A126" s="2" t="s">
        <v>5</v>
      </c>
      <c r="B126" s="14">
        <f>SUM(B102:B125)</f>
        <v>132</v>
      </c>
      <c r="C126" s="14">
        <f>SUM(C102:C125)</f>
        <v>175</v>
      </c>
      <c r="D126" s="14">
        <f>SUM(D102:D125)</f>
        <v>144</v>
      </c>
      <c r="E126" s="15">
        <f t="shared" si="22"/>
        <v>451</v>
      </c>
      <c r="F126" s="14">
        <f>SUM(F102:F125)</f>
        <v>132</v>
      </c>
      <c r="G126" s="14">
        <f>SUM(G102:G125)</f>
        <v>175</v>
      </c>
      <c r="H126" s="14">
        <f>SUM(H102:H125)</f>
        <v>144</v>
      </c>
      <c r="I126" s="15">
        <f t="shared" si="23"/>
        <v>451</v>
      </c>
      <c r="J126" s="45"/>
    </row>
    <row r="127" spans="1:35" ht="14.25" thickBot="1">
      <c r="A127" s="27" t="s">
        <v>6</v>
      </c>
      <c r="B127" s="28">
        <f>B101-B126</f>
        <v>100</v>
      </c>
      <c r="C127" s="28">
        <f t="shared" ref="C127:E127" si="28">C101-C126</f>
        <v>104</v>
      </c>
      <c r="D127" s="28">
        <f t="shared" si="28"/>
        <v>67</v>
      </c>
      <c r="E127" s="28">
        <f t="shared" si="28"/>
        <v>271</v>
      </c>
      <c r="F127" s="28">
        <f>F101-F126</f>
        <v>100</v>
      </c>
      <c r="G127" s="28">
        <f t="shared" ref="G127:I127" si="29">G101-G126</f>
        <v>104</v>
      </c>
      <c r="H127" s="28">
        <f t="shared" si="29"/>
        <v>67</v>
      </c>
      <c r="I127" s="26">
        <f t="shared" si="29"/>
        <v>271</v>
      </c>
      <c r="J127" s="45"/>
    </row>
    <row r="130" spans="1:43" ht="21.75" thickBot="1">
      <c r="A130" s="33" t="s">
        <v>15</v>
      </c>
      <c r="B130" s="34"/>
      <c r="C130" s="34"/>
      <c r="D130" s="34"/>
      <c r="E130" s="34"/>
      <c r="F130" s="35"/>
      <c r="G130" s="35"/>
      <c r="H130" s="35"/>
      <c r="I130" s="35"/>
      <c r="AI130" s="33" t="s">
        <v>87</v>
      </c>
      <c r="AJ130" s="34"/>
      <c r="AK130" s="34"/>
      <c r="AL130" s="34"/>
      <c r="AM130" s="34"/>
      <c r="AN130" s="35"/>
      <c r="AO130" s="35"/>
      <c r="AP130" s="35"/>
      <c r="AQ130" s="35"/>
    </row>
    <row r="131" spans="1:43" ht="14.25" thickBot="1">
      <c r="A131" s="1" t="s">
        <v>0</v>
      </c>
      <c r="B131" s="182" t="s">
        <v>17</v>
      </c>
      <c r="C131" s="182"/>
      <c r="D131" s="182"/>
      <c r="E131" s="183"/>
      <c r="F131" s="182" t="s">
        <v>13</v>
      </c>
      <c r="G131" s="182"/>
      <c r="H131" s="182"/>
      <c r="I131" s="183"/>
      <c r="AI131" s="1" t="s">
        <v>0</v>
      </c>
      <c r="AJ131" s="182" t="s">
        <v>17</v>
      </c>
      <c r="AK131" s="182"/>
      <c r="AL131" s="182"/>
      <c r="AM131" s="183"/>
      <c r="AN131" s="182" t="s">
        <v>13</v>
      </c>
      <c r="AO131" s="182"/>
      <c r="AP131" s="182"/>
      <c r="AQ131" s="183"/>
    </row>
    <row r="132" spans="1:43" ht="14.25" thickBot="1">
      <c r="A132" s="1" t="s">
        <v>1</v>
      </c>
      <c r="B132" s="2" t="s">
        <v>8</v>
      </c>
      <c r="C132" s="1" t="s">
        <v>9</v>
      </c>
      <c r="D132" s="19" t="s">
        <v>10</v>
      </c>
      <c r="E132" s="1" t="s">
        <v>2</v>
      </c>
      <c r="F132" s="2" t="s">
        <v>8</v>
      </c>
      <c r="G132" s="1" t="s">
        <v>9</v>
      </c>
      <c r="H132" s="19" t="s">
        <v>10</v>
      </c>
      <c r="I132" s="1" t="s">
        <v>2</v>
      </c>
      <c r="AI132" s="1" t="s">
        <v>1</v>
      </c>
      <c r="AJ132" s="2" t="s">
        <v>8</v>
      </c>
      <c r="AK132" s="1" t="s">
        <v>9</v>
      </c>
      <c r="AL132" s="19" t="s">
        <v>10</v>
      </c>
      <c r="AM132" s="1" t="s">
        <v>2</v>
      </c>
      <c r="AN132" s="2" t="s">
        <v>8</v>
      </c>
      <c r="AO132" s="1" t="s">
        <v>9</v>
      </c>
      <c r="AP132" s="19" t="s">
        <v>10</v>
      </c>
      <c r="AQ132" s="1" t="s">
        <v>2</v>
      </c>
    </row>
    <row r="133" spans="1:43">
      <c r="A133" s="21" t="s">
        <v>7</v>
      </c>
      <c r="B133" s="18">
        <f>B127</f>
        <v>100</v>
      </c>
      <c r="C133" s="22">
        <f>C127</f>
        <v>104</v>
      </c>
      <c r="D133" s="22">
        <f>D127</f>
        <v>67</v>
      </c>
      <c r="E133" s="17">
        <f t="shared" ref="E133:E169" si="30">SUM(B133:D133)</f>
        <v>271</v>
      </c>
      <c r="F133" s="22">
        <f>F127</f>
        <v>100</v>
      </c>
      <c r="G133" s="22">
        <f>G127</f>
        <v>104</v>
      </c>
      <c r="H133" s="22">
        <f>H127</f>
        <v>67</v>
      </c>
      <c r="I133" s="17">
        <f t="shared" ref="I133:I169" si="31">SUM(F133:H133)</f>
        <v>271</v>
      </c>
      <c r="AI133" s="21" t="s">
        <v>3</v>
      </c>
      <c r="AJ133" s="18">
        <v>400</v>
      </c>
      <c r="AK133" s="22">
        <v>500</v>
      </c>
      <c r="AL133" s="22">
        <v>300</v>
      </c>
      <c r="AM133" s="17">
        <f t="shared" ref="AM133:AM169" si="32">SUM(AJ133:AL133)</f>
        <v>1200</v>
      </c>
      <c r="AN133" s="22">
        <v>400</v>
      </c>
      <c r="AO133" s="22">
        <v>500</v>
      </c>
      <c r="AP133" s="22">
        <v>300</v>
      </c>
      <c r="AQ133" s="17">
        <f t="shared" ref="AQ133:AQ169" si="33">SUM(AN133:AP133)</f>
        <v>1200</v>
      </c>
    </row>
    <row r="134" spans="1:43">
      <c r="A134" s="5" t="s">
        <v>37</v>
      </c>
      <c r="B134" s="16">
        <v>1</v>
      </c>
      <c r="C134" s="11"/>
      <c r="D134" s="16"/>
      <c r="E134" s="4">
        <f t="shared" si="30"/>
        <v>1</v>
      </c>
      <c r="F134" s="16">
        <v>1</v>
      </c>
      <c r="G134" s="11"/>
      <c r="H134" s="16"/>
      <c r="I134" s="4">
        <f t="shared" si="31"/>
        <v>1</v>
      </c>
      <c r="J134" s="49">
        <v>43417</v>
      </c>
      <c r="AI134" s="5" t="s">
        <v>3</v>
      </c>
      <c r="AJ134" s="16"/>
      <c r="AK134" s="11"/>
      <c r="AL134" s="16"/>
      <c r="AM134" s="4">
        <f t="shared" si="32"/>
        <v>0</v>
      </c>
      <c r="AN134" s="16"/>
      <c r="AO134" s="11"/>
      <c r="AP134" s="16"/>
      <c r="AQ134" s="4">
        <f t="shared" si="33"/>
        <v>0</v>
      </c>
    </row>
    <row r="135" spans="1:43">
      <c r="A135" s="5" t="s">
        <v>3</v>
      </c>
      <c r="B135" s="16">
        <v>30</v>
      </c>
      <c r="C135" s="11">
        <v>40</v>
      </c>
      <c r="D135" s="16">
        <v>30</v>
      </c>
      <c r="E135" s="4">
        <f t="shared" si="30"/>
        <v>100</v>
      </c>
      <c r="F135" s="16">
        <v>30</v>
      </c>
      <c r="G135" s="11">
        <v>40</v>
      </c>
      <c r="H135" s="16">
        <v>30</v>
      </c>
      <c r="I135" s="4">
        <f t="shared" si="31"/>
        <v>100</v>
      </c>
      <c r="J135" s="49">
        <v>43571</v>
      </c>
      <c r="AI135" s="5" t="s">
        <v>3</v>
      </c>
      <c r="AJ135" s="16"/>
      <c r="AK135" s="11"/>
      <c r="AL135" s="16"/>
      <c r="AM135" s="4">
        <f t="shared" si="32"/>
        <v>0</v>
      </c>
      <c r="AN135" s="16"/>
      <c r="AO135" s="11"/>
      <c r="AP135" s="16"/>
      <c r="AQ135" s="4">
        <f t="shared" si="33"/>
        <v>0</v>
      </c>
    </row>
    <row r="136" spans="1:43">
      <c r="A136" s="5" t="s">
        <v>3</v>
      </c>
      <c r="B136" s="30">
        <v>150</v>
      </c>
      <c r="C136" s="31">
        <v>150</v>
      </c>
      <c r="D136" s="32">
        <v>100</v>
      </c>
      <c r="E136" s="4">
        <f t="shared" si="30"/>
        <v>400</v>
      </c>
      <c r="F136" s="30">
        <v>150</v>
      </c>
      <c r="G136" s="31">
        <v>150</v>
      </c>
      <c r="H136" s="32">
        <v>100</v>
      </c>
      <c r="I136" s="4">
        <f t="shared" si="31"/>
        <v>400</v>
      </c>
      <c r="J136" s="49">
        <v>43593</v>
      </c>
      <c r="AI136" s="5" t="s">
        <v>3</v>
      </c>
      <c r="AJ136" s="8"/>
      <c r="AK136" s="9"/>
      <c r="AL136" s="10"/>
      <c r="AM136" s="4">
        <f t="shared" si="32"/>
        <v>0</v>
      </c>
      <c r="AN136" s="8"/>
      <c r="AO136" s="9"/>
      <c r="AP136" s="10"/>
      <c r="AQ136" s="4">
        <f t="shared" si="33"/>
        <v>0</v>
      </c>
    </row>
    <row r="137" spans="1:43">
      <c r="A137" s="5" t="s">
        <v>78</v>
      </c>
      <c r="B137" s="16">
        <v>2</v>
      </c>
      <c r="C137" s="11">
        <v>2</v>
      </c>
      <c r="D137" s="16"/>
      <c r="E137" s="4">
        <f t="shared" si="30"/>
        <v>4</v>
      </c>
      <c r="F137" s="16">
        <v>2</v>
      </c>
      <c r="G137" s="11">
        <v>2</v>
      </c>
      <c r="H137" s="16"/>
      <c r="I137" s="4">
        <f t="shared" si="31"/>
        <v>4</v>
      </c>
      <c r="J137" s="49">
        <v>43601</v>
      </c>
      <c r="AI137" s="5" t="s">
        <v>3</v>
      </c>
      <c r="AJ137" s="16"/>
      <c r="AK137" s="11"/>
      <c r="AL137" s="16"/>
      <c r="AM137" s="4">
        <f t="shared" si="32"/>
        <v>0</v>
      </c>
      <c r="AN137" s="16"/>
      <c r="AO137" s="11"/>
      <c r="AP137" s="16"/>
      <c r="AQ137" s="4">
        <f t="shared" si="33"/>
        <v>0</v>
      </c>
    </row>
    <row r="138" spans="1:43">
      <c r="A138" s="5" t="s">
        <v>37</v>
      </c>
      <c r="B138" s="16"/>
      <c r="C138" s="11">
        <v>3</v>
      </c>
      <c r="D138" s="16"/>
      <c r="E138" s="4">
        <f t="shared" si="30"/>
        <v>3</v>
      </c>
      <c r="F138" s="16"/>
      <c r="G138" s="11">
        <v>3</v>
      </c>
      <c r="H138" s="16"/>
      <c r="I138" s="4">
        <f t="shared" si="31"/>
        <v>3</v>
      </c>
      <c r="J138" s="49">
        <v>43601</v>
      </c>
      <c r="AI138" s="5" t="s">
        <v>3</v>
      </c>
      <c r="AJ138" s="16"/>
      <c r="AK138" s="11"/>
      <c r="AL138" s="16"/>
      <c r="AM138" s="4">
        <f t="shared" si="32"/>
        <v>0</v>
      </c>
      <c r="AN138" s="16"/>
      <c r="AO138" s="11"/>
      <c r="AP138" s="16"/>
      <c r="AQ138" s="4">
        <f t="shared" si="33"/>
        <v>0</v>
      </c>
    </row>
    <row r="139" spans="1:43">
      <c r="A139" s="5" t="s">
        <v>3</v>
      </c>
      <c r="B139" s="16"/>
      <c r="C139" s="11"/>
      <c r="D139" s="16"/>
      <c r="E139" s="4">
        <f t="shared" si="30"/>
        <v>0</v>
      </c>
      <c r="F139" s="16"/>
      <c r="G139" s="11"/>
      <c r="H139" s="16"/>
      <c r="I139" s="4">
        <f t="shared" si="31"/>
        <v>0</v>
      </c>
      <c r="AI139" s="5" t="s">
        <v>3</v>
      </c>
      <c r="AJ139" s="16"/>
      <c r="AK139" s="11"/>
      <c r="AL139" s="16"/>
      <c r="AM139" s="4">
        <f t="shared" si="32"/>
        <v>0</v>
      </c>
      <c r="AN139" s="16"/>
      <c r="AO139" s="11"/>
      <c r="AP139" s="16"/>
      <c r="AQ139" s="4">
        <f t="shared" si="33"/>
        <v>0</v>
      </c>
    </row>
    <row r="140" spans="1:43">
      <c r="A140" s="5" t="s">
        <v>3</v>
      </c>
      <c r="B140" s="32"/>
      <c r="C140" s="31"/>
      <c r="D140" s="32"/>
      <c r="E140" s="4">
        <f t="shared" si="30"/>
        <v>0</v>
      </c>
      <c r="F140" s="32"/>
      <c r="G140" s="31"/>
      <c r="H140" s="32"/>
      <c r="I140" s="4">
        <f t="shared" si="31"/>
        <v>0</v>
      </c>
      <c r="AI140" s="5" t="s">
        <v>3</v>
      </c>
      <c r="AJ140" s="10"/>
      <c r="AK140" s="9"/>
      <c r="AL140" s="10"/>
      <c r="AM140" s="4">
        <f t="shared" si="32"/>
        <v>0</v>
      </c>
      <c r="AN140" s="10"/>
      <c r="AO140" s="9"/>
      <c r="AP140" s="10"/>
      <c r="AQ140" s="4">
        <f t="shared" si="33"/>
        <v>0</v>
      </c>
    </row>
    <row r="141" spans="1:43">
      <c r="A141" s="6" t="s">
        <v>3</v>
      </c>
      <c r="B141" s="32"/>
      <c r="C141" s="31"/>
      <c r="D141" s="32"/>
      <c r="E141" s="4">
        <f t="shared" si="30"/>
        <v>0</v>
      </c>
      <c r="F141" s="32"/>
      <c r="G141" s="31"/>
      <c r="H141" s="32"/>
      <c r="I141" s="4">
        <f t="shared" si="31"/>
        <v>0</v>
      </c>
      <c r="AI141" s="6" t="s">
        <v>3</v>
      </c>
      <c r="AJ141" s="10"/>
      <c r="AK141" s="9"/>
      <c r="AL141" s="10"/>
      <c r="AM141" s="4">
        <f t="shared" si="32"/>
        <v>0</v>
      </c>
      <c r="AN141" s="10"/>
      <c r="AO141" s="9"/>
      <c r="AP141" s="10"/>
      <c r="AQ141" s="4">
        <f t="shared" si="33"/>
        <v>0</v>
      </c>
    </row>
    <row r="142" spans="1:43">
      <c r="A142" s="6" t="s">
        <v>3</v>
      </c>
      <c r="B142" s="32"/>
      <c r="C142" s="31"/>
      <c r="D142" s="32"/>
      <c r="E142" s="4">
        <f t="shared" si="30"/>
        <v>0</v>
      </c>
      <c r="F142" s="32"/>
      <c r="G142" s="31"/>
      <c r="H142" s="32"/>
      <c r="I142" s="4">
        <f t="shared" si="31"/>
        <v>0</v>
      </c>
      <c r="AI142" s="6" t="s">
        <v>3</v>
      </c>
      <c r="AJ142" s="32"/>
      <c r="AK142" s="31"/>
      <c r="AL142" s="32"/>
      <c r="AM142" s="4">
        <f t="shared" si="32"/>
        <v>0</v>
      </c>
      <c r="AN142" s="32"/>
      <c r="AO142" s="31"/>
      <c r="AP142" s="32"/>
      <c r="AQ142" s="4">
        <f t="shared" si="33"/>
        <v>0</v>
      </c>
    </row>
    <row r="143" spans="1:43" ht="14.25" thickBot="1">
      <c r="A143" s="6" t="s">
        <v>3</v>
      </c>
      <c r="B143" s="13"/>
      <c r="C143" s="12"/>
      <c r="D143" s="13"/>
      <c r="E143" s="20">
        <f t="shared" si="30"/>
        <v>0</v>
      </c>
      <c r="F143" s="13"/>
      <c r="G143" s="12"/>
      <c r="H143" s="13"/>
      <c r="I143" s="20">
        <f t="shared" si="31"/>
        <v>0</v>
      </c>
      <c r="AI143" s="6" t="s">
        <v>3</v>
      </c>
      <c r="AJ143" s="13"/>
      <c r="AK143" s="12"/>
      <c r="AL143" s="13"/>
      <c r="AM143" s="20">
        <f t="shared" si="32"/>
        <v>0</v>
      </c>
      <c r="AN143" s="13"/>
      <c r="AO143" s="12"/>
      <c r="AP143" s="13"/>
      <c r="AQ143" s="20">
        <f t="shared" si="33"/>
        <v>0</v>
      </c>
    </row>
    <row r="144" spans="1:43" ht="14.25" thickBot="1">
      <c r="A144" s="23" t="s">
        <v>4</v>
      </c>
      <c r="B144" s="24">
        <f>SUM(B133:B143)</f>
        <v>283</v>
      </c>
      <c r="C144" s="24">
        <f>SUM(C133:C143)</f>
        <v>299</v>
      </c>
      <c r="D144" s="25">
        <f>SUM(D133:D143)</f>
        <v>197</v>
      </c>
      <c r="E144" s="26">
        <f t="shared" si="30"/>
        <v>779</v>
      </c>
      <c r="F144" s="24">
        <f>SUM(F133:F143)</f>
        <v>283</v>
      </c>
      <c r="G144" s="24">
        <f>SUM(G133:G143)</f>
        <v>299</v>
      </c>
      <c r="H144" s="25">
        <f>SUM(H133:H143)</f>
        <v>197</v>
      </c>
      <c r="I144" s="26">
        <f t="shared" si="31"/>
        <v>779</v>
      </c>
      <c r="AI144" s="23" t="s">
        <v>4</v>
      </c>
      <c r="AJ144" s="24">
        <f>SUM(AJ133:AJ143)</f>
        <v>400</v>
      </c>
      <c r="AK144" s="24">
        <f>SUM(AK133:AK143)</f>
        <v>500</v>
      </c>
      <c r="AL144" s="25">
        <f>SUM(AL133:AL143)</f>
        <v>300</v>
      </c>
      <c r="AM144" s="26">
        <f t="shared" si="32"/>
        <v>1200</v>
      </c>
      <c r="AN144" s="24">
        <f>SUM(AN133:AN143)</f>
        <v>400</v>
      </c>
      <c r="AO144" s="24">
        <f>SUM(AO133:AO143)</f>
        <v>500</v>
      </c>
      <c r="AP144" s="25">
        <f>SUM(AP133:AP143)</f>
        <v>300</v>
      </c>
      <c r="AQ144" s="26">
        <f t="shared" si="33"/>
        <v>1200</v>
      </c>
    </row>
    <row r="145" spans="1:44">
      <c r="A145" s="3" t="s">
        <v>20</v>
      </c>
      <c r="B145" s="8">
        <v>2</v>
      </c>
      <c r="C145" s="9">
        <v>2</v>
      </c>
      <c r="D145" s="10">
        <v>2</v>
      </c>
      <c r="E145" s="4">
        <f t="shared" si="30"/>
        <v>6</v>
      </c>
      <c r="F145" s="8">
        <v>2</v>
      </c>
      <c r="G145" s="9">
        <v>2</v>
      </c>
      <c r="H145" s="10">
        <v>2</v>
      </c>
      <c r="I145" s="4">
        <f t="shared" si="31"/>
        <v>6</v>
      </c>
      <c r="J145" s="43">
        <v>43414</v>
      </c>
      <c r="AI145" s="3" t="s">
        <v>83</v>
      </c>
      <c r="AJ145" s="8">
        <v>30</v>
      </c>
      <c r="AK145" s="9">
        <v>40</v>
      </c>
      <c r="AL145" s="10">
        <v>30</v>
      </c>
      <c r="AM145" s="4">
        <f t="shared" si="32"/>
        <v>100</v>
      </c>
      <c r="AN145" s="8">
        <v>30</v>
      </c>
      <c r="AO145" s="9">
        <v>40</v>
      </c>
      <c r="AP145" s="10">
        <v>30</v>
      </c>
      <c r="AQ145" s="4">
        <f t="shared" si="33"/>
        <v>100</v>
      </c>
      <c r="AR145" s="50">
        <v>43571</v>
      </c>
    </row>
    <row r="146" spans="1:44">
      <c r="A146" s="3" t="s">
        <v>82</v>
      </c>
      <c r="B146" s="8"/>
      <c r="C146" s="9"/>
      <c r="D146" s="10">
        <v>2</v>
      </c>
      <c r="E146" s="4">
        <f t="shared" si="30"/>
        <v>2</v>
      </c>
      <c r="F146" s="8"/>
      <c r="G146" s="9"/>
      <c r="H146" s="10">
        <v>2</v>
      </c>
      <c r="I146" s="4">
        <f t="shared" si="31"/>
        <v>2</v>
      </c>
      <c r="J146" s="43">
        <v>43418</v>
      </c>
      <c r="AI146" s="3" t="s">
        <v>84</v>
      </c>
      <c r="AJ146" s="8">
        <v>150</v>
      </c>
      <c r="AK146" s="9">
        <v>150</v>
      </c>
      <c r="AL146" s="10">
        <v>100</v>
      </c>
      <c r="AM146" s="4">
        <f t="shared" si="32"/>
        <v>400</v>
      </c>
      <c r="AN146" s="8">
        <v>150</v>
      </c>
      <c r="AO146" s="9">
        <v>150</v>
      </c>
      <c r="AP146" s="10">
        <v>100</v>
      </c>
      <c r="AQ146" s="4">
        <f t="shared" si="33"/>
        <v>400</v>
      </c>
      <c r="AR146" s="50">
        <v>43593</v>
      </c>
    </row>
    <row r="147" spans="1:44">
      <c r="A147" s="3" t="s">
        <v>93</v>
      </c>
      <c r="B147" s="8">
        <v>1</v>
      </c>
      <c r="C147" s="9">
        <v>1</v>
      </c>
      <c r="D147" s="10"/>
      <c r="E147" s="7">
        <f t="shared" si="30"/>
        <v>2</v>
      </c>
      <c r="F147" s="8">
        <v>1</v>
      </c>
      <c r="G147" s="9">
        <v>1</v>
      </c>
      <c r="H147" s="10"/>
      <c r="I147" s="7">
        <f t="shared" si="31"/>
        <v>2</v>
      </c>
      <c r="J147" s="43">
        <v>43532</v>
      </c>
      <c r="AI147" s="3"/>
      <c r="AJ147" s="8"/>
      <c r="AK147" s="9"/>
      <c r="AL147" s="10"/>
      <c r="AM147" s="7">
        <f t="shared" si="32"/>
        <v>0</v>
      </c>
      <c r="AN147" s="8"/>
      <c r="AO147" s="9"/>
      <c r="AP147" s="10"/>
      <c r="AQ147" s="7">
        <f t="shared" si="33"/>
        <v>0</v>
      </c>
      <c r="AR147" s="50"/>
    </row>
    <row r="148" spans="1:44">
      <c r="A148" s="3" t="s">
        <v>90</v>
      </c>
      <c r="B148" s="8">
        <v>2</v>
      </c>
      <c r="C148" s="9"/>
      <c r="D148" s="10"/>
      <c r="E148" s="4">
        <f t="shared" si="30"/>
        <v>2</v>
      </c>
      <c r="F148" s="8">
        <v>2</v>
      </c>
      <c r="G148" s="9"/>
      <c r="H148" s="10"/>
      <c r="I148" s="4">
        <f t="shared" si="31"/>
        <v>2</v>
      </c>
      <c r="J148" s="49">
        <v>43550</v>
      </c>
      <c r="AI148" s="3"/>
      <c r="AJ148" s="8"/>
      <c r="AK148" s="9"/>
      <c r="AL148" s="10"/>
      <c r="AM148" s="4">
        <f t="shared" si="32"/>
        <v>0</v>
      </c>
      <c r="AN148" s="8"/>
      <c r="AO148" s="9"/>
      <c r="AP148" s="10"/>
      <c r="AQ148" s="4">
        <f t="shared" si="33"/>
        <v>0</v>
      </c>
      <c r="AR148" s="29"/>
    </row>
    <row r="149" spans="1:44">
      <c r="A149" s="3" t="s">
        <v>90</v>
      </c>
      <c r="B149" s="8"/>
      <c r="C149" s="9">
        <v>1</v>
      </c>
      <c r="D149" s="10"/>
      <c r="E149" s="4">
        <f t="shared" si="30"/>
        <v>1</v>
      </c>
      <c r="F149" s="8"/>
      <c r="G149" s="9">
        <v>1</v>
      </c>
      <c r="H149" s="10"/>
      <c r="I149" s="4">
        <f t="shared" si="31"/>
        <v>1</v>
      </c>
      <c r="J149" s="49">
        <v>43560</v>
      </c>
      <c r="AI149" s="3"/>
      <c r="AJ149" s="8"/>
      <c r="AK149" s="9"/>
      <c r="AL149" s="10"/>
      <c r="AM149" s="4">
        <f t="shared" si="32"/>
        <v>0</v>
      </c>
      <c r="AN149" s="8"/>
      <c r="AO149" s="9"/>
      <c r="AP149" s="10"/>
      <c r="AQ149" s="4">
        <f t="shared" si="33"/>
        <v>0</v>
      </c>
      <c r="AR149" s="29"/>
    </row>
    <row r="150" spans="1:44">
      <c r="A150" s="3" t="s">
        <v>22</v>
      </c>
      <c r="B150" s="8">
        <v>16</v>
      </c>
      <c r="C150" s="9">
        <v>32</v>
      </c>
      <c r="D150" s="10">
        <v>16</v>
      </c>
      <c r="E150" s="7">
        <f t="shared" si="30"/>
        <v>64</v>
      </c>
      <c r="F150" s="8">
        <v>16</v>
      </c>
      <c r="G150" s="9">
        <v>32</v>
      </c>
      <c r="H150" s="10">
        <v>16</v>
      </c>
      <c r="I150" s="7">
        <f t="shared" si="31"/>
        <v>64</v>
      </c>
      <c r="J150" s="43">
        <v>43566</v>
      </c>
      <c r="AI150" s="3"/>
      <c r="AJ150" s="8"/>
      <c r="AK150" s="9"/>
      <c r="AL150" s="10"/>
      <c r="AM150" s="7">
        <f t="shared" si="32"/>
        <v>0</v>
      </c>
      <c r="AN150" s="8"/>
      <c r="AO150" s="9"/>
      <c r="AP150" s="10"/>
      <c r="AQ150" s="7">
        <f t="shared" si="33"/>
        <v>0</v>
      </c>
    </row>
    <row r="151" spans="1:44">
      <c r="A151" s="3" t="s">
        <v>90</v>
      </c>
      <c r="B151" s="8"/>
      <c r="C151" s="9"/>
      <c r="D151" s="10">
        <v>1</v>
      </c>
      <c r="E151" s="7">
        <f t="shared" si="30"/>
        <v>1</v>
      </c>
      <c r="F151" s="8"/>
      <c r="G151" s="9"/>
      <c r="H151" s="10">
        <v>1</v>
      </c>
      <c r="I151" s="7">
        <f t="shared" si="31"/>
        <v>1</v>
      </c>
      <c r="J151" s="43">
        <v>43570</v>
      </c>
      <c r="AI151" s="3"/>
      <c r="AJ151" s="8"/>
      <c r="AK151" s="9"/>
      <c r="AL151" s="10"/>
      <c r="AM151" s="7">
        <f t="shared" si="32"/>
        <v>0</v>
      </c>
      <c r="AN151" s="8"/>
      <c r="AO151" s="9"/>
      <c r="AP151" s="10"/>
      <c r="AQ151" s="7">
        <f t="shared" si="33"/>
        <v>0</v>
      </c>
    </row>
    <row r="152" spans="1:44">
      <c r="A152" s="3" t="s">
        <v>94</v>
      </c>
      <c r="B152" s="8">
        <v>1</v>
      </c>
      <c r="C152" s="9">
        <v>2</v>
      </c>
      <c r="D152" s="10">
        <v>2</v>
      </c>
      <c r="E152" s="7">
        <f t="shared" si="30"/>
        <v>5</v>
      </c>
      <c r="F152" s="8">
        <v>1</v>
      </c>
      <c r="G152" s="9">
        <v>2</v>
      </c>
      <c r="H152" s="10">
        <v>2</v>
      </c>
      <c r="I152" s="7">
        <f t="shared" si="31"/>
        <v>5</v>
      </c>
      <c r="J152" s="43">
        <v>43572</v>
      </c>
      <c r="AI152" s="3"/>
      <c r="AJ152" s="8"/>
      <c r="AK152" s="9"/>
      <c r="AL152" s="10"/>
      <c r="AM152" s="7">
        <f t="shared" si="32"/>
        <v>0</v>
      </c>
      <c r="AN152" s="8"/>
      <c r="AO152" s="9"/>
      <c r="AP152" s="10"/>
      <c r="AQ152" s="7">
        <f t="shared" si="33"/>
        <v>0</v>
      </c>
    </row>
    <row r="153" spans="1:44">
      <c r="A153" s="3" t="s">
        <v>82</v>
      </c>
      <c r="B153" s="8">
        <v>2</v>
      </c>
      <c r="C153" s="9">
        <v>2</v>
      </c>
      <c r="D153" s="10">
        <v>2</v>
      </c>
      <c r="E153" s="7">
        <f t="shared" si="30"/>
        <v>6</v>
      </c>
      <c r="F153" s="8">
        <v>2</v>
      </c>
      <c r="G153" s="9">
        <v>2</v>
      </c>
      <c r="H153" s="10">
        <v>2</v>
      </c>
      <c r="I153" s="7">
        <f t="shared" si="31"/>
        <v>6</v>
      </c>
      <c r="J153" s="43">
        <v>43579</v>
      </c>
      <c r="AI153" s="3"/>
      <c r="AJ153" s="8"/>
      <c r="AK153" s="9"/>
      <c r="AL153" s="10"/>
      <c r="AM153" s="7">
        <f t="shared" si="32"/>
        <v>0</v>
      </c>
      <c r="AN153" s="8"/>
      <c r="AO153" s="9"/>
      <c r="AP153" s="10"/>
      <c r="AQ153" s="7">
        <f t="shared" si="33"/>
        <v>0</v>
      </c>
    </row>
    <row r="154" spans="1:44">
      <c r="A154" s="3" t="s">
        <v>22</v>
      </c>
      <c r="B154" s="8">
        <v>4</v>
      </c>
      <c r="C154" s="9"/>
      <c r="D154" s="10">
        <v>12</v>
      </c>
      <c r="E154" s="7">
        <f t="shared" si="30"/>
        <v>16</v>
      </c>
      <c r="F154" s="8">
        <v>4</v>
      </c>
      <c r="G154" s="9"/>
      <c r="H154" s="10">
        <v>12</v>
      </c>
      <c r="I154" s="7">
        <f t="shared" si="31"/>
        <v>16</v>
      </c>
      <c r="J154" s="43">
        <v>43581</v>
      </c>
      <c r="AI154" s="3"/>
      <c r="AJ154" s="8"/>
      <c r="AK154" s="9"/>
      <c r="AL154" s="10"/>
      <c r="AM154" s="7">
        <f t="shared" si="32"/>
        <v>0</v>
      </c>
      <c r="AN154" s="8"/>
      <c r="AO154" s="9"/>
      <c r="AP154" s="10"/>
      <c r="AQ154" s="7">
        <f t="shared" si="33"/>
        <v>0</v>
      </c>
    </row>
    <row r="155" spans="1:44">
      <c r="A155" s="3" t="s">
        <v>82</v>
      </c>
      <c r="B155" s="8">
        <v>10</v>
      </c>
      <c r="C155" s="9">
        <v>8</v>
      </c>
      <c r="D155" s="10"/>
      <c r="E155" s="7">
        <f t="shared" si="30"/>
        <v>18</v>
      </c>
      <c r="F155" s="8">
        <v>10</v>
      </c>
      <c r="G155" s="9">
        <v>8</v>
      </c>
      <c r="H155" s="10"/>
      <c r="I155" s="7">
        <f t="shared" si="31"/>
        <v>18</v>
      </c>
      <c r="J155" s="43">
        <v>43593</v>
      </c>
      <c r="AI155" s="3"/>
      <c r="AJ155" s="8"/>
      <c r="AK155" s="9"/>
      <c r="AL155" s="10"/>
      <c r="AM155" s="7">
        <f t="shared" si="32"/>
        <v>0</v>
      </c>
      <c r="AN155" s="8"/>
      <c r="AO155" s="9"/>
      <c r="AP155" s="10"/>
      <c r="AQ155" s="7">
        <f t="shared" si="33"/>
        <v>0</v>
      </c>
    </row>
    <row r="156" spans="1:44">
      <c r="A156" s="3" t="s">
        <v>82</v>
      </c>
      <c r="B156" s="8">
        <v>1</v>
      </c>
      <c r="C156" s="9">
        <v>3</v>
      </c>
      <c r="D156" s="10">
        <v>9</v>
      </c>
      <c r="E156" s="7">
        <f t="shared" si="30"/>
        <v>13</v>
      </c>
      <c r="F156" s="8">
        <v>1</v>
      </c>
      <c r="G156" s="9">
        <v>3</v>
      </c>
      <c r="H156" s="10">
        <v>9</v>
      </c>
      <c r="I156" s="7">
        <f t="shared" si="31"/>
        <v>13</v>
      </c>
      <c r="J156" s="43">
        <v>43594</v>
      </c>
      <c r="AI156" s="3"/>
      <c r="AJ156" s="8"/>
      <c r="AK156" s="9"/>
      <c r="AL156" s="10"/>
      <c r="AM156" s="7">
        <f t="shared" si="32"/>
        <v>0</v>
      </c>
      <c r="AN156" s="8"/>
      <c r="AO156" s="9"/>
      <c r="AP156" s="10"/>
      <c r="AQ156" s="7">
        <f t="shared" si="33"/>
        <v>0</v>
      </c>
    </row>
    <row r="157" spans="1:44">
      <c r="A157" s="3" t="s">
        <v>82</v>
      </c>
      <c r="B157" s="8">
        <v>2</v>
      </c>
      <c r="C157" s="9">
        <v>6</v>
      </c>
      <c r="D157" s="10">
        <v>1</v>
      </c>
      <c r="E157" s="7">
        <f t="shared" si="30"/>
        <v>9</v>
      </c>
      <c r="F157" s="8">
        <v>2</v>
      </c>
      <c r="G157" s="9">
        <v>6</v>
      </c>
      <c r="H157" s="10">
        <v>1</v>
      </c>
      <c r="I157" s="7">
        <f t="shared" si="31"/>
        <v>9</v>
      </c>
      <c r="J157" s="43">
        <v>43595</v>
      </c>
      <c r="AI157" s="3"/>
      <c r="AJ157" s="8"/>
      <c r="AK157" s="9"/>
      <c r="AL157" s="10"/>
      <c r="AM157" s="7">
        <f t="shared" si="32"/>
        <v>0</v>
      </c>
      <c r="AN157" s="8"/>
      <c r="AO157" s="9"/>
      <c r="AP157" s="10"/>
      <c r="AQ157" s="7">
        <f t="shared" si="33"/>
        <v>0</v>
      </c>
    </row>
    <row r="158" spans="1:44">
      <c r="A158" s="3" t="s">
        <v>93</v>
      </c>
      <c r="B158" s="8"/>
      <c r="C158" s="9">
        <v>1</v>
      </c>
      <c r="D158" s="10"/>
      <c r="E158" s="7">
        <f t="shared" si="30"/>
        <v>1</v>
      </c>
      <c r="F158" s="8"/>
      <c r="G158" s="9">
        <v>1</v>
      </c>
      <c r="H158" s="10"/>
      <c r="I158" s="7">
        <f t="shared" si="31"/>
        <v>1</v>
      </c>
      <c r="J158" s="43">
        <v>43596</v>
      </c>
      <c r="AI158" s="3"/>
      <c r="AJ158" s="8"/>
      <c r="AK158" s="9"/>
      <c r="AL158" s="10"/>
      <c r="AM158" s="7">
        <f t="shared" si="32"/>
        <v>0</v>
      </c>
      <c r="AN158" s="8"/>
      <c r="AO158" s="9"/>
      <c r="AP158" s="10"/>
      <c r="AQ158" s="7">
        <f t="shared" si="33"/>
        <v>0</v>
      </c>
    </row>
    <row r="159" spans="1:44">
      <c r="A159" s="3" t="s">
        <v>50</v>
      </c>
      <c r="B159" s="8"/>
      <c r="C159" s="9">
        <v>1</v>
      </c>
      <c r="D159" s="10"/>
      <c r="E159" s="7">
        <f t="shared" si="30"/>
        <v>1</v>
      </c>
      <c r="F159" s="8"/>
      <c r="G159" s="9">
        <v>1</v>
      </c>
      <c r="H159" s="10"/>
      <c r="I159" s="7">
        <f t="shared" si="31"/>
        <v>1</v>
      </c>
      <c r="J159" s="49">
        <v>43594</v>
      </c>
      <c r="AI159" s="3"/>
      <c r="AJ159" s="8"/>
      <c r="AK159" s="9"/>
      <c r="AL159" s="10"/>
      <c r="AM159" s="7">
        <f t="shared" si="32"/>
        <v>0</v>
      </c>
      <c r="AN159" s="8"/>
      <c r="AO159" s="9"/>
      <c r="AP159" s="10"/>
      <c r="AQ159" s="7">
        <f t="shared" si="33"/>
        <v>0</v>
      </c>
    </row>
    <row r="160" spans="1:44">
      <c r="A160" s="3" t="s">
        <v>82</v>
      </c>
      <c r="B160" s="8"/>
      <c r="C160" s="9">
        <v>5</v>
      </c>
      <c r="D160" s="10"/>
      <c r="E160" s="7">
        <f t="shared" si="30"/>
        <v>5</v>
      </c>
      <c r="F160" s="8"/>
      <c r="G160" s="9">
        <v>5</v>
      </c>
      <c r="H160" s="10"/>
      <c r="I160" s="7">
        <f t="shared" si="31"/>
        <v>5</v>
      </c>
      <c r="J160" s="43">
        <v>43598</v>
      </c>
      <c r="AI160" s="3"/>
      <c r="AJ160" s="8"/>
      <c r="AK160" s="9"/>
      <c r="AL160" s="10"/>
      <c r="AM160" s="7">
        <f t="shared" si="32"/>
        <v>0</v>
      </c>
      <c r="AN160" s="8"/>
      <c r="AO160" s="9"/>
      <c r="AP160" s="10"/>
      <c r="AQ160" s="7">
        <f t="shared" si="33"/>
        <v>0</v>
      </c>
    </row>
    <row r="161" spans="1:44">
      <c r="A161" s="3" t="s">
        <v>82</v>
      </c>
      <c r="B161" s="8"/>
      <c r="C161" s="9">
        <v>1</v>
      </c>
      <c r="D161" s="10"/>
      <c r="E161" s="7">
        <f t="shared" si="30"/>
        <v>1</v>
      </c>
      <c r="F161" s="8"/>
      <c r="G161" s="9">
        <v>1</v>
      </c>
      <c r="H161" s="10"/>
      <c r="I161" s="7">
        <f t="shared" si="31"/>
        <v>1</v>
      </c>
      <c r="J161" s="43">
        <v>43599</v>
      </c>
      <c r="AI161" s="3"/>
      <c r="AJ161" s="8"/>
      <c r="AK161" s="9"/>
      <c r="AL161" s="10"/>
      <c r="AM161" s="7">
        <f t="shared" si="32"/>
        <v>0</v>
      </c>
      <c r="AN161" s="8"/>
      <c r="AO161" s="9"/>
      <c r="AP161" s="10"/>
      <c r="AQ161" s="7">
        <f t="shared" si="33"/>
        <v>0</v>
      </c>
    </row>
    <row r="162" spans="1:44">
      <c r="A162" s="3" t="s">
        <v>50</v>
      </c>
      <c r="B162" s="8"/>
      <c r="C162" s="9">
        <v>1</v>
      </c>
      <c r="D162" s="10"/>
      <c r="E162" s="7">
        <f t="shared" si="30"/>
        <v>1</v>
      </c>
      <c r="F162" s="8"/>
      <c r="G162" s="9">
        <v>1</v>
      </c>
      <c r="H162" s="10"/>
      <c r="I162" s="7">
        <f t="shared" si="31"/>
        <v>1</v>
      </c>
      <c r="J162" s="43">
        <v>43598</v>
      </c>
      <c r="AI162" s="3"/>
      <c r="AJ162" s="8"/>
      <c r="AK162" s="9"/>
      <c r="AL162" s="10"/>
      <c r="AM162" s="7">
        <f t="shared" si="32"/>
        <v>0</v>
      </c>
      <c r="AN162" s="8"/>
      <c r="AO162" s="9"/>
      <c r="AP162" s="10"/>
      <c r="AQ162" s="7">
        <f t="shared" si="33"/>
        <v>0</v>
      </c>
    </row>
    <row r="163" spans="1:44">
      <c r="A163" s="3" t="s">
        <v>82</v>
      </c>
      <c r="B163" s="8"/>
      <c r="C163" s="9">
        <v>7</v>
      </c>
      <c r="D163" s="10"/>
      <c r="E163" s="7">
        <f t="shared" si="30"/>
        <v>7</v>
      </c>
      <c r="F163" s="8"/>
      <c r="G163" s="9">
        <v>7</v>
      </c>
      <c r="H163" s="10"/>
      <c r="I163" s="7">
        <f t="shared" si="31"/>
        <v>7</v>
      </c>
      <c r="J163" s="43">
        <v>43600</v>
      </c>
      <c r="AI163" s="3"/>
      <c r="AJ163" s="8"/>
      <c r="AK163" s="9"/>
      <c r="AL163" s="10"/>
      <c r="AM163" s="7">
        <f t="shared" si="32"/>
        <v>0</v>
      </c>
      <c r="AN163" s="8"/>
      <c r="AO163" s="9"/>
      <c r="AP163" s="10"/>
      <c r="AQ163" s="7">
        <f t="shared" si="33"/>
        <v>0</v>
      </c>
    </row>
    <row r="164" spans="1:44">
      <c r="A164" s="3" t="s">
        <v>50</v>
      </c>
      <c r="B164" s="8"/>
      <c r="C164" s="9">
        <v>1</v>
      </c>
      <c r="D164" s="10"/>
      <c r="E164" s="7">
        <f t="shared" si="30"/>
        <v>1</v>
      </c>
      <c r="F164" s="8"/>
      <c r="G164" s="9">
        <v>1</v>
      </c>
      <c r="H164" s="10"/>
      <c r="I164" s="7">
        <f t="shared" si="31"/>
        <v>1</v>
      </c>
      <c r="J164" s="43">
        <v>43600</v>
      </c>
      <c r="AI164" s="3"/>
      <c r="AJ164" s="8"/>
      <c r="AK164" s="9"/>
      <c r="AL164" s="10"/>
      <c r="AM164" s="7">
        <f t="shared" si="32"/>
        <v>0</v>
      </c>
      <c r="AN164" s="8"/>
      <c r="AO164" s="9"/>
      <c r="AP164" s="10"/>
      <c r="AQ164" s="7">
        <f t="shared" si="33"/>
        <v>0</v>
      </c>
      <c r="AR164" s="29"/>
    </row>
    <row r="165" spans="1:44">
      <c r="A165" s="3" t="s">
        <v>82</v>
      </c>
      <c r="B165" s="8">
        <v>2</v>
      </c>
      <c r="C165" s="9"/>
      <c r="D165" s="10">
        <v>2</v>
      </c>
      <c r="E165" s="7">
        <f t="shared" si="30"/>
        <v>4</v>
      </c>
      <c r="F165" s="8">
        <v>2</v>
      </c>
      <c r="G165" s="9"/>
      <c r="H165" s="10">
        <v>2</v>
      </c>
      <c r="I165" s="7">
        <f t="shared" si="31"/>
        <v>4</v>
      </c>
      <c r="J165" s="43">
        <v>43602</v>
      </c>
      <c r="AI165" s="3"/>
      <c r="AJ165" s="8"/>
      <c r="AK165" s="9"/>
      <c r="AL165" s="10"/>
      <c r="AM165" s="7">
        <f t="shared" si="32"/>
        <v>0</v>
      </c>
      <c r="AN165" s="8"/>
      <c r="AO165" s="9"/>
      <c r="AP165" s="10"/>
      <c r="AQ165" s="7">
        <f t="shared" si="33"/>
        <v>0</v>
      </c>
      <c r="AR165" s="50"/>
    </row>
    <row r="166" spans="1:44">
      <c r="A166" s="3" t="s">
        <v>22</v>
      </c>
      <c r="B166" s="8">
        <v>10</v>
      </c>
      <c r="C166" s="9">
        <v>20</v>
      </c>
      <c r="D166" s="10"/>
      <c r="E166" s="7">
        <f t="shared" si="30"/>
        <v>30</v>
      </c>
      <c r="F166" s="8">
        <v>10</v>
      </c>
      <c r="G166" s="9">
        <v>20</v>
      </c>
      <c r="H166" s="10"/>
      <c r="I166" s="7">
        <f t="shared" si="31"/>
        <v>30</v>
      </c>
      <c r="J166" s="43">
        <v>43605</v>
      </c>
      <c r="AI166" s="11"/>
      <c r="AJ166" s="8"/>
      <c r="AK166" s="9"/>
      <c r="AL166" s="10"/>
      <c r="AM166" s="7">
        <f t="shared" si="32"/>
        <v>0</v>
      </c>
      <c r="AN166" s="8"/>
      <c r="AO166" s="9"/>
      <c r="AP166" s="10"/>
      <c r="AQ166" s="7">
        <f t="shared" si="33"/>
        <v>0</v>
      </c>
      <c r="AR166" s="29"/>
    </row>
    <row r="167" spans="1:44">
      <c r="A167" s="3" t="s">
        <v>82</v>
      </c>
      <c r="B167" s="8">
        <v>2</v>
      </c>
      <c r="C167" s="9">
        <v>10</v>
      </c>
      <c r="D167" s="10">
        <v>7</v>
      </c>
      <c r="E167" s="7">
        <f t="shared" ref="E167:E168" si="34">SUM(B167:D167)</f>
        <v>19</v>
      </c>
      <c r="F167" s="8">
        <v>2</v>
      </c>
      <c r="G167" s="9">
        <v>10</v>
      </c>
      <c r="H167" s="10">
        <v>7</v>
      </c>
      <c r="I167" s="7">
        <f t="shared" ref="I167:I168" si="35">SUM(F167:H167)</f>
        <v>19</v>
      </c>
      <c r="J167" s="43">
        <v>43606</v>
      </c>
      <c r="AI167" s="11"/>
      <c r="AJ167" s="8"/>
      <c r="AK167" s="9"/>
      <c r="AL167" s="10"/>
      <c r="AM167" s="7">
        <f t="shared" si="32"/>
        <v>0</v>
      </c>
      <c r="AN167" s="8"/>
      <c r="AO167" s="9"/>
      <c r="AP167" s="10"/>
      <c r="AQ167" s="7">
        <f t="shared" si="33"/>
        <v>0</v>
      </c>
      <c r="AR167" s="29"/>
    </row>
    <row r="168" spans="1:44" ht="14.25" thickBot="1">
      <c r="A168" s="3" t="s">
        <v>82</v>
      </c>
      <c r="B168" s="8">
        <v>16</v>
      </c>
      <c r="C168" s="9">
        <v>9</v>
      </c>
      <c r="D168" s="10">
        <v>11</v>
      </c>
      <c r="E168" s="7">
        <f t="shared" si="34"/>
        <v>36</v>
      </c>
      <c r="F168" s="8">
        <v>16</v>
      </c>
      <c r="G168" s="9">
        <v>9</v>
      </c>
      <c r="H168" s="10">
        <v>11</v>
      </c>
      <c r="I168" s="7">
        <f t="shared" si="35"/>
        <v>36</v>
      </c>
      <c r="J168" s="43">
        <v>43607</v>
      </c>
      <c r="AI168" s="3" t="s">
        <v>89</v>
      </c>
      <c r="AJ168" s="8"/>
      <c r="AK168" s="9"/>
      <c r="AL168" s="10"/>
      <c r="AM168" s="7">
        <f t="shared" si="32"/>
        <v>0</v>
      </c>
      <c r="AN168" s="8"/>
      <c r="AO168" s="9"/>
      <c r="AP168" s="10"/>
      <c r="AQ168" s="7">
        <f t="shared" si="33"/>
        <v>0</v>
      </c>
      <c r="AR168" s="29" t="s">
        <v>88</v>
      </c>
    </row>
    <row r="169" spans="1:44" ht="14.25" thickBot="1">
      <c r="A169" s="2" t="s">
        <v>5</v>
      </c>
      <c r="B169" s="14">
        <f>SUM(B145:B168)</f>
        <v>71</v>
      </c>
      <c r="C169" s="14">
        <f>SUM(C145:C168)</f>
        <v>113</v>
      </c>
      <c r="D169" s="14">
        <f>SUM(D145:D168)</f>
        <v>67</v>
      </c>
      <c r="E169" s="15">
        <f t="shared" si="30"/>
        <v>251</v>
      </c>
      <c r="F169" s="14">
        <f>SUM(F145:F168)</f>
        <v>71</v>
      </c>
      <c r="G169" s="14">
        <f>SUM(G145:G168)</f>
        <v>113</v>
      </c>
      <c r="H169" s="14">
        <f>SUM(H145:H168)</f>
        <v>67</v>
      </c>
      <c r="I169" s="15">
        <f t="shared" si="31"/>
        <v>251</v>
      </c>
      <c r="AI169" s="2" t="s">
        <v>5</v>
      </c>
      <c r="AJ169" s="14">
        <f>SUM(AJ145:AJ168)</f>
        <v>180</v>
      </c>
      <c r="AK169" s="14">
        <f>SUM(AK145:AK168)</f>
        <v>190</v>
      </c>
      <c r="AL169" s="14">
        <f>SUM(AL145:AL168)</f>
        <v>130</v>
      </c>
      <c r="AM169" s="15">
        <f t="shared" si="32"/>
        <v>500</v>
      </c>
      <c r="AN169" s="14">
        <f>SUM(AN145:AN168)</f>
        <v>180</v>
      </c>
      <c r="AO169" s="14">
        <f>SUM(AO145:AO168)</f>
        <v>190</v>
      </c>
      <c r="AP169" s="14">
        <f>SUM(AP145:AP168)</f>
        <v>130</v>
      </c>
      <c r="AQ169" s="15">
        <f t="shared" si="33"/>
        <v>500</v>
      </c>
    </row>
    <row r="170" spans="1:44" ht="14.25" thickBot="1">
      <c r="A170" s="27" t="s">
        <v>6</v>
      </c>
      <c r="B170" s="28">
        <f>B144-B169</f>
        <v>212</v>
      </c>
      <c r="C170" s="28">
        <f t="shared" ref="C170:E170" si="36">C144-C169</f>
        <v>186</v>
      </c>
      <c r="D170" s="28">
        <f t="shared" si="36"/>
        <v>130</v>
      </c>
      <c r="E170" s="28">
        <f t="shared" si="36"/>
        <v>528</v>
      </c>
      <c r="F170" s="28">
        <f>F144-F169</f>
        <v>212</v>
      </c>
      <c r="G170" s="28">
        <f t="shared" ref="G170:I170" si="37">G144-G169</f>
        <v>186</v>
      </c>
      <c r="H170" s="28">
        <f t="shared" si="37"/>
        <v>130</v>
      </c>
      <c r="I170" s="26">
        <f t="shared" si="37"/>
        <v>528</v>
      </c>
      <c r="AI170" s="27" t="s">
        <v>6</v>
      </c>
      <c r="AJ170" s="28">
        <f>AJ144-AJ169</f>
        <v>220</v>
      </c>
      <c r="AK170" s="28">
        <f t="shared" ref="AK170:AM170" si="38">AK144-AK169</f>
        <v>310</v>
      </c>
      <c r="AL170" s="28">
        <f t="shared" si="38"/>
        <v>170</v>
      </c>
      <c r="AM170" s="28">
        <f t="shared" si="38"/>
        <v>700</v>
      </c>
      <c r="AN170" s="28">
        <f>AN144-AN169</f>
        <v>220</v>
      </c>
      <c r="AO170" s="28">
        <f t="shared" ref="AO170:AQ170" si="39">AO144-AO169</f>
        <v>310</v>
      </c>
      <c r="AP170" s="28">
        <f t="shared" si="39"/>
        <v>170</v>
      </c>
      <c r="AQ170" s="26">
        <f t="shared" si="39"/>
        <v>700</v>
      </c>
    </row>
    <row r="173" spans="1:44" ht="21.75" thickBot="1">
      <c r="A173" s="33" t="s">
        <v>15</v>
      </c>
      <c r="B173" s="34"/>
      <c r="C173" s="34"/>
      <c r="D173" s="34"/>
      <c r="E173" s="34"/>
      <c r="F173" s="35"/>
      <c r="G173" s="35"/>
      <c r="H173" s="35"/>
      <c r="I173" s="35"/>
      <c r="AI173" s="33" t="s">
        <v>87</v>
      </c>
      <c r="AJ173" s="34"/>
      <c r="AK173" s="34"/>
      <c r="AL173" s="34"/>
      <c r="AM173" s="34"/>
      <c r="AN173" s="35"/>
      <c r="AO173" s="35"/>
      <c r="AP173" s="35"/>
      <c r="AQ173" s="35"/>
    </row>
    <row r="174" spans="1:44" ht="14.25" thickBot="1">
      <c r="A174" s="1" t="s">
        <v>0</v>
      </c>
      <c r="B174" s="182" t="s">
        <v>17</v>
      </c>
      <c r="C174" s="182"/>
      <c r="D174" s="182"/>
      <c r="E174" s="183"/>
      <c r="F174" s="182" t="s">
        <v>13</v>
      </c>
      <c r="G174" s="182"/>
      <c r="H174" s="182"/>
      <c r="I174" s="183"/>
      <c r="AI174" s="1" t="s">
        <v>0</v>
      </c>
      <c r="AJ174" s="182" t="s">
        <v>17</v>
      </c>
      <c r="AK174" s="182"/>
      <c r="AL174" s="182"/>
      <c r="AM174" s="183"/>
      <c r="AN174" s="182" t="s">
        <v>13</v>
      </c>
      <c r="AO174" s="182"/>
      <c r="AP174" s="182"/>
      <c r="AQ174" s="183"/>
    </row>
    <row r="175" spans="1:44" ht="14.25" thickBot="1">
      <c r="A175" s="1" t="s">
        <v>1</v>
      </c>
      <c r="B175" s="2" t="s">
        <v>8</v>
      </c>
      <c r="C175" s="1" t="s">
        <v>9</v>
      </c>
      <c r="D175" s="19" t="s">
        <v>10</v>
      </c>
      <c r="E175" s="1" t="s">
        <v>2</v>
      </c>
      <c r="F175" s="2" t="s">
        <v>8</v>
      </c>
      <c r="G175" s="1" t="s">
        <v>9</v>
      </c>
      <c r="H175" s="19" t="s">
        <v>10</v>
      </c>
      <c r="I175" s="1" t="s">
        <v>2</v>
      </c>
      <c r="AI175" s="1" t="s">
        <v>1</v>
      </c>
      <c r="AJ175" s="2" t="s">
        <v>8</v>
      </c>
      <c r="AK175" s="1" t="s">
        <v>9</v>
      </c>
      <c r="AL175" s="19" t="s">
        <v>10</v>
      </c>
      <c r="AM175" s="1" t="s">
        <v>2</v>
      </c>
      <c r="AN175" s="2" t="s">
        <v>8</v>
      </c>
      <c r="AO175" s="1" t="s">
        <v>9</v>
      </c>
      <c r="AP175" s="19" t="s">
        <v>10</v>
      </c>
      <c r="AQ175" s="1" t="s">
        <v>2</v>
      </c>
    </row>
    <row r="176" spans="1:44" ht="14.25" thickBot="1">
      <c r="A176" s="21" t="s">
        <v>7</v>
      </c>
      <c r="B176" s="18">
        <f>B170</f>
        <v>212</v>
      </c>
      <c r="C176" s="22">
        <f>C170</f>
        <v>186</v>
      </c>
      <c r="D176" s="22">
        <f>D170</f>
        <v>130</v>
      </c>
      <c r="E176" s="17">
        <f t="shared" ref="E176:E212" si="40">SUM(B176:D176)</f>
        <v>528</v>
      </c>
      <c r="F176" s="22">
        <f>F170</f>
        <v>212</v>
      </c>
      <c r="G176" s="22">
        <f>G170</f>
        <v>186</v>
      </c>
      <c r="H176" s="22">
        <f>H170</f>
        <v>130</v>
      </c>
      <c r="I176" s="17">
        <f t="shared" ref="I176:I212" si="41">SUM(F176:H176)</f>
        <v>528</v>
      </c>
      <c r="AI176" s="52" t="s">
        <v>7</v>
      </c>
      <c r="AJ176" s="53">
        <f>AJ170</f>
        <v>220</v>
      </c>
      <c r="AK176" s="23">
        <f>AK170</f>
        <v>310</v>
      </c>
      <c r="AL176" s="23">
        <f>AL170</f>
        <v>170</v>
      </c>
      <c r="AM176" s="26">
        <f t="shared" ref="AM176" si="42">SUM(AJ176:AL176)</f>
        <v>700</v>
      </c>
      <c r="AN176" s="23">
        <f>AN170</f>
        <v>220</v>
      </c>
      <c r="AO176" s="23">
        <f>AO170</f>
        <v>310</v>
      </c>
      <c r="AP176" s="23">
        <f>AP170</f>
        <v>170</v>
      </c>
      <c r="AQ176" s="26">
        <f t="shared" ref="AQ176" si="43">SUM(AN176:AP176)</f>
        <v>700</v>
      </c>
    </row>
    <row r="177" spans="1:44">
      <c r="A177" s="5" t="s">
        <v>37</v>
      </c>
      <c r="B177" s="16"/>
      <c r="C177" s="11">
        <v>1</v>
      </c>
      <c r="D177" s="16"/>
      <c r="E177" s="4">
        <f t="shared" si="40"/>
        <v>1</v>
      </c>
      <c r="F177" s="16"/>
      <c r="G177" s="11">
        <v>1</v>
      </c>
      <c r="H177" s="16"/>
      <c r="I177" s="4">
        <f t="shared" si="41"/>
        <v>1</v>
      </c>
      <c r="J177" s="49">
        <v>43614</v>
      </c>
      <c r="AI177" s="40" t="s">
        <v>3</v>
      </c>
      <c r="AJ177" s="51"/>
      <c r="AK177" s="3"/>
      <c r="AL177" s="51"/>
      <c r="AM177" s="4">
        <f t="shared" ref="AM177:AM208" si="44">SUM(AJ177:AL177)</f>
        <v>0</v>
      </c>
      <c r="AN177" s="51"/>
      <c r="AO177" s="3"/>
      <c r="AP177" s="51"/>
      <c r="AQ177" s="4">
        <f t="shared" ref="AQ177:AQ208" si="45">SUM(AN177:AP177)</f>
        <v>0</v>
      </c>
    </row>
    <row r="178" spans="1:44">
      <c r="A178" s="5" t="s">
        <v>85</v>
      </c>
      <c r="B178" s="16">
        <v>150</v>
      </c>
      <c r="C178" s="11">
        <v>200</v>
      </c>
      <c r="D178" s="16">
        <v>100</v>
      </c>
      <c r="E178" s="4">
        <v>450</v>
      </c>
      <c r="F178" s="16">
        <v>150</v>
      </c>
      <c r="G178" s="11">
        <v>200</v>
      </c>
      <c r="H178" s="16">
        <v>100</v>
      </c>
      <c r="I178" s="4">
        <v>450</v>
      </c>
      <c r="J178" s="43">
        <v>43626</v>
      </c>
      <c r="AI178" s="5" t="s">
        <v>3</v>
      </c>
      <c r="AJ178" s="16"/>
      <c r="AK178" s="11"/>
      <c r="AL178" s="16"/>
      <c r="AM178" s="4">
        <f t="shared" si="44"/>
        <v>0</v>
      </c>
      <c r="AN178" s="16"/>
      <c r="AO178" s="11"/>
      <c r="AP178" s="16"/>
      <c r="AQ178" s="4">
        <f t="shared" si="45"/>
        <v>0</v>
      </c>
    </row>
    <row r="179" spans="1:44">
      <c r="A179" s="5" t="s">
        <v>37</v>
      </c>
      <c r="B179" s="30">
        <v>1</v>
      </c>
      <c r="C179" s="31">
        <v>2</v>
      </c>
      <c r="D179" s="32">
        <v>3</v>
      </c>
      <c r="E179" s="54">
        <f t="shared" si="40"/>
        <v>6</v>
      </c>
      <c r="F179" s="30">
        <v>1</v>
      </c>
      <c r="G179" s="31">
        <v>2</v>
      </c>
      <c r="H179" s="32">
        <v>3</v>
      </c>
      <c r="I179" s="4">
        <f t="shared" si="41"/>
        <v>6</v>
      </c>
      <c r="J179" s="43">
        <v>43622</v>
      </c>
      <c r="AI179" s="5" t="s">
        <v>3</v>
      </c>
      <c r="AJ179" s="8"/>
      <c r="AK179" s="9"/>
      <c r="AL179" s="10"/>
      <c r="AM179" s="4">
        <f t="shared" si="44"/>
        <v>0</v>
      </c>
      <c r="AN179" s="8"/>
      <c r="AO179" s="9"/>
      <c r="AP179" s="10"/>
      <c r="AQ179" s="4">
        <f t="shared" si="45"/>
        <v>0</v>
      </c>
    </row>
    <row r="180" spans="1:44">
      <c r="A180" s="5" t="s">
        <v>37</v>
      </c>
      <c r="B180" s="16"/>
      <c r="C180" s="11">
        <v>3</v>
      </c>
      <c r="D180" s="16"/>
      <c r="E180" s="54">
        <f t="shared" si="40"/>
        <v>3</v>
      </c>
      <c r="F180" s="16"/>
      <c r="G180" s="11">
        <v>3</v>
      </c>
      <c r="H180" s="16"/>
      <c r="I180" s="4">
        <f t="shared" si="41"/>
        <v>3</v>
      </c>
      <c r="J180" s="49">
        <v>43629</v>
      </c>
      <c r="AI180" s="5" t="s">
        <v>3</v>
      </c>
      <c r="AJ180" s="16"/>
      <c r="AK180" s="11"/>
      <c r="AL180" s="16"/>
      <c r="AM180" s="4">
        <f t="shared" si="44"/>
        <v>0</v>
      </c>
      <c r="AN180" s="16"/>
      <c r="AO180" s="11"/>
      <c r="AP180" s="16"/>
      <c r="AQ180" s="4">
        <f t="shared" si="45"/>
        <v>0</v>
      </c>
    </row>
    <row r="181" spans="1:44">
      <c r="A181" s="5" t="s">
        <v>37</v>
      </c>
      <c r="B181" s="16"/>
      <c r="C181" s="11">
        <v>4</v>
      </c>
      <c r="D181" s="16"/>
      <c r="E181" s="54">
        <f t="shared" si="40"/>
        <v>4</v>
      </c>
      <c r="F181" s="16"/>
      <c r="G181" s="11">
        <v>4</v>
      </c>
      <c r="H181" s="16"/>
      <c r="I181" s="4">
        <f t="shared" si="41"/>
        <v>4</v>
      </c>
      <c r="J181" s="49">
        <v>43633</v>
      </c>
      <c r="AI181" s="5" t="s">
        <v>3</v>
      </c>
      <c r="AJ181" s="16"/>
      <c r="AK181" s="11"/>
      <c r="AL181" s="16"/>
      <c r="AM181" s="4">
        <f t="shared" si="44"/>
        <v>0</v>
      </c>
      <c r="AN181" s="16"/>
      <c r="AO181" s="11"/>
      <c r="AP181" s="16"/>
      <c r="AQ181" s="4">
        <f t="shared" si="45"/>
        <v>0</v>
      </c>
    </row>
    <row r="182" spans="1:44">
      <c r="A182" s="5" t="s">
        <v>3</v>
      </c>
      <c r="B182" s="16"/>
      <c r="C182" s="11"/>
      <c r="D182" s="16"/>
      <c r="E182" s="54">
        <f t="shared" si="40"/>
        <v>0</v>
      </c>
      <c r="F182" s="16"/>
      <c r="G182" s="11"/>
      <c r="H182" s="16"/>
      <c r="I182" s="4">
        <f t="shared" si="41"/>
        <v>0</v>
      </c>
      <c r="AI182" s="5" t="s">
        <v>3</v>
      </c>
      <c r="AJ182" s="16"/>
      <c r="AK182" s="11"/>
      <c r="AL182" s="16"/>
      <c r="AM182" s="4">
        <f t="shared" si="44"/>
        <v>0</v>
      </c>
      <c r="AN182" s="16"/>
      <c r="AO182" s="11"/>
      <c r="AP182" s="16"/>
      <c r="AQ182" s="4">
        <f t="shared" si="45"/>
        <v>0</v>
      </c>
    </row>
    <row r="183" spans="1:44">
      <c r="A183" s="5" t="s">
        <v>3</v>
      </c>
      <c r="B183" s="32"/>
      <c r="C183" s="31"/>
      <c r="D183" s="32"/>
      <c r="E183" s="54">
        <f t="shared" si="40"/>
        <v>0</v>
      </c>
      <c r="F183" s="32"/>
      <c r="G183" s="31"/>
      <c r="H183" s="32"/>
      <c r="I183" s="4">
        <f t="shared" si="41"/>
        <v>0</v>
      </c>
      <c r="AI183" s="5" t="s">
        <v>3</v>
      </c>
      <c r="AJ183" s="10"/>
      <c r="AK183" s="9"/>
      <c r="AL183" s="10"/>
      <c r="AM183" s="4">
        <f t="shared" si="44"/>
        <v>0</v>
      </c>
      <c r="AN183" s="10"/>
      <c r="AO183" s="9"/>
      <c r="AP183" s="10"/>
      <c r="AQ183" s="4">
        <f t="shared" si="45"/>
        <v>0</v>
      </c>
    </row>
    <row r="184" spans="1:44">
      <c r="A184" s="6" t="s">
        <v>3</v>
      </c>
      <c r="B184" s="32"/>
      <c r="C184" s="31"/>
      <c r="D184" s="32"/>
      <c r="E184" s="54">
        <f t="shared" si="40"/>
        <v>0</v>
      </c>
      <c r="F184" s="32"/>
      <c r="G184" s="31"/>
      <c r="H184" s="32"/>
      <c r="I184" s="4">
        <f t="shared" si="41"/>
        <v>0</v>
      </c>
      <c r="AI184" s="6" t="s">
        <v>3</v>
      </c>
      <c r="AJ184" s="10"/>
      <c r="AK184" s="9"/>
      <c r="AL184" s="10"/>
      <c r="AM184" s="4">
        <f t="shared" si="44"/>
        <v>0</v>
      </c>
      <c r="AN184" s="10"/>
      <c r="AO184" s="9"/>
      <c r="AP184" s="10"/>
      <c r="AQ184" s="4">
        <f t="shared" si="45"/>
        <v>0</v>
      </c>
    </row>
    <row r="185" spans="1:44">
      <c r="A185" s="6" t="s">
        <v>3</v>
      </c>
      <c r="B185" s="32"/>
      <c r="C185" s="31"/>
      <c r="D185" s="32"/>
      <c r="E185" s="54">
        <f t="shared" si="40"/>
        <v>0</v>
      </c>
      <c r="F185" s="32"/>
      <c r="G185" s="31"/>
      <c r="H185" s="32"/>
      <c r="I185" s="4">
        <f t="shared" si="41"/>
        <v>0</v>
      </c>
      <c r="AI185" s="6" t="s">
        <v>3</v>
      </c>
      <c r="AJ185" s="32"/>
      <c r="AK185" s="31"/>
      <c r="AL185" s="32"/>
      <c r="AM185" s="4">
        <f t="shared" si="44"/>
        <v>0</v>
      </c>
      <c r="AN185" s="32"/>
      <c r="AO185" s="31"/>
      <c r="AP185" s="32"/>
      <c r="AQ185" s="4">
        <f t="shared" si="45"/>
        <v>0</v>
      </c>
    </row>
    <row r="186" spans="1:44" ht="14.25" thickBot="1">
      <c r="A186" s="6" t="s">
        <v>3</v>
      </c>
      <c r="B186" s="36"/>
      <c r="C186" s="37"/>
      <c r="D186" s="36"/>
      <c r="E186" s="55">
        <f t="shared" si="40"/>
        <v>0</v>
      </c>
      <c r="F186" s="36"/>
      <c r="G186" s="37"/>
      <c r="H186" s="36"/>
      <c r="I186" s="20">
        <f t="shared" si="41"/>
        <v>0</v>
      </c>
      <c r="AI186" s="6" t="s">
        <v>3</v>
      </c>
      <c r="AJ186" s="13"/>
      <c r="AK186" s="12"/>
      <c r="AL186" s="13"/>
      <c r="AM186" s="20">
        <f t="shared" si="44"/>
        <v>0</v>
      </c>
      <c r="AN186" s="13"/>
      <c r="AO186" s="12"/>
      <c r="AP186" s="13"/>
      <c r="AQ186" s="20">
        <f t="shared" si="45"/>
        <v>0</v>
      </c>
    </row>
    <row r="187" spans="1:44" ht="14.25" thickBot="1">
      <c r="A187" s="23" t="s">
        <v>4</v>
      </c>
      <c r="B187" s="24">
        <f>SUM(B176:B186)</f>
        <v>363</v>
      </c>
      <c r="C187" s="24">
        <f>SUM(C176:C186)</f>
        <v>396</v>
      </c>
      <c r="D187" s="25">
        <f>SUM(D176:D186)</f>
        <v>233</v>
      </c>
      <c r="E187" s="26">
        <f t="shared" si="40"/>
        <v>992</v>
      </c>
      <c r="F187" s="24">
        <f>SUM(F176:F186)</f>
        <v>363</v>
      </c>
      <c r="G187" s="24">
        <f>SUM(G176:G186)</f>
        <v>396</v>
      </c>
      <c r="H187" s="25">
        <f>SUM(H176:H186)</f>
        <v>233</v>
      </c>
      <c r="I187" s="26">
        <f t="shared" si="41"/>
        <v>992</v>
      </c>
      <c r="AI187" s="23" t="s">
        <v>4</v>
      </c>
      <c r="AJ187" s="24">
        <f>SUM(AJ176:AJ186)</f>
        <v>220</v>
      </c>
      <c r="AK187" s="24">
        <f>SUM(AK176:AK186)</f>
        <v>310</v>
      </c>
      <c r="AL187" s="25">
        <f>SUM(AL176:AL186)</f>
        <v>170</v>
      </c>
      <c r="AM187" s="26">
        <f t="shared" si="44"/>
        <v>700</v>
      </c>
      <c r="AN187" s="24">
        <f>SUM(AN176:AN186)</f>
        <v>220</v>
      </c>
      <c r="AO187" s="24">
        <f>SUM(AO176:AO186)</f>
        <v>310</v>
      </c>
      <c r="AP187" s="25">
        <f>SUM(AP176:AP186)</f>
        <v>170</v>
      </c>
      <c r="AQ187" s="26">
        <f t="shared" si="45"/>
        <v>700</v>
      </c>
    </row>
    <row r="188" spans="1:44">
      <c r="A188" s="3" t="s">
        <v>82</v>
      </c>
      <c r="B188" s="8">
        <v>6</v>
      </c>
      <c r="C188" s="9">
        <v>2</v>
      </c>
      <c r="D188" s="10">
        <v>5</v>
      </c>
      <c r="E188" s="4">
        <f t="shared" si="40"/>
        <v>13</v>
      </c>
      <c r="F188" s="8">
        <v>6</v>
      </c>
      <c r="G188" s="9">
        <v>2</v>
      </c>
      <c r="H188" s="10">
        <v>5</v>
      </c>
      <c r="I188" s="4">
        <f t="shared" si="41"/>
        <v>13</v>
      </c>
      <c r="J188" s="43">
        <v>43608</v>
      </c>
      <c r="AI188" s="3" t="s">
        <v>85</v>
      </c>
      <c r="AJ188" s="8">
        <v>150</v>
      </c>
      <c r="AK188" s="9">
        <v>200</v>
      </c>
      <c r="AL188" s="10">
        <v>100</v>
      </c>
      <c r="AM188" s="7">
        <f t="shared" si="44"/>
        <v>450</v>
      </c>
      <c r="AN188" s="8">
        <v>150</v>
      </c>
      <c r="AO188" s="9">
        <v>200</v>
      </c>
      <c r="AP188" s="10">
        <v>100</v>
      </c>
      <c r="AQ188" s="7">
        <f t="shared" si="45"/>
        <v>450</v>
      </c>
      <c r="AR188" s="50">
        <v>43626</v>
      </c>
    </row>
    <row r="189" spans="1:44">
      <c r="A189" s="3" t="s">
        <v>82</v>
      </c>
      <c r="B189" s="8"/>
      <c r="C189" s="9">
        <v>5</v>
      </c>
      <c r="D189" s="10">
        <v>5</v>
      </c>
      <c r="E189" s="4">
        <f t="shared" si="40"/>
        <v>10</v>
      </c>
      <c r="F189" s="8"/>
      <c r="G189" s="9">
        <v>5</v>
      </c>
      <c r="H189" s="10">
        <v>5</v>
      </c>
      <c r="I189" s="4">
        <f t="shared" si="41"/>
        <v>10</v>
      </c>
      <c r="J189" s="43">
        <v>43609</v>
      </c>
      <c r="K189" s="29"/>
      <c r="AI189" s="3"/>
      <c r="AJ189" s="8"/>
      <c r="AK189" s="9"/>
      <c r="AL189" s="10"/>
      <c r="AM189" s="4">
        <f t="shared" si="44"/>
        <v>0</v>
      </c>
      <c r="AN189" s="8"/>
      <c r="AO189" s="9"/>
      <c r="AP189" s="10"/>
      <c r="AQ189" s="4">
        <f t="shared" si="45"/>
        <v>0</v>
      </c>
      <c r="AR189" s="29"/>
    </row>
    <row r="190" spans="1:44">
      <c r="A190" s="3" t="s">
        <v>82</v>
      </c>
      <c r="B190" s="8"/>
      <c r="C190" s="9">
        <v>6</v>
      </c>
      <c r="D190" s="10">
        <v>2</v>
      </c>
      <c r="E190" s="7">
        <f t="shared" si="40"/>
        <v>8</v>
      </c>
      <c r="F190" s="8"/>
      <c r="G190" s="9">
        <v>6</v>
      </c>
      <c r="H190" s="10">
        <v>2</v>
      </c>
      <c r="I190" s="7">
        <f t="shared" si="41"/>
        <v>8</v>
      </c>
      <c r="J190" s="43">
        <v>43610</v>
      </c>
      <c r="K190" s="29"/>
      <c r="AI190" s="3"/>
      <c r="AJ190" s="8"/>
      <c r="AK190" s="9"/>
      <c r="AL190" s="10"/>
      <c r="AM190" s="7">
        <f t="shared" si="44"/>
        <v>0</v>
      </c>
      <c r="AN190" s="8"/>
      <c r="AO190" s="9"/>
      <c r="AP190" s="10"/>
      <c r="AQ190" s="7">
        <f t="shared" si="45"/>
        <v>0</v>
      </c>
      <c r="AR190" s="50"/>
    </row>
    <row r="191" spans="1:44">
      <c r="A191" s="3" t="s">
        <v>82</v>
      </c>
      <c r="B191" s="8">
        <v>1</v>
      </c>
      <c r="C191" s="9">
        <v>1</v>
      </c>
      <c r="D191" s="10"/>
      <c r="E191" s="4">
        <f t="shared" si="40"/>
        <v>2</v>
      </c>
      <c r="F191" s="8">
        <v>1</v>
      </c>
      <c r="G191" s="9">
        <v>1</v>
      </c>
      <c r="H191" s="10"/>
      <c r="I191" s="4">
        <f t="shared" si="41"/>
        <v>2</v>
      </c>
      <c r="J191" s="43">
        <v>43613</v>
      </c>
      <c r="K191" s="29"/>
      <c r="AI191" s="3"/>
      <c r="AJ191" s="8"/>
      <c r="AK191" s="9"/>
      <c r="AL191" s="10"/>
      <c r="AM191" s="4">
        <f t="shared" si="44"/>
        <v>0</v>
      </c>
      <c r="AN191" s="8"/>
      <c r="AO191" s="9"/>
      <c r="AP191" s="10"/>
      <c r="AQ191" s="4">
        <f t="shared" si="45"/>
        <v>0</v>
      </c>
      <c r="AR191" s="29"/>
    </row>
    <row r="192" spans="1:44">
      <c r="A192" s="3" t="s">
        <v>82</v>
      </c>
      <c r="B192" s="8">
        <v>15</v>
      </c>
      <c r="C192" s="9">
        <v>11</v>
      </c>
      <c r="D192" s="10">
        <v>6</v>
      </c>
      <c r="E192" s="4">
        <f t="shared" si="40"/>
        <v>32</v>
      </c>
      <c r="F192" s="8">
        <v>15</v>
      </c>
      <c r="G192" s="9">
        <v>11</v>
      </c>
      <c r="H192" s="10">
        <v>6</v>
      </c>
      <c r="I192" s="4">
        <f t="shared" si="41"/>
        <v>32</v>
      </c>
      <c r="J192" s="43">
        <v>43615</v>
      </c>
      <c r="K192" s="29"/>
      <c r="AI192" s="3"/>
      <c r="AJ192" s="8"/>
      <c r="AK192" s="9"/>
      <c r="AL192" s="10"/>
      <c r="AM192" s="4">
        <f t="shared" si="44"/>
        <v>0</v>
      </c>
      <c r="AN192" s="8"/>
      <c r="AO192" s="9"/>
      <c r="AP192" s="10"/>
      <c r="AQ192" s="4">
        <f t="shared" si="45"/>
        <v>0</v>
      </c>
      <c r="AR192" s="29"/>
    </row>
    <row r="193" spans="1:44">
      <c r="A193" s="3" t="s">
        <v>82</v>
      </c>
      <c r="B193" s="8">
        <v>4</v>
      </c>
      <c r="C193" s="9">
        <v>2</v>
      </c>
      <c r="D193" s="10">
        <v>3</v>
      </c>
      <c r="E193" s="7">
        <f t="shared" si="40"/>
        <v>9</v>
      </c>
      <c r="F193" s="8">
        <v>4</v>
      </c>
      <c r="G193" s="9">
        <v>2</v>
      </c>
      <c r="H193" s="10">
        <v>3</v>
      </c>
      <c r="I193" s="7">
        <f t="shared" si="41"/>
        <v>9</v>
      </c>
      <c r="J193" s="43">
        <v>43616</v>
      </c>
      <c r="AI193" s="3"/>
      <c r="AJ193" s="8"/>
      <c r="AK193" s="9"/>
      <c r="AL193" s="10"/>
      <c r="AM193" s="7">
        <f t="shared" si="44"/>
        <v>0</v>
      </c>
      <c r="AN193" s="8"/>
      <c r="AO193" s="9"/>
      <c r="AP193" s="10"/>
      <c r="AQ193" s="7">
        <f t="shared" si="45"/>
        <v>0</v>
      </c>
      <c r="AR193" s="29"/>
    </row>
    <row r="194" spans="1:44">
      <c r="A194" s="3" t="s">
        <v>82</v>
      </c>
      <c r="B194" s="8">
        <v>1</v>
      </c>
      <c r="C194" s="9">
        <v>7</v>
      </c>
      <c r="D194" s="10">
        <v>1</v>
      </c>
      <c r="E194" s="7">
        <f t="shared" si="40"/>
        <v>9</v>
      </c>
      <c r="F194" s="8">
        <v>1</v>
      </c>
      <c r="G194" s="9">
        <v>7</v>
      </c>
      <c r="H194" s="10">
        <v>1</v>
      </c>
      <c r="I194" s="7">
        <f t="shared" si="41"/>
        <v>9</v>
      </c>
      <c r="J194" s="43">
        <v>43617</v>
      </c>
      <c r="AI194" s="3"/>
      <c r="AJ194" s="8"/>
      <c r="AK194" s="9"/>
      <c r="AL194" s="10"/>
      <c r="AM194" s="7">
        <f t="shared" si="44"/>
        <v>0</v>
      </c>
      <c r="AN194" s="8"/>
      <c r="AO194" s="9"/>
      <c r="AP194" s="10"/>
      <c r="AQ194" s="7">
        <f t="shared" si="45"/>
        <v>0</v>
      </c>
    </row>
    <row r="195" spans="1:44">
      <c r="A195" s="3" t="s">
        <v>82</v>
      </c>
      <c r="B195" s="8">
        <v>3</v>
      </c>
      <c r="C195" s="9">
        <v>11</v>
      </c>
      <c r="D195" s="10">
        <v>3</v>
      </c>
      <c r="E195" s="7">
        <f t="shared" si="40"/>
        <v>17</v>
      </c>
      <c r="F195" s="8">
        <v>3</v>
      </c>
      <c r="G195" s="9">
        <v>11</v>
      </c>
      <c r="H195" s="10">
        <v>3</v>
      </c>
      <c r="I195" s="7">
        <f t="shared" si="41"/>
        <v>17</v>
      </c>
      <c r="J195" s="43">
        <v>43619</v>
      </c>
      <c r="AI195" s="3"/>
      <c r="AJ195" s="8"/>
      <c r="AK195" s="9"/>
      <c r="AL195" s="10"/>
      <c r="AM195" s="7">
        <f t="shared" si="44"/>
        <v>0</v>
      </c>
      <c r="AN195" s="8"/>
      <c r="AO195" s="9"/>
      <c r="AP195" s="10"/>
      <c r="AQ195" s="7">
        <f t="shared" si="45"/>
        <v>0</v>
      </c>
    </row>
    <row r="196" spans="1:44">
      <c r="A196" s="3" t="s">
        <v>102</v>
      </c>
      <c r="B196" s="8">
        <v>1</v>
      </c>
      <c r="C196" s="9"/>
      <c r="D196" s="10"/>
      <c r="E196" s="7">
        <f t="shared" si="40"/>
        <v>1</v>
      </c>
      <c r="F196" s="8">
        <v>1</v>
      </c>
      <c r="G196" s="9"/>
      <c r="H196" s="10"/>
      <c r="I196" s="7">
        <f t="shared" si="41"/>
        <v>1</v>
      </c>
      <c r="J196" s="43">
        <v>43617</v>
      </c>
      <c r="AI196" s="3"/>
      <c r="AJ196" s="8"/>
      <c r="AK196" s="9"/>
      <c r="AL196" s="10"/>
      <c r="AM196" s="7">
        <f t="shared" si="44"/>
        <v>0</v>
      </c>
      <c r="AN196" s="8"/>
      <c r="AO196" s="9"/>
      <c r="AP196" s="10"/>
      <c r="AQ196" s="7">
        <f t="shared" si="45"/>
        <v>0</v>
      </c>
    </row>
    <row r="197" spans="1:44">
      <c r="A197" s="3" t="s">
        <v>82</v>
      </c>
      <c r="B197" s="8">
        <v>10</v>
      </c>
      <c r="C197" s="9">
        <v>3</v>
      </c>
      <c r="D197" s="10">
        <v>8</v>
      </c>
      <c r="E197" s="7">
        <f t="shared" si="40"/>
        <v>21</v>
      </c>
      <c r="F197" s="8">
        <v>10</v>
      </c>
      <c r="G197" s="9">
        <v>3</v>
      </c>
      <c r="H197" s="10">
        <v>8</v>
      </c>
      <c r="I197" s="7">
        <f t="shared" si="41"/>
        <v>21</v>
      </c>
      <c r="J197" s="43">
        <v>43620</v>
      </c>
      <c r="AI197" s="3"/>
      <c r="AJ197" s="8"/>
      <c r="AK197" s="9"/>
      <c r="AL197" s="10"/>
      <c r="AM197" s="7">
        <f t="shared" si="44"/>
        <v>0</v>
      </c>
      <c r="AN197" s="8"/>
      <c r="AO197" s="9"/>
      <c r="AP197" s="10"/>
      <c r="AQ197" s="7">
        <f t="shared" si="45"/>
        <v>0</v>
      </c>
    </row>
    <row r="198" spans="1:44">
      <c r="A198" s="3" t="s">
        <v>82</v>
      </c>
      <c r="B198" s="8">
        <v>1</v>
      </c>
      <c r="C198" s="9">
        <v>10</v>
      </c>
      <c r="D198" s="10">
        <v>10</v>
      </c>
      <c r="E198" s="7">
        <f t="shared" si="40"/>
        <v>21</v>
      </c>
      <c r="F198" s="8">
        <v>1</v>
      </c>
      <c r="G198" s="9">
        <v>10</v>
      </c>
      <c r="H198" s="10">
        <v>10</v>
      </c>
      <c r="I198" s="7">
        <f t="shared" si="41"/>
        <v>21</v>
      </c>
      <c r="J198" s="43">
        <v>43621</v>
      </c>
      <c r="AI198" s="3"/>
      <c r="AJ198" s="8"/>
      <c r="AK198" s="9"/>
      <c r="AL198" s="10"/>
      <c r="AM198" s="7">
        <f t="shared" si="44"/>
        <v>0</v>
      </c>
      <c r="AN198" s="8"/>
      <c r="AO198" s="9"/>
      <c r="AP198" s="10"/>
      <c r="AQ198" s="7">
        <f t="shared" si="45"/>
        <v>0</v>
      </c>
    </row>
    <row r="199" spans="1:44">
      <c r="A199" s="3" t="s">
        <v>82</v>
      </c>
      <c r="B199" s="8">
        <v>8</v>
      </c>
      <c r="C199" s="9">
        <v>13</v>
      </c>
      <c r="D199" s="10">
        <v>7</v>
      </c>
      <c r="E199" s="7">
        <f t="shared" si="40"/>
        <v>28</v>
      </c>
      <c r="F199" s="8">
        <v>8</v>
      </c>
      <c r="G199" s="9">
        <v>13</v>
      </c>
      <c r="H199" s="10">
        <v>7</v>
      </c>
      <c r="I199" s="7">
        <f t="shared" si="41"/>
        <v>28</v>
      </c>
      <c r="J199" s="43">
        <v>43622</v>
      </c>
      <c r="AI199" s="3"/>
      <c r="AJ199" s="8"/>
      <c r="AK199" s="9"/>
      <c r="AL199" s="10"/>
      <c r="AM199" s="7">
        <f t="shared" si="44"/>
        <v>0</v>
      </c>
      <c r="AN199" s="8"/>
      <c r="AO199" s="9"/>
      <c r="AP199" s="10"/>
      <c r="AQ199" s="7">
        <f t="shared" si="45"/>
        <v>0</v>
      </c>
    </row>
    <row r="200" spans="1:44">
      <c r="A200" s="3" t="s">
        <v>104</v>
      </c>
      <c r="B200" s="8">
        <v>2</v>
      </c>
      <c r="C200" s="9">
        <v>2</v>
      </c>
      <c r="D200" s="10">
        <v>2</v>
      </c>
      <c r="E200" s="7">
        <f t="shared" si="40"/>
        <v>6</v>
      </c>
      <c r="F200" s="8">
        <v>2</v>
      </c>
      <c r="G200" s="9">
        <v>2</v>
      </c>
      <c r="H200" s="10">
        <v>2</v>
      </c>
      <c r="I200" s="7">
        <f t="shared" si="41"/>
        <v>6</v>
      </c>
      <c r="J200" s="43">
        <v>43622</v>
      </c>
      <c r="AI200" s="3"/>
      <c r="AJ200" s="8"/>
      <c r="AK200" s="9"/>
      <c r="AL200" s="10"/>
      <c r="AM200" s="7">
        <f t="shared" si="44"/>
        <v>0</v>
      </c>
      <c r="AN200" s="8"/>
      <c r="AO200" s="9"/>
      <c r="AP200" s="10"/>
      <c r="AQ200" s="7">
        <f t="shared" si="45"/>
        <v>0</v>
      </c>
    </row>
    <row r="201" spans="1:44">
      <c r="A201" s="3" t="s">
        <v>82</v>
      </c>
      <c r="B201" s="8">
        <v>5</v>
      </c>
      <c r="C201" s="9">
        <v>15</v>
      </c>
      <c r="D201" s="10">
        <v>7</v>
      </c>
      <c r="E201" s="7">
        <f t="shared" si="40"/>
        <v>27</v>
      </c>
      <c r="F201" s="8">
        <v>5</v>
      </c>
      <c r="G201" s="9">
        <v>15</v>
      </c>
      <c r="H201" s="10">
        <v>7</v>
      </c>
      <c r="I201" s="7">
        <f t="shared" si="41"/>
        <v>27</v>
      </c>
      <c r="J201" s="43">
        <v>43623</v>
      </c>
      <c r="AI201" s="3"/>
      <c r="AJ201" s="8"/>
      <c r="AK201" s="9"/>
      <c r="AL201" s="10"/>
      <c r="AM201" s="7">
        <f t="shared" si="44"/>
        <v>0</v>
      </c>
      <c r="AN201" s="8"/>
      <c r="AO201" s="9"/>
      <c r="AP201" s="10"/>
      <c r="AQ201" s="7">
        <f t="shared" si="45"/>
        <v>0</v>
      </c>
    </row>
    <row r="202" spans="1:44">
      <c r="A202" s="3" t="s">
        <v>82</v>
      </c>
      <c r="B202" s="8">
        <v>8</v>
      </c>
      <c r="C202" s="9">
        <v>3</v>
      </c>
      <c r="D202" s="10">
        <v>4</v>
      </c>
      <c r="E202" s="7">
        <f t="shared" si="40"/>
        <v>15</v>
      </c>
      <c r="F202" s="8">
        <v>8</v>
      </c>
      <c r="G202" s="9">
        <v>3</v>
      </c>
      <c r="H202" s="10">
        <v>4</v>
      </c>
      <c r="I202" s="7">
        <f t="shared" si="41"/>
        <v>15</v>
      </c>
      <c r="J202" s="43">
        <v>43624</v>
      </c>
      <c r="AI202" s="3"/>
      <c r="AJ202" s="8"/>
      <c r="AK202" s="9"/>
      <c r="AL202" s="10"/>
      <c r="AM202" s="7">
        <f t="shared" si="44"/>
        <v>0</v>
      </c>
      <c r="AN202" s="8"/>
      <c r="AO202" s="9"/>
      <c r="AP202" s="10"/>
      <c r="AQ202" s="7">
        <f t="shared" si="45"/>
        <v>0</v>
      </c>
    </row>
    <row r="203" spans="1:44">
      <c r="A203" s="3" t="s">
        <v>22</v>
      </c>
      <c r="B203" s="8">
        <v>6</v>
      </c>
      <c r="C203" s="9">
        <v>20</v>
      </c>
      <c r="D203" s="10">
        <v>6</v>
      </c>
      <c r="E203" s="7">
        <f t="shared" si="40"/>
        <v>32</v>
      </c>
      <c r="F203" s="8">
        <v>6</v>
      </c>
      <c r="G203" s="9">
        <v>20</v>
      </c>
      <c r="H203" s="10">
        <v>6</v>
      </c>
      <c r="I203" s="7">
        <f t="shared" si="41"/>
        <v>32</v>
      </c>
      <c r="J203" s="43">
        <v>43627</v>
      </c>
      <c r="AI203" s="3"/>
      <c r="AJ203" s="8"/>
      <c r="AK203" s="9"/>
      <c r="AL203" s="10"/>
      <c r="AM203" s="7">
        <f t="shared" si="44"/>
        <v>0</v>
      </c>
      <c r="AN203" s="8"/>
      <c r="AO203" s="9"/>
      <c r="AP203" s="10"/>
      <c r="AQ203" s="7">
        <f t="shared" si="45"/>
        <v>0</v>
      </c>
    </row>
    <row r="204" spans="1:44">
      <c r="A204" s="3" t="s">
        <v>82</v>
      </c>
      <c r="B204" s="8">
        <v>10</v>
      </c>
      <c r="C204" s="9">
        <v>15</v>
      </c>
      <c r="D204" s="10">
        <v>8</v>
      </c>
      <c r="E204" s="7">
        <f t="shared" si="40"/>
        <v>33</v>
      </c>
      <c r="F204" s="8">
        <v>10</v>
      </c>
      <c r="G204" s="9">
        <v>15</v>
      </c>
      <c r="H204" s="10">
        <v>8</v>
      </c>
      <c r="I204" s="7">
        <f t="shared" si="41"/>
        <v>33</v>
      </c>
      <c r="J204" s="43">
        <v>43627</v>
      </c>
      <c r="AI204" s="3"/>
      <c r="AJ204" s="8"/>
      <c r="AK204" s="9"/>
      <c r="AL204" s="10"/>
      <c r="AM204" s="7">
        <f t="shared" si="44"/>
        <v>0</v>
      </c>
      <c r="AN204" s="8"/>
      <c r="AO204" s="9"/>
      <c r="AP204" s="10"/>
      <c r="AQ204" s="7">
        <f t="shared" si="45"/>
        <v>0</v>
      </c>
    </row>
    <row r="205" spans="1:44">
      <c r="A205" s="3" t="s">
        <v>82</v>
      </c>
      <c r="B205" s="8">
        <v>1</v>
      </c>
      <c r="C205" s="9">
        <v>12</v>
      </c>
      <c r="D205" s="10">
        <v>4</v>
      </c>
      <c r="E205" s="7">
        <f t="shared" si="40"/>
        <v>17</v>
      </c>
      <c r="F205" s="8">
        <v>1</v>
      </c>
      <c r="G205" s="9">
        <v>12</v>
      </c>
      <c r="H205" s="10">
        <v>4</v>
      </c>
      <c r="I205" s="7">
        <f t="shared" si="41"/>
        <v>17</v>
      </c>
      <c r="J205" s="43">
        <v>43628</v>
      </c>
      <c r="AI205" s="3"/>
      <c r="AJ205" s="8"/>
      <c r="AK205" s="9"/>
      <c r="AL205" s="10"/>
      <c r="AM205" s="7">
        <f t="shared" si="44"/>
        <v>0</v>
      </c>
      <c r="AN205" s="8"/>
      <c r="AO205" s="9"/>
      <c r="AP205" s="10"/>
      <c r="AQ205" s="7">
        <f t="shared" si="45"/>
        <v>0</v>
      </c>
    </row>
    <row r="206" spans="1:44">
      <c r="A206" s="3" t="s">
        <v>82</v>
      </c>
      <c r="B206" s="8">
        <v>7</v>
      </c>
      <c r="C206" s="9">
        <v>4</v>
      </c>
      <c r="D206" s="10">
        <v>8</v>
      </c>
      <c r="E206" s="7">
        <f t="shared" si="40"/>
        <v>19</v>
      </c>
      <c r="F206" s="8">
        <v>7</v>
      </c>
      <c r="G206" s="9">
        <v>4</v>
      </c>
      <c r="H206" s="10">
        <v>8</v>
      </c>
      <c r="I206" s="7">
        <f t="shared" si="41"/>
        <v>19</v>
      </c>
      <c r="J206" s="43">
        <v>43629</v>
      </c>
      <c r="AI206" s="3"/>
      <c r="AJ206" s="8"/>
      <c r="AK206" s="9"/>
      <c r="AL206" s="10"/>
      <c r="AM206" s="7">
        <f t="shared" si="44"/>
        <v>0</v>
      </c>
      <c r="AN206" s="8"/>
      <c r="AO206" s="9"/>
      <c r="AP206" s="10"/>
      <c r="AQ206" s="7">
        <f t="shared" si="45"/>
        <v>0</v>
      </c>
    </row>
    <row r="207" spans="1:44">
      <c r="A207" s="3" t="s">
        <v>82</v>
      </c>
      <c r="B207" s="8">
        <v>7</v>
      </c>
      <c r="C207" s="9">
        <v>10</v>
      </c>
      <c r="D207" s="10">
        <v>6</v>
      </c>
      <c r="E207" s="7">
        <f t="shared" si="40"/>
        <v>23</v>
      </c>
      <c r="F207" s="8">
        <v>7</v>
      </c>
      <c r="G207" s="9">
        <v>10</v>
      </c>
      <c r="H207" s="10">
        <v>6</v>
      </c>
      <c r="I207" s="7">
        <f t="shared" si="41"/>
        <v>23</v>
      </c>
      <c r="J207" s="43">
        <v>43630</v>
      </c>
      <c r="AI207" s="22"/>
      <c r="AJ207" s="8"/>
      <c r="AK207" s="9"/>
      <c r="AL207" s="10"/>
      <c r="AM207" s="7">
        <f t="shared" si="44"/>
        <v>0</v>
      </c>
      <c r="AN207" s="8"/>
      <c r="AO207" s="9"/>
      <c r="AP207" s="10"/>
      <c r="AQ207" s="7">
        <f t="shared" si="45"/>
        <v>0</v>
      </c>
    </row>
    <row r="208" spans="1:44">
      <c r="A208" s="3" t="s">
        <v>82</v>
      </c>
      <c r="B208" s="8">
        <v>5</v>
      </c>
      <c r="C208" s="9"/>
      <c r="D208" s="10">
        <v>3</v>
      </c>
      <c r="E208" s="7">
        <f t="shared" si="40"/>
        <v>8</v>
      </c>
      <c r="F208" s="8">
        <v>5</v>
      </c>
      <c r="G208" s="9"/>
      <c r="H208" s="10">
        <v>3</v>
      </c>
      <c r="I208" s="7">
        <f t="shared" si="41"/>
        <v>8</v>
      </c>
      <c r="J208" s="43">
        <v>43634</v>
      </c>
      <c r="AI208" s="11"/>
      <c r="AJ208" s="8"/>
      <c r="AK208" s="9"/>
      <c r="AL208" s="10"/>
      <c r="AM208" s="7">
        <f t="shared" si="44"/>
        <v>0</v>
      </c>
      <c r="AN208" s="8"/>
      <c r="AO208" s="9"/>
      <c r="AP208" s="10"/>
      <c r="AQ208" s="7">
        <f t="shared" si="45"/>
        <v>0</v>
      </c>
      <c r="AR208" s="50"/>
    </row>
    <row r="209" spans="1:44">
      <c r="A209" s="3" t="s">
        <v>22</v>
      </c>
      <c r="B209" s="8">
        <v>4</v>
      </c>
      <c r="C209" s="9">
        <v>14</v>
      </c>
      <c r="D209" s="10">
        <v>14</v>
      </c>
      <c r="E209" s="7">
        <f t="shared" si="40"/>
        <v>32</v>
      </c>
      <c r="F209" s="8">
        <v>4</v>
      </c>
      <c r="G209" s="9">
        <v>14</v>
      </c>
      <c r="H209" s="10">
        <v>14</v>
      </c>
      <c r="I209" s="7">
        <f t="shared" si="41"/>
        <v>32</v>
      </c>
      <c r="J209" s="43">
        <v>43637</v>
      </c>
      <c r="AI209" s="3"/>
      <c r="AJ209" s="8"/>
      <c r="AK209" s="9"/>
      <c r="AL209" s="10"/>
      <c r="AM209" s="7">
        <f t="shared" ref="AM209:AM212" si="46">SUM(AJ209:AL209)</f>
        <v>0</v>
      </c>
      <c r="AN209" s="8"/>
      <c r="AO209" s="9"/>
      <c r="AP209" s="10"/>
      <c r="AQ209" s="7">
        <f t="shared" ref="AQ209:AQ212" si="47">SUM(AN209:AP209)</f>
        <v>0</v>
      </c>
      <c r="AR209" s="50"/>
    </row>
    <row r="210" spans="1:44">
      <c r="A210" s="3" t="s">
        <v>82</v>
      </c>
      <c r="B210" s="8">
        <v>1</v>
      </c>
      <c r="C210" s="9"/>
      <c r="D210" s="10">
        <v>5</v>
      </c>
      <c r="E210" s="7">
        <f t="shared" si="40"/>
        <v>6</v>
      </c>
      <c r="F210" s="8">
        <v>1</v>
      </c>
      <c r="G210" s="9"/>
      <c r="H210" s="10">
        <v>5</v>
      </c>
      <c r="I210" s="7">
        <f t="shared" si="41"/>
        <v>6</v>
      </c>
      <c r="J210" s="43">
        <v>43636</v>
      </c>
      <c r="AI210" s="11"/>
      <c r="AJ210" s="8"/>
      <c r="AK210" s="9"/>
      <c r="AL210" s="10"/>
      <c r="AM210" s="7">
        <f t="shared" si="46"/>
        <v>0</v>
      </c>
      <c r="AN210" s="8"/>
      <c r="AO210" s="9"/>
      <c r="AP210" s="10"/>
      <c r="AQ210" s="7">
        <f t="shared" si="47"/>
        <v>0</v>
      </c>
      <c r="AR210" s="29"/>
    </row>
    <row r="211" spans="1:44" ht="14.25" thickBot="1">
      <c r="A211" s="3" t="s">
        <v>50</v>
      </c>
      <c r="B211" s="8"/>
      <c r="C211" s="9">
        <v>1</v>
      </c>
      <c r="D211" s="10"/>
      <c r="E211" s="7">
        <f t="shared" si="40"/>
        <v>1</v>
      </c>
      <c r="F211" s="8"/>
      <c r="G211" s="9">
        <v>1</v>
      </c>
      <c r="H211" s="10"/>
      <c r="I211" s="7">
        <f t="shared" si="41"/>
        <v>1</v>
      </c>
      <c r="J211" s="43">
        <v>43635</v>
      </c>
      <c r="AI211" s="11" t="s">
        <v>92</v>
      </c>
      <c r="AJ211" s="8"/>
      <c r="AK211" s="9"/>
      <c r="AL211" s="10"/>
      <c r="AM211" s="7">
        <f t="shared" si="46"/>
        <v>0</v>
      </c>
      <c r="AN211" s="8"/>
      <c r="AO211" s="9"/>
      <c r="AP211" s="10"/>
      <c r="AQ211" s="7">
        <f t="shared" si="47"/>
        <v>0</v>
      </c>
      <c r="AR211" s="29" t="s">
        <v>91</v>
      </c>
    </row>
    <row r="212" spans="1:44" ht="14.25" thickBot="1">
      <c r="A212" s="2" t="s">
        <v>5</v>
      </c>
      <c r="B212" s="14">
        <f>SUM(B188:B211)</f>
        <v>106</v>
      </c>
      <c r="C212" s="14">
        <f>SUM(C188:C211)</f>
        <v>167</v>
      </c>
      <c r="D212" s="14">
        <f>SUM(D188:D211)</f>
        <v>117</v>
      </c>
      <c r="E212" s="15">
        <f t="shared" si="40"/>
        <v>390</v>
      </c>
      <c r="F212" s="14">
        <f>SUM(F188:F211)</f>
        <v>106</v>
      </c>
      <c r="G212" s="14">
        <f>SUM(G188:G211)</f>
        <v>167</v>
      </c>
      <c r="H212" s="14">
        <f>SUM(H188:H211)</f>
        <v>117</v>
      </c>
      <c r="I212" s="15">
        <f t="shared" si="41"/>
        <v>390</v>
      </c>
      <c r="AI212" s="2" t="s">
        <v>5</v>
      </c>
      <c r="AJ212" s="14">
        <f>SUM(AJ188:AJ211)</f>
        <v>150</v>
      </c>
      <c r="AK212" s="14">
        <f>SUM(AK188:AK211)</f>
        <v>200</v>
      </c>
      <c r="AL212" s="14">
        <f>SUM(AL188:AL211)</f>
        <v>100</v>
      </c>
      <c r="AM212" s="15">
        <f t="shared" si="46"/>
        <v>450</v>
      </c>
      <c r="AN212" s="14">
        <f>SUM(AN188:AN211)</f>
        <v>150</v>
      </c>
      <c r="AO212" s="14">
        <f>SUM(AO188:AO211)</f>
        <v>200</v>
      </c>
      <c r="AP212" s="14">
        <f>SUM(AP188:AP211)</f>
        <v>100</v>
      </c>
      <c r="AQ212" s="15">
        <f t="shared" si="47"/>
        <v>450</v>
      </c>
    </row>
    <row r="213" spans="1:44" ht="14.25" thickBot="1">
      <c r="A213" s="27" t="s">
        <v>6</v>
      </c>
      <c r="B213" s="28">
        <f>B187-B212</f>
        <v>257</v>
      </c>
      <c r="C213" s="28">
        <f t="shared" ref="C213:E213" si="48">C187-C212</f>
        <v>229</v>
      </c>
      <c r="D213" s="28">
        <f t="shared" si="48"/>
        <v>116</v>
      </c>
      <c r="E213" s="28">
        <f t="shared" si="48"/>
        <v>602</v>
      </c>
      <c r="F213" s="28">
        <f>F187-F212</f>
        <v>257</v>
      </c>
      <c r="G213" s="28">
        <f t="shared" ref="G213:I213" si="49">G187-G212</f>
        <v>229</v>
      </c>
      <c r="H213" s="28">
        <f t="shared" si="49"/>
        <v>116</v>
      </c>
      <c r="I213" s="26">
        <f t="shared" si="49"/>
        <v>602</v>
      </c>
      <c r="AI213" s="27" t="s">
        <v>6</v>
      </c>
      <c r="AJ213" s="28">
        <f>AJ187-AJ212</f>
        <v>70</v>
      </c>
      <c r="AK213" s="28">
        <f t="shared" ref="AK213:AM213" si="50">AK187-AK212</f>
        <v>110</v>
      </c>
      <c r="AL213" s="28">
        <f t="shared" si="50"/>
        <v>70</v>
      </c>
      <c r="AM213" s="28">
        <f t="shared" si="50"/>
        <v>250</v>
      </c>
      <c r="AN213" s="28">
        <f>AN187-AN212</f>
        <v>70</v>
      </c>
      <c r="AO213" s="28">
        <f t="shared" ref="AO213:AQ213" si="51">AO187-AO212</f>
        <v>110</v>
      </c>
      <c r="AP213" s="28">
        <f t="shared" si="51"/>
        <v>70</v>
      </c>
      <c r="AQ213" s="26">
        <f t="shared" si="51"/>
        <v>250</v>
      </c>
    </row>
    <row r="216" spans="1:44" ht="21.75" thickBot="1">
      <c r="A216" s="33" t="s">
        <v>15</v>
      </c>
      <c r="B216" s="34"/>
      <c r="C216" s="34"/>
      <c r="D216" s="34"/>
      <c r="E216" s="34"/>
      <c r="F216" s="35"/>
      <c r="G216" s="35"/>
      <c r="H216" s="35"/>
      <c r="I216" s="35"/>
      <c r="AI216" s="33" t="s">
        <v>87</v>
      </c>
      <c r="AJ216" s="34"/>
      <c r="AK216" s="34"/>
      <c r="AL216" s="34"/>
      <c r="AM216" s="34"/>
      <c r="AN216" s="35"/>
      <c r="AO216" s="35"/>
      <c r="AP216" s="35"/>
      <c r="AQ216" s="35"/>
    </row>
    <row r="217" spans="1:44" ht="14.25" thickBot="1">
      <c r="A217" s="1" t="s">
        <v>0</v>
      </c>
      <c r="B217" s="182" t="s">
        <v>17</v>
      </c>
      <c r="C217" s="182"/>
      <c r="D217" s="182"/>
      <c r="E217" s="183"/>
      <c r="F217" s="182" t="s">
        <v>13</v>
      </c>
      <c r="G217" s="182"/>
      <c r="H217" s="182"/>
      <c r="I217" s="183"/>
      <c r="AI217" s="1" t="s">
        <v>0</v>
      </c>
      <c r="AJ217" s="182" t="s">
        <v>17</v>
      </c>
      <c r="AK217" s="182"/>
      <c r="AL217" s="182"/>
      <c r="AM217" s="183"/>
      <c r="AN217" s="182" t="s">
        <v>13</v>
      </c>
      <c r="AO217" s="182"/>
      <c r="AP217" s="182"/>
      <c r="AQ217" s="183"/>
    </row>
    <row r="218" spans="1:44" ht="14.25" thickBot="1">
      <c r="A218" s="1" t="s">
        <v>1</v>
      </c>
      <c r="B218" s="2" t="s">
        <v>8</v>
      </c>
      <c r="C218" s="1" t="s">
        <v>9</v>
      </c>
      <c r="D218" s="19" t="s">
        <v>10</v>
      </c>
      <c r="E218" s="1" t="s">
        <v>2</v>
      </c>
      <c r="F218" s="2" t="s">
        <v>8</v>
      </c>
      <c r="G218" s="1" t="s">
        <v>9</v>
      </c>
      <c r="H218" s="19" t="s">
        <v>10</v>
      </c>
      <c r="I218" s="1" t="s">
        <v>2</v>
      </c>
      <c r="AI218" s="1" t="s">
        <v>1</v>
      </c>
      <c r="AJ218" s="2" t="s">
        <v>8</v>
      </c>
      <c r="AK218" s="1" t="s">
        <v>9</v>
      </c>
      <c r="AL218" s="19" t="s">
        <v>10</v>
      </c>
      <c r="AM218" s="1" t="s">
        <v>2</v>
      </c>
      <c r="AN218" s="2" t="s">
        <v>8</v>
      </c>
      <c r="AO218" s="1" t="s">
        <v>9</v>
      </c>
      <c r="AP218" s="19" t="s">
        <v>10</v>
      </c>
      <c r="AQ218" s="1" t="s">
        <v>2</v>
      </c>
    </row>
    <row r="219" spans="1:44" ht="14.25" thickBot="1">
      <c r="A219" s="21" t="s">
        <v>7</v>
      </c>
      <c r="B219" s="18">
        <f>B213</f>
        <v>257</v>
      </c>
      <c r="C219" s="22">
        <f>C213</f>
        <v>229</v>
      </c>
      <c r="D219" s="22">
        <f>D213</f>
        <v>116</v>
      </c>
      <c r="E219" s="17">
        <f t="shared" ref="E219:E255" si="52">SUM(B219:D219)</f>
        <v>602</v>
      </c>
      <c r="F219" s="22">
        <f>F213</f>
        <v>257</v>
      </c>
      <c r="G219" s="22">
        <f>G213</f>
        <v>229</v>
      </c>
      <c r="H219" s="22">
        <f>H213</f>
        <v>116</v>
      </c>
      <c r="I219" s="17">
        <f t="shared" ref="I219:I255" si="53">SUM(F219:H219)</f>
        <v>602</v>
      </c>
      <c r="AI219" s="52" t="s">
        <v>7</v>
      </c>
      <c r="AJ219" s="53">
        <f>AJ213</f>
        <v>70</v>
      </c>
      <c r="AK219" s="23">
        <f>AK213</f>
        <v>110</v>
      </c>
      <c r="AL219" s="23">
        <f>AL213</f>
        <v>70</v>
      </c>
      <c r="AM219" s="26">
        <f t="shared" ref="AM219" si="54">SUM(AJ219:AL219)</f>
        <v>250</v>
      </c>
      <c r="AN219" s="23">
        <f>AN213</f>
        <v>70</v>
      </c>
      <c r="AO219" s="23">
        <f>AO213</f>
        <v>110</v>
      </c>
      <c r="AP219" s="23">
        <f>AP213</f>
        <v>70</v>
      </c>
      <c r="AQ219" s="26">
        <f t="shared" ref="AQ219" si="55">SUM(AN219:AP219)</f>
        <v>250</v>
      </c>
    </row>
    <row r="220" spans="1:44">
      <c r="A220" s="5" t="s">
        <v>107</v>
      </c>
      <c r="B220" s="16"/>
      <c r="C220" s="11">
        <v>50</v>
      </c>
      <c r="D220" s="16">
        <v>80</v>
      </c>
      <c r="E220" s="4">
        <f t="shared" si="52"/>
        <v>130</v>
      </c>
      <c r="F220" s="16"/>
      <c r="G220" s="11">
        <v>50</v>
      </c>
      <c r="H220" s="16">
        <v>80</v>
      </c>
      <c r="I220" s="4">
        <f t="shared" si="53"/>
        <v>130</v>
      </c>
      <c r="J220" s="43">
        <v>43651</v>
      </c>
      <c r="AI220" s="5" t="s">
        <v>3</v>
      </c>
      <c r="AJ220" s="16"/>
      <c r="AK220" s="11"/>
      <c r="AL220" s="16"/>
      <c r="AM220" s="4">
        <f t="shared" ref="AM220:AM255" si="56">SUM(AJ220:AL220)</f>
        <v>0</v>
      </c>
      <c r="AN220" s="16"/>
      <c r="AO220" s="11"/>
      <c r="AP220" s="16"/>
      <c r="AQ220" s="4">
        <f t="shared" ref="AQ220:AQ255" si="57">SUM(AN220:AP220)</f>
        <v>0</v>
      </c>
    </row>
    <row r="221" spans="1:44">
      <c r="A221" s="5" t="s">
        <v>37</v>
      </c>
      <c r="B221" s="16">
        <v>1</v>
      </c>
      <c r="C221" s="11">
        <v>2</v>
      </c>
      <c r="D221" s="16">
        <v>1</v>
      </c>
      <c r="E221" s="4">
        <f t="shared" si="52"/>
        <v>4</v>
      </c>
      <c r="F221" s="16">
        <v>1</v>
      </c>
      <c r="G221" s="11">
        <v>2</v>
      </c>
      <c r="H221" s="16">
        <v>1</v>
      </c>
      <c r="I221" s="4">
        <f t="shared" si="53"/>
        <v>4</v>
      </c>
      <c r="J221" s="49">
        <v>43642</v>
      </c>
      <c r="AI221" s="5" t="s">
        <v>3</v>
      </c>
      <c r="AJ221" s="16"/>
      <c r="AK221" s="11"/>
      <c r="AL221" s="16"/>
      <c r="AM221" s="4">
        <f t="shared" si="56"/>
        <v>0</v>
      </c>
      <c r="AN221" s="16"/>
      <c r="AO221" s="11"/>
      <c r="AP221" s="16"/>
      <c r="AQ221" s="4">
        <f t="shared" si="57"/>
        <v>0</v>
      </c>
    </row>
    <row r="222" spans="1:44">
      <c r="A222" s="5" t="s">
        <v>37</v>
      </c>
      <c r="B222" s="8"/>
      <c r="C222" s="9">
        <v>1</v>
      </c>
      <c r="D222" s="10">
        <v>1</v>
      </c>
      <c r="E222" s="4">
        <f t="shared" si="52"/>
        <v>2</v>
      </c>
      <c r="F222" s="8"/>
      <c r="G222" s="9">
        <v>1</v>
      </c>
      <c r="H222" s="10">
        <v>1</v>
      </c>
      <c r="I222" s="4">
        <f t="shared" si="53"/>
        <v>2</v>
      </c>
      <c r="J222" s="49">
        <v>43665</v>
      </c>
      <c r="AI222" s="5" t="s">
        <v>3</v>
      </c>
      <c r="AJ222" s="8"/>
      <c r="AK222" s="9"/>
      <c r="AL222" s="10"/>
      <c r="AM222" s="4">
        <f t="shared" si="56"/>
        <v>0</v>
      </c>
      <c r="AN222" s="8"/>
      <c r="AO222" s="9"/>
      <c r="AP222" s="10"/>
      <c r="AQ222" s="4">
        <f t="shared" si="57"/>
        <v>0</v>
      </c>
    </row>
    <row r="223" spans="1:44">
      <c r="A223" s="5" t="s">
        <v>3</v>
      </c>
      <c r="B223" s="16"/>
      <c r="C223" s="11"/>
      <c r="D223" s="16"/>
      <c r="E223" s="4">
        <f t="shared" si="52"/>
        <v>0</v>
      </c>
      <c r="F223" s="16"/>
      <c r="G223" s="11"/>
      <c r="H223" s="16"/>
      <c r="I223" s="4">
        <f t="shared" si="53"/>
        <v>0</v>
      </c>
      <c r="AI223" s="5" t="s">
        <v>3</v>
      </c>
      <c r="AJ223" s="16"/>
      <c r="AK223" s="11"/>
      <c r="AL223" s="16"/>
      <c r="AM223" s="4">
        <f t="shared" si="56"/>
        <v>0</v>
      </c>
      <c r="AN223" s="16"/>
      <c r="AO223" s="11"/>
      <c r="AP223" s="16"/>
      <c r="AQ223" s="4">
        <f t="shared" si="57"/>
        <v>0</v>
      </c>
    </row>
    <row r="224" spans="1:44">
      <c r="A224" s="5" t="s">
        <v>3</v>
      </c>
      <c r="B224" s="16"/>
      <c r="C224" s="11"/>
      <c r="D224" s="16"/>
      <c r="E224" s="4">
        <f t="shared" si="52"/>
        <v>0</v>
      </c>
      <c r="F224" s="16"/>
      <c r="G224" s="11"/>
      <c r="H224" s="16"/>
      <c r="I224" s="4">
        <f t="shared" si="53"/>
        <v>0</v>
      </c>
      <c r="AI224" s="5" t="s">
        <v>3</v>
      </c>
      <c r="AJ224" s="16"/>
      <c r="AK224" s="11"/>
      <c r="AL224" s="16"/>
      <c r="AM224" s="4">
        <f t="shared" si="56"/>
        <v>0</v>
      </c>
      <c r="AN224" s="16"/>
      <c r="AO224" s="11"/>
      <c r="AP224" s="16"/>
      <c r="AQ224" s="4">
        <f t="shared" si="57"/>
        <v>0</v>
      </c>
    </row>
    <row r="225" spans="1:44">
      <c r="A225" s="5" t="s">
        <v>3</v>
      </c>
      <c r="B225" s="16"/>
      <c r="C225" s="11"/>
      <c r="D225" s="16"/>
      <c r="E225" s="4">
        <f t="shared" si="52"/>
        <v>0</v>
      </c>
      <c r="F225" s="16"/>
      <c r="G225" s="11"/>
      <c r="H225" s="16"/>
      <c r="I225" s="4">
        <f t="shared" si="53"/>
        <v>0</v>
      </c>
      <c r="AI225" s="5" t="s">
        <v>3</v>
      </c>
      <c r="AJ225" s="16"/>
      <c r="AK225" s="11"/>
      <c r="AL225" s="16"/>
      <c r="AM225" s="4">
        <f t="shared" si="56"/>
        <v>0</v>
      </c>
      <c r="AN225" s="16"/>
      <c r="AO225" s="11"/>
      <c r="AP225" s="16"/>
      <c r="AQ225" s="4">
        <f t="shared" si="57"/>
        <v>0</v>
      </c>
    </row>
    <row r="226" spans="1:44">
      <c r="A226" s="5" t="s">
        <v>3</v>
      </c>
      <c r="B226" s="10"/>
      <c r="C226" s="9"/>
      <c r="D226" s="10"/>
      <c r="E226" s="4">
        <f t="shared" si="52"/>
        <v>0</v>
      </c>
      <c r="F226" s="10"/>
      <c r="G226" s="9"/>
      <c r="H226" s="10"/>
      <c r="I226" s="4">
        <f t="shared" si="53"/>
        <v>0</v>
      </c>
      <c r="AI226" s="5" t="s">
        <v>3</v>
      </c>
      <c r="AJ226" s="10"/>
      <c r="AK226" s="9"/>
      <c r="AL226" s="10"/>
      <c r="AM226" s="4">
        <f t="shared" si="56"/>
        <v>0</v>
      </c>
      <c r="AN226" s="10"/>
      <c r="AO226" s="9"/>
      <c r="AP226" s="10"/>
      <c r="AQ226" s="4">
        <f t="shared" si="57"/>
        <v>0</v>
      </c>
    </row>
    <row r="227" spans="1:44">
      <c r="A227" s="5" t="s">
        <v>3</v>
      </c>
      <c r="B227" s="10"/>
      <c r="C227" s="9"/>
      <c r="D227" s="10"/>
      <c r="E227" s="4">
        <f t="shared" si="52"/>
        <v>0</v>
      </c>
      <c r="F227" s="10"/>
      <c r="G227" s="9"/>
      <c r="H227" s="10"/>
      <c r="I227" s="4">
        <f t="shared" si="53"/>
        <v>0</v>
      </c>
      <c r="AI227" s="6" t="s">
        <v>3</v>
      </c>
      <c r="AJ227" s="10"/>
      <c r="AK227" s="9"/>
      <c r="AL227" s="10"/>
      <c r="AM227" s="4">
        <f t="shared" si="56"/>
        <v>0</v>
      </c>
      <c r="AN227" s="10"/>
      <c r="AO227" s="9"/>
      <c r="AP227" s="10"/>
      <c r="AQ227" s="4">
        <f t="shared" si="57"/>
        <v>0</v>
      </c>
    </row>
    <row r="228" spans="1:44">
      <c r="A228" s="5" t="s">
        <v>3</v>
      </c>
      <c r="B228" s="8"/>
      <c r="C228" s="9"/>
      <c r="D228" s="10"/>
      <c r="E228" s="4">
        <f t="shared" si="52"/>
        <v>0</v>
      </c>
      <c r="F228" s="8"/>
      <c r="G228" s="9"/>
      <c r="H228" s="10"/>
      <c r="I228" s="4">
        <f t="shared" si="53"/>
        <v>0</v>
      </c>
      <c r="J228" s="29"/>
      <c r="AI228" s="6" t="s">
        <v>3</v>
      </c>
      <c r="AJ228" s="32"/>
      <c r="AK228" s="31"/>
      <c r="AL228" s="32"/>
      <c r="AM228" s="4">
        <f t="shared" si="56"/>
        <v>0</v>
      </c>
      <c r="AN228" s="32"/>
      <c r="AO228" s="31"/>
      <c r="AP228" s="32"/>
      <c r="AQ228" s="4">
        <f t="shared" si="57"/>
        <v>0</v>
      </c>
    </row>
    <row r="229" spans="1:44" ht="14.25" thickBot="1">
      <c r="A229" s="6" t="s">
        <v>3</v>
      </c>
      <c r="B229" s="13"/>
      <c r="C229" s="12"/>
      <c r="D229" s="13"/>
      <c r="E229" s="20">
        <f t="shared" si="52"/>
        <v>0</v>
      </c>
      <c r="F229" s="13"/>
      <c r="G229" s="12"/>
      <c r="H229" s="13"/>
      <c r="I229" s="20">
        <f t="shared" si="53"/>
        <v>0</v>
      </c>
      <c r="AI229" s="6" t="s">
        <v>3</v>
      </c>
      <c r="AJ229" s="13"/>
      <c r="AK229" s="12"/>
      <c r="AL229" s="13"/>
      <c r="AM229" s="20">
        <f t="shared" si="56"/>
        <v>0</v>
      </c>
      <c r="AN229" s="13"/>
      <c r="AO229" s="12"/>
      <c r="AP229" s="13"/>
      <c r="AQ229" s="20">
        <f t="shared" si="57"/>
        <v>0</v>
      </c>
    </row>
    <row r="230" spans="1:44" ht="14.25" thickBot="1">
      <c r="A230" s="23" t="s">
        <v>4</v>
      </c>
      <c r="B230" s="24">
        <f>SUM(B219:B229)</f>
        <v>258</v>
      </c>
      <c r="C230" s="24">
        <f>SUM(C219:C229)</f>
        <v>282</v>
      </c>
      <c r="D230" s="25">
        <f>SUM(D219:D229)</f>
        <v>198</v>
      </c>
      <c r="E230" s="26">
        <f t="shared" si="52"/>
        <v>738</v>
      </c>
      <c r="F230" s="24">
        <f>SUM(F219:F229)</f>
        <v>258</v>
      </c>
      <c r="G230" s="24">
        <f>SUM(G219:G229)</f>
        <v>282</v>
      </c>
      <c r="H230" s="25">
        <f>SUM(H219:H229)</f>
        <v>198</v>
      </c>
      <c r="I230" s="26">
        <f t="shared" si="53"/>
        <v>738</v>
      </c>
      <c r="AI230" s="23" t="s">
        <v>4</v>
      </c>
      <c r="AJ230" s="24">
        <f>SUM(AJ219:AJ229)</f>
        <v>70</v>
      </c>
      <c r="AK230" s="24">
        <f>SUM(AK219:AK229)</f>
        <v>110</v>
      </c>
      <c r="AL230" s="25">
        <f>SUM(AL219:AL229)</f>
        <v>70</v>
      </c>
      <c r="AM230" s="26">
        <f t="shared" si="56"/>
        <v>250</v>
      </c>
      <c r="AN230" s="24">
        <f>SUM(AN219:AN229)</f>
        <v>70</v>
      </c>
      <c r="AO230" s="24">
        <f>SUM(AO219:AO229)</f>
        <v>110</v>
      </c>
      <c r="AP230" s="25">
        <f>SUM(AP219:AP229)</f>
        <v>70</v>
      </c>
      <c r="AQ230" s="26">
        <f t="shared" si="57"/>
        <v>250</v>
      </c>
    </row>
    <row r="231" spans="1:44">
      <c r="A231" s="3" t="s">
        <v>82</v>
      </c>
      <c r="B231" s="8">
        <v>6</v>
      </c>
      <c r="C231" s="9"/>
      <c r="D231" s="10"/>
      <c r="E231" s="4">
        <f t="shared" si="52"/>
        <v>6</v>
      </c>
      <c r="F231" s="8">
        <v>6</v>
      </c>
      <c r="G231" s="9"/>
      <c r="H231" s="10"/>
      <c r="I231" s="4">
        <f t="shared" si="53"/>
        <v>6</v>
      </c>
      <c r="J231" s="43">
        <v>43638</v>
      </c>
      <c r="AI231" s="3"/>
      <c r="AJ231" s="8"/>
      <c r="AK231" s="9"/>
      <c r="AL231" s="10"/>
      <c r="AM231" s="4">
        <f t="shared" ref="AM231:AM232" si="58">SUM(AJ231:AL231)</f>
        <v>0</v>
      </c>
      <c r="AN231" s="8"/>
      <c r="AO231" s="9"/>
      <c r="AP231" s="10"/>
      <c r="AQ231" s="4">
        <f t="shared" ref="AQ231:AQ232" si="59">SUM(AN231:AP231)</f>
        <v>0</v>
      </c>
      <c r="AR231" s="29"/>
    </row>
    <row r="232" spans="1:44">
      <c r="A232" s="3" t="s">
        <v>82</v>
      </c>
      <c r="B232" s="8">
        <v>4</v>
      </c>
      <c r="C232" s="9">
        <v>4</v>
      </c>
      <c r="D232" s="10">
        <v>4</v>
      </c>
      <c r="E232" s="4">
        <f t="shared" si="52"/>
        <v>12</v>
      </c>
      <c r="F232" s="8">
        <v>4</v>
      </c>
      <c r="G232" s="9">
        <v>4</v>
      </c>
      <c r="H232" s="10">
        <v>4</v>
      </c>
      <c r="I232" s="4">
        <f t="shared" si="53"/>
        <v>12</v>
      </c>
      <c r="J232" s="43">
        <v>43641</v>
      </c>
      <c r="AI232" s="3"/>
      <c r="AJ232" s="8"/>
      <c r="AK232" s="9"/>
      <c r="AL232" s="10"/>
      <c r="AM232" s="7">
        <f t="shared" si="58"/>
        <v>0</v>
      </c>
      <c r="AN232" s="8"/>
      <c r="AO232" s="9"/>
      <c r="AP232" s="10"/>
      <c r="AQ232" s="7">
        <f t="shared" si="59"/>
        <v>0</v>
      </c>
      <c r="AR232" s="50"/>
    </row>
    <row r="233" spans="1:44">
      <c r="A233" s="3" t="s">
        <v>113</v>
      </c>
      <c r="B233" s="8">
        <v>1</v>
      </c>
      <c r="C233" s="9"/>
      <c r="D233" s="10"/>
      <c r="E233" s="7">
        <f t="shared" si="52"/>
        <v>1</v>
      </c>
      <c r="F233" s="8">
        <v>1</v>
      </c>
      <c r="G233" s="9"/>
      <c r="H233" s="10"/>
      <c r="I233" s="7">
        <f t="shared" si="53"/>
        <v>1</v>
      </c>
      <c r="J233" s="43">
        <v>43641</v>
      </c>
      <c r="AI233" s="3"/>
      <c r="AJ233" s="8"/>
      <c r="AK233" s="9"/>
      <c r="AL233" s="10"/>
      <c r="AM233" s="7">
        <f t="shared" si="56"/>
        <v>0</v>
      </c>
      <c r="AN233" s="8"/>
      <c r="AO233" s="9"/>
      <c r="AP233" s="10"/>
      <c r="AQ233" s="7">
        <f t="shared" si="57"/>
        <v>0</v>
      </c>
      <c r="AR233" s="50"/>
    </row>
    <row r="234" spans="1:44">
      <c r="A234" s="3" t="s">
        <v>22</v>
      </c>
      <c r="B234" s="8">
        <v>16</v>
      </c>
      <c r="C234" s="9">
        <v>8</v>
      </c>
      <c r="D234" s="10">
        <v>8</v>
      </c>
      <c r="E234" s="4">
        <f t="shared" si="52"/>
        <v>32</v>
      </c>
      <c r="F234" s="8">
        <v>16</v>
      </c>
      <c r="G234" s="9">
        <v>8</v>
      </c>
      <c r="H234" s="10">
        <v>8</v>
      </c>
      <c r="I234" s="4">
        <f t="shared" si="53"/>
        <v>32</v>
      </c>
      <c r="J234" s="43">
        <v>43644</v>
      </c>
      <c r="AI234" s="3"/>
      <c r="AJ234" s="8"/>
      <c r="AK234" s="9"/>
      <c r="AL234" s="10"/>
      <c r="AM234" s="4">
        <f t="shared" si="56"/>
        <v>0</v>
      </c>
      <c r="AN234" s="8"/>
      <c r="AO234" s="9"/>
      <c r="AP234" s="10"/>
      <c r="AQ234" s="4">
        <f t="shared" si="57"/>
        <v>0</v>
      </c>
      <c r="AR234" s="29"/>
    </row>
    <row r="235" spans="1:44">
      <c r="A235" s="3" t="s">
        <v>50</v>
      </c>
      <c r="B235" s="8">
        <v>1</v>
      </c>
      <c r="C235" s="9"/>
      <c r="D235" s="10"/>
      <c r="E235" s="4">
        <f t="shared" si="52"/>
        <v>1</v>
      </c>
      <c r="F235" s="8">
        <v>1</v>
      </c>
      <c r="G235" s="9"/>
      <c r="H235" s="10"/>
      <c r="I235" s="4">
        <f t="shared" si="53"/>
        <v>1</v>
      </c>
      <c r="J235" s="43">
        <v>43642</v>
      </c>
      <c r="AI235" s="3"/>
      <c r="AJ235" s="8"/>
      <c r="AK235" s="9"/>
      <c r="AL235" s="10"/>
      <c r="AM235" s="4">
        <f t="shared" si="56"/>
        <v>0</v>
      </c>
      <c r="AN235" s="8"/>
      <c r="AO235" s="9"/>
      <c r="AP235" s="10"/>
      <c r="AQ235" s="4">
        <f t="shared" si="57"/>
        <v>0</v>
      </c>
      <c r="AR235" s="29"/>
    </row>
    <row r="236" spans="1:44">
      <c r="A236" s="3" t="s">
        <v>82</v>
      </c>
      <c r="B236" s="8"/>
      <c r="C236" s="9">
        <v>2</v>
      </c>
      <c r="D236" s="10">
        <v>3</v>
      </c>
      <c r="E236" s="7">
        <f t="shared" si="52"/>
        <v>5</v>
      </c>
      <c r="F236" s="8"/>
      <c r="G236" s="9">
        <v>2</v>
      </c>
      <c r="H236" s="10">
        <v>3</v>
      </c>
      <c r="I236" s="7">
        <f t="shared" si="53"/>
        <v>5</v>
      </c>
      <c r="J236" s="43">
        <v>43648</v>
      </c>
      <c r="AI236" s="3"/>
      <c r="AJ236" s="8"/>
      <c r="AK236" s="9"/>
      <c r="AL236" s="10"/>
      <c r="AM236" s="7">
        <f t="shared" si="56"/>
        <v>0</v>
      </c>
      <c r="AN236" s="8"/>
      <c r="AO236" s="9"/>
      <c r="AP236" s="10"/>
      <c r="AQ236" s="7">
        <f t="shared" si="57"/>
        <v>0</v>
      </c>
      <c r="AR236" s="29"/>
    </row>
    <row r="237" spans="1:44">
      <c r="A237" s="3" t="s">
        <v>82</v>
      </c>
      <c r="B237" s="8">
        <v>4</v>
      </c>
      <c r="C237" s="9">
        <v>11</v>
      </c>
      <c r="D237" s="10">
        <v>4</v>
      </c>
      <c r="E237" s="7">
        <f t="shared" si="52"/>
        <v>19</v>
      </c>
      <c r="F237" s="8">
        <v>4</v>
      </c>
      <c r="G237" s="9">
        <v>11</v>
      </c>
      <c r="H237" s="10">
        <v>4</v>
      </c>
      <c r="I237" s="7">
        <f t="shared" si="53"/>
        <v>19</v>
      </c>
      <c r="J237" s="43">
        <v>43650</v>
      </c>
      <c r="AI237" s="3"/>
      <c r="AJ237" s="8"/>
      <c r="AK237" s="9"/>
      <c r="AL237" s="10"/>
      <c r="AM237" s="7">
        <f t="shared" si="56"/>
        <v>0</v>
      </c>
      <c r="AN237" s="8"/>
      <c r="AO237" s="9"/>
      <c r="AP237" s="10"/>
      <c r="AQ237" s="7">
        <f t="shared" si="57"/>
        <v>0</v>
      </c>
    </row>
    <row r="238" spans="1:44">
      <c r="A238" s="3" t="s">
        <v>82</v>
      </c>
      <c r="B238" s="8"/>
      <c r="C238" s="9">
        <v>7</v>
      </c>
      <c r="D238" s="10">
        <v>8</v>
      </c>
      <c r="E238" s="7">
        <f t="shared" si="52"/>
        <v>15</v>
      </c>
      <c r="F238" s="8"/>
      <c r="G238" s="9">
        <v>7</v>
      </c>
      <c r="H238" s="10">
        <v>8</v>
      </c>
      <c r="I238" s="7">
        <f t="shared" si="53"/>
        <v>15</v>
      </c>
      <c r="J238" s="43">
        <v>43651</v>
      </c>
      <c r="AI238" s="3"/>
      <c r="AJ238" s="8"/>
      <c r="AK238" s="9"/>
      <c r="AL238" s="10"/>
      <c r="AM238" s="7">
        <f t="shared" si="56"/>
        <v>0</v>
      </c>
      <c r="AN238" s="8"/>
      <c r="AO238" s="9"/>
      <c r="AP238" s="10"/>
      <c r="AQ238" s="7">
        <f t="shared" si="57"/>
        <v>0</v>
      </c>
    </row>
    <row r="239" spans="1:44">
      <c r="A239" s="3" t="s">
        <v>82</v>
      </c>
      <c r="B239" s="8">
        <v>3</v>
      </c>
      <c r="C239" s="9">
        <v>5</v>
      </c>
      <c r="D239" s="10">
        <v>2</v>
      </c>
      <c r="E239" s="7">
        <f t="shared" si="52"/>
        <v>10</v>
      </c>
      <c r="F239" s="8">
        <v>3</v>
      </c>
      <c r="G239" s="9">
        <v>5</v>
      </c>
      <c r="H239" s="10">
        <v>2</v>
      </c>
      <c r="I239" s="7">
        <f t="shared" si="53"/>
        <v>10</v>
      </c>
      <c r="J239" s="43">
        <v>43652</v>
      </c>
      <c r="AI239" s="3"/>
      <c r="AJ239" s="8"/>
      <c r="AK239" s="9"/>
      <c r="AL239" s="10"/>
      <c r="AM239" s="7">
        <f t="shared" si="56"/>
        <v>0</v>
      </c>
      <c r="AN239" s="8"/>
      <c r="AO239" s="9"/>
      <c r="AP239" s="10"/>
      <c r="AQ239" s="7">
        <f t="shared" si="57"/>
        <v>0</v>
      </c>
    </row>
    <row r="240" spans="1:44">
      <c r="A240" s="3" t="s">
        <v>50</v>
      </c>
      <c r="B240" s="8"/>
      <c r="C240" s="9">
        <v>1</v>
      </c>
      <c r="D240" s="10"/>
      <c r="E240" s="7">
        <f t="shared" si="52"/>
        <v>1</v>
      </c>
      <c r="F240" s="8"/>
      <c r="G240" s="9">
        <v>1</v>
      </c>
      <c r="H240" s="10"/>
      <c r="I240" s="7">
        <f t="shared" si="53"/>
        <v>1</v>
      </c>
      <c r="J240" s="43">
        <v>43651</v>
      </c>
      <c r="AI240" s="3"/>
      <c r="AJ240" s="8"/>
      <c r="AK240" s="9"/>
      <c r="AL240" s="10"/>
      <c r="AM240" s="7">
        <f t="shared" si="56"/>
        <v>0</v>
      </c>
      <c r="AN240" s="8"/>
      <c r="AO240" s="9"/>
      <c r="AP240" s="10"/>
      <c r="AQ240" s="7">
        <f t="shared" si="57"/>
        <v>0</v>
      </c>
    </row>
    <row r="241" spans="1:44">
      <c r="A241" s="3" t="s">
        <v>82</v>
      </c>
      <c r="B241" s="8">
        <v>2</v>
      </c>
      <c r="C241" s="9">
        <v>5</v>
      </c>
      <c r="D241" s="10"/>
      <c r="E241" s="7">
        <f t="shared" si="52"/>
        <v>7</v>
      </c>
      <c r="F241" s="8">
        <v>2</v>
      </c>
      <c r="G241" s="9">
        <v>5</v>
      </c>
      <c r="H241" s="10"/>
      <c r="I241" s="7">
        <f t="shared" si="53"/>
        <v>7</v>
      </c>
      <c r="J241" s="43">
        <v>43654</v>
      </c>
      <c r="AI241" s="3"/>
      <c r="AJ241" s="8"/>
      <c r="AK241" s="9"/>
      <c r="AL241" s="10"/>
      <c r="AM241" s="7">
        <f t="shared" si="56"/>
        <v>0</v>
      </c>
      <c r="AN241" s="8"/>
      <c r="AO241" s="9"/>
      <c r="AP241" s="10"/>
      <c r="AQ241" s="7">
        <f t="shared" si="57"/>
        <v>0</v>
      </c>
    </row>
    <row r="242" spans="1:44">
      <c r="A242" s="3" t="s">
        <v>82</v>
      </c>
      <c r="B242" s="8">
        <v>5</v>
      </c>
      <c r="C242" s="9">
        <v>8</v>
      </c>
      <c r="D242" s="10">
        <v>1</v>
      </c>
      <c r="E242" s="7">
        <f t="shared" si="52"/>
        <v>14</v>
      </c>
      <c r="F242" s="8">
        <v>5</v>
      </c>
      <c r="G242" s="9">
        <v>8</v>
      </c>
      <c r="H242" s="10">
        <v>1</v>
      </c>
      <c r="I242" s="7">
        <f t="shared" si="53"/>
        <v>14</v>
      </c>
      <c r="J242" s="43">
        <v>43657</v>
      </c>
      <c r="AI242" s="3"/>
      <c r="AJ242" s="8"/>
      <c r="AK242" s="9"/>
      <c r="AL242" s="10"/>
      <c r="AM242" s="7">
        <f t="shared" si="56"/>
        <v>0</v>
      </c>
      <c r="AN242" s="8"/>
      <c r="AO242" s="9"/>
      <c r="AP242" s="10"/>
      <c r="AQ242" s="7">
        <f t="shared" si="57"/>
        <v>0</v>
      </c>
    </row>
    <row r="243" spans="1:44">
      <c r="A243" s="3" t="s">
        <v>82</v>
      </c>
      <c r="B243" s="8">
        <v>10</v>
      </c>
      <c r="C243" s="9">
        <v>6</v>
      </c>
      <c r="D243" s="10">
        <v>5</v>
      </c>
      <c r="E243" s="7">
        <f t="shared" si="52"/>
        <v>21</v>
      </c>
      <c r="F243" s="8">
        <v>10</v>
      </c>
      <c r="G243" s="9">
        <v>6</v>
      </c>
      <c r="H243" s="10">
        <v>5</v>
      </c>
      <c r="I243" s="7">
        <f t="shared" si="53"/>
        <v>21</v>
      </c>
      <c r="J243" s="43">
        <v>43663</v>
      </c>
      <c r="AI243" s="3"/>
      <c r="AJ243" s="8"/>
      <c r="AK243" s="9"/>
      <c r="AL243" s="10"/>
      <c r="AM243" s="7">
        <f t="shared" si="56"/>
        <v>0</v>
      </c>
      <c r="AN243" s="8"/>
      <c r="AO243" s="9"/>
      <c r="AP243" s="10"/>
      <c r="AQ243" s="7">
        <f t="shared" si="57"/>
        <v>0</v>
      </c>
    </row>
    <row r="244" spans="1:44">
      <c r="A244" s="3" t="s">
        <v>22</v>
      </c>
      <c r="B244" s="8">
        <v>16</v>
      </c>
      <c r="C244" s="9">
        <v>4</v>
      </c>
      <c r="D244" s="10">
        <v>6</v>
      </c>
      <c r="E244" s="7">
        <f t="shared" si="52"/>
        <v>26</v>
      </c>
      <c r="F244" s="8">
        <v>16</v>
      </c>
      <c r="G244" s="9">
        <v>4</v>
      </c>
      <c r="H244" s="10">
        <v>6</v>
      </c>
      <c r="I244" s="7">
        <f t="shared" si="53"/>
        <v>26</v>
      </c>
      <c r="J244" s="43">
        <v>43668</v>
      </c>
      <c r="AI244" s="3"/>
      <c r="AJ244" s="8"/>
      <c r="AK244" s="9"/>
      <c r="AL244" s="10"/>
      <c r="AM244" s="7">
        <f t="shared" si="56"/>
        <v>0</v>
      </c>
      <c r="AN244" s="8"/>
      <c r="AO244" s="9"/>
      <c r="AP244" s="10"/>
      <c r="AQ244" s="7">
        <f t="shared" si="57"/>
        <v>0</v>
      </c>
    </row>
    <row r="245" spans="1:44">
      <c r="A245" s="3" t="s">
        <v>82</v>
      </c>
      <c r="B245" s="8">
        <v>12</v>
      </c>
      <c r="C245" s="9">
        <v>12</v>
      </c>
      <c r="D245" s="10">
        <v>11</v>
      </c>
      <c r="E245" s="7">
        <f t="shared" si="52"/>
        <v>35</v>
      </c>
      <c r="F245" s="8">
        <v>12</v>
      </c>
      <c r="G245" s="9">
        <v>12</v>
      </c>
      <c r="H245" s="10">
        <v>11</v>
      </c>
      <c r="I245" s="7">
        <f t="shared" si="53"/>
        <v>35</v>
      </c>
      <c r="J245" s="43">
        <v>43665</v>
      </c>
      <c r="AI245" s="3"/>
      <c r="AJ245" s="8"/>
      <c r="AK245" s="9"/>
      <c r="AL245" s="10"/>
      <c r="AM245" s="7">
        <f t="shared" si="56"/>
        <v>0</v>
      </c>
      <c r="AN245" s="8"/>
      <c r="AO245" s="9"/>
      <c r="AP245" s="10"/>
      <c r="AQ245" s="7">
        <f t="shared" si="57"/>
        <v>0</v>
      </c>
    </row>
    <row r="246" spans="1:44">
      <c r="A246" s="3" t="s">
        <v>22</v>
      </c>
      <c r="B246" s="8"/>
      <c r="C246" s="9">
        <v>16</v>
      </c>
      <c r="D246" s="10"/>
      <c r="E246" s="7">
        <f t="shared" si="52"/>
        <v>16</v>
      </c>
      <c r="F246" s="8"/>
      <c r="G246" s="9">
        <v>16</v>
      </c>
      <c r="H246" s="10"/>
      <c r="I246" s="7">
        <f t="shared" si="53"/>
        <v>16</v>
      </c>
      <c r="J246" s="43">
        <v>43675</v>
      </c>
      <c r="AI246" s="3"/>
      <c r="AJ246" s="8"/>
      <c r="AK246" s="9"/>
      <c r="AL246" s="10"/>
      <c r="AM246" s="7">
        <f t="shared" si="56"/>
        <v>0</v>
      </c>
      <c r="AN246" s="8"/>
      <c r="AO246" s="9"/>
      <c r="AP246" s="10"/>
      <c r="AQ246" s="7">
        <f t="shared" si="57"/>
        <v>0</v>
      </c>
      <c r="AR246" s="29"/>
    </row>
    <row r="247" spans="1:44">
      <c r="A247" s="3" t="s">
        <v>82</v>
      </c>
      <c r="B247" s="8"/>
      <c r="C247" s="9"/>
      <c r="D247" s="10">
        <v>9</v>
      </c>
      <c r="E247" s="7">
        <f t="shared" si="52"/>
        <v>9</v>
      </c>
      <c r="F247" s="8"/>
      <c r="G247" s="9"/>
      <c r="H247" s="10">
        <v>9</v>
      </c>
      <c r="I247" s="7">
        <f t="shared" si="53"/>
        <v>9</v>
      </c>
      <c r="J247" s="43">
        <v>43672</v>
      </c>
      <c r="AI247" s="11"/>
      <c r="AJ247" s="8"/>
      <c r="AK247" s="9"/>
      <c r="AL247" s="10"/>
      <c r="AM247" s="7">
        <f t="shared" si="56"/>
        <v>0</v>
      </c>
      <c r="AN247" s="8"/>
      <c r="AO247" s="9"/>
      <c r="AP247" s="10"/>
      <c r="AQ247" s="7">
        <f t="shared" si="57"/>
        <v>0</v>
      </c>
      <c r="AR247" s="29"/>
    </row>
    <row r="248" spans="1:44">
      <c r="A248" s="3" t="s">
        <v>82</v>
      </c>
      <c r="B248" s="8">
        <v>1</v>
      </c>
      <c r="C248" s="9">
        <v>10</v>
      </c>
      <c r="D248" s="10">
        <v>4</v>
      </c>
      <c r="E248" s="7">
        <f t="shared" si="52"/>
        <v>15</v>
      </c>
      <c r="F248" s="8">
        <v>1</v>
      </c>
      <c r="G248" s="9">
        <v>10</v>
      </c>
      <c r="H248" s="10">
        <v>4</v>
      </c>
      <c r="I248" s="7">
        <f t="shared" si="53"/>
        <v>15</v>
      </c>
      <c r="J248" s="43">
        <v>43676</v>
      </c>
      <c r="AI248" s="3"/>
      <c r="AJ248" s="8"/>
      <c r="AK248" s="9"/>
      <c r="AL248" s="10"/>
      <c r="AM248" s="7">
        <f t="shared" si="56"/>
        <v>0</v>
      </c>
      <c r="AN248" s="8"/>
      <c r="AO248" s="9"/>
      <c r="AP248" s="10"/>
      <c r="AQ248" s="7">
        <f t="shared" si="57"/>
        <v>0</v>
      </c>
      <c r="AR248" s="43"/>
    </row>
    <row r="249" spans="1:44">
      <c r="A249" s="3" t="s">
        <v>82</v>
      </c>
      <c r="B249" s="8">
        <v>6</v>
      </c>
      <c r="C249" s="9">
        <v>9</v>
      </c>
      <c r="D249" s="10"/>
      <c r="E249" s="7">
        <f t="shared" si="52"/>
        <v>15</v>
      </c>
      <c r="F249" s="8">
        <v>6</v>
      </c>
      <c r="G249" s="9">
        <v>9</v>
      </c>
      <c r="H249" s="10"/>
      <c r="I249" s="7">
        <f t="shared" si="53"/>
        <v>15</v>
      </c>
      <c r="J249" s="43">
        <v>43677</v>
      </c>
      <c r="AI249" s="11"/>
      <c r="AJ249" s="8"/>
      <c r="AK249" s="9"/>
      <c r="AL249" s="10"/>
      <c r="AM249" s="7">
        <f t="shared" si="56"/>
        <v>0</v>
      </c>
      <c r="AN249" s="8"/>
      <c r="AO249" s="9"/>
      <c r="AP249" s="10"/>
      <c r="AQ249" s="7">
        <f t="shared" si="57"/>
        <v>0</v>
      </c>
      <c r="AR249" s="29"/>
    </row>
    <row r="250" spans="1:44">
      <c r="A250" s="3" t="s">
        <v>82</v>
      </c>
      <c r="B250" s="8">
        <v>5</v>
      </c>
      <c r="C250" s="9">
        <v>2</v>
      </c>
      <c r="D250" s="10"/>
      <c r="E250" s="7">
        <f t="shared" si="52"/>
        <v>7</v>
      </c>
      <c r="F250" s="8">
        <v>5</v>
      </c>
      <c r="G250" s="9">
        <v>2</v>
      </c>
      <c r="H250" s="10"/>
      <c r="I250" s="7">
        <f t="shared" si="53"/>
        <v>7</v>
      </c>
      <c r="J250" s="43">
        <v>43678</v>
      </c>
      <c r="AI250" s="11" t="s">
        <v>100</v>
      </c>
      <c r="AJ250" s="8"/>
      <c r="AK250" s="9"/>
      <c r="AL250" s="10"/>
      <c r="AM250" s="7">
        <f t="shared" si="56"/>
        <v>0</v>
      </c>
      <c r="AN250" s="8"/>
      <c r="AO250" s="9"/>
      <c r="AP250" s="10"/>
      <c r="AQ250" s="7">
        <f t="shared" si="57"/>
        <v>0</v>
      </c>
      <c r="AR250" s="50" t="s">
        <v>101</v>
      </c>
    </row>
    <row r="251" spans="1:44">
      <c r="A251" s="3" t="s">
        <v>103</v>
      </c>
      <c r="B251" s="8">
        <v>20</v>
      </c>
      <c r="C251" s="9">
        <v>20</v>
      </c>
      <c r="D251" s="10">
        <v>20</v>
      </c>
      <c r="E251" s="4">
        <f t="shared" si="52"/>
        <v>60</v>
      </c>
      <c r="F251" s="8">
        <v>20</v>
      </c>
      <c r="G251" s="9">
        <v>20</v>
      </c>
      <c r="H251" s="10">
        <v>20</v>
      </c>
      <c r="I251" s="4">
        <f t="shared" si="53"/>
        <v>60</v>
      </c>
      <c r="J251" s="43">
        <v>43676</v>
      </c>
      <c r="AI251" s="11" t="s">
        <v>106</v>
      </c>
      <c r="AJ251" s="8"/>
      <c r="AK251" s="9"/>
      <c r="AL251" s="10"/>
      <c r="AM251" s="7">
        <f t="shared" si="56"/>
        <v>0</v>
      </c>
      <c r="AN251" s="8"/>
      <c r="AO251" s="9"/>
      <c r="AP251" s="10"/>
      <c r="AQ251" s="7">
        <f t="shared" si="57"/>
        <v>0</v>
      </c>
      <c r="AR251" s="29" t="s">
        <v>105</v>
      </c>
    </row>
    <row r="252" spans="1:44">
      <c r="A252" s="3" t="s">
        <v>82</v>
      </c>
      <c r="B252" s="8">
        <v>7</v>
      </c>
      <c r="C252" s="9">
        <v>3</v>
      </c>
      <c r="D252" s="10">
        <v>2</v>
      </c>
      <c r="E252" s="7">
        <f t="shared" si="52"/>
        <v>12</v>
      </c>
      <c r="F252" s="8">
        <v>7</v>
      </c>
      <c r="G252" s="9">
        <v>3</v>
      </c>
      <c r="H252" s="10">
        <v>2</v>
      </c>
      <c r="I252" s="7">
        <f t="shared" si="53"/>
        <v>12</v>
      </c>
      <c r="J252" s="43">
        <v>43680</v>
      </c>
      <c r="AI252" s="3" t="s">
        <v>98</v>
      </c>
      <c r="AJ252" s="8"/>
      <c r="AK252" s="9"/>
      <c r="AL252" s="10"/>
      <c r="AM252" s="7">
        <f t="shared" si="56"/>
        <v>0</v>
      </c>
      <c r="AN252" s="8"/>
      <c r="AO252" s="9"/>
      <c r="AP252" s="10"/>
      <c r="AQ252" s="7">
        <f t="shared" si="57"/>
        <v>0</v>
      </c>
      <c r="AR252" s="43">
        <v>43624</v>
      </c>
    </row>
    <row r="253" spans="1:44">
      <c r="A253" s="3" t="s">
        <v>82</v>
      </c>
      <c r="B253" s="8"/>
      <c r="C253" s="9">
        <v>1</v>
      </c>
      <c r="D253" s="10">
        <v>1</v>
      </c>
      <c r="E253" s="7">
        <f t="shared" si="52"/>
        <v>2</v>
      </c>
      <c r="F253" s="8"/>
      <c r="G253" s="9">
        <v>1</v>
      </c>
      <c r="H253" s="10">
        <v>1</v>
      </c>
      <c r="I253" s="7">
        <f t="shared" si="53"/>
        <v>2</v>
      </c>
      <c r="J253" s="43">
        <v>43682</v>
      </c>
      <c r="AI253" s="3" t="s">
        <v>95</v>
      </c>
      <c r="AJ253" s="8"/>
      <c r="AK253" s="9"/>
      <c r="AL253" s="10"/>
      <c r="AM253" s="7">
        <f t="shared" ref="AM253:AM254" si="60">SUM(AJ253:AL253)</f>
        <v>0</v>
      </c>
      <c r="AN253" s="8"/>
      <c r="AO253" s="9"/>
      <c r="AP253" s="10"/>
      <c r="AQ253" s="7">
        <f t="shared" ref="AQ253:AQ254" si="61">SUM(AN253:AP253)</f>
        <v>0</v>
      </c>
      <c r="AR253" s="50" t="s">
        <v>96</v>
      </c>
    </row>
    <row r="254" spans="1:44" ht="14.25" thickBot="1">
      <c r="A254" s="3" t="s">
        <v>117</v>
      </c>
      <c r="B254" s="8">
        <v>10</v>
      </c>
      <c r="C254" s="9">
        <v>10</v>
      </c>
      <c r="D254" s="10">
        <v>10</v>
      </c>
      <c r="E254" s="7">
        <f t="shared" si="52"/>
        <v>30</v>
      </c>
      <c r="F254" s="8">
        <v>10</v>
      </c>
      <c r="G254" s="9">
        <v>10</v>
      </c>
      <c r="H254" s="10">
        <v>10</v>
      </c>
      <c r="I254" s="7">
        <f t="shared" si="53"/>
        <v>30</v>
      </c>
      <c r="J254" s="43">
        <v>43684</v>
      </c>
      <c r="AI254" s="11" t="s">
        <v>99</v>
      </c>
      <c r="AJ254" s="8"/>
      <c r="AK254" s="9"/>
      <c r="AL254" s="10"/>
      <c r="AM254" s="7">
        <f t="shared" si="60"/>
        <v>0</v>
      </c>
      <c r="AN254" s="8"/>
      <c r="AO254" s="9"/>
      <c r="AP254" s="10"/>
      <c r="AQ254" s="7">
        <f t="shared" si="61"/>
        <v>0</v>
      </c>
      <c r="AR254" s="29" t="s">
        <v>97</v>
      </c>
    </row>
    <row r="255" spans="1:44" ht="14.25" thickBot="1">
      <c r="A255" s="2" t="s">
        <v>5</v>
      </c>
      <c r="B255" s="14">
        <f>SUM(B231:B254)</f>
        <v>129</v>
      </c>
      <c r="C255" s="14">
        <f>SUM(C231:C254)</f>
        <v>144</v>
      </c>
      <c r="D255" s="14">
        <f>SUM(D231:D254)</f>
        <v>98</v>
      </c>
      <c r="E255" s="15">
        <f t="shared" si="52"/>
        <v>371</v>
      </c>
      <c r="F255" s="14">
        <f>SUM(F231:F254)</f>
        <v>129</v>
      </c>
      <c r="G255" s="14">
        <f>SUM(G231:G254)</f>
        <v>144</v>
      </c>
      <c r="H255" s="14">
        <f>SUM(H231:H254)</f>
        <v>98</v>
      </c>
      <c r="I255" s="15">
        <f t="shared" si="53"/>
        <v>371</v>
      </c>
      <c r="AI255" s="2" t="s">
        <v>5</v>
      </c>
      <c r="AJ255" s="14">
        <f>SUM(AJ231:AJ254)</f>
        <v>0</v>
      </c>
      <c r="AK255" s="14">
        <f>SUM(AK231:AK254)</f>
        <v>0</v>
      </c>
      <c r="AL255" s="14">
        <f>SUM(AL231:AL254)</f>
        <v>0</v>
      </c>
      <c r="AM255" s="15">
        <f t="shared" si="56"/>
        <v>0</v>
      </c>
      <c r="AN255" s="14">
        <f>SUM(AN231:AN254)</f>
        <v>0</v>
      </c>
      <c r="AO255" s="14">
        <f>SUM(AO231:AO254)</f>
        <v>0</v>
      </c>
      <c r="AP255" s="14">
        <f>SUM(AP231:AP254)</f>
        <v>0</v>
      </c>
      <c r="AQ255" s="15">
        <f t="shared" si="57"/>
        <v>0</v>
      </c>
    </row>
    <row r="256" spans="1:44" ht="14.25" thickBot="1">
      <c r="A256" s="27" t="s">
        <v>6</v>
      </c>
      <c r="B256" s="28">
        <f>B230-B255</f>
        <v>129</v>
      </c>
      <c r="C256" s="28">
        <f t="shared" ref="C256:E256" si="62">C230-C255</f>
        <v>138</v>
      </c>
      <c r="D256" s="28">
        <f t="shared" si="62"/>
        <v>100</v>
      </c>
      <c r="E256" s="28">
        <f t="shared" si="62"/>
        <v>367</v>
      </c>
      <c r="F256" s="28">
        <f>F230-F255</f>
        <v>129</v>
      </c>
      <c r="G256" s="28">
        <f t="shared" ref="G256:I256" si="63">G230-G255</f>
        <v>138</v>
      </c>
      <c r="H256" s="28">
        <f t="shared" si="63"/>
        <v>100</v>
      </c>
      <c r="I256" s="26">
        <f t="shared" si="63"/>
        <v>367</v>
      </c>
      <c r="AI256" s="27" t="s">
        <v>6</v>
      </c>
      <c r="AJ256" s="28">
        <f>AJ230-AJ255</f>
        <v>70</v>
      </c>
      <c r="AK256" s="28">
        <f t="shared" ref="AK256:AM256" si="64">AK230-AK255</f>
        <v>110</v>
      </c>
      <c r="AL256" s="28">
        <f t="shared" si="64"/>
        <v>70</v>
      </c>
      <c r="AM256" s="28">
        <f t="shared" si="64"/>
        <v>250</v>
      </c>
      <c r="AN256" s="28">
        <f>AN230-AN255</f>
        <v>70</v>
      </c>
      <c r="AO256" s="28">
        <f t="shared" ref="AO256:AQ256" si="65">AO230-AO255</f>
        <v>110</v>
      </c>
      <c r="AP256" s="28">
        <f t="shared" si="65"/>
        <v>70</v>
      </c>
      <c r="AQ256" s="26">
        <f t="shared" si="65"/>
        <v>250</v>
      </c>
    </row>
    <row r="259" spans="1:43" ht="21.75" thickBot="1">
      <c r="A259" s="33" t="s">
        <v>15</v>
      </c>
      <c r="B259" s="34"/>
      <c r="C259" s="34"/>
      <c r="D259" s="34"/>
      <c r="E259" s="34"/>
      <c r="F259" s="35"/>
      <c r="G259" s="35"/>
      <c r="H259" s="35"/>
      <c r="I259" s="35"/>
      <c r="AI259" s="33" t="s">
        <v>87</v>
      </c>
      <c r="AJ259" s="34"/>
      <c r="AK259" s="34"/>
      <c r="AL259" s="34"/>
      <c r="AM259" s="34"/>
      <c r="AN259" s="35"/>
      <c r="AO259" s="35"/>
      <c r="AP259" s="35"/>
      <c r="AQ259" s="35"/>
    </row>
    <row r="260" spans="1:43" ht="14.25" thickBot="1">
      <c r="A260" s="1" t="s">
        <v>0</v>
      </c>
      <c r="B260" s="182" t="s">
        <v>17</v>
      </c>
      <c r="C260" s="182"/>
      <c r="D260" s="182"/>
      <c r="E260" s="183"/>
      <c r="F260" s="182" t="s">
        <v>13</v>
      </c>
      <c r="G260" s="182"/>
      <c r="H260" s="182"/>
      <c r="I260" s="183"/>
      <c r="AI260" s="1" t="s">
        <v>0</v>
      </c>
      <c r="AJ260" s="182" t="s">
        <v>17</v>
      </c>
      <c r="AK260" s="182"/>
      <c r="AL260" s="182"/>
      <c r="AM260" s="183"/>
      <c r="AN260" s="182" t="s">
        <v>13</v>
      </c>
      <c r="AO260" s="182"/>
      <c r="AP260" s="182"/>
      <c r="AQ260" s="183"/>
    </row>
    <row r="261" spans="1:43" ht="14.25" thickBot="1">
      <c r="A261" s="1" t="s">
        <v>1</v>
      </c>
      <c r="B261" s="2" t="s">
        <v>8</v>
      </c>
      <c r="C261" s="1" t="s">
        <v>9</v>
      </c>
      <c r="D261" s="19" t="s">
        <v>10</v>
      </c>
      <c r="E261" s="1" t="s">
        <v>2</v>
      </c>
      <c r="F261" s="2" t="s">
        <v>8</v>
      </c>
      <c r="G261" s="1" t="s">
        <v>9</v>
      </c>
      <c r="H261" s="19" t="s">
        <v>10</v>
      </c>
      <c r="I261" s="1" t="s">
        <v>2</v>
      </c>
      <c r="AI261" s="1" t="s">
        <v>1</v>
      </c>
      <c r="AJ261" s="2" t="s">
        <v>8</v>
      </c>
      <c r="AK261" s="1" t="s">
        <v>9</v>
      </c>
      <c r="AL261" s="19" t="s">
        <v>10</v>
      </c>
      <c r="AM261" s="1" t="s">
        <v>2</v>
      </c>
      <c r="AN261" s="2" t="s">
        <v>8</v>
      </c>
      <c r="AO261" s="1" t="s">
        <v>9</v>
      </c>
      <c r="AP261" s="19" t="s">
        <v>10</v>
      </c>
      <c r="AQ261" s="1" t="s">
        <v>2</v>
      </c>
    </row>
    <row r="262" spans="1:43" ht="14.25" thickBot="1">
      <c r="A262" s="21" t="s">
        <v>7</v>
      </c>
      <c r="B262" s="18">
        <f>B256</f>
        <v>129</v>
      </c>
      <c r="C262" s="22">
        <f>C256</f>
        <v>138</v>
      </c>
      <c r="D262" s="22">
        <f>D256</f>
        <v>100</v>
      </c>
      <c r="E262" s="17">
        <f t="shared" ref="E262:E298" si="66">SUM(B262:D262)</f>
        <v>367</v>
      </c>
      <c r="F262" s="22">
        <f>F256</f>
        <v>129</v>
      </c>
      <c r="G262" s="22">
        <f>G256</f>
        <v>138</v>
      </c>
      <c r="H262" s="22">
        <f>H256</f>
        <v>100</v>
      </c>
      <c r="I262" s="17">
        <f t="shared" ref="I262:I298" si="67">SUM(F262:H262)</f>
        <v>367</v>
      </c>
      <c r="AI262" s="52" t="s">
        <v>7</v>
      </c>
      <c r="AJ262" s="53">
        <f>AJ256</f>
        <v>70</v>
      </c>
      <c r="AK262" s="23">
        <f>AK256</f>
        <v>110</v>
      </c>
      <c r="AL262" s="23">
        <f>AL256</f>
        <v>70</v>
      </c>
      <c r="AM262" s="26">
        <f t="shared" ref="AM262:AM298" si="68">SUM(AJ262:AL262)</f>
        <v>250</v>
      </c>
      <c r="AN262" s="23">
        <f>AN256</f>
        <v>70</v>
      </c>
      <c r="AO262" s="23">
        <f>AO256</f>
        <v>110</v>
      </c>
      <c r="AP262" s="23">
        <f>AP256</f>
        <v>70</v>
      </c>
      <c r="AQ262" s="26">
        <f t="shared" ref="AQ262:AQ298" si="69">SUM(AN262:AP262)</f>
        <v>250</v>
      </c>
    </row>
    <row r="263" spans="1:43">
      <c r="A263" s="5" t="s">
        <v>37</v>
      </c>
      <c r="B263" s="16">
        <v>3</v>
      </c>
      <c r="C263" s="11"/>
      <c r="D263" s="16"/>
      <c r="E263" s="4">
        <f t="shared" si="66"/>
        <v>3</v>
      </c>
      <c r="F263" s="16">
        <v>3</v>
      </c>
      <c r="G263" s="11"/>
      <c r="H263" s="16"/>
      <c r="I263" s="4">
        <f t="shared" si="67"/>
        <v>3</v>
      </c>
      <c r="J263" s="43">
        <v>43685</v>
      </c>
      <c r="AI263" s="5" t="s">
        <v>3</v>
      </c>
      <c r="AJ263" s="16"/>
      <c r="AK263" s="11"/>
      <c r="AL263" s="16"/>
      <c r="AM263" s="4">
        <f t="shared" si="68"/>
        <v>0</v>
      </c>
      <c r="AN263" s="16"/>
      <c r="AO263" s="11"/>
      <c r="AP263" s="16"/>
      <c r="AQ263" s="4">
        <f t="shared" si="69"/>
        <v>0</v>
      </c>
    </row>
    <row r="264" spans="1:43">
      <c r="A264" s="5" t="s">
        <v>3</v>
      </c>
      <c r="B264" s="8"/>
      <c r="C264" s="9"/>
      <c r="D264" s="10"/>
      <c r="E264" s="4">
        <f t="shared" ref="E264" si="70">SUM(B264:D264)</f>
        <v>0</v>
      </c>
      <c r="F264" s="8"/>
      <c r="G264" s="9"/>
      <c r="H264" s="10"/>
      <c r="I264" s="4">
        <f t="shared" ref="I264" si="71">SUM(F264:H264)</f>
        <v>0</v>
      </c>
      <c r="J264" s="43"/>
      <c r="AI264" s="5" t="s">
        <v>3</v>
      </c>
      <c r="AJ264" s="16"/>
      <c r="AK264" s="11"/>
      <c r="AL264" s="16"/>
      <c r="AM264" s="4">
        <f t="shared" si="68"/>
        <v>0</v>
      </c>
      <c r="AN264" s="16"/>
      <c r="AO264" s="11"/>
      <c r="AP264" s="16"/>
      <c r="AQ264" s="4">
        <f t="shared" si="69"/>
        <v>0</v>
      </c>
    </row>
    <row r="265" spans="1:43">
      <c r="A265" s="5" t="s">
        <v>78</v>
      </c>
      <c r="B265" s="8"/>
      <c r="C265" s="9">
        <v>2</v>
      </c>
      <c r="D265" s="10"/>
      <c r="E265" s="4">
        <f t="shared" si="66"/>
        <v>2</v>
      </c>
      <c r="F265" s="8"/>
      <c r="G265" s="9">
        <v>2</v>
      </c>
      <c r="H265" s="10"/>
      <c r="I265" s="4">
        <f t="shared" si="67"/>
        <v>2</v>
      </c>
      <c r="J265" s="49">
        <v>43696</v>
      </c>
      <c r="AI265" s="5" t="s">
        <v>3</v>
      </c>
      <c r="AJ265" s="8"/>
      <c r="AK265" s="9"/>
      <c r="AL265" s="10"/>
      <c r="AM265" s="4">
        <f t="shared" si="68"/>
        <v>0</v>
      </c>
      <c r="AN265" s="8"/>
      <c r="AO265" s="9"/>
      <c r="AP265" s="10"/>
      <c r="AQ265" s="4">
        <f t="shared" si="69"/>
        <v>0</v>
      </c>
    </row>
    <row r="266" spans="1:43">
      <c r="A266" s="5" t="s">
        <v>78</v>
      </c>
      <c r="B266" s="16">
        <v>2</v>
      </c>
      <c r="C266" s="11"/>
      <c r="D266" s="16"/>
      <c r="E266" s="4">
        <f t="shared" si="66"/>
        <v>2</v>
      </c>
      <c r="F266" s="16">
        <v>2</v>
      </c>
      <c r="G266" s="11"/>
      <c r="H266" s="16"/>
      <c r="I266" s="4">
        <f t="shared" si="67"/>
        <v>2</v>
      </c>
      <c r="J266" s="49">
        <v>43707</v>
      </c>
      <c r="AI266" s="5" t="s">
        <v>3</v>
      </c>
      <c r="AJ266" s="16"/>
      <c r="AK266" s="11"/>
      <c r="AL266" s="16"/>
      <c r="AM266" s="4">
        <f t="shared" si="68"/>
        <v>0</v>
      </c>
      <c r="AN266" s="16"/>
      <c r="AO266" s="11"/>
      <c r="AP266" s="16"/>
      <c r="AQ266" s="4">
        <f t="shared" si="69"/>
        <v>0</v>
      </c>
    </row>
    <row r="267" spans="1:43">
      <c r="A267" s="5" t="s">
        <v>3</v>
      </c>
      <c r="B267" s="16"/>
      <c r="C267" s="11"/>
      <c r="D267" s="16"/>
      <c r="E267" s="4">
        <f t="shared" si="66"/>
        <v>0</v>
      </c>
      <c r="F267" s="16"/>
      <c r="G267" s="11"/>
      <c r="H267" s="16"/>
      <c r="I267" s="4">
        <f t="shared" si="67"/>
        <v>0</v>
      </c>
      <c r="AI267" s="5" t="s">
        <v>3</v>
      </c>
      <c r="AJ267" s="16"/>
      <c r="AK267" s="11"/>
      <c r="AL267" s="16"/>
      <c r="AM267" s="4">
        <f t="shared" si="68"/>
        <v>0</v>
      </c>
      <c r="AN267" s="16"/>
      <c r="AO267" s="11"/>
      <c r="AP267" s="16"/>
      <c r="AQ267" s="4">
        <f t="shared" si="69"/>
        <v>0</v>
      </c>
    </row>
    <row r="268" spans="1:43">
      <c r="A268" s="5" t="s">
        <v>3</v>
      </c>
      <c r="B268" s="16"/>
      <c r="C268" s="11"/>
      <c r="D268" s="16"/>
      <c r="E268" s="4">
        <f t="shared" si="66"/>
        <v>0</v>
      </c>
      <c r="F268" s="16"/>
      <c r="G268" s="11"/>
      <c r="H268" s="16"/>
      <c r="I268" s="4">
        <f t="shared" si="67"/>
        <v>0</v>
      </c>
      <c r="AI268" s="5" t="s">
        <v>3</v>
      </c>
      <c r="AJ268" s="16"/>
      <c r="AK268" s="11"/>
      <c r="AL268" s="16"/>
      <c r="AM268" s="4">
        <f t="shared" si="68"/>
        <v>0</v>
      </c>
      <c r="AN268" s="16"/>
      <c r="AO268" s="11"/>
      <c r="AP268" s="16"/>
      <c r="AQ268" s="4">
        <f t="shared" si="69"/>
        <v>0</v>
      </c>
    </row>
    <row r="269" spans="1:43">
      <c r="A269" s="5" t="s">
        <v>3</v>
      </c>
      <c r="B269" s="10"/>
      <c r="C269" s="9"/>
      <c r="D269" s="10"/>
      <c r="E269" s="4">
        <f t="shared" si="66"/>
        <v>0</v>
      </c>
      <c r="F269" s="10"/>
      <c r="G269" s="9"/>
      <c r="H269" s="10"/>
      <c r="I269" s="4">
        <f t="shared" si="67"/>
        <v>0</v>
      </c>
      <c r="AI269" s="5" t="s">
        <v>3</v>
      </c>
      <c r="AJ269" s="10"/>
      <c r="AK269" s="9"/>
      <c r="AL269" s="10"/>
      <c r="AM269" s="4">
        <f t="shared" si="68"/>
        <v>0</v>
      </c>
      <c r="AN269" s="10"/>
      <c r="AO269" s="9"/>
      <c r="AP269" s="10"/>
      <c r="AQ269" s="4">
        <f t="shared" si="69"/>
        <v>0</v>
      </c>
    </row>
    <row r="270" spans="1:43">
      <c r="A270" s="5" t="s">
        <v>3</v>
      </c>
      <c r="B270" s="10"/>
      <c r="C270" s="9"/>
      <c r="D270" s="10"/>
      <c r="E270" s="4">
        <f t="shared" si="66"/>
        <v>0</v>
      </c>
      <c r="F270" s="10"/>
      <c r="G270" s="9"/>
      <c r="H270" s="10"/>
      <c r="I270" s="4">
        <f t="shared" si="67"/>
        <v>0</v>
      </c>
      <c r="J270" s="43"/>
      <c r="AI270" s="6" t="s">
        <v>3</v>
      </c>
      <c r="AJ270" s="10"/>
      <c r="AK270" s="9"/>
      <c r="AL270" s="10"/>
      <c r="AM270" s="4">
        <f t="shared" si="68"/>
        <v>0</v>
      </c>
      <c r="AN270" s="10"/>
      <c r="AO270" s="9"/>
      <c r="AP270" s="10"/>
      <c r="AQ270" s="4">
        <f t="shared" si="69"/>
        <v>0</v>
      </c>
    </row>
    <row r="271" spans="1:43">
      <c r="A271" s="5" t="s">
        <v>3</v>
      </c>
      <c r="B271" s="8"/>
      <c r="C271" s="9"/>
      <c r="D271" s="10"/>
      <c r="E271" s="4">
        <f t="shared" si="66"/>
        <v>0</v>
      </c>
      <c r="F271" s="8"/>
      <c r="G271" s="9"/>
      <c r="H271" s="10"/>
      <c r="I271" s="4">
        <f t="shared" si="67"/>
        <v>0</v>
      </c>
      <c r="J271" s="43"/>
      <c r="AI271" s="6" t="s">
        <v>3</v>
      </c>
      <c r="AJ271" s="32"/>
      <c r="AK271" s="31"/>
      <c r="AL271" s="32"/>
      <c r="AM271" s="4">
        <f t="shared" si="68"/>
        <v>0</v>
      </c>
      <c r="AN271" s="32"/>
      <c r="AO271" s="31"/>
      <c r="AP271" s="32"/>
      <c r="AQ271" s="4">
        <f t="shared" si="69"/>
        <v>0</v>
      </c>
    </row>
    <row r="272" spans="1:43" ht="14.25" thickBot="1">
      <c r="A272" s="6" t="s">
        <v>3</v>
      </c>
      <c r="B272" s="13"/>
      <c r="C272" s="12"/>
      <c r="D272" s="13"/>
      <c r="E272" s="20">
        <f t="shared" si="66"/>
        <v>0</v>
      </c>
      <c r="F272" s="13"/>
      <c r="G272" s="12"/>
      <c r="H272" s="13"/>
      <c r="I272" s="20">
        <f t="shared" si="67"/>
        <v>0</v>
      </c>
      <c r="AI272" s="6" t="s">
        <v>3</v>
      </c>
      <c r="AJ272" s="13"/>
      <c r="AK272" s="12"/>
      <c r="AL272" s="13"/>
      <c r="AM272" s="20">
        <f t="shared" si="68"/>
        <v>0</v>
      </c>
      <c r="AN272" s="13"/>
      <c r="AO272" s="12"/>
      <c r="AP272" s="13"/>
      <c r="AQ272" s="20">
        <f t="shared" si="69"/>
        <v>0</v>
      </c>
    </row>
    <row r="273" spans="1:44" ht="14.25" thickBot="1">
      <c r="A273" s="23" t="s">
        <v>4</v>
      </c>
      <c r="B273" s="24">
        <f>SUM(B262:B272)</f>
        <v>134</v>
      </c>
      <c r="C273" s="24">
        <f>SUM(C262:C272)</f>
        <v>140</v>
      </c>
      <c r="D273" s="25">
        <f>SUM(D262:D272)</f>
        <v>100</v>
      </c>
      <c r="E273" s="26">
        <f t="shared" si="66"/>
        <v>374</v>
      </c>
      <c r="F273" s="24">
        <f>SUM(F262:F272)</f>
        <v>134</v>
      </c>
      <c r="G273" s="24">
        <f>SUM(G262:G272)</f>
        <v>140</v>
      </c>
      <c r="H273" s="25">
        <f>SUM(H262:H272)</f>
        <v>100</v>
      </c>
      <c r="I273" s="26">
        <f t="shared" si="67"/>
        <v>374</v>
      </c>
      <c r="AI273" s="23" t="s">
        <v>4</v>
      </c>
      <c r="AJ273" s="24">
        <f>SUM(AJ262:AJ272)</f>
        <v>70</v>
      </c>
      <c r="AK273" s="24">
        <f>SUM(AK262:AK272)</f>
        <v>110</v>
      </c>
      <c r="AL273" s="25">
        <f>SUM(AL262:AL272)</f>
        <v>70</v>
      </c>
      <c r="AM273" s="26">
        <f t="shared" si="68"/>
        <v>250</v>
      </c>
      <c r="AN273" s="24">
        <f>SUM(AN262:AN272)</f>
        <v>70</v>
      </c>
      <c r="AO273" s="24">
        <f>SUM(AO262:AO272)</f>
        <v>110</v>
      </c>
      <c r="AP273" s="25">
        <f>SUM(AP262:AP272)</f>
        <v>70</v>
      </c>
      <c r="AQ273" s="26">
        <f t="shared" si="69"/>
        <v>250</v>
      </c>
    </row>
    <row r="274" spans="1:44">
      <c r="A274" s="3" t="s">
        <v>82</v>
      </c>
      <c r="B274" s="8">
        <v>5</v>
      </c>
      <c r="C274" s="9">
        <v>3</v>
      </c>
      <c r="D274" s="10">
        <v>2</v>
      </c>
      <c r="E274" s="4">
        <f t="shared" si="66"/>
        <v>10</v>
      </c>
      <c r="F274" s="8">
        <v>5</v>
      </c>
      <c r="G274" s="9">
        <v>3</v>
      </c>
      <c r="H274" s="10">
        <v>2</v>
      </c>
      <c r="I274" s="4">
        <f t="shared" si="67"/>
        <v>10</v>
      </c>
      <c r="J274" s="43">
        <v>43684</v>
      </c>
      <c r="AI274" s="3"/>
      <c r="AJ274" s="8"/>
      <c r="AK274" s="9"/>
      <c r="AL274" s="10"/>
      <c r="AM274" s="4">
        <f t="shared" si="68"/>
        <v>0</v>
      </c>
      <c r="AN274" s="8"/>
      <c r="AO274" s="9"/>
      <c r="AP274" s="10"/>
      <c r="AQ274" s="4">
        <f t="shared" si="69"/>
        <v>0</v>
      </c>
      <c r="AR274" s="50"/>
    </row>
    <row r="275" spans="1:44">
      <c r="A275" s="3" t="s">
        <v>118</v>
      </c>
      <c r="B275" s="8">
        <v>15</v>
      </c>
      <c r="C275" s="9">
        <v>15</v>
      </c>
      <c r="D275" s="10">
        <v>15</v>
      </c>
      <c r="E275" s="4">
        <f t="shared" si="66"/>
        <v>45</v>
      </c>
      <c r="F275" s="8">
        <v>15</v>
      </c>
      <c r="G275" s="9">
        <v>15</v>
      </c>
      <c r="H275" s="10">
        <v>15</v>
      </c>
      <c r="I275" s="4">
        <f t="shared" si="67"/>
        <v>45</v>
      </c>
      <c r="J275" s="43">
        <v>43686</v>
      </c>
      <c r="AI275" s="3"/>
      <c r="AJ275" s="8"/>
      <c r="AK275" s="9"/>
      <c r="AL275" s="10"/>
      <c r="AM275" s="7">
        <f t="shared" si="68"/>
        <v>0</v>
      </c>
      <c r="AN275" s="8"/>
      <c r="AO275" s="9"/>
      <c r="AP275" s="10"/>
      <c r="AQ275" s="7">
        <f t="shared" si="69"/>
        <v>0</v>
      </c>
      <c r="AR275" s="50"/>
    </row>
    <row r="276" spans="1:44">
      <c r="A276" s="3" t="s">
        <v>119</v>
      </c>
      <c r="B276" s="8">
        <v>2</v>
      </c>
      <c r="C276" s="9">
        <v>-4</v>
      </c>
      <c r="D276" s="10">
        <v>2</v>
      </c>
      <c r="E276" s="7">
        <f t="shared" si="66"/>
        <v>0</v>
      </c>
      <c r="F276" s="8">
        <v>2</v>
      </c>
      <c r="G276" s="9">
        <v>-4</v>
      </c>
      <c r="H276" s="10">
        <v>2</v>
      </c>
      <c r="I276" s="7">
        <f t="shared" si="67"/>
        <v>0</v>
      </c>
      <c r="J276" s="43">
        <v>43690</v>
      </c>
      <c r="AI276" s="3"/>
      <c r="AJ276" s="8"/>
      <c r="AK276" s="9"/>
      <c r="AL276" s="10"/>
      <c r="AM276" s="7">
        <f t="shared" si="68"/>
        <v>0</v>
      </c>
      <c r="AN276" s="8"/>
      <c r="AO276" s="9"/>
      <c r="AP276" s="10"/>
      <c r="AQ276" s="7">
        <f t="shared" si="69"/>
        <v>0</v>
      </c>
      <c r="AR276" s="50"/>
    </row>
    <row r="277" spans="1:44">
      <c r="A277" s="3" t="s">
        <v>82</v>
      </c>
      <c r="B277" s="8">
        <v>7</v>
      </c>
      <c r="C277" s="9">
        <v>8</v>
      </c>
      <c r="D277" s="10">
        <v>3</v>
      </c>
      <c r="E277" s="4">
        <f t="shared" si="66"/>
        <v>18</v>
      </c>
      <c r="F277" s="8">
        <v>7</v>
      </c>
      <c r="G277" s="9">
        <v>8</v>
      </c>
      <c r="H277" s="10">
        <v>3</v>
      </c>
      <c r="I277" s="4">
        <f t="shared" si="67"/>
        <v>18</v>
      </c>
      <c r="J277" s="43">
        <v>43687</v>
      </c>
      <c r="AI277" s="3"/>
      <c r="AJ277" s="8"/>
      <c r="AK277" s="9"/>
      <c r="AL277" s="10"/>
      <c r="AM277" s="4">
        <f t="shared" si="68"/>
        <v>0</v>
      </c>
      <c r="AN277" s="8"/>
      <c r="AO277" s="9"/>
      <c r="AP277" s="10"/>
      <c r="AQ277" s="4">
        <f t="shared" si="69"/>
        <v>0</v>
      </c>
      <c r="AR277" s="29"/>
    </row>
    <row r="278" spans="1:44">
      <c r="A278" s="3" t="s">
        <v>120</v>
      </c>
      <c r="B278" s="8"/>
      <c r="C278" s="9">
        <v>1</v>
      </c>
      <c r="D278" s="10"/>
      <c r="E278" s="4">
        <f t="shared" si="66"/>
        <v>1</v>
      </c>
      <c r="F278" s="8"/>
      <c r="G278" s="9">
        <v>1</v>
      </c>
      <c r="H278" s="10"/>
      <c r="I278" s="4">
        <f t="shared" si="67"/>
        <v>1</v>
      </c>
      <c r="J278" s="43">
        <v>43686</v>
      </c>
      <c r="AI278" s="3"/>
      <c r="AJ278" s="8"/>
      <c r="AK278" s="9"/>
      <c r="AL278" s="10"/>
      <c r="AM278" s="4">
        <f t="shared" si="68"/>
        <v>0</v>
      </c>
      <c r="AN278" s="8"/>
      <c r="AO278" s="9"/>
      <c r="AP278" s="10"/>
      <c r="AQ278" s="4">
        <f t="shared" si="69"/>
        <v>0</v>
      </c>
      <c r="AR278" s="29"/>
    </row>
    <row r="279" spans="1:44">
      <c r="A279" s="3" t="s">
        <v>82</v>
      </c>
      <c r="B279" s="8">
        <v>10</v>
      </c>
      <c r="C279" s="9">
        <v>14</v>
      </c>
      <c r="D279" s="10">
        <v>10</v>
      </c>
      <c r="E279" s="7">
        <f t="shared" si="66"/>
        <v>34</v>
      </c>
      <c r="F279" s="8">
        <v>10</v>
      </c>
      <c r="G279" s="9">
        <v>14</v>
      </c>
      <c r="H279" s="10">
        <v>10</v>
      </c>
      <c r="I279" s="7">
        <f t="shared" si="67"/>
        <v>34</v>
      </c>
      <c r="J279" s="43">
        <v>43696</v>
      </c>
      <c r="AI279" s="3"/>
      <c r="AJ279" s="8"/>
      <c r="AK279" s="9"/>
      <c r="AL279" s="10"/>
      <c r="AM279" s="7">
        <f t="shared" si="68"/>
        <v>0</v>
      </c>
      <c r="AN279" s="8"/>
      <c r="AO279" s="9"/>
      <c r="AP279" s="10"/>
      <c r="AQ279" s="7">
        <f t="shared" si="69"/>
        <v>0</v>
      </c>
      <c r="AR279" s="29"/>
    </row>
    <row r="280" spans="1:44">
      <c r="A280" s="3" t="s">
        <v>22</v>
      </c>
      <c r="B280" s="8">
        <v>6</v>
      </c>
      <c r="C280" s="9">
        <v>4</v>
      </c>
      <c r="D280" s="10">
        <v>6</v>
      </c>
      <c r="E280" s="7">
        <f t="shared" si="66"/>
        <v>16</v>
      </c>
      <c r="F280" s="8">
        <v>6</v>
      </c>
      <c r="G280" s="9">
        <v>4</v>
      </c>
      <c r="H280" s="10">
        <v>6</v>
      </c>
      <c r="I280" s="7">
        <f t="shared" si="67"/>
        <v>16</v>
      </c>
      <c r="J280" s="43">
        <v>43699</v>
      </c>
      <c r="AI280" s="3"/>
      <c r="AJ280" s="8"/>
      <c r="AK280" s="9"/>
      <c r="AL280" s="10"/>
      <c r="AM280" s="7">
        <f t="shared" si="68"/>
        <v>0</v>
      </c>
      <c r="AN280" s="8"/>
      <c r="AO280" s="9"/>
      <c r="AP280" s="10"/>
      <c r="AQ280" s="7">
        <f t="shared" si="69"/>
        <v>0</v>
      </c>
    </row>
    <row r="281" spans="1:44">
      <c r="A281" s="3" t="s">
        <v>82</v>
      </c>
      <c r="B281" s="8">
        <v>4</v>
      </c>
      <c r="C281" s="9">
        <v>14</v>
      </c>
      <c r="D281" s="10">
        <v>4</v>
      </c>
      <c r="E281" s="7">
        <f t="shared" si="66"/>
        <v>22</v>
      </c>
      <c r="F281" s="8">
        <v>4</v>
      </c>
      <c r="G281" s="9">
        <v>14</v>
      </c>
      <c r="H281" s="10">
        <v>4</v>
      </c>
      <c r="I281" s="7">
        <f t="shared" si="67"/>
        <v>22</v>
      </c>
      <c r="J281" s="43">
        <v>43698</v>
      </c>
      <c r="AI281" s="3"/>
      <c r="AJ281" s="8"/>
      <c r="AK281" s="9"/>
      <c r="AL281" s="10"/>
      <c r="AM281" s="7">
        <f t="shared" si="68"/>
        <v>0</v>
      </c>
      <c r="AN281" s="8"/>
      <c r="AO281" s="9"/>
      <c r="AP281" s="10"/>
      <c r="AQ281" s="7">
        <f t="shared" si="69"/>
        <v>0</v>
      </c>
    </row>
    <row r="282" spans="1:44">
      <c r="A282" s="3" t="s">
        <v>82</v>
      </c>
      <c r="B282" s="8">
        <v>5</v>
      </c>
      <c r="C282" s="9">
        <v>8</v>
      </c>
      <c r="D282" s="10">
        <v>5</v>
      </c>
      <c r="E282" s="7">
        <f t="shared" si="66"/>
        <v>18</v>
      </c>
      <c r="F282" s="8">
        <v>5</v>
      </c>
      <c r="G282" s="9">
        <v>8</v>
      </c>
      <c r="H282" s="10">
        <v>5</v>
      </c>
      <c r="I282" s="7">
        <f t="shared" si="67"/>
        <v>18</v>
      </c>
      <c r="J282" s="43">
        <v>43699</v>
      </c>
      <c r="AI282" s="3"/>
      <c r="AJ282" s="8"/>
      <c r="AK282" s="9"/>
      <c r="AL282" s="10"/>
      <c r="AM282" s="7">
        <f t="shared" si="68"/>
        <v>0</v>
      </c>
      <c r="AN282" s="8"/>
      <c r="AO282" s="9"/>
      <c r="AP282" s="10"/>
      <c r="AQ282" s="7">
        <f t="shared" si="69"/>
        <v>0</v>
      </c>
    </row>
    <row r="283" spans="1:44">
      <c r="A283" s="3" t="s">
        <v>82</v>
      </c>
      <c r="B283" s="8">
        <v>8</v>
      </c>
      <c r="C283" s="9">
        <v>5</v>
      </c>
      <c r="D283" s="10">
        <v>6</v>
      </c>
      <c r="E283" s="7">
        <f t="shared" si="66"/>
        <v>19</v>
      </c>
      <c r="F283" s="8">
        <v>8</v>
      </c>
      <c r="G283" s="9">
        <v>5</v>
      </c>
      <c r="H283" s="10">
        <v>6</v>
      </c>
      <c r="I283" s="7">
        <f t="shared" si="67"/>
        <v>19</v>
      </c>
      <c r="J283" s="43">
        <v>43701</v>
      </c>
      <c r="AI283" s="3"/>
      <c r="AJ283" s="8"/>
      <c r="AK283" s="9"/>
      <c r="AL283" s="10"/>
      <c r="AM283" s="7">
        <f t="shared" si="68"/>
        <v>0</v>
      </c>
      <c r="AN283" s="8"/>
      <c r="AO283" s="9"/>
      <c r="AP283" s="10"/>
      <c r="AQ283" s="7">
        <f t="shared" si="69"/>
        <v>0</v>
      </c>
    </row>
    <row r="284" spans="1:44">
      <c r="A284" s="3" t="s">
        <v>82</v>
      </c>
      <c r="B284" s="8"/>
      <c r="C284" s="9">
        <v>8</v>
      </c>
      <c r="D284" s="10">
        <v>1</v>
      </c>
      <c r="E284" s="7">
        <f t="shared" si="66"/>
        <v>9</v>
      </c>
      <c r="F284" s="8"/>
      <c r="G284" s="9">
        <v>8</v>
      </c>
      <c r="H284" s="10">
        <v>1</v>
      </c>
      <c r="I284" s="7">
        <f t="shared" si="67"/>
        <v>9</v>
      </c>
      <c r="J284" s="43">
        <v>43705</v>
      </c>
      <c r="AI284" s="3"/>
      <c r="AJ284" s="8"/>
      <c r="AK284" s="9"/>
      <c r="AL284" s="10"/>
      <c r="AM284" s="7">
        <f t="shared" si="68"/>
        <v>0</v>
      </c>
      <c r="AN284" s="8"/>
      <c r="AO284" s="9"/>
      <c r="AP284" s="10"/>
      <c r="AQ284" s="7">
        <f t="shared" si="69"/>
        <v>0</v>
      </c>
    </row>
    <row r="285" spans="1:44">
      <c r="A285" s="3" t="s">
        <v>121</v>
      </c>
      <c r="B285" s="8"/>
      <c r="C285" s="9">
        <v>10</v>
      </c>
      <c r="D285" s="10"/>
      <c r="E285" s="7">
        <f t="shared" si="66"/>
        <v>10</v>
      </c>
      <c r="F285" s="8"/>
      <c r="G285" s="9">
        <v>10</v>
      </c>
      <c r="H285" s="10"/>
      <c r="I285" s="7">
        <f t="shared" si="67"/>
        <v>10</v>
      </c>
      <c r="J285" s="43">
        <v>43707</v>
      </c>
      <c r="AI285" s="3"/>
      <c r="AJ285" s="8"/>
      <c r="AK285" s="9"/>
      <c r="AL285" s="10"/>
      <c r="AM285" s="7">
        <f t="shared" si="68"/>
        <v>0</v>
      </c>
      <c r="AN285" s="8"/>
      <c r="AO285" s="9"/>
      <c r="AP285" s="10"/>
      <c r="AQ285" s="7">
        <f t="shared" si="69"/>
        <v>0</v>
      </c>
    </row>
    <row r="286" spans="1:44">
      <c r="A286" s="3" t="s">
        <v>82</v>
      </c>
      <c r="B286" s="8">
        <v>2</v>
      </c>
      <c r="C286" s="9">
        <v>9</v>
      </c>
      <c r="D286" s="10"/>
      <c r="E286" s="7">
        <f t="shared" si="66"/>
        <v>11</v>
      </c>
      <c r="F286" s="8">
        <v>2</v>
      </c>
      <c r="G286" s="9">
        <v>9</v>
      </c>
      <c r="H286" s="10"/>
      <c r="I286" s="7">
        <f t="shared" si="67"/>
        <v>11</v>
      </c>
      <c r="J286" s="43">
        <v>43711</v>
      </c>
      <c r="AI286" s="3"/>
      <c r="AJ286" s="8"/>
      <c r="AK286" s="9"/>
      <c r="AL286" s="10"/>
      <c r="AM286" s="7">
        <f t="shared" si="68"/>
        <v>0</v>
      </c>
      <c r="AN286" s="8"/>
      <c r="AO286" s="9"/>
      <c r="AP286" s="10"/>
      <c r="AQ286" s="7">
        <f t="shared" si="69"/>
        <v>0</v>
      </c>
    </row>
    <row r="287" spans="1:44">
      <c r="A287" s="3"/>
      <c r="B287" s="8"/>
      <c r="C287" s="9"/>
      <c r="D287" s="10"/>
      <c r="E287" s="7">
        <f t="shared" si="66"/>
        <v>0</v>
      </c>
      <c r="F287" s="8"/>
      <c r="G287" s="9"/>
      <c r="H287" s="10"/>
      <c r="I287" s="7">
        <f t="shared" si="67"/>
        <v>0</v>
      </c>
      <c r="J287" s="43"/>
      <c r="AI287" s="3"/>
      <c r="AJ287" s="8"/>
      <c r="AK287" s="9"/>
      <c r="AL287" s="10"/>
      <c r="AM287" s="7">
        <f t="shared" si="68"/>
        <v>0</v>
      </c>
      <c r="AN287" s="8"/>
      <c r="AO287" s="9"/>
      <c r="AP287" s="10"/>
      <c r="AQ287" s="7">
        <f t="shared" si="69"/>
        <v>0</v>
      </c>
    </row>
    <row r="288" spans="1:44">
      <c r="A288" s="3"/>
      <c r="B288" s="8"/>
      <c r="C288" s="9"/>
      <c r="D288" s="10"/>
      <c r="E288" s="7">
        <f t="shared" si="66"/>
        <v>0</v>
      </c>
      <c r="F288" s="8"/>
      <c r="G288" s="9"/>
      <c r="H288" s="10"/>
      <c r="I288" s="7">
        <f t="shared" si="67"/>
        <v>0</v>
      </c>
      <c r="J288" s="49"/>
      <c r="AI288" s="3"/>
      <c r="AJ288" s="8"/>
      <c r="AK288" s="9"/>
      <c r="AL288" s="10"/>
      <c r="AM288" s="7">
        <f t="shared" si="68"/>
        <v>0</v>
      </c>
      <c r="AN288" s="8"/>
      <c r="AO288" s="9"/>
      <c r="AP288" s="10"/>
      <c r="AQ288" s="7">
        <f t="shared" si="69"/>
        <v>0</v>
      </c>
    </row>
    <row r="289" spans="1:44">
      <c r="A289" s="3"/>
      <c r="B289" s="8"/>
      <c r="C289" s="9"/>
      <c r="D289" s="10"/>
      <c r="E289" s="7">
        <f t="shared" si="66"/>
        <v>0</v>
      </c>
      <c r="F289" s="8"/>
      <c r="G289" s="9"/>
      <c r="H289" s="10"/>
      <c r="I289" s="7">
        <f t="shared" si="67"/>
        <v>0</v>
      </c>
      <c r="J289" s="43"/>
      <c r="AI289" s="3"/>
      <c r="AJ289" s="8"/>
      <c r="AK289" s="9"/>
      <c r="AL289" s="10"/>
      <c r="AM289" s="7">
        <f t="shared" si="68"/>
        <v>0</v>
      </c>
      <c r="AN289" s="8"/>
      <c r="AO289" s="9"/>
      <c r="AP289" s="10"/>
      <c r="AQ289" s="7">
        <f t="shared" si="69"/>
        <v>0</v>
      </c>
      <c r="AR289" s="29"/>
    </row>
    <row r="290" spans="1:44">
      <c r="A290" s="3"/>
      <c r="B290" s="8"/>
      <c r="C290" s="9"/>
      <c r="D290" s="10"/>
      <c r="E290" s="7">
        <f t="shared" si="66"/>
        <v>0</v>
      </c>
      <c r="F290" s="8"/>
      <c r="G290" s="9"/>
      <c r="H290" s="10"/>
      <c r="I290" s="7">
        <f t="shared" si="67"/>
        <v>0</v>
      </c>
      <c r="J290" s="43"/>
      <c r="AI290" s="11"/>
      <c r="AJ290" s="8"/>
      <c r="AK290" s="9"/>
      <c r="AL290" s="10"/>
      <c r="AM290" s="7">
        <f t="shared" si="68"/>
        <v>0</v>
      </c>
      <c r="AN290" s="8"/>
      <c r="AO290" s="9"/>
      <c r="AP290" s="10"/>
      <c r="AQ290" s="7">
        <f t="shared" si="69"/>
        <v>0</v>
      </c>
      <c r="AR290" s="29"/>
    </row>
    <row r="291" spans="1:44">
      <c r="A291" s="3"/>
      <c r="B291" s="8"/>
      <c r="C291" s="9"/>
      <c r="D291" s="10"/>
      <c r="E291" s="7">
        <f t="shared" si="66"/>
        <v>0</v>
      </c>
      <c r="F291" s="8"/>
      <c r="G291" s="9"/>
      <c r="H291" s="10"/>
      <c r="I291" s="7">
        <f t="shared" si="67"/>
        <v>0</v>
      </c>
      <c r="J291" s="29"/>
      <c r="AI291" s="3"/>
      <c r="AJ291" s="8"/>
      <c r="AK291" s="9"/>
      <c r="AL291" s="10"/>
      <c r="AM291" s="7">
        <f t="shared" si="68"/>
        <v>0</v>
      </c>
      <c r="AN291" s="8"/>
      <c r="AO291" s="9"/>
      <c r="AP291" s="10"/>
      <c r="AQ291" s="7">
        <f t="shared" si="69"/>
        <v>0</v>
      </c>
      <c r="AR291" s="43"/>
    </row>
    <row r="292" spans="1:44">
      <c r="A292" s="11" t="s">
        <v>114</v>
      </c>
      <c r="B292" s="8"/>
      <c r="C292" s="9"/>
      <c r="D292" s="10"/>
      <c r="E292" s="7">
        <f t="shared" ref="E292:E293" si="72">SUM(B292:D292)</f>
        <v>0</v>
      </c>
      <c r="F292" s="8"/>
      <c r="G292" s="9"/>
      <c r="H292" s="10"/>
      <c r="I292" s="7">
        <f t="shared" ref="I292:I293" si="73">SUM(F292:H292)</f>
        <v>0</v>
      </c>
      <c r="J292" s="29" t="s">
        <v>115</v>
      </c>
      <c r="AI292" s="11"/>
      <c r="AJ292" s="8"/>
      <c r="AK292" s="9"/>
      <c r="AL292" s="10"/>
      <c r="AM292" s="7">
        <f t="shared" si="68"/>
        <v>0</v>
      </c>
      <c r="AN292" s="8"/>
      <c r="AO292" s="9"/>
      <c r="AP292" s="10"/>
      <c r="AQ292" s="7">
        <f t="shared" si="69"/>
        <v>0</v>
      </c>
      <c r="AR292" s="29"/>
    </row>
    <row r="293" spans="1:44">
      <c r="A293" s="11" t="s">
        <v>123</v>
      </c>
      <c r="B293" s="8"/>
      <c r="C293" s="9"/>
      <c r="D293" s="10"/>
      <c r="E293" s="7">
        <f t="shared" si="72"/>
        <v>0</v>
      </c>
      <c r="F293" s="8"/>
      <c r="G293" s="9"/>
      <c r="H293" s="10"/>
      <c r="I293" s="7">
        <f t="shared" si="73"/>
        <v>0</v>
      </c>
      <c r="J293" s="29" t="s">
        <v>124</v>
      </c>
      <c r="AI293" s="11"/>
      <c r="AJ293" s="8"/>
      <c r="AK293" s="9"/>
      <c r="AL293" s="10"/>
      <c r="AM293" s="7">
        <f t="shared" si="68"/>
        <v>0</v>
      </c>
      <c r="AN293" s="8"/>
      <c r="AO293" s="9"/>
      <c r="AP293" s="10"/>
      <c r="AQ293" s="7">
        <f t="shared" si="69"/>
        <v>0</v>
      </c>
      <c r="AR293" s="29"/>
    </row>
    <row r="294" spans="1:44">
      <c r="A294" s="11" t="s">
        <v>110</v>
      </c>
      <c r="B294" s="8"/>
      <c r="C294" s="9"/>
      <c r="D294" s="10"/>
      <c r="E294" s="7">
        <f t="shared" ref="E294:E295" si="74">SUM(B294:D294)</f>
        <v>0</v>
      </c>
      <c r="F294" s="8"/>
      <c r="G294" s="9"/>
      <c r="H294" s="10"/>
      <c r="I294" s="7">
        <f t="shared" ref="I294:I295" si="75">SUM(F294:H294)</f>
        <v>0</v>
      </c>
      <c r="J294" s="29" t="s">
        <v>111</v>
      </c>
      <c r="AI294" s="11"/>
      <c r="AJ294" s="8"/>
      <c r="AK294" s="9"/>
      <c r="AL294" s="10"/>
      <c r="AM294" s="7">
        <f t="shared" si="68"/>
        <v>0</v>
      </c>
      <c r="AN294" s="8"/>
      <c r="AO294" s="9"/>
      <c r="AP294" s="10"/>
      <c r="AQ294" s="7">
        <f t="shared" si="69"/>
        <v>0</v>
      </c>
      <c r="AR294" s="43"/>
    </row>
    <row r="295" spans="1:44">
      <c r="A295" s="11" t="s">
        <v>108</v>
      </c>
      <c r="B295" s="8"/>
      <c r="C295" s="9"/>
      <c r="D295" s="10"/>
      <c r="E295" s="7">
        <f t="shared" si="74"/>
        <v>0</v>
      </c>
      <c r="F295" s="8"/>
      <c r="G295" s="9"/>
      <c r="H295" s="10"/>
      <c r="I295" s="7">
        <f t="shared" si="75"/>
        <v>0</v>
      </c>
      <c r="J295" s="29" t="s">
        <v>109</v>
      </c>
      <c r="AI295" s="11"/>
      <c r="AJ295" s="8"/>
      <c r="AK295" s="9"/>
      <c r="AL295" s="10"/>
      <c r="AM295" s="7">
        <f t="shared" si="68"/>
        <v>0</v>
      </c>
      <c r="AN295" s="8"/>
      <c r="AO295" s="9"/>
      <c r="AP295" s="10"/>
      <c r="AQ295" s="7">
        <f t="shared" si="69"/>
        <v>0</v>
      </c>
      <c r="AR295" s="50"/>
    </row>
    <row r="296" spans="1:44">
      <c r="A296" s="11" t="s">
        <v>103</v>
      </c>
      <c r="B296" s="8"/>
      <c r="C296" s="9"/>
      <c r="D296" s="10"/>
      <c r="E296" s="7">
        <f t="shared" si="66"/>
        <v>0</v>
      </c>
      <c r="F296" s="8"/>
      <c r="G296" s="9"/>
      <c r="H296" s="10"/>
      <c r="I296" s="7">
        <f t="shared" si="67"/>
        <v>0</v>
      </c>
      <c r="J296" s="43">
        <v>43678</v>
      </c>
      <c r="AI296" s="3"/>
      <c r="AJ296" s="8"/>
      <c r="AK296" s="9"/>
      <c r="AL296" s="10"/>
      <c r="AM296" s="7">
        <f t="shared" si="68"/>
        <v>0</v>
      </c>
      <c r="AN296" s="8"/>
      <c r="AO296" s="9"/>
      <c r="AP296" s="10"/>
      <c r="AQ296" s="7">
        <f t="shared" si="69"/>
        <v>0</v>
      </c>
      <c r="AR296" s="50"/>
    </row>
    <row r="297" spans="1:44" ht="14.25" thickBot="1">
      <c r="A297" s="3" t="s">
        <v>112</v>
      </c>
      <c r="B297" s="8"/>
      <c r="C297" s="9"/>
      <c r="D297" s="10"/>
      <c r="E297" s="7">
        <f t="shared" si="66"/>
        <v>0</v>
      </c>
      <c r="F297" s="8"/>
      <c r="G297" s="9"/>
      <c r="H297" s="10"/>
      <c r="I297" s="7">
        <f t="shared" si="67"/>
        <v>0</v>
      </c>
      <c r="J297" s="29" t="s">
        <v>116</v>
      </c>
      <c r="AI297" s="3"/>
      <c r="AJ297" s="8"/>
      <c r="AK297" s="9"/>
      <c r="AL297" s="10"/>
      <c r="AM297" s="7">
        <f t="shared" si="68"/>
        <v>0</v>
      </c>
      <c r="AN297" s="8"/>
      <c r="AO297" s="9"/>
      <c r="AP297" s="10"/>
      <c r="AQ297" s="7">
        <f t="shared" si="69"/>
        <v>0</v>
      </c>
      <c r="AR297" s="43"/>
    </row>
    <row r="298" spans="1:44" ht="14.25" thickBot="1">
      <c r="A298" s="2" t="s">
        <v>5</v>
      </c>
      <c r="B298" s="14">
        <f>SUM(B274:B297)</f>
        <v>64</v>
      </c>
      <c r="C298" s="14">
        <f>SUM(C274:C297)</f>
        <v>95</v>
      </c>
      <c r="D298" s="14">
        <f>SUM(D274:D297)</f>
        <v>54</v>
      </c>
      <c r="E298" s="15">
        <f t="shared" si="66"/>
        <v>213</v>
      </c>
      <c r="F298" s="14">
        <f>SUM(F274:F297)</f>
        <v>64</v>
      </c>
      <c r="G298" s="14">
        <f>SUM(G274:G297)</f>
        <v>95</v>
      </c>
      <c r="H298" s="14">
        <f>SUM(H274:H297)</f>
        <v>54</v>
      </c>
      <c r="I298" s="15">
        <f t="shared" si="67"/>
        <v>213</v>
      </c>
      <c r="AI298" s="2" t="s">
        <v>5</v>
      </c>
      <c r="AJ298" s="14">
        <f>SUM(AJ274:AJ297)</f>
        <v>0</v>
      </c>
      <c r="AK298" s="14">
        <f>SUM(AK274:AK297)</f>
        <v>0</v>
      </c>
      <c r="AL298" s="14">
        <f>SUM(AL274:AL297)</f>
        <v>0</v>
      </c>
      <c r="AM298" s="15">
        <f t="shared" si="68"/>
        <v>0</v>
      </c>
      <c r="AN298" s="14">
        <f>SUM(AN274:AN297)</f>
        <v>0</v>
      </c>
      <c r="AO298" s="14">
        <f>SUM(AO274:AO297)</f>
        <v>0</v>
      </c>
      <c r="AP298" s="14">
        <f>SUM(AP274:AP297)</f>
        <v>0</v>
      </c>
      <c r="AQ298" s="15">
        <f t="shared" si="69"/>
        <v>0</v>
      </c>
    </row>
    <row r="299" spans="1:44" ht="14.25" thickBot="1">
      <c r="A299" s="27" t="s">
        <v>6</v>
      </c>
      <c r="B299" s="28">
        <f>B273-B298</f>
        <v>70</v>
      </c>
      <c r="C299" s="28">
        <f t="shared" ref="C299:E299" si="76">C273-C298</f>
        <v>45</v>
      </c>
      <c r="D299" s="28">
        <f t="shared" si="76"/>
        <v>46</v>
      </c>
      <c r="E299" s="28">
        <f t="shared" si="76"/>
        <v>161</v>
      </c>
      <c r="F299" s="28">
        <f>F273-F298</f>
        <v>70</v>
      </c>
      <c r="G299" s="28">
        <f t="shared" ref="G299:I299" si="77">G273-G298</f>
        <v>45</v>
      </c>
      <c r="H299" s="28">
        <f t="shared" si="77"/>
        <v>46</v>
      </c>
      <c r="I299" s="26">
        <f t="shared" si="77"/>
        <v>161</v>
      </c>
      <c r="AI299" s="27" t="s">
        <v>6</v>
      </c>
      <c r="AJ299" s="28">
        <f>AJ273-AJ298</f>
        <v>70</v>
      </c>
      <c r="AK299" s="28">
        <f t="shared" ref="AK299:AM299" si="78">AK273-AK298</f>
        <v>110</v>
      </c>
      <c r="AL299" s="28">
        <f t="shared" si="78"/>
        <v>70</v>
      </c>
      <c r="AM299" s="28">
        <f t="shared" si="78"/>
        <v>250</v>
      </c>
      <c r="AN299" s="28">
        <f>AN273-AN298</f>
        <v>70</v>
      </c>
      <c r="AO299" s="28">
        <f t="shared" ref="AO299:AQ299" si="79">AO273-AO298</f>
        <v>110</v>
      </c>
      <c r="AP299" s="28">
        <f t="shared" si="79"/>
        <v>70</v>
      </c>
      <c r="AQ299" s="26">
        <f t="shared" si="79"/>
        <v>250</v>
      </c>
    </row>
    <row r="300" spans="1:44">
      <c r="B300">
        <f>B298+B255+B212+B169+B126+B83+B40:C40</f>
        <v>811</v>
      </c>
      <c r="C300">
        <f t="shared" ref="C300:E300" si="80">C298+C255+C212+C169+C126+C83+C40:D40</f>
        <v>1055</v>
      </c>
      <c r="D300">
        <f t="shared" si="80"/>
        <v>718</v>
      </c>
      <c r="E300">
        <f t="shared" si="80"/>
        <v>2584</v>
      </c>
    </row>
    <row r="301" spans="1:44">
      <c r="B301" s="67">
        <f>B300/$E$300*100</f>
        <v>31.38544891640867</v>
      </c>
      <c r="C301" s="67">
        <f t="shared" ref="C301:E301" si="81">C300/$E$300*100</f>
        <v>40.828173374613002</v>
      </c>
      <c r="D301" s="67">
        <f t="shared" si="81"/>
        <v>27.786377708978328</v>
      </c>
      <c r="E301" s="67">
        <f t="shared" si="81"/>
        <v>100</v>
      </c>
    </row>
    <row r="302" spans="1:44" ht="21.75" thickBot="1">
      <c r="A302" s="33" t="s">
        <v>15</v>
      </c>
      <c r="B302" s="34"/>
      <c r="C302" s="34"/>
      <c r="D302" s="34"/>
      <c r="E302" s="34"/>
      <c r="F302" s="35"/>
      <c r="G302" s="35"/>
      <c r="H302" s="35"/>
      <c r="I302" s="35"/>
      <c r="K302" s="33" t="s">
        <v>125</v>
      </c>
      <c r="L302" s="34"/>
      <c r="M302" s="34"/>
      <c r="N302" s="34"/>
      <c r="O302" s="34"/>
      <c r="P302" s="35"/>
      <c r="Q302" s="35"/>
      <c r="R302" s="35"/>
      <c r="S302" s="35"/>
      <c r="AI302" s="33" t="s">
        <v>87</v>
      </c>
      <c r="AJ302" s="34"/>
      <c r="AK302" s="34"/>
      <c r="AL302" s="34"/>
      <c r="AM302" s="34"/>
      <c r="AN302" s="35"/>
      <c r="AO302" s="35"/>
      <c r="AP302" s="35"/>
      <c r="AQ302" s="35"/>
    </row>
    <row r="303" spans="1:44" ht="14.25" thickBot="1">
      <c r="A303" s="1" t="s">
        <v>0</v>
      </c>
      <c r="B303" s="182" t="s">
        <v>17</v>
      </c>
      <c r="C303" s="182"/>
      <c r="D303" s="182"/>
      <c r="E303" s="183"/>
      <c r="F303" s="182" t="s">
        <v>13</v>
      </c>
      <c r="G303" s="182"/>
      <c r="H303" s="182"/>
      <c r="I303" s="183"/>
      <c r="K303" s="1" t="s">
        <v>0</v>
      </c>
      <c r="L303" s="182" t="s">
        <v>17</v>
      </c>
      <c r="M303" s="182"/>
      <c r="N303" s="182"/>
      <c r="O303" s="183"/>
      <c r="P303" s="182" t="s">
        <v>13</v>
      </c>
      <c r="Q303" s="182"/>
      <c r="R303" s="182"/>
      <c r="S303" s="183"/>
      <c r="AI303" s="1" t="s">
        <v>0</v>
      </c>
      <c r="AJ303" s="182" t="s">
        <v>17</v>
      </c>
      <c r="AK303" s="182"/>
      <c r="AL303" s="182"/>
      <c r="AM303" s="183"/>
      <c r="AN303" s="182" t="s">
        <v>13</v>
      </c>
      <c r="AO303" s="182"/>
      <c r="AP303" s="182"/>
      <c r="AQ303" s="183"/>
    </row>
    <row r="304" spans="1:44" ht="14.25" thickBot="1">
      <c r="A304" s="1" t="s">
        <v>1</v>
      </c>
      <c r="B304" s="2" t="s">
        <v>8</v>
      </c>
      <c r="C304" s="1" t="s">
        <v>9</v>
      </c>
      <c r="D304" s="19" t="s">
        <v>10</v>
      </c>
      <c r="E304" s="1" t="s">
        <v>2</v>
      </c>
      <c r="F304" s="2" t="s">
        <v>8</v>
      </c>
      <c r="G304" s="1" t="s">
        <v>9</v>
      </c>
      <c r="H304" s="19" t="s">
        <v>10</v>
      </c>
      <c r="I304" s="1" t="s">
        <v>2</v>
      </c>
      <c r="K304" s="1" t="s">
        <v>1</v>
      </c>
      <c r="L304" s="2" t="s">
        <v>8</v>
      </c>
      <c r="M304" s="1" t="s">
        <v>9</v>
      </c>
      <c r="N304" s="19" t="s">
        <v>10</v>
      </c>
      <c r="O304" s="1" t="s">
        <v>2</v>
      </c>
      <c r="P304" s="2" t="s">
        <v>8</v>
      </c>
      <c r="Q304" s="1" t="s">
        <v>9</v>
      </c>
      <c r="R304" s="19" t="s">
        <v>10</v>
      </c>
      <c r="S304" s="1" t="s">
        <v>2</v>
      </c>
      <c r="AI304" s="1" t="s">
        <v>1</v>
      </c>
      <c r="AJ304" s="2" t="s">
        <v>8</v>
      </c>
      <c r="AK304" s="1" t="s">
        <v>9</v>
      </c>
      <c r="AL304" s="19" t="s">
        <v>10</v>
      </c>
      <c r="AM304" s="1" t="s">
        <v>2</v>
      </c>
      <c r="AN304" s="2" t="s">
        <v>8</v>
      </c>
      <c r="AO304" s="1" t="s">
        <v>9</v>
      </c>
      <c r="AP304" s="19" t="s">
        <v>10</v>
      </c>
      <c r="AQ304" s="1" t="s">
        <v>2</v>
      </c>
    </row>
    <row r="305" spans="1:44" ht="14.25" thickBot="1">
      <c r="A305" s="21" t="s">
        <v>7</v>
      </c>
      <c r="B305" s="18">
        <f>B299</f>
        <v>70</v>
      </c>
      <c r="C305" s="22">
        <f>C299</f>
        <v>45</v>
      </c>
      <c r="D305" s="22">
        <f>D299</f>
        <v>46</v>
      </c>
      <c r="E305" s="17">
        <f t="shared" ref="E305:E341" si="82">SUM(B305:D305)</f>
        <v>161</v>
      </c>
      <c r="F305" s="22">
        <f>F299</f>
        <v>70</v>
      </c>
      <c r="G305" s="22">
        <f>G299</f>
        <v>45</v>
      </c>
      <c r="H305" s="22">
        <f>H299</f>
        <v>46</v>
      </c>
      <c r="I305" s="17">
        <f t="shared" ref="I305:I341" si="83">SUM(F305:H305)</f>
        <v>161</v>
      </c>
      <c r="K305" s="21" t="s">
        <v>7</v>
      </c>
      <c r="L305" s="18">
        <f>L299</f>
        <v>0</v>
      </c>
      <c r="M305" s="22">
        <f>M299</f>
        <v>0</v>
      </c>
      <c r="N305" s="22">
        <f>N299</f>
        <v>0</v>
      </c>
      <c r="O305" s="17">
        <f t="shared" ref="O305:O341" si="84">SUM(L305:N305)</f>
        <v>0</v>
      </c>
      <c r="P305" s="22">
        <f>P299</f>
        <v>0</v>
      </c>
      <c r="Q305" s="22">
        <f>Q299</f>
        <v>0</v>
      </c>
      <c r="R305" s="22">
        <f>R299</f>
        <v>0</v>
      </c>
      <c r="S305" s="17">
        <f t="shared" ref="S305:S341" si="85">SUM(P305:R305)</f>
        <v>0</v>
      </c>
      <c r="AI305" s="52" t="s">
        <v>7</v>
      </c>
      <c r="AJ305" s="53">
        <f>AJ299</f>
        <v>70</v>
      </c>
      <c r="AK305" s="23">
        <f>AK299</f>
        <v>110</v>
      </c>
      <c r="AL305" s="23">
        <f>AL299</f>
        <v>70</v>
      </c>
      <c r="AM305" s="26">
        <f t="shared" ref="AM305:AM341" si="86">SUM(AJ305:AL305)</f>
        <v>250</v>
      </c>
      <c r="AN305" s="23">
        <f>AN299</f>
        <v>70</v>
      </c>
      <c r="AO305" s="23">
        <f>AO299</f>
        <v>110</v>
      </c>
      <c r="AP305" s="23">
        <f>AP299</f>
        <v>70</v>
      </c>
      <c r="AQ305" s="26">
        <f t="shared" ref="AQ305:AQ341" si="87">SUM(AN305:AP305)</f>
        <v>250</v>
      </c>
    </row>
    <row r="306" spans="1:44">
      <c r="A306" s="5" t="s">
        <v>3</v>
      </c>
      <c r="B306" s="30"/>
      <c r="C306" s="31"/>
      <c r="D306" s="32"/>
      <c r="E306" s="4">
        <f t="shared" ref="E306" si="88">SUM(B306:D306)</f>
        <v>0</v>
      </c>
      <c r="F306" s="30"/>
      <c r="G306" s="31"/>
      <c r="H306" s="32"/>
      <c r="I306" s="4">
        <f t="shared" ref="I306" si="89">SUM(F306:H306)</f>
        <v>0</v>
      </c>
      <c r="J306" s="49"/>
      <c r="K306" s="5" t="s">
        <v>3</v>
      </c>
      <c r="L306" s="57"/>
      <c r="M306" s="58"/>
      <c r="N306" s="57"/>
      <c r="O306" s="4">
        <f t="shared" si="84"/>
        <v>0</v>
      </c>
      <c r="P306" s="57"/>
      <c r="Q306" s="58"/>
      <c r="R306" s="57"/>
      <c r="S306" s="4">
        <f t="shared" si="85"/>
        <v>0</v>
      </c>
      <c r="AI306" s="5" t="s">
        <v>3</v>
      </c>
      <c r="AJ306" s="16"/>
      <c r="AK306" s="11"/>
      <c r="AL306" s="16"/>
      <c r="AM306" s="4">
        <f t="shared" si="86"/>
        <v>0</v>
      </c>
      <c r="AN306" s="16"/>
      <c r="AO306" s="11"/>
      <c r="AP306" s="16"/>
      <c r="AQ306" s="4">
        <f t="shared" si="87"/>
        <v>0</v>
      </c>
    </row>
    <row r="307" spans="1:44">
      <c r="A307" s="5" t="s">
        <v>3</v>
      </c>
      <c r="B307" s="30">
        <v>70</v>
      </c>
      <c r="C307" s="31">
        <v>110</v>
      </c>
      <c r="D307" s="32">
        <v>70</v>
      </c>
      <c r="E307" s="4">
        <v>250</v>
      </c>
      <c r="F307" s="30">
        <v>70</v>
      </c>
      <c r="G307" s="31">
        <v>110</v>
      </c>
      <c r="H307" s="32">
        <v>70</v>
      </c>
      <c r="I307" s="4">
        <v>250</v>
      </c>
      <c r="J307" s="43" t="s">
        <v>122</v>
      </c>
      <c r="K307" s="5" t="s">
        <v>3</v>
      </c>
      <c r="L307" s="30">
        <v>30</v>
      </c>
      <c r="M307" s="31">
        <v>78</v>
      </c>
      <c r="N307" s="32">
        <v>24</v>
      </c>
      <c r="O307" s="4">
        <v>132</v>
      </c>
      <c r="P307" s="30">
        <v>30</v>
      </c>
      <c r="Q307" s="31">
        <v>78</v>
      </c>
      <c r="R307" s="32">
        <v>24</v>
      </c>
      <c r="S307" s="4">
        <v>132</v>
      </c>
      <c r="T307" s="43" t="s">
        <v>126</v>
      </c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5" t="s">
        <v>3</v>
      </c>
      <c r="AJ307" s="16"/>
      <c r="AK307" s="11"/>
      <c r="AL307" s="16"/>
      <c r="AM307" s="4">
        <f t="shared" si="86"/>
        <v>0</v>
      </c>
      <c r="AN307" s="16"/>
      <c r="AO307" s="11"/>
      <c r="AP307" s="16"/>
      <c r="AQ307" s="4">
        <f t="shared" si="87"/>
        <v>0</v>
      </c>
    </row>
    <row r="308" spans="1:44">
      <c r="A308" s="5" t="s">
        <v>78</v>
      </c>
      <c r="B308" s="30"/>
      <c r="C308" s="31"/>
      <c r="D308" s="32">
        <v>4</v>
      </c>
      <c r="E308" s="4">
        <f t="shared" ref="E308" si="90">SUM(B308:D308)</f>
        <v>4</v>
      </c>
      <c r="F308" s="30"/>
      <c r="G308" s="31"/>
      <c r="H308" s="32">
        <v>4</v>
      </c>
      <c r="I308" s="4">
        <f t="shared" ref="I308" si="91">SUM(F308:H308)</f>
        <v>4</v>
      </c>
      <c r="J308" s="49">
        <v>43715</v>
      </c>
      <c r="K308" s="5" t="s">
        <v>3</v>
      </c>
      <c r="L308" s="30">
        <v>20</v>
      </c>
      <c r="M308" s="31">
        <v>50</v>
      </c>
      <c r="N308" s="32">
        <v>75</v>
      </c>
      <c r="O308" s="4">
        <v>145</v>
      </c>
      <c r="P308" s="30">
        <v>20</v>
      </c>
      <c r="Q308" s="31">
        <v>50</v>
      </c>
      <c r="R308" s="32">
        <v>75</v>
      </c>
      <c r="S308" s="4">
        <v>145</v>
      </c>
      <c r="T308" s="48" t="s">
        <v>126</v>
      </c>
      <c r="AI308" s="5" t="s">
        <v>3</v>
      </c>
      <c r="AJ308" s="8"/>
      <c r="AK308" s="9"/>
      <c r="AL308" s="10"/>
      <c r="AM308" s="4">
        <f t="shared" si="86"/>
        <v>0</v>
      </c>
      <c r="AN308" s="8"/>
      <c r="AO308" s="9"/>
      <c r="AP308" s="10"/>
      <c r="AQ308" s="4">
        <f t="shared" si="87"/>
        <v>0</v>
      </c>
    </row>
    <row r="309" spans="1:44">
      <c r="A309" s="5" t="s">
        <v>37</v>
      </c>
      <c r="B309" s="16">
        <v>2</v>
      </c>
      <c r="C309" s="11"/>
      <c r="D309" s="16">
        <v>4</v>
      </c>
      <c r="E309" s="4">
        <f t="shared" si="82"/>
        <v>6</v>
      </c>
      <c r="F309" s="16">
        <v>2</v>
      </c>
      <c r="G309" s="11"/>
      <c r="H309" s="16">
        <v>4</v>
      </c>
      <c r="I309" s="4">
        <f t="shared" si="83"/>
        <v>6</v>
      </c>
      <c r="J309" s="43">
        <v>43734</v>
      </c>
      <c r="K309" s="5" t="s">
        <v>3</v>
      </c>
      <c r="L309" s="16">
        <v>6</v>
      </c>
      <c r="M309" s="11">
        <v>5</v>
      </c>
      <c r="N309" s="16">
        <v>5</v>
      </c>
      <c r="O309" s="4">
        <f t="shared" si="84"/>
        <v>16</v>
      </c>
      <c r="P309" s="16">
        <v>6</v>
      </c>
      <c r="Q309" s="11">
        <v>5</v>
      </c>
      <c r="R309" s="16">
        <v>5</v>
      </c>
      <c r="S309" s="4">
        <f t="shared" si="85"/>
        <v>16</v>
      </c>
      <c r="T309" s="43">
        <v>43727</v>
      </c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43"/>
      <c r="AI309" s="5" t="s">
        <v>3</v>
      </c>
      <c r="AJ309" s="16"/>
      <c r="AK309" s="11"/>
      <c r="AL309" s="16"/>
      <c r="AM309" s="4">
        <f t="shared" si="86"/>
        <v>0</v>
      </c>
      <c r="AN309" s="16"/>
      <c r="AO309" s="11"/>
      <c r="AP309" s="16"/>
      <c r="AQ309" s="4">
        <f t="shared" si="87"/>
        <v>0</v>
      </c>
    </row>
    <row r="310" spans="1:44">
      <c r="A310" s="5" t="s">
        <v>79</v>
      </c>
      <c r="B310" s="16">
        <v>5</v>
      </c>
      <c r="C310" s="11">
        <v>7</v>
      </c>
      <c r="D310" s="16">
        <v>4</v>
      </c>
      <c r="E310" s="4">
        <f t="shared" si="82"/>
        <v>16</v>
      </c>
      <c r="F310" s="16">
        <v>5</v>
      </c>
      <c r="G310" s="11">
        <v>7</v>
      </c>
      <c r="H310" s="16">
        <v>4</v>
      </c>
      <c r="I310" s="4">
        <f t="shared" si="83"/>
        <v>16</v>
      </c>
      <c r="J310" s="49">
        <v>43753</v>
      </c>
      <c r="K310" s="5" t="s">
        <v>129</v>
      </c>
      <c r="L310" s="16">
        <v>70</v>
      </c>
      <c r="M310" s="11"/>
      <c r="N310" s="16">
        <v>45</v>
      </c>
      <c r="O310" s="4">
        <f t="shared" si="84"/>
        <v>115</v>
      </c>
      <c r="P310" s="16">
        <v>70</v>
      </c>
      <c r="Q310" s="11"/>
      <c r="R310" s="16">
        <v>45</v>
      </c>
      <c r="S310" s="4">
        <f t="shared" si="85"/>
        <v>115</v>
      </c>
      <c r="T310" s="49">
        <v>43729</v>
      </c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49"/>
      <c r="AI310" s="5" t="s">
        <v>3</v>
      </c>
      <c r="AJ310" s="16"/>
      <c r="AK310" s="11"/>
      <c r="AL310" s="16"/>
      <c r="AM310" s="4">
        <f t="shared" si="86"/>
        <v>0</v>
      </c>
      <c r="AN310" s="16"/>
      <c r="AO310" s="11"/>
      <c r="AP310" s="16"/>
      <c r="AQ310" s="4">
        <f t="shared" si="87"/>
        <v>0</v>
      </c>
    </row>
    <row r="311" spans="1:44">
      <c r="A311" s="5" t="s">
        <v>78</v>
      </c>
      <c r="B311" s="16">
        <v>4</v>
      </c>
      <c r="C311" s="11"/>
      <c r="D311" s="16">
        <v>2</v>
      </c>
      <c r="E311" s="4">
        <f t="shared" si="82"/>
        <v>6</v>
      </c>
      <c r="F311" s="16">
        <v>4</v>
      </c>
      <c r="G311" s="11"/>
      <c r="H311" s="16">
        <v>2</v>
      </c>
      <c r="I311" s="4">
        <f t="shared" si="83"/>
        <v>6</v>
      </c>
      <c r="J311" s="49">
        <v>43785</v>
      </c>
      <c r="K311" s="5" t="s">
        <v>129</v>
      </c>
      <c r="L311" s="16">
        <v>40</v>
      </c>
      <c r="M311" s="11">
        <v>125</v>
      </c>
      <c r="N311" s="16"/>
      <c r="O311" s="4">
        <f t="shared" si="84"/>
        <v>165</v>
      </c>
      <c r="P311" s="16">
        <v>40</v>
      </c>
      <c r="Q311" s="11">
        <v>125</v>
      </c>
      <c r="R311" s="16"/>
      <c r="S311" s="4">
        <f t="shared" si="85"/>
        <v>165</v>
      </c>
      <c r="T311" s="49">
        <v>43785</v>
      </c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49"/>
      <c r="AI311" s="5" t="s">
        <v>3</v>
      </c>
      <c r="AJ311" s="16"/>
      <c r="AK311" s="11"/>
      <c r="AL311" s="16"/>
      <c r="AM311" s="4">
        <f t="shared" si="86"/>
        <v>0</v>
      </c>
      <c r="AN311" s="16"/>
      <c r="AO311" s="11"/>
      <c r="AP311" s="16"/>
      <c r="AQ311" s="4">
        <f t="shared" si="87"/>
        <v>0</v>
      </c>
    </row>
    <row r="312" spans="1:44">
      <c r="A312" s="5" t="s">
        <v>79</v>
      </c>
      <c r="B312" s="32">
        <v>2</v>
      </c>
      <c r="C312" s="31"/>
      <c r="D312" s="32"/>
      <c r="E312" s="4">
        <f t="shared" si="82"/>
        <v>2</v>
      </c>
      <c r="F312" s="32">
        <v>2</v>
      </c>
      <c r="G312" s="31"/>
      <c r="H312" s="32"/>
      <c r="I312" s="4">
        <f t="shared" si="83"/>
        <v>2</v>
      </c>
      <c r="J312" s="49">
        <v>43794</v>
      </c>
      <c r="K312" s="5" t="s">
        <v>3</v>
      </c>
      <c r="L312" s="32"/>
      <c r="M312" s="31"/>
      <c r="N312" s="32"/>
      <c r="O312" s="4">
        <f t="shared" si="84"/>
        <v>0</v>
      </c>
      <c r="P312" s="32"/>
      <c r="Q312" s="31"/>
      <c r="R312" s="32"/>
      <c r="S312" s="4">
        <f t="shared" si="85"/>
        <v>0</v>
      </c>
      <c r="T312" s="43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43"/>
      <c r="AI312" s="5" t="s">
        <v>3</v>
      </c>
      <c r="AJ312" s="10"/>
      <c r="AK312" s="9"/>
      <c r="AL312" s="10"/>
      <c r="AM312" s="4">
        <f t="shared" si="86"/>
        <v>0</v>
      </c>
      <c r="AN312" s="10"/>
      <c r="AO312" s="9"/>
      <c r="AP312" s="10"/>
      <c r="AQ312" s="4">
        <f t="shared" si="87"/>
        <v>0</v>
      </c>
    </row>
    <row r="313" spans="1:44">
      <c r="A313" s="5" t="s">
        <v>3</v>
      </c>
      <c r="B313" s="32"/>
      <c r="C313" s="31"/>
      <c r="D313" s="32"/>
      <c r="E313" s="4">
        <f t="shared" si="82"/>
        <v>0</v>
      </c>
      <c r="F313" s="32"/>
      <c r="G313" s="31"/>
      <c r="H313" s="32"/>
      <c r="I313" s="4">
        <f t="shared" si="83"/>
        <v>0</v>
      </c>
      <c r="J313" s="43"/>
      <c r="K313" s="5" t="s">
        <v>3</v>
      </c>
      <c r="L313" s="32"/>
      <c r="M313" s="31"/>
      <c r="N313" s="32"/>
      <c r="O313" s="4">
        <f t="shared" si="84"/>
        <v>0</v>
      </c>
      <c r="P313" s="32"/>
      <c r="Q313" s="31"/>
      <c r="R313" s="32"/>
      <c r="S313" s="4">
        <f t="shared" si="85"/>
        <v>0</v>
      </c>
      <c r="T313" s="71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71"/>
      <c r="AI313" s="6" t="s">
        <v>3</v>
      </c>
      <c r="AJ313" s="10"/>
      <c r="AK313" s="9"/>
      <c r="AL313" s="10"/>
      <c r="AM313" s="4">
        <f t="shared" si="86"/>
        <v>0</v>
      </c>
      <c r="AN313" s="10"/>
      <c r="AO313" s="9"/>
      <c r="AP313" s="10"/>
      <c r="AQ313" s="4">
        <f t="shared" si="87"/>
        <v>0</v>
      </c>
    </row>
    <row r="314" spans="1:44">
      <c r="A314" s="5" t="s">
        <v>3</v>
      </c>
      <c r="B314" s="30"/>
      <c r="C314" s="31"/>
      <c r="D314" s="32"/>
      <c r="E314" s="4">
        <f t="shared" si="82"/>
        <v>0</v>
      </c>
      <c r="F314" s="30"/>
      <c r="G314" s="31"/>
      <c r="H314" s="32"/>
      <c r="I314" s="4">
        <f t="shared" si="83"/>
        <v>0</v>
      </c>
      <c r="J314" s="43"/>
      <c r="K314" s="5" t="s">
        <v>3</v>
      </c>
      <c r="L314" s="30"/>
      <c r="M314" s="31"/>
      <c r="N314" s="32"/>
      <c r="O314" s="4">
        <f t="shared" si="84"/>
        <v>0</v>
      </c>
      <c r="P314" s="59"/>
      <c r="Q314" s="60"/>
      <c r="R314" s="61"/>
      <c r="S314" s="4">
        <f t="shared" si="85"/>
        <v>0</v>
      </c>
      <c r="AI314" s="6" t="s">
        <v>3</v>
      </c>
      <c r="AJ314" s="32"/>
      <c r="AK314" s="31"/>
      <c r="AL314" s="32"/>
      <c r="AM314" s="4">
        <f t="shared" si="86"/>
        <v>0</v>
      </c>
      <c r="AN314" s="32"/>
      <c r="AO314" s="31"/>
      <c r="AP314" s="32"/>
      <c r="AQ314" s="4">
        <f t="shared" si="87"/>
        <v>0</v>
      </c>
    </row>
    <row r="315" spans="1:44" ht="14.25" thickBot="1">
      <c r="A315" s="6" t="s">
        <v>3</v>
      </c>
      <c r="B315" s="36"/>
      <c r="C315" s="37"/>
      <c r="D315" s="36"/>
      <c r="E315" s="20">
        <f t="shared" si="82"/>
        <v>0</v>
      </c>
      <c r="F315" s="13"/>
      <c r="G315" s="12"/>
      <c r="H315" s="13"/>
      <c r="I315" s="20">
        <f t="shared" si="83"/>
        <v>0</v>
      </c>
      <c r="K315" s="6" t="s">
        <v>3</v>
      </c>
      <c r="L315" s="13"/>
      <c r="M315" s="12"/>
      <c r="N315" s="13"/>
      <c r="O315" s="20">
        <f t="shared" si="84"/>
        <v>0</v>
      </c>
      <c r="P315" s="13"/>
      <c r="Q315" s="12"/>
      <c r="R315" s="13"/>
      <c r="S315" s="20">
        <f t="shared" si="85"/>
        <v>0</v>
      </c>
      <c r="AI315" s="6" t="s">
        <v>3</v>
      </c>
      <c r="AJ315" s="13"/>
      <c r="AK315" s="12"/>
      <c r="AL315" s="13"/>
      <c r="AM315" s="20">
        <f t="shared" si="86"/>
        <v>0</v>
      </c>
      <c r="AN315" s="13"/>
      <c r="AO315" s="12"/>
      <c r="AP315" s="13"/>
      <c r="AQ315" s="20">
        <f t="shared" si="87"/>
        <v>0</v>
      </c>
    </row>
    <row r="316" spans="1:44" ht="14.25" thickBot="1">
      <c r="A316" s="23" t="s">
        <v>4</v>
      </c>
      <c r="B316" s="24">
        <f>SUM(B305:B315)</f>
        <v>153</v>
      </c>
      <c r="C316" s="24">
        <f>SUM(C305:C315)</f>
        <v>162</v>
      </c>
      <c r="D316" s="25">
        <f>SUM(D305:D315)</f>
        <v>130</v>
      </c>
      <c r="E316" s="26">
        <f t="shared" si="82"/>
        <v>445</v>
      </c>
      <c r="F316" s="24">
        <f>SUM(F305:F315)</f>
        <v>153</v>
      </c>
      <c r="G316" s="24">
        <f>SUM(G305:G315)</f>
        <v>162</v>
      </c>
      <c r="H316" s="25">
        <f>SUM(H305:H315)</f>
        <v>130</v>
      </c>
      <c r="I316" s="26">
        <f t="shared" si="83"/>
        <v>445</v>
      </c>
      <c r="K316" s="23" t="s">
        <v>4</v>
      </c>
      <c r="L316" s="24">
        <f>SUM(L305:L315)</f>
        <v>166</v>
      </c>
      <c r="M316" s="24">
        <f>SUM(M305:M315)</f>
        <v>258</v>
      </c>
      <c r="N316" s="25">
        <f>SUM(N305:N315)</f>
        <v>149</v>
      </c>
      <c r="O316" s="26">
        <f t="shared" si="84"/>
        <v>573</v>
      </c>
      <c r="P316" s="24">
        <f>SUM(P305:P315)</f>
        <v>166</v>
      </c>
      <c r="Q316" s="24">
        <f>SUM(Q305:Q315)</f>
        <v>258</v>
      </c>
      <c r="R316" s="25">
        <f>SUM(R305:R315)</f>
        <v>149</v>
      </c>
      <c r="S316" s="26">
        <f t="shared" si="85"/>
        <v>573</v>
      </c>
      <c r="AI316" s="23" t="s">
        <v>4</v>
      </c>
      <c r="AJ316" s="24">
        <f>SUM(AJ305:AJ315)</f>
        <v>70</v>
      </c>
      <c r="AK316" s="24">
        <f>SUM(AK305:AK315)</f>
        <v>110</v>
      </c>
      <c r="AL316" s="25">
        <f>SUM(AL305:AL315)</f>
        <v>70</v>
      </c>
      <c r="AM316" s="26">
        <f t="shared" si="86"/>
        <v>250</v>
      </c>
      <c r="AN316" s="24">
        <f>SUM(AN305:AN315)</f>
        <v>70</v>
      </c>
      <c r="AO316" s="24">
        <f>SUM(AO305:AO315)</f>
        <v>110</v>
      </c>
      <c r="AP316" s="25">
        <f>SUM(AP305:AP315)</f>
        <v>70</v>
      </c>
      <c r="AQ316" s="26">
        <f t="shared" si="87"/>
        <v>250</v>
      </c>
    </row>
    <row r="317" spans="1:44">
      <c r="A317" s="3" t="s">
        <v>35</v>
      </c>
      <c r="B317" s="8"/>
      <c r="C317" s="9">
        <v>-2</v>
      </c>
      <c r="D317" s="10">
        <v>2</v>
      </c>
      <c r="E317" s="4">
        <f t="shared" si="82"/>
        <v>0</v>
      </c>
      <c r="F317" s="8"/>
      <c r="G317" s="9">
        <v>-2</v>
      </c>
      <c r="H317" s="10">
        <v>2</v>
      </c>
      <c r="I317" s="4">
        <f t="shared" si="83"/>
        <v>0</v>
      </c>
      <c r="J317" s="43">
        <v>43721</v>
      </c>
      <c r="K317" s="3" t="s">
        <v>82</v>
      </c>
      <c r="L317" s="8"/>
      <c r="M317" s="9">
        <v>1</v>
      </c>
      <c r="N317" s="10"/>
      <c r="O317" s="4">
        <f t="shared" si="84"/>
        <v>1</v>
      </c>
      <c r="P317" s="8"/>
      <c r="Q317" s="9">
        <v>1</v>
      </c>
      <c r="R317" s="10"/>
      <c r="S317" s="4">
        <f t="shared" si="85"/>
        <v>1</v>
      </c>
      <c r="T317" s="43">
        <v>43763</v>
      </c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43"/>
      <c r="AI317" s="3" t="s">
        <v>86</v>
      </c>
      <c r="AJ317" s="8">
        <v>70</v>
      </c>
      <c r="AK317" s="9">
        <v>110</v>
      </c>
      <c r="AL317" s="10">
        <v>70</v>
      </c>
      <c r="AM317" s="4">
        <f t="shared" si="86"/>
        <v>250</v>
      </c>
      <c r="AN317" s="8">
        <v>70</v>
      </c>
      <c r="AO317" s="9">
        <v>110</v>
      </c>
      <c r="AP317" s="10">
        <v>70</v>
      </c>
      <c r="AQ317" s="4">
        <f t="shared" si="87"/>
        <v>250</v>
      </c>
      <c r="AR317" s="50">
        <v>43712</v>
      </c>
    </row>
    <row r="318" spans="1:44">
      <c r="A318" s="3" t="s">
        <v>82</v>
      </c>
      <c r="B318" s="8">
        <v>4</v>
      </c>
      <c r="C318" s="9">
        <v>5</v>
      </c>
      <c r="D318" s="10">
        <v>1</v>
      </c>
      <c r="E318" s="4">
        <f t="shared" si="82"/>
        <v>10</v>
      </c>
      <c r="F318" s="8">
        <v>4</v>
      </c>
      <c r="G318" s="9">
        <v>5</v>
      </c>
      <c r="H318" s="10">
        <v>1</v>
      </c>
      <c r="I318" s="4">
        <f t="shared" si="83"/>
        <v>10</v>
      </c>
      <c r="J318" s="43">
        <v>43717</v>
      </c>
      <c r="K318" s="3" t="s">
        <v>82</v>
      </c>
      <c r="L318" s="8">
        <v>1</v>
      </c>
      <c r="M318" s="9"/>
      <c r="N318" s="10"/>
      <c r="O318" s="4">
        <f t="shared" si="84"/>
        <v>1</v>
      </c>
      <c r="P318" s="8">
        <v>1</v>
      </c>
      <c r="Q318" s="9"/>
      <c r="R318" s="10"/>
      <c r="S318" s="4">
        <f t="shared" si="85"/>
        <v>1</v>
      </c>
      <c r="T318" s="43">
        <v>43767</v>
      </c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43"/>
      <c r="AI318" s="3"/>
      <c r="AJ318" s="8"/>
      <c r="AK318" s="9"/>
      <c r="AL318" s="10"/>
      <c r="AM318" s="7">
        <f t="shared" si="86"/>
        <v>0</v>
      </c>
      <c r="AN318" s="8"/>
      <c r="AO318" s="9"/>
      <c r="AP318" s="10"/>
      <c r="AQ318" s="7">
        <f t="shared" si="87"/>
        <v>0</v>
      </c>
      <c r="AR318" s="29"/>
    </row>
    <row r="319" spans="1:44">
      <c r="A319" s="3" t="s">
        <v>82</v>
      </c>
      <c r="B319" s="8"/>
      <c r="C319" s="9">
        <v>1</v>
      </c>
      <c r="D319" s="10"/>
      <c r="E319" s="7">
        <f t="shared" si="82"/>
        <v>1</v>
      </c>
      <c r="F319" s="8"/>
      <c r="G319" s="9">
        <v>1</v>
      </c>
      <c r="H319" s="10"/>
      <c r="I319" s="7">
        <f t="shared" si="83"/>
        <v>1</v>
      </c>
      <c r="J319" s="43">
        <v>43720</v>
      </c>
      <c r="K319" s="3" t="s">
        <v>82</v>
      </c>
      <c r="L319" s="8"/>
      <c r="M319" s="9">
        <v>1</v>
      </c>
      <c r="N319" s="10"/>
      <c r="O319" s="7">
        <f t="shared" si="84"/>
        <v>1</v>
      </c>
      <c r="P319" s="8"/>
      <c r="Q319" s="9">
        <v>1</v>
      </c>
      <c r="R319" s="10"/>
      <c r="S319" s="7">
        <f t="shared" si="85"/>
        <v>1</v>
      </c>
      <c r="T319" s="43">
        <v>43768</v>
      </c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43"/>
      <c r="AI319" s="3"/>
      <c r="AJ319" s="8"/>
      <c r="AK319" s="9"/>
      <c r="AL319" s="10"/>
      <c r="AM319" s="7">
        <f t="shared" si="86"/>
        <v>0</v>
      </c>
      <c r="AN319" s="8"/>
      <c r="AO319" s="9"/>
      <c r="AP319" s="10"/>
      <c r="AQ319" s="7">
        <f t="shared" si="87"/>
        <v>0</v>
      </c>
    </row>
    <row r="320" spans="1:44">
      <c r="A320" s="3" t="s">
        <v>82</v>
      </c>
      <c r="B320" s="8">
        <v>2</v>
      </c>
      <c r="C320" s="9"/>
      <c r="D320" s="10">
        <v>2</v>
      </c>
      <c r="E320" s="4">
        <f t="shared" si="82"/>
        <v>4</v>
      </c>
      <c r="F320" s="8">
        <v>2</v>
      </c>
      <c r="G320" s="9"/>
      <c r="H320" s="10">
        <v>2</v>
      </c>
      <c r="I320" s="4">
        <f t="shared" si="83"/>
        <v>4</v>
      </c>
      <c r="J320" s="43">
        <v>43725</v>
      </c>
      <c r="K320" s="3" t="s">
        <v>82</v>
      </c>
      <c r="L320" s="8"/>
      <c r="M320" s="9">
        <v>1</v>
      </c>
      <c r="N320" s="10"/>
      <c r="O320" s="4">
        <f t="shared" si="84"/>
        <v>1</v>
      </c>
      <c r="P320" s="8"/>
      <c r="Q320" s="9">
        <v>1</v>
      </c>
      <c r="R320" s="10"/>
      <c r="S320" s="4">
        <f t="shared" si="85"/>
        <v>1</v>
      </c>
      <c r="T320" s="43">
        <v>43778</v>
      </c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43"/>
      <c r="AI320" s="3"/>
      <c r="AJ320" s="8"/>
      <c r="AK320" s="9"/>
      <c r="AL320" s="10"/>
      <c r="AM320" s="4">
        <f t="shared" si="86"/>
        <v>0</v>
      </c>
      <c r="AN320" s="8"/>
      <c r="AO320" s="9"/>
      <c r="AP320" s="10"/>
      <c r="AQ320" s="4">
        <f t="shared" si="87"/>
        <v>0</v>
      </c>
    </row>
    <row r="321" spans="1:43">
      <c r="A321" s="3" t="s">
        <v>82</v>
      </c>
      <c r="B321" s="8">
        <v>1</v>
      </c>
      <c r="C321" s="9"/>
      <c r="D321" s="10">
        <v>4</v>
      </c>
      <c r="E321" s="4">
        <f t="shared" si="82"/>
        <v>5</v>
      </c>
      <c r="F321" s="8">
        <v>1</v>
      </c>
      <c r="G321" s="9"/>
      <c r="H321" s="10">
        <v>4</v>
      </c>
      <c r="I321" s="4">
        <f t="shared" si="83"/>
        <v>5</v>
      </c>
      <c r="J321" s="43">
        <v>43726</v>
      </c>
      <c r="K321" s="3" t="s">
        <v>82</v>
      </c>
      <c r="L321" s="8">
        <v>1</v>
      </c>
      <c r="M321" s="9"/>
      <c r="N321" s="10"/>
      <c r="O321" s="4">
        <f t="shared" si="84"/>
        <v>1</v>
      </c>
      <c r="P321" s="8">
        <v>1</v>
      </c>
      <c r="Q321" s="9"/>
      <c r="R321" s="10"/>
      <c r="S321" s="4">
        <f t="shared" si="85"/>
        <v>1</v>
      </c>
      <c r="T321" s="43">
        <v>43811</v>
      </c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43"/>
      <c r="AI321" s="3"/>
      <c r="AJ321" s="8"/>
      <c r="AK321" s="9"/>
      <c r="AL321" s="10"/>
      <c r="AM321" s="4">
        <f t="shared" si="86"/>
        <v>0</v>
      </c>
      <c r="AN321" s="8"/>
      <c r="AO321" s="9"/>
      <c r="AP321" s="10"/>
      <c r="AQ321" s="4">
        <f t="shared" si="87"/>
        <v>0</v>
      </c>
    </row>
    <row r="322" spans="1:43">
      <c r="A322" s="3" t="s">
        <v>82</v>
      </c>
      <c r="B322" s="8">
        <v>4</v>
      </c>
      <c r="C322" s="9">
        <v>2</v>
      </c>
      <c r="D322" s="10">
        <v>2</v>
      </c>
      <c r="E322" s="7">
        <f t="shared" si="82"/>
        <v>8</v>
      </c>
      <c r="F322" s="8">
        <v>4</v>
      </c>
      <c r="G322" s="9">
        <v>2</v>
      </c>
      <c r="H322" s="10">
        <v>2</v>
      </c>
      <c r="I322" s="7">
        <f t="shared" si="83"/>
        <v>8</v>
      </c>
      <c r="J322" s="43">
        <v>43728</v>
      </c>
      <c r="K322" s="3" t="s">
        <v>82</v>
      </c>
      <c r="L322" s="8"/>
      <c r="M322" s="9"/>
      <c r="N322" s="10">
        <v>1</v>
      </c>
      <c r="O322" s="7">
        <f t="shared" si="84"/>
        <v>1</v>
      </c>
      <c r="P322" s="8"/>
      <c r="Q322" s="9"/>
      <c r="R322" s="10">
        <v>1</v>
      </c>
      <c r="S322" s="7">
        <f t="shared" si="85"/>
        <v>1</v>
      </c>
      <c r="T322" s="43">
        <v>43840</v>
      </c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43"/>
      <c r="AI322" s="3"/>
      <c r="AJ322" s="8"/>
      <c r="AK322" s="9"/>
      <c r="AL322" s="10"/>
      <c r="AM322" s="7">
        <f t="shared" si="86"/>
        <v>0</v>
      </c>
      <c r="AN322" s="8"/>
      <c r="AO322" s="9"/>
      <c r="AP322" s="10"/>
      <c r="AQ322" s="7">
        <f t="shared" si="87"/>
        <v>0</v>
      </c>
    </row>
    <row r="323" spans="1:43">
      <c r="A323" s="3" t="s">
        <v>127</v>
      </c>
      <c r="B323" s="8"/>
      <c r="C323" s="9">
        <v>1</v>
      </c>
      <c r="D323" s="10"/>
      <c r="E323" s="7">
        <f t="shared" si="82"/>
        <v>1</v>
      </c>
      <c r="F323" s="8"/>
      <c r="G323" s="9">
        <v>1</v>
      </c>
      <c r="H323" s="10"/>
      <c r="I323" s="7">
        <f t="shared" si="83"/>
        <v>1</v>
      </c>
      <c r="J323" s="43">
        <v>43729</v>
      </c>
      <c r="K323" s="3" t="s">
        <v>151</v>
      </c>
      <c r="L323" s="8">
        <v>16</v>
      </c>
      <c r="M323" s="9">
        <v>16</v>
      </c>
      <c r="N323" s="10">
        <v>16</v>
      </c>
      <c r="O323" s="7">
        <f t="shared" si="84"/>
        <v>48</v>
      </c>
      <c r="P323" s="8">
        <v>16</v>
      </c>
      <c r="Q323" s="9">
        <v>16</v>
      </c>
      <c r="R323" s="10">
        <v>16</v>
      </c>
      <c r="S323" s="7">
        <f t="shared" si="85"/>
        <v>48</v>
      </c>
      <c r="T323" s="43">
        <v>43936</v>
      </c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43"/>
      <c r="AI323" s="3"/>
      <c r="AJ323" s="8"/>
      <c r="AK323" s="9"/>
      <c r="AL323" s="10"/>
      <c r="AM323" s="7">
        <f t="shared" si="86"/>
        <v>0</v>
      </c>
      <c r="AN323" s="8"/>
      <c r="AO323" s="9"/>
      <c r="AP323" s="10"/>
      <c r="AQ323" s="7">
        <f t="shared" si="87"/>
        <v>0</v>
      </c>
    </row>
    <row r="324" spans="1:43">
      <c r="A324" s="3" t="s">
        <v>128</v>
      </c>
      <c r="B324" s="8">
        <v>70</v>
      </c>
      <c r="C324" s="9"/>
      <c r="D324" s="10">
        <v>45</v>
      </c>
      <c r="E324" s="7">
        <f t="shared" si="82"/>
        <v>115</v>
      </c>
      <c r="F324" s="8">
        <v>70</v>
      </c>
      <c r="G324" s="9"/>
      <c r="H324" s="10">
        <v>45</v>
      </c>
      <c r="I324" s="7">
        <f t="shared" si="83"/>
        <v>115</v>
      </c>
      <c r="J324" s="43">
        <v>43729</v>
      </c>
      <c r="K324" s="68" t="s">
        <v>152</v>
      </c>
      <c r="L324" s="8">
        <v>20</v>
      </c>
      <c r="M324" s="9">
        <v>25</v>
      </c>
      <c r="N324" s="10">
        <v>5</v>
      </c>
      <c r="O324" s="7">
        <f t="shared" si="84"/>
        <v>50</v>
      </c>
      <c r="P324" s="8">
        <v>20</v>
      </c>
      <c r="Q324" s="9">
        <v>25</v>
      </c>
      <c r="R324" s="10">
        <v>5</v>
      </c>
      <c r="S324" s="7">
        <f t="shared" si="85"/>
        <v>50</v>
      </c>
      <c r="T324" s="43">
        <v>43937</v>
      </c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43"/>
      <c r="AI324" s="3"/>
      <c r="AJ324" s="8"/>
      <c r="AK324" s="9"/>
      <c r="AL324" s="10"/>
      <c r="AM324" s="7">
        <f t="shared" si="86"/>
        <v>0</v>
      </c>
      <c r="AN324" s="8"/>
      <c r="AO324" s="9"/>
      <c r="AP324" s="10"/>
      <c r="AQ324" s="7">
        <f t="shared" si="87"/>
        <v>0</v>
      </c>
    </row>
    <row r="325" spans="1:43">
      <c r="A325" s="3" t="s">
        <v>82</v>
      </c>
      <c r="B325" s="8">
        <v>1</v>
      </c>
      <c r="C325" s="9">
        <v>1</v>
      </c>
      <c r="D325" s="10">
        <v>1</v>
      </c>
      <c r="E325" s="7">
        <f t="shared" si="82"/>
        <v>3</v>
      </c>
      <c r="F325" s="8">
        <v>1</v>
      </c>
      <c r="G325" s="9">
        <v>1</v>
      </c>
      <c r="H325" s="10">
        <v>1</v>
      </c>
      <c r="I325" s="7">
        <f t="shared" si="83"/>
        <v>3</v>
      </c>
      <c r="J325" s="43">
        <v>43733</v>
      </c>
      <c r="K325" s="3"/>
      <c r="L325" s="8"/>
      <c r="M325" s="9"/>
      <c r="N325" s="10"/>
      <c r="O325" s="7">
        <f t="shared" si="84"/>
        <v>0</v>
      </c>
      <c r="P325" s="8"/>
      <c r="Q325" s="9"/>
      <c r="R325" s="10"/>
      <c r="S325" s="7">
        <f t="shared" si="85"/>
        <v>0</v>
      </c>
      <c r="AI325" s="3"/>
      <c r="AJ325" s="8"/>
      <c r="AK325" s="9"/>
      <c r="AL325" s="10"/>
      <c r="AM325" s="7">
        <f t="shared" si="86"/>
        <v>0</v>
      </c>
      <c r="AN325" s="8"/>
      <c r="AO325" s="9"/>
      <c r="AP325" s="10"/>
      <c r="AQ325" s="7">
        <f t="shared" si="87"/>
        <v>0</v>
      </c>
    </row>
    <row r="326" spans="1:43">
      <c r="A326" s="3" t="s">
        <v>82</v>
      </c>
      <c r="B326" s="8">
        <v>2</v>
      </c>
      <c r="C326" s="9"/>
      <c r="D326" s="10"/>
      <c r="E326" s="7">
        <f t="shared" si="82"/>
        <v>2</v>
      </c>
      <c r="F326" s="8">
        <v>2</v>
      </c>
      <c r="G326" s="9"/>
      <c r="H326" s="10"/>
      <c r="I326" s="7">
        <f t="shared" si="83"/>
        <v>2</v>
      </c>
      <c r="J326" s="43">
        <v>43735</v>
      </c>
      <c r="K326" s="3"/>
      <c r="L326" s="8"/>
      <c r="M326" s="9"/>
      <c r="N326" s="10"/>
      <c r="O326" s="7">
        <f t="shared" si="84"/>
        <v>0</v>
      </c>
      <c r="P326" s="8"/>
      <c r="Q326" s="9"/>
      <c r="R326" s="10"/>
      <c r="S326" s="7">
        <f t="shared" si="85"/>
        <v>0</v>
      </c>
      <c r="AI326" s="3"/>
      <c r="AJ326" s="8"/>
      <c r="AK326" s="9"/>
      <c r="AL326" s="10"/>
      <c r="AM326" s="7">
        <f t="shared" si="86"/>
        <v>0</v>
      </c>
      <c r="AN326" s="8"/>
      <c r="AO326" s="9"/>
      <c r="AP326" s="10"/>
      <c r="AQ326" s="7">
        <f t="shared" si="87"/>
        <v>0</v>
      </c>
    </row>
    <row r="327" spans="1:43">
      <c r="A327" s="3" t="s">
        <v>82</v>
      </c>
      <c r="B327" s="8"/>
      <c r="C327" s="9">
        <v>2</v>
      </c>
      <c r="D327" s="10"/>
      <c r="E327" s="7">
        <f t="shared" si="82"/>
        <v>2</v>
      </c>
      <c r="F327" s="8"/>
      <c r="G327" s="9">
        <v>2</v>
      </c>
      <c r="H327" s="10"/>
      <c r="I327" s="7">
        <f t="shared" si="83"/>
        <v>2</v>
      </c>
      <c r="J327" s="43">
        <v>43738</v>
      </c>
      <c r="K327" s="3"/>
      <c r="L327" s="30"/>
      <c r="M327" s="9"/>
      <c r="N327" s="10"/>
      <c r="O327" s="7">
        <f t="shared" si="84"/>
        <v>0</v>
      </c>
      <c r="P327" s="8"/>
      <c r="Q327" s="9"/>
      <c r="R327" s="10"/>
      <c r="S327" s="7">
        <f t="shared" si="85"/>
        <v>0</v>
      </c>
      <c r="AI327" s="3"/>
      <c r="AJ327" s="8"/>
      <c r="AK327" s="9"/>
      <c r="AL327" s="10"/>
      <c r="AM327" s="7">
        <f t="shared" si="86"/>
        <v>0</v>
      </c>
      <c r="AN327" s="8"/>
      <c r="AO327" s="9"/>
      <c r="AP327" s="10"/>
      <c r="AQ327" s="7">
        <f t="shared" si="87"/>
        <v>0</v>
      </c>
    </row>
    <row r="328" spans="1:43">
      <c r="A328" s="3" t="s">
        <v>82</v>
      </c>
      <c r="B328" s="8">
        <v>1</v>
      </c>
      <c r="C328" s="9">
        <v>1</v>
      </c>
      <c r="D328" s="10"/>
      <c r="E328" s="7">
        <f t="shared" si="82"/>
        <v>2</v>
      </c>
      <c r="F328" s="8">
        <v>1</v>
      </c>
      <c r="G328" s="9">
        <v>1</v>
      </c>
      <c r="H328" s="10"/>
      <c r="I328" s="7">
        <f t="shared" si="83"/>
        <v>2</v>
      </c>
      <c r="J328" s="43">
        <v>43739</v>
      </c>
      <c r="K328" s="3"/>
      <c r="L328" s="8"/>
      <c r="M328" s="9"/>
      <c r="N328" s="10"/>
      <c r="O328" s="7">
        <f t="shared" si="84"/>
        <v>0</v>
      </c>
      <c r="P328" s="8"/>
      <c r="Q328" s="9"/>
      <c r="R328" s="10"/>
      <c r="S328" s="7">
        <f t="shared" si="85"/>
        <v>0</v>
      </c>
      <c r="AI328" s="3"/>
      <c r="AJ328" s="8"/>
      <c r="AK328" s="9"/>
      <c r="AL328" s="10"/>
      <c r="AM328" s="7">
        <f t="shared" si="86"/>
        <v>0</v>
      </c>
      <c r="AN328" s="8"/>
      <c r="AO328" s="9"/>
      <c r="AP328" s="10"/>
      <c r="AQ328" s="7">
        <f t="shared" si="87"/>
        <v>0</v>
      </c>
    </row>
    <row r="329" spans="1:43">
      <c r="A329" s="3" t="s">
        <v>82</v>
      </c>
      <c r="B329" s="8"/>
      <c r="C329" s="9">
        <v>2</v>
      </c>
      <c r="D329" s="10"/>
      <c r="E329" s="7">
        <f t="shared" si="82"/>
        <v>2</v>
      </c>
      <c r="F329" s="8"/>
      <c r="G329" s="9">
        <v>2</v>
      </c>
      <c r="H329" s="10"/>
      <c r="I329" s="7">
        <f t="shared" si="83"/>
        <v>2</v>
      </c>
      <c r="J329" s="43">
        <v>43742</v>
      </c>
      <c r="K329" s="3"/>
      <c r="L329" s="8"/>
      <c r="M329" s="9"/>
      <c r="N329" s="10"/>
      <c r="O329" s="7">
        <f t="shared" si="84"/>
        <v>0</v>
      </c>
      <c r="P329" s="8"/>
      <c r="Q329" s="9"/>
      <c r="R329" s="10"/>
      <c r="S329" s="7">
        <f t="shared" si="85"/>
        <v>0</v>
      </c>
      <c r="AI329" s="3"/>
      <c r="AJ329" s="8"/>
      <c r="AK329" s="9"/>
      <c r="AL329" s="10"/>
      <c r="AM329" s="7">
        <f t="shared" si="86"/>
        <v>0</v>
      </c>
      <c r="AN329" s="8"/>
      <c r="AO329" s="9"/>
      <c r="AP329" s="10"/>
      <c r="AQ329" s="7">
        <f t="shared" si="87"/>
        <v>0</v>
      </c>
    </row>
    <row r="330" spans="1:43">
      <c r="A330" s="3" t="s">
        <v>82</v>
      </c>
      <c r="B330" s="8"/>
      <c r="C330" s="9">
        <v>1</v>
      </c>
      <c r="D330" s="10"/>
      <c r="E330" s="7">
        <f t="shared" si="82"/>
        <v>1</v>
      </c>
      <c r="F330" s="8"/>
      <c r="G330" s="9">
        <v>1</v>
      </c>
      <c r="H330" s="10"/>
      <c r="I330" s="7">
        <f t="shared" si="83"/>
        <v>1</v>
      </c>
      <c r="J330" s="43">
        <v>43749</v>
      </c>
      <c r="K330" s="3"/>
      <c r="L330" s="8"/>
      <c r="M330" s="9"/>
      <c r="N330" s="10"/>
      <c r="O330" s="7">
        <f t="shared" si="84"/>
        <v>0</v>
      </c>
      <c r="P330" s="8"/>
      <c r="Q330" s="9"/>
      <c r="R330" s="10"/>
      <c r="S330" s="7">
        <f t="shared" si="85"/>
        <v>0</v>
      </c>
      <c r="AI330" s="3"/>
      <c r="AJ330" s="8"/>
      <c r="AK330" s="9"/>
      <c r="AL330" s="10"/>
      <c r="AM330" s="7">
        <f t="shared" si="86"/>
        <v>0</v>
      </c>
      <c r="AN330" s="8"/>
      <c r="AO330" s="9"/>
      <c r="AP330" s="10"/>
      <c r="AQ330" s="7">
        <f t="shared" si="87"/>
        <v>0</v>
      </c>
    </row>
    <row r="331" spans="1:43">
      <c r="A331" s="3" t="s">
        <v>130</v>
      </c>
      <c r="B331" s="8">
        <v>40</v>
      </c>
      <c r="C331" s="9">
        <v>125</v>
      </c>
      <c r="D331" s="10"/>
      <c r="E331" s="7">
        <f t="shared" si="82"/>
        <v>165</v>
      </c>
      <c r="F331" s="8">
        <v>40</v>
      </c>
      <c r="G331" s="9">
        <v>125</v>
      </c>
      <c r="H331" s="10"/>
      <c r="I331" s="7">
        <f t="shared" si="83"/>
        <v>165</v>
      </c>
      <c r="J331" s="43">
        <v>43785</v>
      </c>
      <c r="K331" s="3"/>
      <c r="L331" s="8"/>
      <c r="M331" s="9"/>
      <c r="N331" s="10"/>
      <c r="O331" s="7">
        <f t="shared" si="84"/>
        <v>0</v>
      </c>
      <c r="P331" s="8"/>
      <c r="Q331" s="9"/>
      <c r="R331" s="10"/>
      <c r="S331" s="7">
        <f t="shared" si="85"/>
        <v>0</v>
      </c>
      <c r="AI331" s="3"/>
      <c r="AJ331" s="8"/>
      <c r="AK331" s="9"/>
      <c r="AL331" s="10"/>
      <c r="AM331" s="7">
        <f t="shared" si="86"/>
        <v>0</v>
      </c>
      <c r="AN331" s="8"/>
      <c r="AO331" s="9"/>
      <c r="AP331" s="10"/>
      <c r="AQ331" s="7">
        <f t="shared" si="87"/>
        <v>0</v>
      </c>
    </row>
    <row r="332" spans="1:43">
      <c r="A332" s="3" t="s">
        <v>131</v>
      </c>
      <c r="B332" s="8">
        <v>1</v>
      </c>
      <c r="C332" s="9"/>
      <c r="D332" s="10"/>
      <c r="E332" s="7">
        <f t="shared" si="82"/>
        <v>1</v>
      </c>
      <c r="F332" s="8">
        <v>1</v>
      </c>
      <c r="G332" s="9"/>
      <c r="H332" s="10"/>
      <c r="I332" s="7">
        <f t="shared" si="83"/>
        <v>1</v>
      </c>
      <c r="J332" s="43">
        <v>43804</v>
      </c>
      <c r="K332" s="3"/>
      <c r="L332" s="8"/>
      <c r="M332" s="9"/>
      <c r="N332" s="10"/>
      <c r="O332" s="7">
        <f t="shared" si="84"/>
        <v>0</v>
      </c>
      <c r="P332" s="8"/>
      <c r="Q332" s="9"/>
      <c r="R332" s="10"/>
      <c r="S332" s="7">
        <f t="shared" si="85"/>
        <v>0</v>
      </c>
      <c r="AI332" s="3"/>
      <c r="AJ332" s="8"/>
      <c r="AK332" s="9"/>
      <c r="AL332" s="10"/>
      <c r="AM332" s="7">
        <f t="shared" si="86"/>
        <v>0</v>
      </c>
      <c r="AN332" s="8"/>
      <c r="AO332" s="9"/>
      <c r="AP332" s="10"/>
      <c r="AQ332" s="7">
        <f t="shared" si="87"/>
        <v>0</v>
      </c>
    </row>
    <row r="333" spans="1:43">
      <c r="A333" s="3" t="s">
        <v>132</v>
      </c>
      <c r="B333" s="8">
        <v>2</v>
      </c>
      <c r="C333" s="9">
        <v>1</v>
      </c>
      <c r="D333" s="10">
        <v>1</v>
      </c>
      <c r="E333" s="7">
        <f t="shared" si="82"/>
        <v>4</v>
      </c>
      <c r="F333" s="8">
        <v>2</v>
      </c>
      <c r="G333" s="9">
        <v>1</v>
      </c>
      <c r="H333" s="10">
        <v>1</v>
      </c>
      <c r="I333" s="7">
        <f t="shared" si="83"/>
        <v>4</v>
      </c>
      <c r="J333" s="43">
        <v>43859</v>
      </c>
      <c r="K333" s="3"/>
      <c r="L333" s="8"/>
      <c r="M333" s="9"/>
      <c r="N333" s="10"/>
      <c r="O333" s="7">
        <f t="shared" ref="O333:O335" si="92">SUM(L333:N333)</f>
        <v>0</v>
      </c>
      <c r="P333" s="8"/>
      <c r="Q333" s="9"/>
      <c r="R333" s="10"/>
      <c r="S333" s="7">
        <f t="shared" ref="S333:S335" si="93">SUM(P333:R333)</f>
        <v>0</v>
      </c>
      <c r="AI333" s="11"/>
      <c r="AJ333" s="8"/>
      <c r="AK333" s="9"/>
      <c r="AL333" s="10"/>
      <c r="AM333" s="7">
        <f t="shared" si="86"/>
        <v>0</v>
      </c>
      <c r="AN333" s="8"/>
      <c r="AO333" s="9"/>
      <c r="AP333" s="10"/>
      <c r="AQ333" s="7">
        <f t="shared" si="87"/>
        <v>0</v>
      </c>
    </row>
    <row r="334" spans="1:43">
      <c r="A334" s="3" t="s">
        <v>133</v>
      </c>
      <c r="B334" s="8">
        <v>1</v>
      </c>
      <c r="C334" s="9"/>
      <c r="D334" s="10"/>
      <c r="E334" s="7">
        <f t="shared" si="82"/>
        <v>1</v>
      </c>
      <c r="F334" s="8">
        <v>1</v>
      </c>
      <c r="G334" s="9"/>
      <c r="H334" s="10"/>
      <c r="I334" s="7">
        <f t="shared" si="83"/>
        <v>1</v>
      </c>
      <c r="J334" s="43">
        <v>43864</v>
      </c>
      <c r="K334" s="11"/>
      <c r="L334" s="8"/>
      <c r="M334" s="9"/>
      <c r="N334" s="10"/>
      <c r="O334" s="7">
        <f t="shared" si="92"/>
        <v>0</v>
      </c>
      <c r="P334" s="8"/>
      <c r="Q334" s="9"/>
      <c r="R334" s="10"/>
      <c r="S334" s="7">
        <f t="shared" si="93"/>
        <v>0</v>
      </c>
      <c r="AI334" s="3"/>
      <c r="AJ334" s="8"/>
      <c r="AK334" s="9"/>
      <c r="AL334" s="10"/>
      <c r="AM334" s="7">
        <f t="shared" si="86"/>
        <v>0</v>
      </c>
      <c r="AN334" s="8"/>
      <c r="AO334" s="9"/>
      <c r="AP334" s="10"/>
      <c r="AQ334" s="7">
        <f t="shared" si="87"/>
        <v>0</v>
      </c>
    </row>
    <row r="335" spans="1:43">
      <c r="A335" s="3" t="s">
        <v>50</v>
      </c>
      <c r="B335" s="8"/>
      <c r="C335" s="9">
        <v>1</v>
      </c>
      <c r="D335" s="10"/>
      <c r="E335" s="7">
        <f t="shared" si="82"/>
        <v>1</v>
      </c>
      <c r="F335" s="8"/>
      <c r="G335" s="9">
        <v>1</v>
      </c>
      <c r="H335" s="10"/>
      <c r="I335" s="7">
        <f t="shared" si="83"/>
        <v>1</v>
      </c>
      <c r="J335" s="43">
        <v>43892</v>
      </c>
      <c r="K335" s="11"/>
      <c r="L335" s="8"/>
      <c r="M335" s="9"/>
      <c r="N335" s="10"/>
      <c r="O335" s="7">
        <f t="shared" si="92"/>
        <v>0</v>
      </c>
      <c r="P335" s="8"/>
      <c r="Q335" s="9"/>
      <c r="R335" s="10"/>
      <c r="S335" s="7">
        <f t="shared" si="93"/>
        <v>0</v>
      </c>
      <c r="AI335" s="11"/>
      <c r="AJ335" s="8"/>
      <c r="AK335" s="9"/>
      <c r="AL335" s="10"/>
      <c r="AM335" s="7">
        <f t="shared" si="86"/>
        <v>0</v>
      </c>
      <c r="AN335" s="8"/>
      <c r="AO335" s="9"/>
      <c r="AP335" s="10"/>
      <c r="AQ335" s="7">
        <f t="shared" si="87"/>
        <v>0</v>
      </c>
    </row>
    <row r="336" spans="1:43">
      <c r="A336" s="11" t="s">
        <v>139</v>
      </c>
      <c r="B336" s="8">
        <v>1</v>
      </c>
      <c r="C336" s="9"/>
      <c r="D336" s="10"/>
      <c r="E336" s="7">
        <f t="shared" si="82"/>
        <v>1</v>
      </c>
      <c r="F336" s="8">
        <v>1</v>
      </c>
      <c r="G336" s="9"/>
      <c r="H336" s="10"/>
      <c r="I336" s="7">
        <f t="shared" si="83"/>
        <v>1</v>
      </c>
      <c r="J336" s="43">
        <v>43901</v>
      </c>
      <c r="K336" s="11"/>
      <c r="L336" s="8"/>
      <c r="M336" s="9"/>
      <c r="N336" s="10"/>
      <c r="O336" s="7">
        <f t="shared" si="84"/>
        <v>0</v>
      </c>
      <c r="P336" s="8"/>
      <c r="Q336" s="9"/>
      <c r="R336" s="10"/>
      <c r="S336" s="7">
        <f t="shared" si="85"/>
        <v>0</v>
      </c>
      <c r="T336" s="71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71"/>
      <c r="AI336" s="11"/>
      <c r="AJ336" s="8"/>
      <c r="AK336" s="9"/>
      <c r="AL336" s="10"/>
      <c r="AM336" s="7">
        <f t="shared" si="86"/>
        <v>0</v>
      </c>
      <c r="AN336" s="8"/>
      <c r="AO336" s="9"/>
      <c r="AP336" s="10"/>
      <c r="AQ336" s="7">
        <f t="shared" si="87"/>
        <v>0</v>
      </c>
    </row>
    <row r="337" spans="1:44">
      <c r="A337" s="11" t="s">
        <v>144</v>
      </c>
      <c r="B337" s="8">
        <v>1</v>
      </c>
      <c r="C337" s="9"/>
      <c r="D337" s="10"/>
      <c r="E337" s="7">
        <f t="shared" si="82"/>
        <v>1</v>
      </c>
      <c r="F337" s="8">
        <v>1</v>
      </c>
      <c r="G337" s="9"/>
      <c r="H337" s="10"/>
      <c r="I337" s="7">
        <f t="shared" si="83"/>
        <v>1</v>
      </c>
      <c r="J337" s="43">
        <v>43908</v>
      </c>
      <c r="K337" s="3"/>
      <c r="L337" s="8"/>
      <c r="M337" s="9"/>
      <c r="N337" s="10"/>
      <c r="O337" s="7">
        <f t="shared" si="84"/>
        <v>0</v>
      </c>
      <c r="P337" s="8"/>
      <c r="Q337" s="9"/>
      <c r="R337" s="10"/>
      <c r="S337" s="7">
        <f t="shared" si="85"/>
        <v>0</v>
      </c>
      <c r="T337" s="43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43"/>
      <c r="AI337" s="11"/>
      <c r="AJ337" s="8"/>
      <c r="AK337" s="9"/>
      <c r="AL337" s="10"/>
      <c r="AM337" s="7">
        <f t="shared" si="86"/>
        <v>0</v>
      </c>
      <c r="AN337" s="8"/>
      <c r="AO337" s="9"/>
      <c r="AP337" s="10"/>
      <c r="AQ337" s="7">
        <f t="shared" si="87"/>
        <v>0</v>
      </c>
    </row>
    <row r="338" spans="1:44">
      <c r="A338" s="3" t="s">
        <v>50</v>
      </c>
      <c r="B338" s="8"/>
      <c r="C338" s="9">
        <v>1</v>
      </c>
      <c r="D338" s="10"/>
      <c r="E338" s="7">
        <f t="shared" si="82"/>
        <v>1</v>
      </c>
      <c r="F338" s="8"/>
      <c r="G338" s="9">
        <v>1</v>
      </c>
      <c r="H338" s="10"/>
      <c r="I338" s="7">
        <f t="shared" si="83"/>
        <v>1</v>
      </c>
      <c r="J338" s="43">
        <v>43914</v>
      </c>
      <c r="K338" s="11"/>
      <c r="L338" s="8"/>
      <c r="M338" s="9"/>
      <c r="N338" s="10"/>
      <c r="O338" s="7">
        <f t="shared" si="84"/>
        <v>0</v>
      </c>
      <c r="P338" s="8"/>
      <c r="Q338" s="9"/>
      <c r="R338" s="10"/>
      <c r="S338" s="7">
        <f t="shared" si="85"/>
        <v>0</v>
      </c>
      <c r="T338" s="71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71"/>
      <c r="AI338" s="11"/>
      <c r="AJ338" s="8"/>
      <c r="AK338" s="9"/>
      <c r="AL338" s="10"/>
      <c r="AM338" s="7">
        <f t="shared" si="86"/>
        <v>0</v>
      </c>
      <c r="AN338" s="8"/>
      <c r="AO338" s="9"/>
      <c r="AP338" s="10"/>
      <c r="AQ338" s="7">
        <f t="shared" si="87"/>
        <v>0</v>
      </c>
    </row>
    <row r="339" spans="1:44">
      <c r="A339" s="68" t="s">
        <v>146</v>
      </c>
      <c r="B339" s="8">
        <v>10</v>
      </c>
      <c r="C339" s="9">
        <v>10</v>
      </c>
      <c r="D339" s="10">
        <v>10</v>
      </c>
      <c r="E339" s="7">
        <f t="shared" si="82"/>
        <v>30</v>
      </c>
      <c r="F339" s="8">
        <v>10</v>
      </c>
      <c r="G339" s="9">
        <v>10</v>
      </c>
      <c r="H339" s="10">
        <v>10</v>
      </c>
      <c r="I339" s="7">
        <f t="shared" si="83"/>
        <v>30</v>
      </c>
      <c r="J339" s="43">
        <v>43930</v>
      </c>
      <c r="K339" s="11"/>
      <c r="L339" s="8"/>
      <c r="M339" s="9"/>
      <c r="N339" s="10"/>
      <c r="O339" s="7">
        <f t="shared" si="84"/>
        <v>0</v>
      </c>
      <c r="P339" s="8"/>
      <c r="Q339" s="9"/>
      <c r="R339" s="10"/>
      <c r="S339" s="7">
        <f t="shared" si="85"/>
        <v>0</v>
      </c>
      <c r="T339" s="71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71"/>
      <c r="AI339" s="3"/>
      <c r="AJ339" s="8"/>
      <c r="AK339" s="9"/>
      <c r="AL339" s="10"/>
      <c r="AM339" s="7">
        <f t="shared" si="86"/>
        <v>0</v>
      </c>
      <c r="AN339" s="8"/>
      <c r="AO339" s="9"/>
      <c r="AP339" s="10"/>
      <c r="AQ339" s="7">
        <f t="shared" si="87"/>
        <v>0</v>
      </c>
    </row>
    <row r="340" spans="1:44" ht="14.25" thickBot="1">
      <c r="A340" s="3" t="s">
        <v>50</v>
      </c>
      <c r="B340" s="8"/>
      <c r="C340" s="9"/>
      <c r="D340" s="10">
        <v>1</v>
      </c>
      <c r="E340" s="7">
        <f t="shared" si="82"/>
        <v>1</v>
      </c>
      <c r="F340" s="8"/>
      <c r="G340" s="9"/>
      <c r="H340" s="10">
        <v>1</v>
      </c>
      <c r="I340" s="7">
        <f t="shared" si="83"/>
        <v>1</v>
      </c>
      <c r="J340" s="43">
        <v>43934</v>
      </c>
      <c r="K340" s="3"/>
      <c r="L340" s="8"/>
      <c r="M340" s="9"/>
      <c r="N340" s="10"/>
      <c r="O340" s="7">
        <f t="shared" si="84"/>
        <v>0</v>
      </c>
      <c r="P340" s="8"/>
      <c r="Q340" s="9"/>
      <c r="R340" s="10"/>
      <c r="S340" s="7">
        <f t="shared" si="85"/>
        <v>0</v>
      </c>
      <c r="T340" s="71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71"/>
      <c r="AI340" s="3"/>
      <c r="AJ340" s="8"/>
      <c r="AK340" s="9"/>
      <c r="AL340" s="10"/>
      <c r="AM340" s="7">
        <f t="shared" si="86"/>
        <v>0</v>
      </c>
      <c r="AN340" s="8"/>
      <c r="AO340" s="9"/>
      <c r="AP340" s="10"/>
      <c r="AQ340" s="7">
        <f t="shared" si="87"/>
        <v>0</v>
      </c>
    </row>
    <row r="341" spans="1:44" ht="14.25" thickBot="1">
      <c r="A341" s="2" t="s">
        <v>5</v>
      </c>
      <c r="B341" s="14">
        <f>SUM(B317:B340)</f>
        <v>141</v>
      </c>
      <c r="C341" s="14">
        <f>SUM(C317:C340)</f>
        <v>152</v>
      </c>
      <c r="D341" s="14">
        <f>SUM(D317:D340)</f>
        <v>69</v>
      </c>
      <c r="E341" s="15">
        <f t="shared" si="82"/>
        <v>362</v>
      </c>
      <c r="F341" s="14">
        <f>SUM(F317:F340)</f>
        <v>141</v>
      </c>
      <c r="G341" s="14">
        <f>SUM(G317:G340)</f>
        <v>152</v>
      </c>
      <c r="H341" s="14">
        <f>SUM(H317:H340)</f>
        <v>69</v>
      </c>
      <c r="I341" s="15">
        <f t="shared" si="83"/>
        <v>362</v>
      </c>
      <c r="K341" s="2" t="s">
        <v>5</v>
      </c>
      <c r="L341" s="14">
        <f>SUM(L317:L340)</f>
        <v>38</v>
      </c>
      <c r="M341" s="14">
        <f>SUM(M317:M340)</f>
        <v>44</v>
      </c>
      <c r="N341" s="14">
        <f>SUM(N317:N340)</f>
        <v>22</v>
      </c>
      <c r="O341" s="15">
        <f t="shared" si="84"/>
        <v>104</v>
      </c>
      <c r="P341" s="14">
        <f>SUM(P317:P340)</f>
        <v>38</v>
      </c>
      <c r="Q341" s="14">
        <f>SUM(Q317:Q340)</f>
        <v>44</v>
      </c>
      <c r="R341" s="14">
        <f>SUM(R317:R340)</f>
        <v>22</v>
      </c>
      <c r="S341" s="15">
        <f t="shared" si="85"/>
        <v>104</v>
      </c>
      <c r="AI341" s="2" t="s">
        <v>5</v>
      </c>
      <c r="AJ341" s="14">
        <f>SUM(AJ317:AJ340)</f>
        <v>70</v>
      </c>
      <c r="AK341" s="14">
        <f>SUM(AK317:AK340)</f>
        <v>110</v>
      </c>
      <c r="AL341" s="14">
        <f>SUM(AL317:AL340)</f>
        <v>70</v>
      </c>
      <c r="AM341" s="15">
        <f t="shared" si="86"/>
        <v>250</v>
      </c>
      <c r="AN341" s="14">
        <f>SUM(AN317:AN340)</f>
        <v>70</v>
      </c>
      <c r="AO341" s="14">
        <f>SUM(AO317:AO340)</f>
        <v>110</v>
      </c>
      <c r="AP341" s="14">
        <f>SUM(AP317:AP340)</f>
        <v>70</v>
      </c>
      <c r="AQ341" s="15">
        <f t="shared" si="87"/>
        <v>250</v>
      </c>
    </row>
    <row r="342" spans="1:44" ht="14.25" thickBot="1">
      <c r="A342" s="27" t="s">
        <v>6</v>
      </c>
      <c r="B342" s="28">
        <f>B316-B341</f>
        <v>12</v>
      </c>
      <c r="C342" s="28">
        <f t="shared" ref="C342:E342" si="94">C316-C341</f>
        <v>10</v>
      </c>
      <c r="D342" s="28">
        <f t="shared" si="94"/>
        <v>61</v>
      </c>
      <c r="E342" s="28">
        <f t="shared" si="94"/>
        <v>83</v>
      </c>
      <c r="F342" s="28">
        <f>F316-F341</f>
        <v>12</v>
      </c>
      <c r="G342" s="28">
        <f t="shared" ref="G342:I342" si="95">G316-G341</f>
        <v>10</v>
      </c>
      <c r="H342" s="28">
        <f t="shared" si="95"/>
        <v>61</v>
      </c>
      <c r="I342" s="26">
        <f t="shared" si="95"/>
        <v>83</v>
      </c>
      <c r="K342" s="27" t="s">
        <v>6</v>
      </c>
      <c r="L342" s="28">
        <f>L316-L341</f>
        <v>128</v>
      </c>
      <c r="M342" s="28">
        <f t="shared" ref="M342:O342" si="96">M316-M341</f>
        <v>214</v>
      </c>
      <c r="N342" s="28">
        <f t="shared" si="96"/>
        <v>127</v>
      </c>
      <c r="O342" s="28">
        <f t="shared" si="96"/>
        <v>469</v>
      </c>
      <c r="P342" s="28">
        <f>P316-P341</f>
        <v>128</v>
      </c>
      <c r="Q342" s="28">
        <f t="shared" ref="Q342:S342" si="97">Q316-Q341</f>
        <v>214</v>
      </c>
      <c r="R342" s="28">
        <f t="shared" si="97"/>
        <v>127</v>
      </c>
      <c r="S342" s="26">
        <f t="shared" si="97"/>
        <v>469</v>
      </c>
      <c r="AI342" s="27" t="s">
        <v>6</v>
      </c>
      <c r="AJ342" s="28">
        <f>AJ316-AJ341</f>
        <v>0</v>
      </c>
      <c r="AK342" s="28">
        <f t="shared" ref="AK342:AM342" si="98">AK316-AK341</f>
        <v>0</v>
      </c>
      <c r="AL342" s="28">
        <f t="shared" si="98"/>
        <v>0</v>
      </c>
      <c r="AM342" s="28">
        <f t="shared" si="98"/>
        <v>0</v>
      </c>
      <c r="AN342" s="28">
        <f>AN316-AN341</f>
        <v>0</v>
      </c>
      <c r="AO342" s="28">
        <f t="shared" ref="AO342:AQ342" si="99">AO316-AO341</f>
        <v>0</v>
      </c>
      <c r="AP342" s="28">
        <f t="shared" si="99"/>
        <v>0</v>
      </c>
      <c r="AQ342" s="26">
        <f t="shared" si="99"/>
        <v>0</v>
      </c>
    </row>
    <row r="343" spans="1:44">
      <c r="L343" t="s">
        <v>250</v>
      </c>
    </row>
    <row r="345" spans="1:44" ht="21.75" thickBot="1">
      <c r="A345" s="33" t="s">
        <v>15</v>
      </c>
      <c r="B345" s="34"/>
      <c r="C345" s="34"/>
      <c r="D345" s="34"/>
      <c r="E345" s="34"/>
      <c r="F345" s="35"/>
      <c r="G345" s="35"/>
      <c r="H345" s="35"/>
      <c r="I345" s="35"/>
      <c r="K345" s="33" t="s">
        <v>125</v>
      </c>
      <c r="L345" s="34"/>
      <c r="M345" s="34"/>
      <c r="N345" s="34"/>
      <c r="O345" s="34"/>
      <c r="P345" s="35"/>
      <c r="Q345" s="35"/>
      <c r="R345" s="35"/>
      <c r="S345" s="35"/>
      <c r="AI345" s="33" t="s">
        <v>87</v>
      </c>
      <c r="AJ345" s="34"/>
      <c r="AK345" s="34"/>
      <c r="AL345" s="34"/>
      <c r="AM345" s="34"/>
      <c r="AN345" s="35"/>
      <c r="AO345" s="35"/>
      <c r="AP345" s="35"/>
      <c r="AQ345" s="35"/>
    </row>
    <row r="346" spans="1:44" ht="14.25" thickBot="1">
      <c r="A346" s="1" t="s">
        <v>0</v>
      </c>
      <c r="B346" s="182" t="s">
        <v>17</v>
      </c>
      <c r="C346" s="182"/>
      <c r="D346" s="182"/>
      <c r="E346" s="183"/>
      <c r="F346" s="182" t="s">
        <v>13</v>
      </c>
      <c r="G346" s="182"/>
      <c r="H346" s="182"/>
      <c r="I346" s="183"/>
      <c r="K346" s="1" t="s">
        <v>0</v>
      </c>
      <c r="L346" s="182" t="s">
        <v>17</v>
      </c>
      <c r="M346" s="182"/>
      <c r="N346" s="182"/>
      <c r="O346" s="183"/>
      <c r="P346" s="182" t="s">
        <v>13</v>
      </c>
      <c r="Q346" s="182"/>
      <c r="R346" s="182"/>
      <c r="S346" s="183"/>
      <c r="AI346" s="1" t="s">
        <v>0</v>
      </c>
      <c r="AJ346" s="182" t="s">
        <v>17</v>
      </c>
      <c r="AK346" s="182"/>
      <c r="AL346" s="182"/>
      <c r="AM346" s="183"/>
      <c r="AN346" s="182" t="s">
        <v>13</v>
      </c>
      <c r="AO346" s="182"/>
      <c r="AP346" s="182"/>
      <c r="AQ346" s="183"/>
    </row>
    <row r="347" spans="1:44" ht="14.25" thickBot="1">
      <c r="A347" s="1" t="s">
        <v>1</v>
      </c>
      <c r="B347" s="2" t="s">
        <v>8</v>
      </c>
      <c r="C347" s="1" t="s">
        <v>9</v>
      </c>
      <c r="D347" s="19" t="s">
        <v>10</v>
      </c>
      <c r="E347" s="1" t="s">
        <v>2</v>
      </c>
      <c r="F347" s="2" t="s">
        <v>8</v>
      </c>
      <c r="G347" s="1" t="s">
        <v>9</v>
      </c>
      <c r="H347" s="19" t="s">
        <v>10</v>
      </c>
      <c r="I347" s="1" t="s">
        <v>2</v>
      </c>
      <c r="K347" s="1" t="s">
        <v>1</v>
      </c>
      <c r="L347" s="2" t="s">
        <v>8</v>
      </c>
      <c r="M347" s="1" t="s">
        <v>9</v>
      </c>
      <c r="N347" s="19" t="s">
        <v>10</v>
      </c>
      <c r="O347" s="1" t="s">
        <v>2</v>
      </c>
      <c r="P347" s="2" t="s">
        <v>8</v>
      </c>
      <c r="Q347" s="1" t="s">
        <v>9</v>
      </c>
      <c r="R347" s="19" t="s">
        <v>10</v>
      </c>
      <c r="S347" s="1" t="s">
        <v>2</v>
      </c>
      <c r="AI347" s="1" t="s">
        <v>1</v>
      </c>
      <c r="AJ347" s="2" t="s">
        <v>8</v>
      </c>
      <c r="AK347" s="1" t="s">
        <v>9</v>
      </c>
      <c r="AL347" s="19" t="s">
        <v>10</v>
      </c>
      <c r="AM347" s="1" t="s">
        <v>2</v>
      </c>
      <c r="AN347" s="2" t="s">
        <v>8</v>
      </c>
      <c r="AO347" s="1" t="s">
        <v>9</v>
      </c>
      <c r="AP347" s="19" t="s">
        <v>10</v>
      </c>
      <c r="AQ347" s="1" t="s">
        <v>2</v>
      </c>
    </row>
    <row r="348" spans="1:44" ht="14.25" thickBot="1">
      <c r="A348" s="21" t="s">
        <v>7</v>
      </c>
      <c r="B348" s="18">
        <f>B342</f>
        <v>12</v>
      </c>
      <c r="C348" s="22">
        <f>C342</f>
        <v>10</v>
      </c>
      <c r="D348" s="22">
        <f>D342</f>
        <v>61</v>
      </c>
      <c r="E348" s="17">
        <f t="shared" ref="E348:E351" si="100">SUM(B348:D348)</f>
        <v>83</v>
      </c>
      <c r="F348" s="22">
        <f>F342</f>
        <v>12</v>
      </c>
      <c r="G348" s="22">
        <f>G342</f>
        <v>10</v>
      </c>
      <c r="H348" s="22">
        <f>H342</f>
        <v>61</v>
      </c>
      <c r="I348" s="17">
        <f t="shared" ref="I348:I351" si="101">SUM(F348:H348)</f>
        <v>83</v>
      </c>
      <c r="K348" s="21" t="s">
        <v>7</v>
      </c>
      <c r="L348" s="18">
        <f>L342</f>
        <v>128</v>
      </c>
      <c r="M348" s="22">
        <f>M342</f>
        <v>214</v>
      </c>
      <c r="N348" s="22">
        <f>N342</f>
        <v>127</v>
      </c>
      <c r="O348" s="17">
        <f t="shared" ref="O348:O352" si="102">SUM(L348:N348)</f>
        <v>469</v>
      </c>
      <c r="P348" s="22">
        <f>P342</f>
        <v>128</v>
      </c>
      <c r="Q348" s="22">
        <f>Q342</f>
        <v>214</v>
      </c>
      <c r="R348" s="22">
        <f>R342</f>
        <v>127</v>
      </c>
      <c r="S348" s="17">
        <f t="shared" ref="S348:S354" si="103">SUM(P348:R348)</f>
        <v>469</v>
      </c>
      <c r="AI348" s="52" t="s">
        <v>7</v>
      </c>
      <c r="AJ348" s="53">
        <f>AJ342</f>
        <v>0</v>
      </c>
      <c r="AK348" s="23">
        <f>AK342</f>
        <v>0</v>
      </c>
      <c r="AL348" s="23">
        <f>AL342</f>
        <v>0</v>
      </c>
      <c r="AM348" s="26">
        <f t="shared" ref="AM348:AM384" si="104">SUM(AJ348:AL348)</f>
        <v>0</v>
      </c>
      <c r="AN348" s="23">
        <f>AN342</f>
        <v>0</v>
      </c>
      <c r="AO348" s="23">
        <f>AO342</f>
        <v>0</v>
      </c>
      <c r="AP348" s="23">
        <f>AP342</f>
        <v>0</v>
      </c>
      <c r="AQ348" s="26">
        <f t="shared" ref="AQ348:AQ384" si="105">SUM(AN348:AP348)</f>
        <v>0</v>
      </c>
    </row>
    <row r="349" spans="1:44">
      <c r="A349" s="11" t="s">
        <v>155</v>
      </c>
      <c r="B349" s="30">
        <v>1</v>
      </c>
      <c r="C349" s="31"/>
      <c r="D349" s="32"/>
      <c r="E349" s="4">
        <f t="shared" si="100"/>
        <v>1</v>
      </c>
      <c r="F349" s="30">
        <v>1</v>
      </c>
      <c r="G349" s="31"/>
      <c r="H349" s="32"/>
      <c r="I349" s="4">
        <f t="shared" si="101"/>
        <v>1</v>
      </c>
      <c r="J349" s="49">
        <v>43937</v>
      </c>
      <c r="K349" s="5" t="s">
        <v>3</v>
      </c>
      <c r="L349" s="57"/>
      <c r="M349" s="58"/>
      <c r="N349" s="57"/>
      <c r="O349" s="4">
        <f t="shared" si="102"/>
        <v>0</v>
      </c>
      <c r="P349" s="57"/>
      <c r="Q349" s="58"/>
      <c r="R349" s="57"/>
      <c r="S349" s="4">
        <f t="shared" si="103"/>
        <v>0</v>
      </c>
      <c r="AI349" s="5" t="s">
        <v>3</v>
      </c>
      <c r="AJ349" s="16"/>
      <c r="AK349" s="11"/>
      <c r="AL349" s="16"/>
      <c r="AM349" s="4">
        <f t="shared" si="104"/>
        <v>0</v>
      </c>
      <c r="AN349" s="16"/>
      <c r="AO349" s="11"/>
      <c r="AP349" s="16"/>
      <c r="AQ349" s="4">
        <f t="shared" si="105"/>
        <v>0</v>
      </c>
    </row>
    <row r="350" spans="1:44">
      <c r="A350" s="5" t="s">
        <v>78</v>
      </c>
      <c r="B350" s="30"/>
      <c r="C350" s="31">
        <v>2</v>
      </c>
      <c r="D350" s="32"/>
      <c r="E350" s="4">
        <f t="shared" si="100"/>
        <v>2</v>
      </c>
      <c r="F350" s="30"/>
      <c r="G350" s="31">
        <v>2</v>
      </c>
      <c r="H350" s="32"/>
      <c r="I350" s="4">
        <f t="shared" si="101"/>
        <v>2</v>
      </c>
      <c r="J350" s="43">
        <v>43966</v>
      </c>
      <c r="K350" s="5" t="s">
        <v>141</v>
      </c>
      <c r="L350" s="32">
        <v>110</v>
      </c>
      <c r="M350" s="31">
        <v>130</v>
      </c>
      <c r="N350" s="32">
        <v>70</v>
      </c>
      <c r="O350" s="4">
        <f t="shared" si="102"/>
        <v>310</v>
      </c>
      <c r="P350" s="32">
        <v>110</v>
      </c>
      <c r="Q350" s="31">
        <v>130</v>
      </c>
      <c r="R350" s="32">
        <v>70</v>
      </c>
      <c r="S350" s="4">
        <f t="shared" si="103"/>
        <v>310</v>
      </c>
      <c r="T350" s="43" t="s">
        <v>168</v>
      </c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43"/>
      <c r="AI350" s="5" t="s">
        <v>141</v>
      </c>
      <c r="AJ350" s="32">
        <v>110</v>
      </c>
      <c r="AK350" s="31">
        <v>130</v>
      </c>
      <c r="AL350" s="32">
        <v>70</v>
      </c>
      <c r="AM350" s="4">
        <f t="shared" si="104"/>
        <v>310</v>
      </c>
      <c r="AN350" s="32">
        <v>110</v>
      </c>
      <c r="AO350" s="31">
        <v>130</v>
      </c>
      <c r="AP350" s="32">
        <v>70</v>
      </c>
      <c r="AQ350" s="4">
        <f t="shared" si="105"/>
        <v>310</v>
      </c>
      <c r="AR350" s="50">
        <v>43966</v>
      </c>
    </row>
    <row r="351" spans="1:44">
      <c r="A351" s="5" t="s">
        <v>3</v>
      </c>
      <c r="B351" s="30"/>
      <c r="C351" s="31"/>
      <c r="D351" s="32"/>
      <c r="E351" s="4">
        <f t="shared" si="100"/>
        <v>0</v>
      </c>
      <c r="F351" s="30"/>
      <c r="G351" s="31"/>
      <c r="H351" s="32"/>
      <c r="I351" s="4">
        <f t="shared" si="101"/>
        <v>0</v>
      </c>
      <c r="J351" s="49"/>
      <c r="K351" s="5" t="s">
        <v>3</v>
      </c>
      <c r="L351" s="30"/>
      <c r="M351" s="31"/>
      <c r="N351" s="32"/>
      <c r="O351" s="4">
        <f t="shared" si="102"/>
        <v>0</v>
      </c>
      <c r="P351" s="30"/>
      <c r="Q351" s="31"/>
      <c r="R351" s="32"/>
      <c r="S351" s="4">
        <f t="shared" si="103"/>
        <v>0</v>
      </c>
      <c r="T351" s="71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71"/>
      <c r="AI351" s="5" t="s">
        <v>3</v>
      </c>
      <c r="AJ351" s="30"/>
      <c r="AK351" s="31"/>
      <c r="AL351" s="32"/>
      <c r="AM351" s="4">
        <f t="shared" si="104"/>
        <v>0</v>
      </c>
      <c r="AN351" s="30"/>
      <c r="AO351" s="31"/>
      <c r="AP351" s="32"/>
      <c r="AQ351" s="4">
        <f t="shared" si="105"/>
        <v>0</v>
      </c>
      <c r="AR351" s="29"/>
    </row>
    <row r="352" spans="1:44">
      <c r="A352" s="5" t="s">
        <v>3</v>
      </c>
      <c r="B352" s="16"/>
      <c r="C352" s="11"/>
      <c r="D352" s="16"/>
      <c r="E352" s="4">
        <f t="shared" ref="E352:E384" si="106">SUM(B352:D352)</f>
        <v>0</v>
      </c>
      <c r="F352" s="16"/>
      <c r="G352" s="11"/>
      <c r="H352" s="16"/>
      <c r="I352" s="4">
        <f t="shared" ref="I352:I384" si="107">SUM(F352:H352)</f>
        <v>0</v>
      </c>
      <c r="J352" s="43"/>
      <c r="K352" s="5" t="s">
        <v>3</v>
      </c>
      <c r="L352" s="16"/>
      <c r="M352" s="11"/>
      <c r="N352" s="16"/>
      <c r="O352" s="4">
        <f t="shared" si="102"/>
        <v>0</v>
      </c>
      <c r="P352" s="16"/>
      <c r="Q352" s="11"/>
      <c r="R352" s="16"/>
      <c r="S352" s="4">
        <f t="shared" si="103"/>
        <v>0</v>
      </c>
      <c r="T352" s="43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43"/>
      <c r="AI352" s="5" t="s">
        <v>3</v>
      </c>
      <c r="AJ352" s="16"/>
      <c r="AK352" s="11"/>
      <c r="AL352" s="16"/>
      <c r="AM352" s="4">
        <f t="shared" si="104"/>
        <v>0</v>
      </c>
      <c r="AN352" s="16"/>
      <c r="AO352" s="11"/>
      <c r="AP352" s="16"/>
      <c r="AQ352" s="4">
        <f t="shared" si="105"/>
        <v>0</v>
      </c>
      <c r="AR352" s="50"/>
    </row>
    <row r="353" spans="1:44">
      <c r="A353" s="5" t="s">
        <v>3</v>
      </c>
      <c r="B353" s="16"/>
      <c r="C353" s="11"/>
      <c r="D353" s="16"/>
      <c r="E353" s="4">
        <f t="shared" si="106"/>
        <v>0</v>
      </c>
      <c r="F353" s="16"/>
      <c r="G353" s="11"/>
      <c r="H353" s="16"/>
      <c r="I353" s="4">
        <f t="shared" si="107"/>
        <v>0</v>
      </c>
      <c r="J353" s="49"/>
      <c r="K353" s="5" t="s">
        <v>3</v>
      </c>
      <c r="L353" s="16"/>
      <c r="M353" s="11"/>
      <c r="N353" s="16"/>
      <c r="O353" s="4">
        <f t="shared" ref="O353:O384" si="108">SUM(L353:N353)</f>
        <v>0</v>
      </c>
      <c r="P353" s="16"/>
      <c r="Q353" s="11"/>
      <c r="R353" s="16"/>
      <c r="S353" s="4">
        <f t="shared" si="103"/>
        <v>0</v>
      </c>
      <c r="T353" s="43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43"/>
      <c r="AI353" s="5" t="s">
        <v>3</v>
      </c>
      <c r="AJ353" s="16"/>
      <c r="AK353" s="11"/>
      <c r="AL353" s="16"/>
      <c r="AM353" s="4">
        <f t="shared" si="104"/>
        <v>0</v>
      </c>
      <c r="AN353" s="16"/>
      <c r="AO353" s="11"/>
      <c r="AP353" s="16"/>
      <c r="AQ353" s="4">
        <f t="shared" si="105"/>
        <v>0</v>
      </c>
      <c r="AR353" s="29"/>
    </row>
    <row r="354" spans="1:44">
      <c r="A354" s="5" t="s">
        <v>3</v>
      </c>
      <c r="B354" s="16"/>
      <c r="C354" s="11"/>
      <c r="D354" s="16"/>
      <c r="E354" s="4">
        <f t="shared" si="106"/>
        <v>0</v>
      </c>
      <c r="F354" s="16"/>
      <c r="G354" s="11"/>
      <c r="H354" s="16"/>
      <c r="I354" s="4">
        <f t="shared" si="107"/>
        <v>0</v>
      </c>
      <c r="J354" s="49"/>
      <c r="K354" s="5" t="s">
        <v>3</v>
      </c>
      <c r="L354" s="16"/>
      <c r="M354" s="11"/>
      <c r="N354" s="16"/>
      <c r="O354" s="4">
        <f t="shared" si="108"/>
        <v>0</v>
      </c>
      <c r="P354" s="16"/>
      <c r="Q354" s="11"/>
      <c r="R354" s="16"/>
      <c r="S354" s="4">
        <f t="shared" si="103"/>
        <v>0</v>
      </c>
      <c r="T354" s="43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43"/>
      <c r="AI354" s="5" t="s">
        <v>3</v>
      </c>
      <c r="AJ354" s="16"/>
      <c r="AK354" s="11"/>
      <c r="AL354" s="16"/>
      <c r="AM354" s="4">
        <f t="shared" si="104"/>
        <v>0</v>
      </c>
      <c r="AN354" s="16"/>
      <c r="AO354" s="11"/>
      <c r="AP354" s="16"/>
      <c r="AQ354" s="4">
        <f t="shared" si="105"/>
        <v>0</v>
      </c>
    </row>
    <row r="355" spans="1:44">
      <c r="A355" s="5" t="s">
        <v>3</v>
      </c>
      <c r="B355" s="32"/>
      <c r="C355" s="31"/>
      <c r="D355" s="32"/>
      <c r="E355" s="4">
        <f t="shared" si="106"/>
        <v>0</v>
      </c>
      <c r="F355" s="32"/>
      <c r="G355" s="31"/>
      <c r="H355" s="32"/>
      <c r="I355" s="4">
        <f t="shared" si="107"/>
        <v>0</v>
      </c>
      <c r="J355" s="49"/>
      <c r="K355" s="5" t="s">
        <v>3</v>
      </c>
      <c r="L355" s="32"/>
      <c r="M355" s="31"/>
      <c r="N355" s="32"/>
      <c r="O355" s="4">
        <f t="shared" si="108"/>
        <v>0</v>
      </c>
      <c r="P355" s="32"/>
      <c r="Q355" s="31"/>
      <c r="R355" s="32"/>
      <c r="S355" s="4">
        <f t="shared" ref="S355:S384" si="109">SUM(P355:R355)</f>
        <v>0</v>
      </c>
      <c r="T355" s="43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43"/>
      <c r="AI355" s="5" t="s">
        <v>3</v>
      </c>
      <c r="AJ355" s="10"/>
      <c r="AK355" s="9"/>
      <c r="AL355" s="10"/>
      <c r="AM355" s="4">
        <f t="shared" si="104"/>
        <v>0</v>
      </c>
      <c r="AN355" s="10"/>
      <c r="AO355" s="9"/>
      <c r="AP355" s="10"/>
      <c r="AQ355" s="4">
        <f t="shared" si="105"/>
        <v>0</v>
      </c>
    </row>
    <row r="356" spans="1:44">
      <c r="A356" s="5" t="s">
        <v>3</v>
      </c>
      <c r="B356" s="32"/>
      <c r="C356" s="31"/>
      <c r="D356" s="32"/>
      <c r="E356" s="4">
        <f t="shared" si="106"/>
        <v>0</v>
      </c>
      <c r="F356" s="32"/>
      <c r="G356" s="31"/>
      <c r="H356" s="32"/>
      <c r="I356" s="4">
        <f t="shared" si="107"/>
        <v>0</v>
      </c>
      <c r="J356" s="43"/>
      <c r="K356" s="5" t="s">
        <v>3</v>
      </c>
      <c r="L356" s="32"/>
      <c r="M356" s="31"/>
      <c r="N356" s="32"/>
      <c r="O356" s="4">
        <f t="shared" si="108"/>
        <v>0</v>
      </c>
      <c r="P356" s="32"/>
      <c r="Q356" s="31"/>
      <c r="R356" s="32"/>
      <c r="S356" s="4">
        <f t="shared" si="109"/>
        <v>0</v>
      </c>
      <c r="AI356" s="6" t="s">
        <v>3</v>
      </c>
      <c r="AJ356" s="10"/>
      <c r="AK356" s="9"/>
      <c r="AL356" s="10"/>
      <c r="AM356" s="4">
        <f t="shared" si="104"/>
        <v>0</v>
      </c>
      <c r="AN356" s="10"/>
      <c r="AO356" s="9"/>
      <c r="AP356" s="10"/>
      <c r="AQ356" s="4">
        <f t="shared" si="105"/>
        <v>0</v>
      </c>
    </row>
    <row r="357" spans="1:44">
      <c r="A357" s="5" t="s">
        <v>3</v>
      </c>
      <c r="B357" s="30"/>
      <c r="C357" s="31"/>
      <c r="D357" s="32"/>
      <c r="E357" s="4">
        <f t="shared" si="106"/>
        <v>0</v>
      </c>
      <c r="F357" s="30"/>
      <c r="G357" s="31"/>
      <c r="H357" s="32"/>
      <c r="I357" s="4">
        <f t="shared" si="107"/>
        <v>0</v>
      </c>
      <c r="J357" s="43"/>
      <c r="K357" s="5" t="s">
        <v>3</v>
      </c>
      <c r="L357" s="30"/>
      <c r="M357" s="31"/>
      <c r="N357" s="32"/>
      <c r="O357" s="4">
        <f t="shared" si="108"/>
        <v>0</v>
      </c>
      <c r="P357" s="59"/>
      <c r="Q357" s="60"/>
      <c r="R357" s="61"/>
      <c r="S357" s="4">
        <f t="shared" si="109"/>
        <v>0</v>
      </c>
      <c r="AI357" s="6" t="s">
        <v>3</v>
      </c>
      <c r="AJ357" s="32"/>
      <c r="AK357" s="31"/>
      <c r="AL357" s="32"/>
      <c r="AM357" s="4">
        <f t="shared" si="104"/>
        <v>0</v>
      </c>
      <c r="AN357" s="32"/>
      <c r="AO357" s="31"/>
      <c r="AP357" s="32"/>
      <c r="AQ357" s="4">
        <f t="shared" si="105"/>
        <v>0</v>
      </c>
    </row>
    <row r="358" spans="1:44" ht="14.25" thickBot="1">
      <c r="A358" s="6" t="s">
        <v>3</v>
      </c>
      <c r="B358" s="36"/>
      <c r="C358" s="37"/>
      <c r="D358" s="36"/>
      <c r="E358" s="20">
        <f t="shared" si="106"/>
        <v>0</v>
      </c>
      <c r="F358" s="13"/>
      <c r="G358" s="12"/>
      <c r="H358" s="13"/>
      <c r="I358" s="20">
        <f t="shared" si="107"/>
        <v>0</v>
      </c>
      <c r="K358" s="6" t="s">
        <v>3</v>
      </c>
      <c r="L358" s="13"/>
      <c r="M358" s="12"/>
      <c r="N358" s="13"/>
      <c r="O358" s="20">
        <f t="shared" si="108"/>
        <v>0</v>
      </c>
      <c r="P358" s="13"/>
      <c r="Q358" s="12"/>
      <c r="R358" s="13"/>
      <c r="S358" s="20">
        <f t="shared" si="109"/>
        <v>0</v>
      </c>
      <c r="AI358" s="6" t="s">
        <v>3</v>
      </c>
      <c r="AJ358" s="13"/>
      <c r="AK358" s="12"/>
      <c r="AL358" s="13"/>
      <c r="AM358" s="20">
        <f t="shared" si="104"/>
        <v>0</v>
      </c>
      <c r="AN358" s="13"/>
      <c r="AO358" s="12"/>
      <c r="AP358" s="13"/>
      <c r="AQ358" s="20">
        <f t="shared" si="105"/>
        <v>0</v>
      </c>
    </row>
    <row r="359" spans="1:44" ht="14.25" thickBot="1">
      <c r="A359" s="23" t="s">
        <v>4</v>
      </c>
      <c r="B359" s="24">
        <f>SUM(B348:B358)</f>
        <v>13</v>
      </c>
      <c r="C359" s="24">
        <f>SUM(C348:C358)</f>
        <v>12</v>
      </c>
      <c r="D359" s="25">
        <f>SUM(D348:D358)</f>
        <v>61</v>
      </c>
      <c r="E359" s="26">
        <f t="shared" si="106"/>
        <v>86</v>
      </c>
      <c r="F359" s="24">
        <f>SUM(F348:F358)</f>
        <v>13</v>
      </c>
      <c r="G359" s="24">
        <f>SUM(G348:G358)</f>
        <v>12</v>
      </c>
      <c r="H359" s="25">
        <f>SUM(H348:H358)</f>
        <v>61</v>
      </c>
      <c r="I359" s="26">
        <f t="shared" si="107"/>
        <v>86</v>
      </c>
      <c r="K359" s="23" t="s">
        <v>4</v>
      </c>
      <c r="L359" s="24">
        <f>SUM(L348:L358)</f>
        <v>238</v>
      </c>
      <c r="M359" s="24">
        <f>SUM(M348:M358)</f>
        <v>344</v>
      </c>
      <c r="N359" s="25">
        <f>SUM(N348:N358)</f>
        <v>197</v>
      </c>
      <c r="O359" s="26">
        <f t="shared" si="108"/>
        <v>779</v>
      </c>
      <c r="P359" s="24">
        <f>SUM(P348:P358)</f>
        <v>238</v>
      </c>
      <c r="Q359" s="24">
        <f>SUM(Q348:Q358)</f>
        <v>344</v>
      </c>
      <c r="R359" s="25">
        <f>SUM(R348:R358)</f>
        <v>197</v>
      </c>
      <c r="S359" s="26">
        <f t="shared" si="109"/>
        <v>779</v>
      </c>
      <c r="AI359" s="23" t="s">
        <v>4</v>
      </c>
      <c r="AJ359" s="24">
        <f>SUM(AJ348:AJ358)</f>
        <v>110</v>
      </c>
      <c r="AK359" s="24">
        <f>SUM(AK348:AK358)</f>
        <v>130</v>
      </c>
      <c r="AL359" s="25">
        <f>SUM(AL348:AL358)</f>
        <v>70</v>
      </c>
      <c r="AM359" s="26">
        <f t="shared" si="104"/>
        <v>310</v>
      </c>
      <c r="AN359" s="24">
        <f>SUM(AN348:AN358)</f>
        <v>110</v>
      </c>
      <c r="AO359" s="24">
        <f>SUM(AO348:AO358)</f>
        <v>130</v>
      </c>
      <c r="AP359" s="25">
        <f>SUM(AP348:AP358)</f>
        <v>70</v>
      </c>
      <c r="AQ359" s="26">
        <f t="shared" si="105"/>
        <v>310</v>
      </c>
    </row>
    <row r="360" spans="1:44">
      <c r="A360" s="3" t="s">
        <v>50</v>
      </c>
      <c r="B360" s="8"/>
      <c r="C360" s="9">
        <v>1</v>
      </c>
      <c r="D360" s="10"/>
      <c r="E360" s="4">
        <f t="shared" si="106"/>
        <v>1</v>
      </c>
      <c r="F360" s="8"/>
      <c r="G360" s="9">
        <v>1</v>
      </c>
      <c r="H360" s="10"/>
      <c r="I360" s="4">
        <f t="shared" si="107"/>
        <v>1</v>
      </c>
      <c r="J360" s="43">
        <v>43936</v>
      </c>
      <c r="K360" s="11" t="s">
        <v>140</v>
      </c>
      <c r="L360" s="8">
        <v>20</v>
      </c>
      <c r="M360" s="9">
        <v>20</v>
      </c>
      <c r="N360" s="10">
        <v>10</v>
      </c>
      <c r="O360" s="7">
        <f t="shared" si="108"/>
        <v>50</v>
      </c>
      <c r="P360" s="8">
        <v>20</v>
      </c>
      <c r="Q360" s="9">
        <v>20</v>
      </c>
      <c r="R360" s="10">
        <v>10</v>
      </c>
      <c r="S360" s="7">
        <f t="shared" si="109"/>
        <v>50</v>
      </c>
      <c r="T360" s="43">
        <v>43945</v>
      </c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43"/>
      <c r="AI360" s="3" t="s">
        <v>176</v>
      </c>
      <c r="AJ360" s="32">
        <v>110</v>
      </c>
      <c r="AK360" s="31">
        <v>130</v>
      </c>
      <c r="AL360" s="32">
        <v>70</v>
      </c>
      <c r="AM360" s="4">
        <f t="shared" ref="AM360" si="110">SUM(AJ360:AL360)</f>
        <v>310</v>
      </c>
      <c r="AN360" s="32">
        <v>110</v>
      </c>
      <c r="AO360" s="31">
        <v>130</v>
      </c>
      <c r="AP360" s="32">
        <v>70</v>
      </c>
      <c r="AQ360" s="4">
        <f t="shared" ref="AQ360" si="111">SUM(AN360:AP360)</f>
        <v>310</v>
      </c>
      <c r="AR360" s="50">
        <v>43966</v>
      </c>
    </row>
    <row r="361" spans="1:44">
      <c r="A361" s="3" t="s">
        <v>161</v>
      </c>
      <c r="B361" s="8">
        <v>1</v>
      </c>
      <c r="C361" s="9"/>
      <c r="D361" s="10"/>
      <c r="E361" s="4">
        <f t="shared" si="106"/>
        <v>1</v>
      </c>
      <c r="F361" s="8">
        <v>1</v>
      </c>
      <c r="G361" s="9"/>
      <c r="H361" s="10"/>
      <c r="I361" s="4">
        <f t="shared" si="107"/>
        <v>1</v>
      </c>
      <c r="J361" s="43">
        <v>43945</v>
      </c>
      <c r="K361" s="68" t="s">
        <v>156</v>
      </c>
      <c r="L361" s="8">
        <v>14</v>
      </c>
      <c r="M361" s="9"/>
      <c r="N361" s="10"/>
      <c r="O361" s="4">
        <f t="shared" si="108"/>
        <v>14</v>
      </c>
      <c r="P361" s="8">
        <v>14</v>
      </c>
      <c r="Q361" s="9"/>
      <c r="R361" s="10"/>
      <c r="S361" s="4">
        <f t="shared" si="109"/>
        <v>14</v>
      </c>
      <c r="T361" s="43">
        <v>43942</v>
      </c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43"/>
      <c r="AI361" s="3"/>
      <c r="AJ361" s="8"/>
      <c r="AK361" s="9"/>
      <c r="AL361" s="10"/>
      <c r="AM361" s="7">
        <f t="shared" si="104"/>
        <v>0</v>
      </c>
      <c r="AN361" s="8"/>
      <c r="AO361" s="9"/>
      <c r="AP361" s="10"/>
      <c r="AQ361" s="7">
        <f t="shared" si="105"/>
        <v>0</v>
      </c>
      <c r="AR361" s="29"/>
    </row>
    <row r="362" spans="1:44">
      <c r="A362" s="3" t="s">
        <v>82</v>
      </c>
      <c r="B362" s="8">
        <v>2</v>
      </c>
      <c r="C362" s="9">
        <v>2</v>
      </c>
      <c r="D362" s="10">
        <v>2</v>
      </c>
      <c r="E362" s="7">
        <f t="shared" si="106"/>
        <v>6</v>
      </c>
      <c r="F362" s="8">
        <v>2</v>
      </c>
      <c r="G362" s="9">
        <v>2</v>
      </c>
      <c r="H362" s="10">
        <v>2</v>
      </c>
      <c r="I362" s="7">
        <f t="shared" si="107"/>
        <v>6</v>
      </c>
      <c r="J362" s="43">
        <v>43948</v>
      </c>
      <c r="K362" s="3" t="s">
        <v>157</v>
      </c>
      <c r="L362" s="8"/>
      <c r="M362" s="9">
        <v>16</v>
      </c>
      <c r="N362" s="10"/>
      <c r="O362" s="7">
        <f t="shared" si="108"/>
        <v>16</v>
      </c>
      <c r="P362" s="8"/>
      <c r="Q362" s="9">
        <v>16</v>
      </c>
      <c r="R362" s="10"/>
      <c r="S362" s="7">
        <f t="shared" si="109"/>
        <v>16</v>
      </c>
      <c r="T362" s="43">
        <v>43944</v>
      </c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43"/>
      <c r="AI362" s="3"/>
      <c r="AJ362" s="62"/>
      <c r="AK362" s="63"/>
      <c r="AL362" s="64"/>
      <c r="AM362" s="65">
        <v>290</v>
      </c>
      <c r="AN362" s="62"/>
      <c r="AO362" s="63"/>
      <c r="AP362" s="64"/>
      <c r="AQ362" s="65">
        <v>290</v>
      </c>
      <c r="AR362" s="66"/>
    </row>
    <row r="363" spans="1:44">
      <c r="A363" s="3" t="s">
        <v>50</v>
      </c>
      <c r="B363" s="8">
        <v>1</v>
      </c>
      <c r="C363" s="9"/>
      <c r="D363" s="10"/>
      <c r="E363" s="4">
        <f t="shared" si="106"/>
        <v>1</v>
      </c>
      <c r="F363" s="8">
        <v>1</v>
      </c>
      <c r="G363" s="9"/>
      <c r="H363" s="10"/>
      <c r="I363" s="4">
        <f t="shared" si="107"/>
        <v>1</v>
      </c>
      <c r="J363" s="43">
        <v>43964</v>
      </c>
      <c r="K363" s="3" t="s">
        <v>158</v>
      </c>
      <c r="L363" s="8">
        <v>6</v>
      </c>
      <c r="M363" s="9">
        <v>4</v>
      </c>
      <c r="N363" s="10">
        <v>8</v>
      </c>
      <c r="O363" s="4">
        <f t="shared" si="108"/>
        <v>18</v>
      </c>
      <c r="P363" s="8">
        <v>6</v>
      </c>
      <c r="Q363" s="9">
        <v>4</v>
      </c>
      <c r="R363" s="10">
        <v>8</v>
      </c>
      <c r="S363" s="4">
        <f t="shared" si="109"/>
        <v>18</v>
      </c>
      <c r="T363" s="43">
        <v>43948</v>
      </c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43"/>
      <c r="AI363" s="3"/>
      <c r="AJ363" s="8"/>
      <c r="AK363" s="9"/>
      <c r="AL363" s="10"/>
      <c r="AM363" s="4">
        <f t="shared" si="104"/>
        <v>0</v>
      </c>
      <c r="AN363" s="8"/>
      <c r="AO363" s="9"/>
      <c r="AP363" s="10"/>
      <c r="AQ363" s="4">
        <f t="shared" si="105"/>
        <v>0</v>
      </c>
    </row>
    <row r="364" spans="1:44">
      <c r="A364" s="3" t="s">
        <v>82</v>
      </c>
      <c r="B364" s="8">
        <v>1</v>
      </c>
      <c r="C364" s="9">
        <v>2</v>
      </c>
      <c r="D364" s="10">
        <v>1</v>
      </c>
      <c r="E364" s="4">
        <f t="shared" si="106"/>
        <v>4</v>
      </c>
      <c r="F364" s="8">
        <v>1</v>
      </c>
      <c r="G364" s="9">
        <v>2</v>
      </c>
      <c r="H364" s="10">
        <v>1</v>
      </c>
      <c r="I364" s="4">
        <f t="shared" si="107"/>
        <v>4</v>
      </c>
      <c r="J364" s="43">
        <v>43969</v>
      </c>
      <c r="K364" s="3" t="s">
        <v>82</v>
      </c>
      <c r="L364" s="8"/>
      <c r="M364" s="9">
        <v>7</v>
      </c>
      <c r="N364" s="10"/>
      <c r="O364" s="4">
        <f t="shared" si="108"/>
        <v>7</v>
      </c>
      <c r="P364" s="8"/>
      <c r="Q364" s="9">
        <v>7</v>
      </c>
      <c r="R364" s="10"/>
      <c r="S364" s="4">
        <f t="shared" si="109"/>
        <v>7</v>
      </c>
      <c r="T364" s="43">
        <v>43953</v>
      </c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43"/>
      <c r="AI364" s="3"/>
      <c r="AJ364" s="8"/>
      <c r="AK364" s="9"/>
      <c r="AL364" s="10"/>
      <c r="AM364" s="4">
        <f t="shared" si="104"/>
        <v>0</v>
      </c>
      <c r="AN364" s="8"/>
      <c r="AO364" s="9"/>
      <c r="AP364" s="10"/>
      <c r="AQ364" s="4">
        <f t="shared" si="105"/>
        <v>0</v>
      </c>
    </row>
    <row r="365" spans="1:44">
      <c r="A365" s="3" t="s">
        <v>82</v>
      </c>
      <c r="B365" s="8"/>
      <c r="C365" s="9">
        <v>1</v>
      </c>
      <c r="D365" s="10"/>
      <c r="E365" s="7">
        <f t="shared" si="106"/>
        <v>1</v>
      </c>
      <c r="F365" s="8"/>
      <c r="G365" s="9">
        <v>1</v>
      </c>
      <c r="H365" s="10"/>
      <c r="I365" s="7">
        <f t="shared" si="107"/>
        <v>1</v>
      </c>
      <c r="J365" s="43">
        <v>43970</v>
      </c>
      <c r="K365" s="3" t="s">
        <v>82</v>
      </c>
      <c r="L365" s="8">
        <v>6</v>
      </c>
      <c r="M365" s="9">
        <v>2</v>
      </c>
      <c r="N365" s="10"/>
      <c r="O365" s="7">
        <f t="shared" si="108"/>
        <v>8</v>
      </c>
      <c r="P365" s="8">
        <v>6</v>
      </c>
      <c r="Q365" s="9">
        <v>2</v>
      </c>
      <c r="R365" s="10"/>
      <c r="S365" s="7">
        <f t="shared" si="109"/>
        <v>8</v>
      </c>
      <c r="T365" s="43">
        <v>43959</v>
      </c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43"/>
      <c r="AI365" s="3"/>
      <c r="AJ365" s="8"/>
      <c r="AK365" s="9"/>
      <c r="AL365" s="10"/>
      <c r="AM365" s="7">
        <f t="shared" si="104"/>
        <v>0</v>
      </c>
      <c r="AN365" s="8"/>
      <c r="AO365" s="9"/>
      <c r="AP365" s="10"/>
      <c r="AQ365" s="7">
        <f t="shared" si="105"/>
        <v>0</v>
      </c>
    </row>
    <row r="366" spans="1:44">
      <c r="A366" s="3" t="s">
        <v>170</v>
      </c>
      <c r="B366" s="8"/>
      <c r="C366" s="9">
        <v>1</v>
      </c>
      <c r="D366" s="10"/>
      <c r="E366" s="7">
        <f t="shared" si="106"/>
        <v>1</v>
      </c>
      <c r="F366" s="8"/>
      <c r="G366" s="9">
        <v>1</v>
      </c>
      <c r="H366" s="10"/>
      <c r="I366" s="7">
        <f t="shared" si="107"/>
        <v>1</v>
      </c>
      <c r="J366" s="43">
        <v>43972</v>
      </c>
      <c r="K366" s="3" t="s">
        <v>162</v>
      </c>
      <c r="L366" s="8"/>
      <c r="M366" s="9">
        <v>16</v>
      </c>
      <c r="N366" s="10"/>
      <c r="O366" s="7">
        <f t="shared" si="108"/>
        <v>16</v>
      </c>
      <c r="P366" s="8"/>
      <c r="Q366" s="9">
        <v>16</v>
      </c>
      <c r="R366" s="10"/>
      <c r="S366" s="7">
        <f t="shared" si="109"/>
        <v>16</v>
      </c>
      <c r="T366" s="43">
        <v>43962</v>
      </c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43"/>
      <c r="AI366" s="3"/>
      <c r="AJ366" s="8"/>
      <c r="AK366" s="9"/>
      <c r="AL366" s="10"/>
      <c r="AM366" s="7">
        <f t="shared" si="104"/>
        <v>0</v>
      </c>
      <c r="AN366" s="8"/>
      <c r="AO366" s="9"/>
      <c r="AP366" s="10"/>
      <c r="AQ366" s="7">
        <f t="shared" si="105"/>
        <v>0</v>
      </c>
    </row>
    <row r="367" spans="1:44">
      <c r="A367" s="3" t="s">
        <v>178</v>
      </c>
      <c r="B367" s="8">
        <v>1</v>
      </c>
      <c r="C367" s="9">
        <v>1</v>
      </c>
      <c r="D367" s="10">
        <v>1</v>
      </c>
      <c r="E367" s="7">
        <f t="shared" si="106"/>
        <v>3</v>
      </c>
      <c r="F367" s="8">
        <v>1</v>
      </c>
      <c r="G367" s="9">
        <v>1</v>
      </c>
      <c r="H367" s="10">
        <v>1</v>
      </c>
      <c r="I367" s="7">
        <f t="shared" si="107"/>
        <v>3</v>
      </c>
      <c r="J367" s="43">
        <v>43983</v>
      </c>
      <c r="K367" s="3" t="s">
        <v>82</v>
      </c>
      <c r="L367" s="8"/>
      <c r="M367" s="9">
        <v>1</v>
      </c>
      <c r="N367" s="10">
        <v>4</v>
      </c>
      <c r="O367" s="7">
        <f t="shared" si="108"/>
        <v>5</v>
      </c>
      <c r="P367" s="8"/>
      <c r="Q367" s="9">
        <v>1</v>
      </c>
      <c r="R367" s="10">
        <v>4</v>
      </c>
      <c r="S367" s="7">
        <f t="shared" si="109"/>
        <v>5</v>
      </c>
      <c r="T367" s="43">
        <v>43960</v>
      </c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43"/>
      <c r="AI367" s="3"/>
      <c r="AJ367" s="8"/>
      <c r="AK367" s="9"/>
      <c r="AL367" s="10"/>
      <c r="AM367" s="7">
        <f t="shared" si="104"/>
        <v>0</v>
      </c>
      <c r="AN367" s="8"/>
      <c r="AO367" s="9"/>
      <c r="AP367" s="10"/>
      <c r="AQ367" s="7">
        <f t="shared" si="105"/>
        <v>0</v>
      </c>
    </row>
    <row r="368" spans="1:44">
      <c r="A368" s="3"/>
      <c r="B368" s="8"/>
      <c r="C368" s="9"/>
      <c r="D368" s="10"/>
      <c r="E368" s="7">
        <f t="shared" si="106"/>
        <v>0</v>
      </c>
      <c r="F368" s="8"/>
      <c r="G368" s="9"/>
      <c r="H368" s="10"/>
      <c r="I368" s="7">
        <f t="shared" si="107"/>
        <v>0</v>
      </c>
      <c r="J368" s="43"/>
      <c r="K368" s="3" t="s">
        <v>82</v>
      </c>
      <c r="L368" s="8">
        <v>4</v>
      </c>
      <c r="M368" s="9"/>
      <c r="N368" s="10">
        <v>1</v>
      </c>
      <c r="O368" s="7">
        <f t="shared" si="108"/>
        <v>5</v>
      </c>
      <c r="P368" s="8">
        <v>4</v>
      </c>
      <c r="Q368" s="9"/>
      <c r="R368" s="10">
        <v>1</v>
      </c>
      <c r="S368" s="7">
        <f t="shared" si="109"/>
        <v>5</v>
      </c>
      <c r="T368" s="43">
        <v>43963</v>
      </c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43"/>
      <c r="AI368" s="3"/>
      <c r="AJ368" s="8"/>
      <c r="AK368" s="9"/>
      <c r="AL368" s="10"/>
      <c r="AM368" s="7">
        <f t="shared" si="104"/>
        <v>0</v>
      </c>
      <c r="AN368" s="8"/>
      <c r="AO368" s="9"/>
      <c r="AP368" s="10"/>
      <c r="AQ368" s="7">
        <f t="shared" si="105"/>
        <v>0</v>
      </c>
    </row>
    <row r="369" spans="1:43">
      <c r="A369" s="3"/>
      <c r="B369" s="8"/>
      <c r="C369" s="9"/>
      <c r="D369" s="10"/>
      <c r="E369" s="7">
        <f t="shared" si="106"/>
        <v>0</v>
      </c>
      <c r="F369" s="8"/>
      <c r="G369" s="9"/>
      <c r="H369" s="10"/>
      <c r="I369" s="7">
        <f t="shared" si="107"/>
        <v>0</v>
      </c>
      <c r="J369" s="43"/>
      <c r="K369" s="3" t="s">
        <v>82</v>
      </c>
      <c r="L369" s="8">
        <v>1</v>
      </c>
      <c r="M369" s="9">
        <v>2</v>
      </c>
      <c r="N369" s="10">
        <v>2</v>
      </c>
      <c r="O369" s="7">
        <f t="shared" si="108"/>
        <v>5</v>
      </c>
      <c r="P369" s="8">
        <v>1</v>
      </c>
      <c r="Q369" s="9">
        <v>2</v>
      </c>
      <c r="R369" s="10">
        <v>2</v>
      </c>
      <c r="S369" s="7">
        <f t="shared" si="109"/>
        <v>5</v>
      </c>
      <c r="T369" s="43">
        <v>43964</v>
      </c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43"/>
      <c r="AI369" s="3"/>
      <c r="AJ369" s="8"/>
      <c r="AK369" s="9"/>
      <c r="AL369" s="10"/>
      <c r="AM369" s="7">
        <f t="shared" si="104"/>
        <v>0</v>
      </c>
      <c r="AN369" s="8"/>
      <c r="AO369" s="9"/>
      <c r="AP369" s="10"/>
      <c r="AQ369" s="7">
        <f t="shared" si="105"/>
        <v>0</v>
      </c>
    </row>
    <row r="370" spans="1:43">
      <c r="A370" s="3"/>
      <c r="B370" s="8"/>
      <c r="C370" s="9"/>
      <c r="D370" s="10"/>
      <c r="E370" s="7">
        <f t="shared" si="106"/>
        <v>0</v>
      </c>
      <c r="F370" s="8"/>
      <c r="G370" s="9"/>
      <c r="H370" s="10"/>
      <c r="I370" s="7">
        <f t="shared" si="107"/>
        <v>0</v>
      </c>
      <c r="J370" s="43"/>
      <c r="K370" s="3" t="s">
        <v>82</v>
      </c>
      <c r="L370" s="30">
        <v>2</v>
      </c>
      <c r="M370" s="9"/>
      <c r="N370" s="10">
        <v>1</v>
      </c>
      <c r="O370" s="7">
        <f t="shared" si="108"/>
        <v>3</v>
      </c>
      <c r="P370" s="8">
        <v>2</v>
      </c>
      <c r="Q370" s="9"/>
      <c r="R370" s="10">
        <v>1</v>
      </c>
      <c r="S370" s="7">
        <f t="shared" si="109"/>
        <v>3</v>
      </c>
      <c r="T370" s="43">
        <v>43965</v>
      </c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43"/>
      <c r="AI370" s="3"/>
      <c r="AJ370" s="8"/>
      <c r="AK370" s="9"/>
      <c r="AL370" s="10"/>
      <c r="AM370" s="7">
        <f t="shared" si="104"/>
        <v>0</v>
      </c>
      <c r="AN370" s="8"/>
      <c r="AO370" s="9"/>
      <c r="AP370" s="10"/>
      <c r="AQ370" s="7">
        <f t="shared" si="105"/>
        <v>0</v>
      </c>
    </row>
    <row r="371" spans="1:43">
      <c r="A371" s="3"/>
      <c r="B371" s="8"/>
      <c r="C371" s="9"/>
      <c r="D371" s="10"/>
      <c r="E371" s="7">
        <f t="shared" si="106"/>
        <v>0</v>
      </c>
      <c r="F371" s="8"/>
      <c r="G371" s="9"/>
      <c r="H371" s="10"/>
      <c r="I371" s="7">
        <f t="shared" si="107"/>
        <v>0</v>
      </c>
      <c r="J371" s="43"/>
      <c r="K371" s="3" t="s">
        <v>82</v>
      </c>
      <c r="L371" s="8"/>
      <c r="M371" s="9">
        <v>2</v>
      </c>
      <c r="N371" s="10">
        <v>1</v>
      </c>
      <c r="O371" s="7">
        <f t="shared" si="108"/>
        <v>3</v>
      </c>
      <c r="P371" s="8"/>
      <c r="Q371" s="9">
        <v>2</v>
      </c>
      <c r="R371" s="10">
        <v>1</v>
      </c>
      <c r="S371" s="7">
        <f t="shared" si="109"/>
        <v>3</v>
      </c>
      <c r="T371" s="43">
        <v>43966</v>
      </c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43"/>
      <c r="AI371" s="3"/>
      <c r="AJ371" s="8"/>
      <c r="AK371" s="9"/>
      <c r="AL371" s="10"/>
      <c r="AM371" s="7">
        <f t="shared" si="104"/>
        <v>0</v>
      </c>
      <c r="AN371" s="8"/>
      <c r="AO371" s="9"/>
      <c r="AP371" s="10"/>
      <c r="AQ371" s="7">
        <f t="shared" si="105"/>
        <v>0</v>
      </c>
    </row>
    <row r="372" spans="1:43">
      <c r="A372" s="3"/>
      <c r="B372" s="8"/>
      <c r="C372" s="9"/>
      <c r="D372" s="10"/>
      <c r="E372" s="7">
        <f t="shared" si="106"/>
        <v>0</v>
      </c>
      <c r="F372" s="8"/>
      <c r="G372" s="9"/>
      <c r="H372" s="10"/>
      <c r="I372" s="7">
        <f t="shared" si="107"/>
        <v>0</v>
      </c>
      <c r="J372" s="43"/>
      <c r="K372" s="3" t="s">
        <v>82</v>
      </c>
      <c r="L372" s="8"/>
      <c r="M372" s="9"/>
      <c r="N372" s="10">
        <v>1</v>
      </c>
      <c r="O372" s="7">
        <f t="shared" si="108"/>
        <v>1</v>
      </c>
      <c r="P372" s="8"/>
      <c r="Q372" s="9"/>
      <c r="R372" s="10">
        <v>1</v>
      </c>
      <c r="S372" s="7">
        <f t="shared" si="109"/>
        <v>1</v>
      </c>
      <c r="T372" s="43">
        <v>43967</v>
      </c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43"/>
      <c r="AI372" s="3"/>
      <c r="AJ372" s="8"/>
      <c r="AK372" s="9"/>
      <c r="AL372" s="10"/>
      <c r="AM372" s="7">
        <f t="shared" si="104"/>
        <v>0</v>
      </c>
      <c r="AN372" s="8"/>
      <c r="AO372" s="9"/>
      <c r="AP372" s="10"/>
      <c r="AQ372" s="7">
        <f t="shared" si="105"/>
        <v>0</v>
      </c>
    </row>
    <row r="373" spans="1:43">
      <c r="A373" s="3"/>
      <c r="B373" s="8"/>
      <c r="C373" s="9"/>
      <c r="D373" s="10"/>
      <c r="E373" s="7">
        <f t="shared" si="106"/>
        <v>0</v>
      </c>
      <c r="F373" s="8"/>
      <c r="G373" s="9"/>
      <c r="H373" s="10"/>
      <c r="I373" s="7">
        <f t="shared" si="107"/>
        <v>0</v>
      </c>
      <c r="J373" s="43"/>
      <c r="K373" s="11" t="s">
        <v>167</v>
      </c>
      <c r="L373" s="8">
        <v>10</v>
      </c>
      <c r="M373" s="9">
        <v>10</v>
      </c>
      <c r="N373" s="10">
        <v>10</v>
      </c>
      <c r="O373" s="7">
        <f t="shared" si="108"/>
        <v>30</v>
      </c>
      <c r="P373" s="8">
        <v>10</v>
      </c>
      <c r="Q373" s="9">
        <v>10</v>
      </c>
      <c r="R373" s="10">
        <v>10</v>
      </c>
      <c r="S373" s="7">
        <f t="shared" si="109"/>
        <v>30</v>
      </c>
      <c r="T373" s="43">
        <v>43973</v>
      </c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43"/>
      <c r="AI373" s="3"/>
      <c r="AJ373" s="8"/>
      <c r="AK373" s="9"/>
      <c r="AL373" s="10"/>
      <c r="AM373" s="7">
        <f t="shared" si="104"/>
        <v>0</v>
      </c>
      <c r="AN373" s="8"/>
      <c r="AO373" s="9"/>
      <c r="AP373" s="10"/>
      <c r="AQ373" s="7">
        <f t="shared" si="105"/>
        <v>0</v>
      </c>
    </row>
    <row r="374" spans="1:43">
      <c r="A374" s="3"/>
      <c r="B374" s="8"/>
      <c r="C374" s="9"/>
      <c r="D374" s="10"/>
      <c r="E374" s="7">
        <f t="shared" si="106"/>
        <v>0</v>
      </c>
      <c r="F374" s="8"/>
      <c r="G374" s="9"/>
      <c r="H374" s="10"/>
      <c r="I374" s="7">
        <f t="shared" si="107"/>
        <v>0</v>
      </c>
      <c r="J374" s="43"/>
      <c r="K374" s="3" t="s">
        <v>82</v>
      </c>
      <c r="L374" s="8"/>
      <c r="M374" s="9">
        <v>1</v>
      </c>
      <c r="N374" s="10"/>
      <c r="O374" s="7">
        <f t="shared" si="108"/>
        <v>1</v>
      </c>
      <c r="P374" s="8"/>
      <c r="Q374" s="9">
        <v>1</v>
      </c>
      <c r="R374" s="10"/>
      <c r="S374" s="7">
        <f t="shared" si="109"/>
        <v>1</v>
      </c>
      <c r="T374" s="43">
        <v>43971</v>
      </c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43"/>
      <c r="AI374" s="3"/>
      <c r="AJ374" s="8"/>
      <c r="AK374" s="9"/>
      <c r="AL374" s="10"/>
      <c r="AM374" s="7">
        <f t="shared" si="104"/>
        <v>0</v>
      </c>
      <c r="AN374" s="8"/>
      <c r="AO374" s="9"/>
      <c r="AP374" s="10"/>
      <c r="AQ374" s="7">
        <f t="shared" si="105"/>
        <v>0</v>
      </c>
    </row>
    <row r="375" spans="1:43">
      <c r="A375" s="3"/>
      <c r="B375" s="8"/>
      <c r="C375" s="9"/>
      <c r="D375" s="10"/>
      <c r="E375" s="7">
        <f t="shared" si="106"/>
        <v>0</v>
      </c>
      <c r="F375" s="8"/>
      <c r="G375" s="9"/>
      <c r="H375" s="10"/>
      <c r="I375" s="7">
        <f t="shared" si="107"/>
        <v>0</v>
      </c>
      <c r="J375" s="43"/>
      <c r="K375" s="11" t="s">
        <v>169</v>
      </c>
      <c r="L375" s="8"/>
      <c r="M375" s="9">
        <v>10</v>
      </c>
      <c r="N375" s="10"/>
      <c r="O375" s="7">
        <f t="shared" si="108"/>
        <v>10</v>
      </c>
      <c r="P375" s="8"/>
      <c r="Q375" s="9">
        <v>10</v>
      </c>
      <c r="R375" s="10"/>
      <c r="S375" s="7">
        <f t="shared" si="109"/>
        <v>10</v>
      </c>
      <c r="T375" s="43">
        <v>43976</v>
      </c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43"/>
      <c r="AI375" s="3"/>
      <c r="AJ375" s="8"/>
      <c r="AK375" s="9"/>
      <c r="AL375" s="10"/>
      <c r="AM375" s="7">
        <f t="shared" si="104"/>
        <v>0</v>
      </c>
      <c r="AN375" s="8"/>
      <c r="AO375" s="9"/>
      <c r="AP375" s="10"/>
      <c r="AQ375" s="7">
        <f t="shared" si="105"/>
        <v>0</v>
      </c>
    </row>
    <row r="376" spans="1:43">
      <c r="A376" s="3"/>
      <c r="B376" s="8"/>
      <c r="C376" s="9"/>
      <c r="D376" s="10"/>
      <c r="E376" s="7">
        <f t="shared" si="106"/>
        <v>0</v>
      </c>
      <c r="F376" s="8"/>
      <c r="G376" s="9"/>
      <c r="H376" s="10"/>
      <c r="I376" s="7">
        <f t="shared" si="107"/>
        <v>0</v>
      </c>
      <c r="J376" s="43"/>
      <c r="K376" s="3" t="s">
        <v>82</v>
      </c>
      <c r="L376" s="8"/>
      <c r="M376" s="9">
        <v>7</v>
      </c>
      <c r="N376" s="10">
        <v>1</v>
      </c>
      <c r="O376" s="7">
        <f t="shared" si="108"/>
        <v>8</v>
      </c>
      <c r="P376" s="8"/>
      <c r="Q376" s="9">
        <v>7</v>
      </c>
      <c r="R376" s="10">
        <v>1</v>
      </c>
      <c r="S376" s="7">
        <f t="shared" si="109"/>
        <v>8</v>
      </c>
      <c r="T376" s="43">
        <v>43973</v>
      </c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43"/>
      <c r="AI376" s="11"/>
      <c r="AJ376" s="8"/>
      <c r="AK376" s="9"/>
      <c r="AL376" s="10"/>
      <c r="AM376" s="7">
        <f t="shared" si="104"/>
        <v>0</v>
      </c>
      <c r="AN376" s="8"/>
      <c r="AO376" s="9"/>
      <c r="AP376" s="10"/>
      <c r="AQ376" s="7">
        <f t="shared" si="105"/>
        <v>0</v>
      </c>
    </row>
    <row r="377" spans="1:43">
      <c r="A377" s="3"/>
      <c r="B377" s="8"/>
      <c r="C377" s="9"/>
      <c r="D377" s="10"/>
      <c r="E377" s="7">
        <f t="shared" si="106"/>
        <v>0</v>
      </c>
      <c r="F377" s="8"/>
      <c r="G377" s="9"/>
      <c r="H377" s="10"/>
      <c r="I377" s="7">
        <f t="shared" si="107"/>
        <v>0</v>
      </c>
      <c r="J377" s="43"/>
      <c r="K377" s="3" t="s">
        <v>170</v>
      </c>
      <c r="L377" s="8"/>
      <c r="M377" s="9">
        <v>-1</v>
      </c>
      <c r="N377" s="10"/>
      <c r="O377" s="7">
        <f t="shared" ref="O377:O380" si="112">SUM(L377:N377)</f>
        <v>-1</v>
      </c>
      <c r="P377" s="8"/>
      <c r="Q377" s="9">
        <v>-1</v>
      </c>
      <c r="R377" s="10"/>
      <c r="S377" s="7">
        <f t="shared" ref="S377:S380" si="113">SUM(P377:R377)</f>
        <v>-1</v>
      </c>
      <c r="T377" s="43">
        <v>43972</v>
      </c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43"/>
      <c r="AI377" s="3"/>
      <c r="AJ377" s="8"/>
      <c r="AK377" s="9"/>
      <c r="AL377" s="10"/>
      <c r="AM377" s="7">
        <f t="shared" si="104"/>
        <v>0</v>
      </c>
      <c r="AN377" s="8"/>
      <c r="AO377" s="9"/>
      <c r="AP377" s="10"/>
      <c r="AQ377" s="7">
        <f t="shared" si="105"/>
        <v>0</v>
      </c>
    </row>
    <row r="378" spans="1:43">
      <c r="A378" s="11"/>
      <c r="B378" s="8"/>
      <c r="C378" s="9"/>
      <c r="D378" s="10"/>
      <c r="E378" s="7">
        <f t="shared" si="106"/>
        <v>0</v>
      </c>
      <c r="F378" s="8"/>
      <c r="G378" s="9"/>
      <c r="H378" s="10"/>
      <c r="I378" s="7">
        <f t="shared" si="107"/>
        <v>0</v>
      </c>
      <c r="J378" s="29"/>
      <c r="K378" s="11" t="s">
        <v>171</v>
      </c>
      <c r="L378" s="8">
        <v>10</v>
      </c>
      <c r="M378" s="9"/>
      <c r="N378" s="10">
        <v>5</v>
      </c>
      <c r="O378" s="7">
        <f t="shared" si="112"/>
        <v>15</v>
      </c>
      <c r="P378" s="8">
        <v>10</v>
      </c>
      <c r="Q378" s="9"/>
      <c r="R378" s="10">
        <v>5</v>
      </c>
      <c r="S378" s="7">
        <f t="shared" si="113"/>
        <v>15</v>
      </c>
      <c r="T378" s="43">
        <v>43979</v>
      </c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43"/>
      <c r="AI378" s="11"/>
      <c r="AJ378" s="8"/>
      <c r="AK378" s="9"/>
      <c r="AL378" s="10"/>
      <c r="AM378" s="7">
        <f t="shared" si="104"/>
        <v>0</v>
      </c>
      <c r="AN378" s="8"/>
      <c r="AO378" s="9"/>
      <c r="AP378" s="10"/>
      <c r="AQ378" s="7">
        <f t="shared" si="105"/>
        <v>0</v>
      </c>
    </row>
    <row r="379" spans="1:43">
      <c r="A379" s="11"/>
      <c r="B379" s="8"/>
      <c r="C379" s="9"/>
      <c r="D379" s="10"/>
      <c r="E379" s="7">
        <f t="shared" si="106"/>
        <v>0</v>
      </c>
      <c r="F379" s="8"/>
      <c r="G379" s="9"/>
      <c r="H379" s="10"/>
      <c r="I379" s="7">
        <f t="shared" si="107"/>
        <v>0</v>
      </c>
      <c r="J379" s="29"/>
      <c r="K379" s="3" t="s">
        <v>82</v>
      </c>
      <c r="L379" s="8">
        <v>2</v>
      </c>
      <c r="M379" s="9">
        <v>1</v>
      </c>
      <c r="N379" s="10">
        <v>3</v>
      </c>
      <c r="O379" s="7">
        <f t="shared" si="112"/>
        <v>6</v>
      </c>
      <c r="P379" s="8">
        <v>2</v>
      </c>
      <c r="Q379" s="9">
        <v>1</v>
      </c>
      <c r="R379" s="10">
        <v>3</v>
      </c>
      <c r="S379" s="7">
        <f t="shared" si="113"/>
        <v>6</v>
      </c>
      <c r="T379" s="43">
        <v>43974</v>
      </c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43"/>
      <c r="AI379" s="11"/>
      <c r="AJ379" s="8"/>
      <c r="AK379" s="9"/>
      <c r="AL379" s="10"/>
      <c r="AM379" s="7">
        <f t="shared" si="104"/>
        <v>0</v>
      </c>
      <c r="AN379" s="8"/>
      <c r="AO379" s="9"/>
      <c r="AP379" s="10"/>
      <c r="AQ379" s="7">
        <f t="shared" si="105"/>
        <v>0</v>
      </c>
    </row>
    <row r="380" spans="1:43">
      <c r="A380" s="11"/>
      <c r="B380" s="8"/>
      <c r="C380" s="9"/>
      <c r="D380" s="10"/>
      <c r="E380" s="7">
        <f t="shared" si="106"/>
        <v>0</v>
      </c>
      <c r="F380" s="8"/>
      <c r="G380" s="9"/>
      <c r="H380" s="10"/>
      <c r="I380" s="7">
        <f t="shared" si="107"/>
        <v>0</v>
      </c>
      <c r="J380" s="29"/>
      <c r="K380" s="11" t="s">
        <v>172</v>
      </c>
      <c r="L380" s="8">
        <v>5</v>
      </c>
      <c r="M380" s="9">
        <v>5</v>
      </c>
      <c r="N380" s="10"/>
      <c r="O380" s="7">
        <f t="shared" si="112"/>
        <v>10</v>
      </c>
      <c r="P380" s="8">
        <v>5</v>
      </c>
      <c r="Q380" s="9">
        <v>5</v>
      </c>
      <c r="R380" s="10"/>
      <c r="S380" s="7">
        <f t="shared" si="113"/>
        <v>10</v>
      </c>
      <c r="T380" s="43">
        <v>43980</v>
      </c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43"/>
      <c r="AI380" s="11"/>
      <c r="AJ380" s="8"/>
      <c r="AK380" s="9"/>
      <c r="AL380" s="10"/>
      <c r="AM380" s="7">
        <f t="shared" si="104"/>
        <v>0</v>
      </c>
      <c r="AN380" s="8"/>
      <c r="AO380" s="9"/>
      <c r="AP380" s="10"/>
      <c r="AQ380" s="7">
        <f t="shared" si="105"/>
        <v>0</v>
      </c>
    </row>
    <row r="381" spans="1:43">
      <c r="A381" s="11"/>
      <c r="B381" s="8"/>
      <c r="C381" s="9"/>
      <c r="D381" s="10"/>
      <c r="E381" s="7">
        <f t="shared" si="106"/>
        <v>0</v>
      </c>
      <c r="F381" s="8"/>
      <c r="G381" s="9"/>
      <c r="H381" s="10"/>
      <c r="I381" s="7">
        <f t="shared" si="107"/>
        <v>0</v>
      </c>
      <c r="J381" s="29"/>
      <c r="K381" s="3" t="s">
        <v>82</v>
      </c>
      <c r="L381" s="8">
        <v>9</v>
      </c>
      <c r="M381" s="9">
        <v>10</v>
      </c>
      <c r="N381" s="10">
        <v>2</v>
      </c>
      <c r="O381" s="7">
        <f t="shared" si="108"/>
        <v>21</v>
      </c>
      <c r="P381" s="8">
        <v>9</v>
      </c>
      <c r="Q381" s="9">
        <v>10</v>
      </c>
      <c r="R381" s="10">
        <v>2</v>
      </c>
      <c r="S381" s="7">
        <f t="shared" si="109"/>
        <v>21</v>
      </c>
      <c r="T381" s="43">
        <v>43977</v>
      </c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43"/>
      <c r="AI381" s="11"/>
      <c r="AJ381" s="8"/>
      <c r="AK381" s="9"/>
      <c r="AL381" s="10"/>
      <c r="AM381" s="7">
        <f t="shared" si="104"/>
        <v>0</v>
      </c>
      <c r="AN381" s="8"/>
      <c r="AO381" s="9"/>
      <c r="AP381" s="10"/>
      <c r="AQ381" s="7">
        <f t="shared" si="105"/>
        <v>0</v>
      </c>
    </row>
    <row r="382" spans="1:43">
      <c r="A382" s="11"/>
      <c r="B382" s="8"/>
      <c r="C382" s="9"/>
      <c r="D382" s="10"/>
      <c r="E382" s="7">
        <f t="shared" si="106"/>
        <v>0</v>
      </c>
      <c r="F382" s="8"/>
      <c r="G382" s="9"/>
      <c r="H382" s="10"/>
      <c r="I382" s="7">
        <f t="shared" si="107"/>
        <v>0</v>
      </c>
      <c r="J382" s="43"/>
      <c r="K382" s="3" t="s">
        <v>137</v>
      </c>
      <c r="L382" s="8"/>
      <c r="M382" s="9"/>
      <c r="N382" s="10"/>
      <c r="O382" s="7">
        <f t="shared" si="108"/>
        <v>0</v>
      </c>
      <c r="P382" s="8"/>
      <c r="Q382" s="9"/>
      <c r="R382" s="10"/>
      <c r="S382" s="7">
        <f t="shared" si="109"/>
        <v>0</v>
      </c>
      <c r="T382" s="43" t="s">
        <v>138</v>
      </c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43"/>
      <c r="AI382" s="3"/>
      <c r="AJ382" s="8"/>
      <c r="AK382" s="9"/>
      <c r="AL382" s="10"/>
      <c r="AM382" s="7">
        <f t="shared" si="104"/>
        <v>0</v>
      </c>
      <c r="AN382" s="8"/>
      <c r="AO382" s="9"/>
      <c r="AP382" s="10"/>
      <c r="AQ382" s="7">
        <f t="shared" si="105"/>
        <v>0</v>
      </c>
    </row>
    <row r="383" spans="1:43" ht="14.25" thickBot="1">
      <c r="A383" s="3"/>
      <c r="B383" s="8"/>
      <c r="C383" s="9"/>
      <c r="D383" s="10"/>
      <c r="E383" s="7">
        <f t="shared" si="106"/>
        <v>0</v>
      </c>
      <c r="F383" s="8"/>
      <c r="G383" s="9"/>
      <c r="H383" s="10"/>
      <c r="I383" s="7">
        <f t="shared" si="107"/>
        <v>0</v>
      </c>
      <c r="J383" s="29"/>
      <c r="K383" s="68" t="s">
        <v>145</v>
      </c>
      <c r="L383" s="8"/>
      <c r="M383" s="9"/>
      <c r="N383" s="10"/>
      <c r="O383" s="7">
        <f t="shared" si="108"/>
        <v>0</v>
      </c>
      <c r="P383" s="8"/>
      <c r="Q383" s="9"/>
      <c r="R383" s="10"/>
      <c r="S383" s="7">
        <f t="shared" si="109"/>
        <v>0</v>
      </c>
      <c r="T383" s="71" t="s">
        <v>136</v>
      </c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71"/>
      <c r="AI383" s="3"/>
      <c r="AJ383" s="8"/>
      <c r="AK383" s="9"/>
      <c r="AL383" s="10"/>
      <c r="AM383" s="7">
        <f t="shared" si="104"/>
        <v>0</v>
      </c>
      <c r="AN383" s="8"/>
      <c r="AO383" s="9"/>
      <c r="AP383" s="10"/>
      <c r="AQ383" s="7">
        <f t="shared" si="105"/>
        <v>0</v>
      </c>
    </row>
    <row r="384" spans="1:43" ht="14.25" thickBot="1">
      <c r="A384" s="2" t="s">
        <v>5</v>
      </c>
      <c r="B384" s="14">
        <f>SUM(B360:B383)</f>
        <v>6</v>
      </c>
      <c r="C384" s="14">
        <f>SUM(C360:C383)</f>
        <v>8</v>
      </c>
      <c r="D384" s="14">
        <f>SUM(D360:D383)</f>
        <v>4</v>
      </c>
      <c r="E384" s="15">
        <f t="shared" si="106"/>
        <v>18</v>
      </c>
      <c r="F384" s="14">
        <f>SUM(F360:F383)</f>
        <v>6</v>
      </c>
      <c r="G384" s="14">
        <f>SUM(G360:G383)</f>
        <v>8</v>
      </c>
      <c r="H384" s="14">
        <f>SUM(H360:H383)</f>
        <v>4</v>
      </c>
      <c r="I384" s="15">
        <f t="shared" si="107"/>
        <v>18</v>
      </c>
      <c r="K384" s="2" t="s">
        <v>5</v>
      </c>
      <c r="L384" s="14">
        <f>SUM(L360:L383)</f>
        <v>89</v>
      </c>
      <c r="M384" s="14">
        <f>SUM(M360:M383)</f>
        <v>113</v>
      </c>
      <c r="N384" s="14">
        <f>SUM(N360:N383)</f>
        <v>49</v>
      </c>
      <c r="O384" s="15">
        <f t="shared" si="108"/>
        <v>251</v>
      </c>
      <c r="P384" s="14">
        <f>SUM(P360:P383)</f>
        <v>89</v>
      </c>
      <c r="Q384" s="14">
        <f>SUM(Q360:Q383)</f>
        <v>113</v>
      </c>
      <c r="R384" s="14">
        <f>SUM(R360:R383)</f>
        <v>49</v>
      </c>
      <c r="S384" s="15">
        <f t="shared" si="109"/>
        <v>251</v>
      </c>
      <c r="AI384" s="2" t="s">
        <v>5</v>
      </c>
      <c r="AJ384" s="14">
        <f>SUM(AJ360:AJ383)</f>
        <v>110</v>
      </c>
      <c r="AK384" s="14">
        <f>SUM(AK360:AK383)</f>
        <v>130</v>
      </c>
      <c r="AL384" s="14">
        <f>SUM(AL360:AL383)</f>
        <v>70</v>
      </c>
      <c r="AM384" s="15">
        <f t="shared" si="104"/>
        <v>310</v>
      </c>
      <c r="AN384" s="14">
        <f>SUM(AN360:AN383)</f>
        <v>110</v>
      </c>
      <c r="AO384" s="14">
        <f>SUM(AO360:AO383)</f>
        <v>130</v>
      </c>
      <c r="AP384" s="14">
        <f>SUM(AP360:AP383)</f>
        <v>70</v>
      </c>
      <c r="AQ384" s="15">
        <f t="shared" si="105"/>
        <v>310</v>
      </c>
    </row>
    <row r="385" spans="1:44" ht="14.25" thickBot="1">
      <c r="A385" s="27" t="s">
        <v>6</v>
      </c>
      <c r="B385" s="28">
        <f>B359-B384</f>
        <v>7</v>
      </c>
      <c r="C385" s="28">
        <f t="shared" ref="C385:E385" si="114">C359-C384</f>
        <v>4</v>
      </c>
      <c r="D385" s="28">
        <f t="shared" si="114"/>
        <v>57</v>
      </c>
      <c r="E385" s="28">
        <f t="shared" si="114"/>
        <v>68</v>
      </c>
      <c r="F385" s="28">
        <f>F359-F384</f>
        <v>7</v>
      </c>
      <c r="G385" s="28">
        <f t="shared" ref="G385:I385" si="115">G359-G384</f>
        <v>4</v>
      </c>
      <c r="H385" s="28">
        <f t="shared" si="115"/>
        <v>57</v>
      </c>
      <c r="I385" s="26">
        <f t="shared" si="115"/>
        <v>68</v>
      </c>
      <c r="K385" s="27" t="s">
        <v>6</v>
      </c>
      <c r="L385" s="28">
        <f>L359-L384</f>
        <v>149</v>
      </c>
      <c r="M385" s="28">
        <f t="shared" ref="M385:O385" si="116">M359-M384</f>
        <v>231</v>
      </c>
      <c r="N385" s="28">
        <f t="shared" si="116"/>
        <v>148</v>
      </c>
      <c r="O385" s="28">
        <f t="shared" si="116"/>
        <v>528</v>
      </c>
      <c r="P385" s="28">
        <f>P359-P384</f>
        <v>149</v>
      </c>
      <c r="Q385" s="28">
        <f t="shared" ref="Q385:S385" si="117">Q359-Q384</f>
        <v>231</v>
      </c>
      <c r="R385" s="28">
        <f t="shared" si="117"/>
        <v>148</v>
      </c>
      <c r="S385" s="26">
        <f t="shared" si="117"/>
        <v>528</v>
      </c>
      <c r="AI385" s="27" t="s">
        <v>6</v>
      </c>
      <c r="AJ385" s="28">
        <f>AJ359-AJ384</f>
        <v>0</v>
      </c>
      <c r="AK385" s="28">
        <f t="shared" ref="AK385:AM385" si="118">AK359-AK384</f>
        <v>0</v>
      </c>
      <c r="AL385" s="28">
        <f t="shared" si="118"/>
        <v>0</v>
      </c>
      <c r="AM385" s="28">
        <f t="shared" si="118"/>
        <v>0</v>
      </c>
      <c r="AN385" s="28">
        <f>AN359-AN384</f>
        <v>0</v>
      </c>
      <c r="AO385" s="28">
        <f t="shared" ref="AO385:AQ385" si="119">AO359-AO384</f>
        <v>0</v>
      </c>
      <c r="AP385" s="28">
        <f t="shared" si="119"/>
        <v>0</v>
      </c>
      <c r="AQ385" s="26">
        <f t="shared" si="119"/>
        <v>0</v>
      </c>
    </row>
    <row r="387" spans="1:44">
      <c r="L387" s="69"/>
      <c r="M387" s="69"/>
      <c r="N387" s="69"/>
      <c r="O387" s="69"/>
    </row>
    <row r="388" spans="1:44" ht="21.75" thickBot="1">
      <c r="A388" s="33" t="s">
        <v>15</v>
      </c>
      <c r="B388" s="34"/>
      <c r="C388" s="34"/>
      <c r="D388" s="34"/>
      <c r="E388" s="34"/>
      <c r="F388" s="35"/>
      <c r="G388" s="35"/>
      <c r="H388" s="35"/>
      <c r="I388" s="35"/>
      <c r="K388" s="33" t="s">
        <v>125</v>
      </c>
      <c r="L388" s="34"/>
      <c r="M388" s="34"/>
      <c r="N388" s="34"/>
      <c r="O388" s="34"/>
      <c r="P388" s="35"/>
      <c r="Q388" s="35"/>
      <c r="R388" s="35"/>
      <c r="S388" s="35"/>
      <c r="AI388" s="33" t="s">
        <v>87</v>
      </c>
      <c r="AJ388" s="34"/>
      <c r="AK388" s="34"/>
      <c r="AL388" s="34"/>
      <c r="AM388" s="34"/>
      <c r="AN388" s="35"/>
      <c r="AO388" s="35"/>
      <c r="AP388" s="35"/>
      <c r="AQ388" s="35"/>
    </row>
    <row r="389" spans="1:44" ht="14.25" thickBot="1">
      <c r="A389" s="1" t="s">
        <v>0</v>
      </c>
      <c r="B389" s="182" t="s">
        <v>17</v>
      </c>
      <c r="C389" s="182"/>
      <c r="D389" s="182"/>
      <c r="E389" s="183"/>
      <c r="F389" s="182" t="s">
        <v>13</v>
      </c>
      <c r="G389" s="182"/>
      <c r="H389" s="182"/>
      <c r="I389" s="183"/>
      <c r="K389" s="1" t="s">
        <v>0</v>
      </c>
      <c r="L389" s="182" t="s">
        <v>17</v>
      </c>
      <c r="M389" s="182"/>
      <c r="N389" s="182"/>
      <c r="O389" s="183"/>
      <c r="P389" s="182" t="s">
        <v>13</v>
      </c>
      <c r="Q389" s="182"/>
      <c r="R389" s="182"/>
      <c r="S389" s="183"/>
      <c r="AI389" s="1" t="s">
        <v>0</v>
      </c>
      <c r="AJ389" s="182" t="s">
        <v>17</v>
      </c>
      <c r="AK389" s="182"/>
      <c r="AL389" s="182"/>
      <c r="AM389" s="183"/>
      <c r="AN389" s="182" t="s">
        <v>13</v>
      </c>
      <c r="AO389" s="182"/>
      <c r="AP389" s="182"/>
      <c r="AQ389" s="183"/>
    </row>
    <row r="390" spans="1:44" ht="14.25" thickBot="1">
      <c r="A390" s="1" t="s">
        <v>1</v>
      </c>
      <c r="B390" s="2" t="s">
        <v>8</v>
      </c>
      <c r="C390" s="1" t="s">
        <v>9</v>
      </c>
      <c r="D390" s="19" t="s">
        <v>10</v>
      </c>
      <c r="E390" s="1" t="s">
        <v>2</v>
      </c>
      <c r="F390" s="2" t="s">
        <v>8</v>
      </c>
      <c r="G390" s="1" t="s">
        <v>9</v>
      </c>
      <c r="H390" s="19" t="s">
        <v>10</v>
      </c>
      <c r="I390" s="1" t="s">
        <v>2</v>
      </c>
      <c r="K390" s="1" t="s">
        <v>1</v>
      </c>
      <c r="L390" s="2" t="s">
        <v>8</v>
      </c>
      <c r="M390" s="1" t="s">
        <v>9</v>
      </c>
      <c r="N390" s="19" t="s">
        <v>10</v>
      </c>
      <c r="O390" s="1" t="s">
        <v>2</v>
      </c>
      <c r="P390" s="2" t="s">
        <v>8</v>
      </c>
      <c r="Q390" s="1" t="s">
        <v>9</v>
      </c>
      <c r="R390" s="19" t="s">
        <v>10</v>
      </c>
      <c r="S390" s="1" t="s">
        <v>2</v>
      </c>
      <c r="AI390" s="1" t="s">
        <v>1</v>
      </c>
      <c r="AJ390" s="2" t="s">
        <v>8</v>
      </c>
      <c r="AK390" s="1" t="s">
        <v>9</v>
      </c>
      <c r="AL390" s="19" t="s">
        <v>10</v>
      </c>
      <c r="AM390" s="1" t="s">
        <v>2</v>
      </c>
      <c r="AN390" s="2" t="s">
        <v>8</v>
      </c>
      <c r="AO390" s="1" t="s">
        <v>9</v>
      </c>
      <c r="AP390" s="19" t="s">
        <v>10</v>
      </c>
      <c r="AQ390" s="1" t="s">
        <v>2</v>
      </c>
    </row>
    <row r="391" spans="1:44" ht="14.25" thickBot="1">
      <c r="A391" s="21" t="s">
        <v>7</v>
      </c>
      <c r="B391" s="18">
        <f>B385</f>
        <v>7</v>
      </c>
      <c r="C391" s="22">
        <f>C385</f>
        <v>4</v>
      </c>
      <c r="D391" s="22">
        <f>D385</f>
        <v>57</v>
      </c>
      <c r="E391" s="17">
        <f t="shared" ref="E391:E427" si="120">SUM(B391:D391)</f>
        <v>68</v>
      </c>
      <c r="F391" s="22">
        <f>F385</f>
        <v>7</v>
      </c>
      <c r="G391" s="22">
        <f>G385</f>
        <v>4</v>
      </c>
      <c r="H391" s="22">
        <f>H385</f>
        <v>57</v>
      </c>
      <c r="I391" s="17">
        <f t="shared" ref="I391:I427" si="121">SUM(F391:H391)</f>
        <v>68</v>
      </c>
      <c r="K391" s="21" t="s">
        <v>7</v>
      </c>
      <c r="L391" s="18">
        <f>L385</f>
        <v>149</v>
      </c>
      <c r="M391" s="22">
        <f>M385</f>
        <v>231</v>
      </c>
      <c r="N391" s="22">
        <f>N385</f>
        <v>148</v>
      </c>
      <c r="O391" s="17">
        <f t="shared" ref="O391:O427" si="122">SUM(L391:N391)</f>
        <v>528</v>
      </c>
      <c r="P391" s="22">
        <f>P385</f>
        <v>149</v>
      </c>
      <c r="Q391" s="22">
        <f>Q385</f>
        <v>231</v>
      </c>
      <c r="R391" s="22">
        <f>R385</f>
        <v>148</v>
      </c>
      <c r="S391" s="17">
        <f t="shared" ref="S391:S427" si="123">SUM(P391:R391)</f>
        <v>528</v>
      </c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I391" s="52" t="s">
        <v>7</v>
      </c>
      <c r="AJ391" s="53">
        <f>AJ385</f>
        <v>0</v>
      </c>
      <c r="AK391" s="23">
        <f>AK385</f>
        <v>0</v>
      </c>
      <c r="AL391" s="23">
        <f>AL385</f>
        <v>0</v>
      </c>
      <c r="AM391" s="26">
        <f t="shared" ref="AM391:AM402" si="124">SUM(AJ391:AL391)</f>
        <v>0</v>
      </c>
      <c r="AN391" s="23">
        <f>AN385</f>
        <v>0</v>
      </c>
      <c r="AO391" s="23">
        <f>AO385</f>
        <v>0</v>
      </c>
      <c r="AP391" s="23">
        <f>AP385</f>
        <v>0</v>
      </c>
      <c r="AQ391" s="26">
        <f t="shared" ref="AQ391:AQ402" si="125">SUM(AN391:AP391)</f>
        <v>0</v>
      </c>
    </row>
    <row r="392" spans="1:44">
      <c r="A392" s="5" t="s">
        <v>37</v>
      </c>
      <c r="B392" s="30"/>
      <c r="C392" s="31">
        <v>1</v>
      </c>
      <c r="D392" s="32"/>
      <c r="E392" s="4">
        <f t="shared" si="120"/>
        <v>1</v>
      </c>
      <c r="F392" s="30"/>
      <c r="G392" s="31">
        <v>1</v>
      </c>
      <c r="H392" s="32"/>
      <c r="I392" s="4">
        <f t="shared" si="121"/>
        <v>1</v>
      </c>
      <c r="J392" s="49">
        <v>43978</v>
      </c>
      <c r="K392" s="5" t="s">
        <v>3</v>
      </c>
      <c r="L392" s="57"/>
      <c r="M392" s="58"/>
      <c r="N392" s="57"/>
      <c r="O392" s="4">
        <f t="shared" si="122"/>
        <v>0</v>
      </c>
      <c r="P392" s="57"/>
      <c r="Q392" s="58"/>
      <c r="R392" s="57"/>
      <c r="S392" s="4">
        <f t="shared" si="123"/>
        <v>0</v>
      </c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I392" s="5" t="s">
        <v>3</v>
      </c>
      <c r="AJ392" s="16"/>
      <c r="AK392" s="11"/>
      <c r="AL392" s="16"/>
      <c r="AM392" s="4">
        <f t="shared" si="124"/>
        <v>0</v>
      </c>
      <c r="AN392" s="16"/>
      <c r="AO392" s="11"/>
      <c r="AP392" s="16"/>
      <c r="AQ392" s="4">
        <f t="shared" si="125"/>
        <v>0</v>
      </c>
    </row>
    <row r="393" spans="1:44">
      <c r="A393" s="5" t="s">
        <v>79</v>
      </c>
      <c r="B393" s="30">
        <v>3</v>
      </c>
      <c r="C393" s="31">
        <v>2</v>
      </c>
      <c r="D393" s="32">
        <v>2</v>
      </c>
      <c r="E393" s="4">
        <f t="shared" si="120"/>
        <v>7</v>
      </c>
      <c r="F393" s="30">
        <v>3</v>
      </c>
      <c r="G393" s="31">
        <v>2</v>
      </c>
      <c r="H393" s="32">
        <v>2</v>
      </c>
      <c r="I393" s="4">
        <f t="shared" si="121"/>
        <v>7</v>
      </c>
      <c r="J393" s="43">
        <v>43985</v>
      </c>
      <c r="K393" s="5" t="s">
        <v>3</v>
      </c>
      <c r="L393" s="16"/>
      <c r="M393" s="11"/>
      <c r="N393" s="16"/>
      <c r="O393" s="4">
        <f t="shared" ref="O393" si="126">SUM(L393:N393)</f>
        <v>0</v>
      </c>
      <c r="P393" s="16"/>
      <c r="Q393" s="11"/>
      <c r="R393" s="16"/>
      <c r="S393" s="4">
        <f t="shared" ref="S393" si="127">SUM(P393:R393)</f>
        <v>0</v>
      </c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5" t="s">
        <v>3</v>
      </c>
      <c r="AJ393" s="32"/>
      <c r="AK393" s="31"/>
      <c r="AL393" s="32"/>
      <c r="AM393" s="4">
        <f t="shared" si="124"/>
        <v>0</v>
      </c>
      <c r="AN393" s="32"/>
      <c r="AO393" s="31"/>
      <c r="AP393" s="32"/>
      <c r="AQ393" s="4">
        <f t="shared" si="125"/>
        <v>0</v>
      </c>
      <c r="AR393" s="50"/>
    </row>
    <row r="394" spans="1:44">
      <c r="A394" s="5" t="s">
        <v>78</v>
      </c>
      <c r="B394" s="30"/>
      <c r="C394" s="31">
        <v>2</v>
      </c>
      <c r="D394" s="32"/>
      <c r="E394" s="4">
        <f t="shared" si="120"/>
        <v>2</v>
      </c>
      <c r="F394" s="30"/>
      <c r="G394" s="31">
        <v>2</v>
      </c>
      <c r="H394" s="32"/>
      <c r="I394" s="4">
        <f t="shared" si="121"/>
        <v>2</v>
      </c>
      <c r="J394" s="49">
        <v>43988</v>
      </c>
      <c r="K394" s="5" t="s">
        <v>3</v>
      </c>
      <c r="L394" s="30"/>
      <c r="M394" s="31"/>
      <c r="N394" s="32"/>
      <c r="O394" s="4">
        <f t="shared" si="122"/>
        <v>0</v>
      </c>
      <c r="P394" s="30"/>
      <c r="Q394" s="31"/>
      <c r="R394" s="32"/>
      <c r="S394" s="4">
        <f t="shared" si="123"/>
        <v>0</v>
      </c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5" t="s">
        <v>3</v>
      </c>
      <c r="AJ394" s="30"/>
      <c r="AK394" s="31"/>
      <c r="AL394" s="32"/>
      <c r="AM394" s="4">
        <f t="shared" si="124"/>
        <v>0</v>
      </c>
      <c r="AN394" s="30"/>
      <c r="AO394" s="31"/>
      <c r="AP394" s="32"/>
      <c r="AQ394" s="4">
        <f t="shared" si="125"/>
        <v>0</v>
      </c>
      <c r="AR394" s="29"/>
    </row>
    <row r="395" spans="1:44">
      <c r="A395" s="5" t="s">
        <v>37</v>
      </c>
      <c r="B395" s="16"/>
      <c r="C395" s="11">
        <v>2</v>
      </c>
      <c r="D395" s="16"/>
      <c r="E395" s="4">
        <f t="shared" si="120"/>
        <v>2</v>
      </c>
      <c r="F395" s="16"/>
      <c r="G395" s="11">
        <v>2</v>
      </c>
      <c r="H395" s="16"/>
      <c r="I395" s="4">
        <f t="shared" si="121"/>
        <v>2</v>
      </c>
      <c r="J395" s="43">
        <v>43993</v>
      </c>
      <c r="K395" s="5" t="s">
        <v>3</v>
      </c>
      <c r="L395" s="16"/>
      <c r="M395" s="11"/>
      <c r="N395" s="16"/>
      <c r="O395" s="4">
        <f t="shared" si="122"/>
        <v>0</v>
      </c>
      <c r="P395" s="16"/>
      <c r="Q395" s="11"/>
      <c r="R395" s="16"/>
      <c r="S395" s="4">
        <f t="shared" si="123"/>
        <v>0</v>
      </c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5" t="s">
        <v>3</v>
      </c>
      <c r="AJ395" s="16"/>
      <c r="AK395" s="11"/>
      <c r="AL395" s="16"/>
      <c r="AM395" s="4">
        <f t="shared" si="124"/>
        <v>0</v>
      </c>
      <c r="AN395" s="16"/>
      <c r="AO395" s="11"/>
      <c r="AP395" s="16"/>
      <c r="AQ395" s="4">
        <f t="shared" si="125"/>
        <v>0</v>
      </c>
      <c r="AR395" s="50"/>
    </row>
    <row r="396" spans="1:44">
      <c r="A396" s="5" t="s">
        <v>196</v>
      </c>
      <c r="B396" s="16">
        <v>1</v>
      </c>
      <c r="C396" s="11"/>
      <c r="D396" s="16"/>
      <c r="E396" s="4">
        <f t="shared" si="120"/>
        <v>1</v>
      </c>
      <c r="F396" s="16">
        <v>1</v>
      </c>
      <c r="G396" s="11"/>
      <c r="H396" s="16"/>
      <c r="I396" s="4">
        <f t="shared" si="121"/>
        <v>1</v>
      </c>
      <c r="J396" s="49">
        <v>43994</v>
      </c>
      <c r="K396" s="5" t="s">
        <v>3</v>
      </c>
      <c r="L396" s="16"/>
      <c r="M396" s="11"/>
      <c r="N396" s="16"/>
      <c r="O396" s="4">
        <f t="shared" si="122"/>
        <v>0</v>
      </c>
      <c r="P396" s="16"/>
      <c r="Q396" s="11"/>
      <c r="R396" s="16"/>
      <c r="S396" s="4">
        <f t="shared" si="123"/>
        <v>0</v>
      </c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5" t="s">
        <v>3</v>
      </c>
      <c r="AJ396" s="16"/>
      <c r="AK396" s="11"/>
      <c r="AL396" s="16"/>
      <c r="AM396" s="4">
        <f t="shared" si="124"/>
        <v>0</v>
      </c>
      <c r="AN396" s="16"/>
      <c r="AO396" s="11"/>
      <c r="AP396" s="16"/>
      <c r="AQ396" s="4">
        <f t="shared" si="125"/>
        <v>0</v>
      </c>
      <c r="AR396" s="29"/>
    </row>
    <row r="397" spans="1:44">
      <c r="A397" s="3" t="s">
        <v>198</v>
      </c>
      <c r="B397" s="16">
        <v>1</v>
      </c>
      <c r="C397" s="11"/>
      <c r="D397" s="16"/>
      <c r="E397" s="4">
        <f t="shared" si="120"/>
        <v>1</v>
      </c>
      <c r="F397" s="16">
        <v>1</v>
      </c>
      <c r="G397" s="11"/>
      <c r="H397" s="16"/>
      <c r="I397" s="4">
        <f t="shared" si="121"/>
        <v>1</v>
      </c>
      <c r="J397" s="49">
        <v>43998</v>
      </c>
      <c r="K397" s="5" t="s">
        <v>3</v>
      </c>
      <c r="L397" s="16"/>
      <c r="M397" s="11"/>
      <c r="N397" s="16"/>
      <c r="O397" s="4">
        <f t="shared" si="122"/>
        <v>0</v>
      </c>
      <c r="P397" s="16"/>
      <c r="Q397" s="11"/>
      <c r="R397" s="16"/>
      <c r="S397" s="4">
        <f t="shared" si="123"/>
        <v>0</v>
      </c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5" t="s">
        <v>3</v>
      </c>
      <c r="AJ397" s="16"/>
      <c r="AK397" s="11"/>
      <c r="AL397" s="16"/>
      <c r="AM397" s="4">
        <f t="shared" si="124"/>
        <v>0</v>
      </c>
      <c r="AN397" s="16"/>
      <c r="AO397" s="11"/>
      <c r="AP397" s="16"/>
      <c r="AQ397" s="4">
        <f t="shared" si="125"/>
        <v>0</v>
      </c>
    </row>
    <row r="398" spans="1:44">
      <c r="A398" s="5" t="s">
        <v>3</v>
      </c>
      <c r="B398" s="32"/>
      <c r="C398" s="31"/>
      <c r="D398" s="32"/>
      <c r="E398" s="4">
        <f t="shared" si="120"/>
        <v>0</v>
      </c>
      <c r="F398" s="32"/>
      <c r="G398" s="31"/>
      <c r="H398" s="32"/>
      <c r="I398" s="4">
        <f t="shared" si="121"/>
        <v>0</v>
      </c>
      <c r="J398" s="49"/>
      <c r="K398" s="5" t="s">
        <v>3</v>
      </c>
      <c r="L398" s="32"/>
      <c r="M398" s="31"/>
      <c r="N398" s="32"/>
      <c r="O398" s="4">
        <f t="shared" si="122"/>
        <v>0</v>
      </c>
      <c r="P398" s="32"/>
      <c r="Q398" s="31"/>
      <c r="R398" s="32"/>
      <c r="S398" s="4">
        <f t="shared" si="123"/>
        <v>0</v>
      </c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5" t="s">
        <v>3</v>
      </c>
      <c r="AJ398" s="10"/>
      <c r="AK398" s="9"/>
      <c r="AL398" s="10"/>
      <c r="AM398" s="4">
        <f t="shared" si="124"/>
        <v>0</v>
      </c>
      <c r="AN398" s="10"/>
      <c r="AO398" s="9"/>
      <c r="AP398" s="10"/>
      <c r="AQ398" s="4">
        <f t="shared" si="125"/>
        <v>0</v>
      </c>
    </row>
    <row r="399" spans="1:44">
      <c r="A399" s="5" t="s">
        <v>3</v>
      </c>
      <c r="B399" s="32"/>
      <c r="C399" s="31"/>
      <c r="D399" s="32"/>
      <c r="E399" s="4">
        <f t="shared" si="120"/>
        <v>0</v>
      </c>
      <c r="F399" s="32"/>
      <c r="G399" s="31"/>
      <c r="H399" s="32"/>
      <c r="I399" s="4">
        <f t="shared" si="121"/>
        <v>0</v>
      </c>
      <c r="J399" s="43"/>
      <c r="K399" s="5" t="s">
        <v>3</v>
      </c>
      <c r="L399" s="32"/>
      <c r="M399" s="31"/>
      <c r="N399" s="32"/>
      <c r="O399" s="4">
        <f t="shared" si="122"/>
        <v>0</v>
      </c>
      <c r="P399" s="32"/>
      <c r="Q399" s="31"/>
      <c r="R399" s="32"/>
      <c r="S399" s="4">
        <f t="shared" si="123"/>
        <v>0</v>
      </c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6" t="s">
        <v>3</v>
      </c>
      <c r="AJ399" s="10"/>
      <c r="AK399" s="9"/>
      <c r="AL399" s="10"/>
      <c r="AM399" s="4">
        <f t="shared" si="124"/>
        <v>0</v>
      </c>
      <c r="AN399" s="10"/>
      <c r="AO399" s="9"/>
      <c r="AP399" s="10"/>
      <c r="AQ399" s="4">
        <f t="shared" si="125"/>
        <v>0</v>
      </c>
    </row>
    <row r="400" spans="1:44">
      <c r="A400" s="5" t="s">
        <v>3</v>
      </c>
      <c r="B400" s="30"/>
      <c r="C400" s="31"/>
      <c r="D400" s="32"/>
      <c r="E400" s="4">
        <f t="shared" si="120"/>
        <v>0</v>
      </c>
      <c r="F400" s="30"/>
      <c r="G400" s="31"/>
      <c r="H400" s="32"/>
      <c r="I400" s="4">
        <f t="shared" si="121"/>
        <v>0</v>
      </c>
      <c r="J400" s="43"/>
      <c r="K400" s="5" t="s">
        <v>3</v>
      </c>
      <c r="L400" s="30"/>
      <c r="M400" s="31"/>
      <c r="N400" s="32"/>
      <c r="O400" s="4">
        <f t="shared" si="122"/>
        <v>0</v>
      </c>
      <c r="P400" s="59"/>
      <c r="Q400" s="60"/>
      <c r="R400" s="61"/>
      <c r="S400" s="4">
        <f t="shared" si="123"/>
        <v>0</v>
      </c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6" t="s">
        <v>3</v>
      </c>
      <c r="AJ400" s="32"/>
      <c r="AK400" s="31"/>
      <c r="AL400" s="32"/>
      <c r="AM400" s="4">
        <f t="shared" si="124"/>
        <v>0</v>
      </c>
      <c r="AN400" s="32"/>
      <c r="AO400" s="31"/>
      <c r="AP400" s="32"/>
      <c r="AQ400" s="4">
        <f t="shared" si="125"/>
        <v>0</v>
      </c>
    </row>
    <row r="401" spans="1:44" ht="14.25" thickBot="1">
      <c r="A401" s="6" t="s">
        <v>3</v>
      </c>
      <c r="B401" s="36"/>
      <c r="C401" s="37"/>
      <c r="D401" s="36"/>
      <c r="E401" s="20">
        <f t="shared" si="120"/>
        <v>0</v>
      </c>
      <c r="F401" s="13"/>
      <c r="G401" s="12"/>
      <c r="H401" s="13"/>
      <c r="I401" s="20">
        <f t="shared" si="121"/>
        <v>0</v>
      </c>
      <c r="K401" s="6" t="s">
        <v>3</v>
      </c>
      <c r="L401" s="13"/>
      <c r="M401" s="12"/>
      <c r="N401" s="13"/>
      <c r="O401" s="20">
        <f t="shared" si="122"/>
        <v>0</v>
      </c>
      <c r="P401" s="13"/>
      <c r="Q401" s="12"/>
      <c r="R401" s="13"/>
      <c r="S401" s="20">
        <f t="shared" si="123"/>
        <v>0</v>
      </c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I401" s="6" t="s">
        <v>3</v>
      </c>
      <c r="AJ401" s="13"/>
      <c r="AK401" s="12"/>
      <c r="AL401" s="13"/>
      <c r="AM401" s="20">
        <f t="shared" si="124"/>
        <v>0</v>
      </c>
      <c r="AN401" s="13"/>
      <c r="AO401" s="12"/>
      <c r="AP401" s="13"/>
      <c r="AQ401" s="20">
        <f t="shared" si="125"/>
        <v>0</v>
      </c>
    </row>
    <row r="402" spans="1:44" ht="14.25" thickBot="1">
      <c r="A402" s="23" t="s">
        <v>4</v>
      </c>
      <c r="B402" s="24">
        <f>SUM(B391:B401)</f>
        <v>12</v>
      </c>
      <c r="C402" s="24">
        <f>SUM(C391:C401)</f>
        <v>11</v>
      </c>
      <c r="D402" s="25">
        <f>SUM(D391:D401)</f>
        <v>59</v>
      </c>
      <c r="E402" s="26">
        <f t="shared" si="120"/>
        <v>82</v>
      </c>
      <c r="F402" s="24">
        <f>SUM(F391:F401)</f>
        <v>12</v>
      </c>
      <c r="G402" s="24">
        <f>SUM(G391:G401)</f>
        <v>11</v>
      </c>
      <c r="H402" s="25">
        <f>SUM(H391:H401)</f>
        <v>59</v>
      </c>
      <c r="I402" s="26">
        <f t="shared" si="121"/>
        <v>82</v>
      </c>
      <c r="K402" s="23" t="s">
        <v>4</v>
      </c>
      <c r="L402" s="24">
        <f>SUM(L391:L401)</f>
        <v>149</v>
      </c>
      <c r="M402" s="24">
        <f>SUM(M391:M401)</f>
        <v>231</v>
      </c>
      <c r="N402" s="25">
        <f>SUM(N391:N401)</f>
        <v>148</v>
      </c>
      <c r="O402" s="26">
        <f t="shared" si="122"/>
        <v>528</v>
      </c>
      <c r="P402" s="24">
        <f>SUM(P391:P401)</f>
        <v>149</v>
      </c>
      <c r="Q402" s="24">
        <f>SUM(Q391:Q401)</f>
        <v>231</v>
      </c>
      <c r="R402" s="25">
        <f>SUM(R391:R401)</f>
        <v>148</v>
      </c>
      <c r="S402" s="26">
        <f t="shared" si="123"/>
        <v>528</v>
      </c>
      <c r="AI402" s="23" t="s">
        <v>4</v>
      </c>
      <c r="AJ402" s="24">
        <f>SUM(AJ391:AJ401)</f>
        <v>0</v>
      </c>
      <c r="AK402" s="24">
        <f>SUM(AK391:AK401)</f>
        <v>0</v>
      </c>
      <c r="AL402" s="25">
        <f>SUM(AL391:AL401)</f>
        <v>0</v>
      </c>
      <c r="AM402" s="26">
        <f t="shared" si="124"/>
        <v>0</v>
      </c>
      <c r="AN402" s="24">
        <f>SUM(AN391:AN401)</f>
        <v>0</v>
      </c>
      <c r="AO402" s="24">
        <f>SUM(AO391:AO401)</f>
        <v>0</v>
      </c>
      <c r="AP402" s="25">
        <f>SUM(AP391:AP401)</f>
        <v>0</v>
      </c>
      <c r="AQ402" s="26">
        <f t="shared" si="125"/>
        <v>0</v>
      </c>
    </row>
    <row r="403" spans="1:44">
      <c r="A403" s="3" t="s">
        <v>82</v>
      </c>
      <c r="B403" s="8"/>
      <c r="C403" s="9">
        <v>2</v>
      </c>
      <c r="D403" s="10">
        <v>1</v>
      </c>
      <c r="E403" s="4">
        <f t="shared" si="120"/>
        <v>3</v>
      </c>
      <c r="F403" s="8"/>
      <c r="G403" s="9">
        <v>2</v>
      </c>
      <c r="H403" s="10">
        <v>1</v>
      </c>
      <c r="I403" s="4">
        <f t="shared" si="121"/>
        <v>3</v>
      </c>
      <c r="J403" s="43">
        <v>43983</v>
      </c>
      <c r="K403" s="3" t="s">
        <v>82</v>
      </c>
      <c r="L403" s="8">
        <v>1</v>
      </c>
      <c r="M403" s="9">
        <v>5</v>
      </c>
      <c r="N403" s="10">
        <v>3</v>
      </c>
      <c r="O403" s="7">
        <f t="shared" si="122"/>
        <v>9</v>
      </c>
      <c r="P403" s="8">
        <v>1</v>
      </c>
      <c r="Q403" s="9">
        <v>5</v>
      </c>
      <c r="R403" s="10">
        <v>3</v>
      </c>
      <c r="S403" s="7">
        <f t="shared" si="123"/>
        <v>9</v>
      </c>
      <c r="T403" s="43">
        <v>43978</v>
      </c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43"/>
      <c r="AI403" s="3"/>
      <c r="AJ403" s="8"/>
      <c r="AK403" s="9"/>
      <c r="AL403" s="10"/>
      <c r="AM403" s="4">
        <v>310</v>
      </c>
      <c r="AN403" s="8"/>
      <c r="AO403" s="9"/>
      <c r="AP403" s="10"/>
      <c r="AQ403" s="4">
        <v>310</v>
      </c>
      <c r="AR403" s="50"/>
    </row>
    <row r="404" spans="1:44">
      <c r="A404" s="3" t="s">
        <v>181</v>
      </c>
      <c r="B404" s="8">
        <v>1</v>
      </c>
      <c r="C404" s="9">
        <v>1</v>
      </c>
      <c r="D404" s="10"/>
      <c r="E404" s="4">
        <f t="shared" si="120"/>
        <v>2</v>
      </c>
      <c r="F404" s="8">
        <v>1</v>
      </c>
      <c r="G404" s="9">
        <v>1</v>
      </c>
      <c r="H404" s="10"/>
      <c r="I404" s="4">
        <f t="shared" si="121"/>
        <v>2</v>
      </c>
      <c r="J404" s="43">
        <v>43983</v>
      </c>
      <c r="K404" s="3" t="s">
        <v>179</v>
      </c>
      <c r="L404" s="8">
        <v>16</v>
      </c>
      <c r="M404" s="9"/>
      <c r="N404" s="10">
        <v>16</v>
      </c>
      <c r="O404" s="4">
        <f t="shared" si="122"/>
        <v>32</v>
      </c>
      <c r="P404" s="8">
        <v>16</v>
      </c>
      <c r="Q404" s="9"/>
      <c r="R404" s="10">
        <v>16</v>
      </c>
      <c r="S404" s="4">
        <f t="shared" si="123"/>
        <v>32</v>
      </c>
      <c r="T404" s="43">
        <v>43980</v>
      </c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43"/>
      <c r="AI404" s="3"/>
      <c r="AJ404" s="8"/>
      <c r="AK404" s="9"/>
      <c r="AL404" s="10"/>
      <c r="AM404" s="7">
        <f t="shared" ref="AM404" si="128">SUM(AJ404:AL404)</f>
        <v>0</v>
      </c>
      <c r="AN404" s="8"/>
      <c r="AO404" s="9"/>
      <c r="AP404" s="10"/>
      <c r="AQ404" s="7">
        <f t="shared" ref="AQ404" si="129">SUM(AN404:AP404)</f>
        <v>0</v>
      </c>
      <c r="AR404" s="29"/>
    </row>
    <row r="405" spans="1:44">
      <c r="A405" s="3" t="s">
        <v>182</v>
      </c>
      <c r="B405" s="8"/>
      <c r="C405" s="9">
        <v>1</v>
      </c>
      <c r="D405" s="10">
        <v>1</v>
      </c>
      <c r="E405" s="7">
        <f t="shared" si="120"/>
        <v>2</v>
      </c>
      <c r="F405" s="8"/>
      <c r="G405" s="9">
        <v>1</v>
      </c>
      <c r="H405" s="10">
        <v>1</v>
      </c>
      <c r="I405" s="7">
        <f t="shared" si="121"/>
        <v>2</v>
      </c>
      <c r="J405" s="43">
        <v>43986</v>
      </c>
      <c r="K405" s="3" t="s">
        <v>82</v>
      </c>
      <c r="L405" s="8">
        <v>13</v>
      </c>
      <c r="M405" s="9">
        <v>12</v>
      </c>
      <c r="N405" s="10">
        <v>11</v>
      </c>
      <c r="O405" s="7">
        <f t="shared" si="122"/>
        <v>36</v>
      </c>
      <c r="P405" s="8">
        <v>13</v>
      </c>
      <c r="Q405" s="9">
        <v>12</v>
      </c>
      <c r="R405" s="10">
        <v>11</v>
      </c>
      <c r="S405" s="7">
        <f t="shared" si="123"/>
        <v>36</v>
      </c>
      <c r="T405" s="43">
        <v>43979</v>
      </c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43"/>
      <c r="AI405" s="3"/>
      <c r="AJ405" s="8"/>
      <c r="AK405" s="9"/>
      <c r="AL405" s="10"/>
      <c r="AM405" s="7">
        <v>290</v>
      </c>
      <c r="AN405" s="8"/>
      <c r="AO405" s="9"/>
      <c r="AP405" s="10"/>
      <c r="AQ405" s="7">
        <v>290</v>
      </c>
      <c r="AR405" s="29"/>
    </row>
    <row r="406" spans="1:44">
      <c r="A406" s="3" t="s">
        <v>50</v>
      </c>
      <c r="B406" s="8"/>
      <c r="C406" s="9">
        <v>1</v>
      </c>
      <c r="D406" s="10"/>
      <c r="E406" s="4">
        <f t="shared" si="120"/>
        <v>1</v>
      </c>
      <c r="F406" s="8"/>
      <c r="G406" s="9">
        <v>1</v>
      </c>
      <c r="H406" s="10"/>
      <c r="I406" s="4">
        <f t="shared" si="121"/>
        <v>1</v>
      </c>
      <c r="J406" s="43">
        <v>43987</v>
      </c>
      <c r="K406" s="3" t="s">
        <v>82</v>
      </c>
      <c r="L406" s="8">
        <v>4</v>
      </c>
      <c r="M406" s="9">
        <v>5</v>
      </c>
      <c r="N406" s="10">
        <v>9</v>
      </c>
      <c r="O406" s="4">
        <f t="shared" si="122"/>
        <v>18</v>
      </c>
      <c r="P406" s="8">
        <v>4</v>
      </c>
      <c r="Q406" s="9">
        <v>5</v>
      </c>
      <c r="R406" s="10">
        <v>9</v>
      </c>
      <c r="S406" s="4">
        <f t="shared" si="123"/>
        <v>18</v>
      </c>
      <c r="T406" s="43">
        <v>43980</v>
      </c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43"/>
      <c r="AI406" s="3"/>
      <c r="AJ406" s="8"/>
      <c r="AK406" s="9"/>
      <c r="AL406" s="10"/>
      <c r="AM406" s="4">
        <f t="shared" ref="AM406:AM427" si="130">SUM(AJ406:AL406)</f>
        <v>0</v>
      </c>
      <c r="AN406" s="8"/>
      <c r="AO406" s="9"/>
      <c r="AP406" s="10"/>
      <c r="AQ406" s="4">
        <f t="shared" ref="AQ406:AQ427" si="131">SUM(AN406:AP406)</f>
        <v>0</v>
      </c>
      <c r="AR406" s="29"/>
    </row>
    <row r="407" spans="1:44">
      <c r="A407" s="3" t="s">
        <v>50</v>
      </c>
      <c r="B407" s="8"/>
      <c r="C407" s="9"/>
      <c r="D407" s="10">
        <v>1</v>
      </c>
      <c r="E407" s="4">
        <f t="shared" si="120"/>
        <v>1</v>
      </c>
      <c r="F407" s="8"/>
      <c r="G407" s="9"/>
      <c r="H407" s="10">
        <v>1</v>
      </c>
      <c r="I407" s="4">
        <f t="shared" si="121"/>
        <v>1</v>
      </c>
      <c r="J407" s="43">
        <v>43990</v>
      </c>
      <c r="K407" s="3" t="s">
        <v>82</v>
      </c>
      <c r="L407" s="8">
        <v>5</v>
      </c>
      <c r="M407" s="9">
        <v>3</v>
      </c>
      <c r="N407" s="10">
        <v>3</v>
      </c>
      <c r="O407" s="4">
        <f t="shared" si="122"/>
        <v>11</v>
      </c>
      <c r="P407" s="8">
        <v>5</v>
      </c>
      <c r="Q407" s="9">
        <v>3</v>
      </c>
      <c r="R407" s="10">
        <v>3</v>
      </c>
      <c r="S407" s="4">
        <f t="shared" si="123"/>
        <v>11</v>
      </c>
      <c r="T407" s="43">
        <v>43981</v>
      </c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43"/>
      <c r="AI407" s="3"/>
      <c r="AJ407" s="8"/>
      <c r="AK407" s="9"/>
      <c r="AL407" s="10"/>
      <c r="AM407" s="4">
        <f t="shared" si="130"/>
        <v>0</v>
      </c>
      <c r="AN407" s="8"/>
      <c r="AO407" s="9"/>
      <c r="AP407" s="10"/>
      <c r="AQ407" s="4">
        <f t="shared" si="131"/>
        <v>0</v>
      </c>
      <c r="AR407" s="29"/>
    </row>
    <row r="408" spans="1:44">
      <c r="A408" s="3" t="s">
        <v>50</v>
      </c>
      <c r="B408" s="8"/>
      <c r="C408" s="9">
        <v>1</v>
      </c>
      <c r="D408" s="10"/>
      <c r="E408" s="7">
        <f t="shared" si="120"/>
        <v>1</v>
      </c>
      <c r="F408" s="8"/>
      <c r="G408" s="9">
        <v>1</v>
      </c>
      <c r="H408" s="10"/>
      <c r="I408" s="7">
        <f t="shared" si="121"/>
        <v>1</v>
      </c>
      <c r="J408" s="43">
        <v>43993</v>
      </c>
      <c r="K408" s="11" t="s">
        <v>180</v>
      </c>
      <c r="L408" s="8"/>
      <c r="M408" s="9"/>
      <c r="N408" s="10">
        <v>3</v>
      </c>
      <c r="O408" s="7">
        <f t="shared" si="122"/>
        <v>3</v>
      </c>
      <c r="P408" s="8"/>
      <c r="Q408" s="9"/>
      <c r="R408" s="10">
        <v>3</v>
      </c>
      <c r="S408" s="7">
        <f t="shared" si="123"/>
        <v>3</v>
      </c>
      <c r="T408" s="43">
        <v>43986</v>
      </c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43"/>
      <c r="AI408" s="3"/>
      <c r="AJ408" s="8"/>
      <c r="AK408" s="9"/>
      <c r="AL408" s="10"/>
      <c r="AM408" s="7">
        <f t="shared" si="130"/>
        <v>0</v>
      </c>
      <c r="AN408" s="8"/>
      <c r="AO408" s="9"/>
      <c r="AP408" s="10"/>
      <c r="AQ408" s="7">
        <f t="shared" si="131"/>
        <v>0</v>
      </c>
    </row>
    <row r="409" spans="1:44">
      <c r="A409" s="3"/>
      <c r="B409" s="8"/>
      <c r="C409" s="9"/>
      <c r="D409" s="10"/>
      <c r="E409" s="7">
        <f t="shared" si="120"/>
        <v>0</v>
      </c>
      <c r="F409" s="8"/>
      <c r="G409" s="9"/>
      <c r="H409" s="10"/>
      <c r="I409" s="7">
        <f t="shared" si="121"/>
        <v>0</v>
      </c>
      <c r="J409" s="43"/>
      <c r="K409" s="3" t="s">
        <v>82</v>
      </c>
      <c r="L409" s="8">
        <v>2</v>
      </c>
      <c r="M409" s="9">
        <v>6</v>
      </c>
      <c r="N409" s="10"/>
      <c r="O409" s="7">
        <f t="shared" si="122"/>
        <v>8</v>
      </c>
      <c r="P409" s="8">
        <v>2</v>
      </c>
      <c r="Q409" s="9">
        <v>6</v>
      </c>
      <c r="R409" s="10"/>
      <c r="S409" s="7">
        <f t="shared" si="123"/>
        <v>8</v>
      </c>
      <c r="T409" s="43">
        <v>43984</v>
      </c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43"/>
      <c r="AI409" s="3"/>
      <c r="AJ409" s="8"/>
      <c r="AK409" s="9"/>
      <c r="AL409" s="10"/>
      <c r="AM409" s="7">
        <f t="shared" si="130"/>
        <v>0</v>
      </c>
      <c r="AN409" s="8"/>
      <c r="AO409" s="9"/>
      <c r="AP409" s="10"/>
      <c r="AQ409" s="7">
        <f t="shared" si="131"/>
        <v>0</v>
      </c>
    </row>
    <row r="410" spans="1:44">
      <c r="A410" s="3"/>
      <c r="B410" s="8"/>
      <c r="C410" s="9"/>
      <c r="D410" s="10"/>
      <c r="E410" s="7">
        <f t="shared" si="120"/>
        <v>0</v>
      </c>
      <c r="F410" s="8"/>
      <c r="G410" s="9"/>
      <c r="H410" s="10"/>
      <c r="I410" s="7">
        <f t="shared" si="121"/>
        <v>0</v>
      </c>
      <c r="J410" s="43"/>
      <c r="K410" s="3" t="s">
        <v>82</v>
      </c>
      <c r="L410" s="8">
        <v>6</v>
      </c>
      <c r="M410" s="9">
        <v>7</v>
      </c>
      <c r="N410" s="10">
        <v>1</v>
      </c>
      <c r="O410" s="7">
        <f t="shared" si="122"/>
        <v>14</v>
      </c>
      <c r="P410" s="8">
        <v>6</v>
      </c>
      <c r="Q410" s="9">
        <v>7</v>
      </c>
      <c r="R410" s="10">
        <v>1</v>
      </c>
      <c r="S410" s="7">
        <f t="shared" si="123"/>
        <v>14</v>
      </c>
      <c r="T410" s="43">
        <v>43985</v>
      </c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43"/>
      <c r="AI410" s="3"/>
      <c r="AJ410" s="8"/>
      <c r="AK410" s="9"/>
      <c r="AL410" s="10"/>
      <c r="AM410" s="7">
        <f t="shared" si="130"/>
        <v>0</v>
      </c>
      <c r="AN410" s="8"/>
      <c r="AO410" s="9"/>
      <c r="AP410" s="10"/>
      <c r="AQ410" s="7">
        <f t="shared" si="131"/>
        <v>0</v>
      </c>
    </row>
    <row r="411" spans="1:44">
      <c r="A411" s="3"/>
      <c r="B411" s="8"/>
      <c r="C411" s="9"/>
      <c r="D411" s="10"/>
      <c r="E411" s="7">
        <f t="shared" si="120"/>
        <v>0</v>
      </c>
      <c r="F411" s="8"/>
      <c r="G411" s="9"/>
      <c r="H411" s="10"/>
      <c r="I411" s="7">
        <f t="shared" si="121"/>
        <v>0</v>
      </c>
      <c r="J411" s="43"/>
      <c r="K411" s="3" t="s">
        <v>82</v>
      </c>
      <c r="L411" s="8">
        <v>4</v>
      </c>
      <c r="M411" s="9">
        <v>11</v>
      </c>
      <c r="N411" s="10">
        <v>2</v>
      </c>
      <c r="O411" s="7">
        <f t="shared" si="122"/>
        <v>17</v>
      </c>
      <c r="P411" s="8">
        <v>4</v>
      </c>
      <c r="Q411" s="9">
        <v>11</v>
      </c>
      <c r="R411" s="10">
        <v>2</v>
      </c>
      <c r="S411" s="7">
        <f t="shared" si="123"/>
        <v>17</v>
      </c>
      <c r="T411" s="43">
        <v>43986</v>
      </c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43"/>
      <c r="AI411" s="3"/>
      <c r="AJ411" s="8"/>
      <c r="AK411" s="9"/>
      <c r="AL411" s="10"/>
      <c r="AM411" s="7">
        <f t="shared" si="130"/>
        <v>0</v>
      </c>
      <c r="AN411" s="8"/>
      <c r="AO411" s="9"/>
      <c r="AP411" s="10"/>
      <c r="AQ411" s="7">
        <f t="shared" si="131"/>
        <v>0</v>
      </c>
    </row>
    <row r="412" spans="1:44">
      <c r="A412" s="3"/>
      <c r="B412" s="8"/>
      <c r="C412" s="9"/>
      <c r="D412" s="10"/>
      <c r="E412" s="7">
        <f t="shared" si="120"/>
        <v>0</v>
      </c>
      <c r="F412" s="8"/>
      <c r="G412" s="9"/>
      <c r="H412" s="10"/>
      <c r="I412" s="7">
        <f t="shared" si="121"/>
        <v>0</v>
      </c>
      <c r="J412" s="43"/>
      <c r="K412" s="11" t="s">
        <v>183</v>
      </c>
      <c r="L412" s="8">
        <v>5</v>
      </c>
      <c r="M412" s="9"/>
      <c r="N412" s="10"/>
      <c r="O412" s="7">
        <f t="shared" si="122"/>
        <v>5</v>
      </c>
      <c r="P412" s="8">
        <v>5</v>
      </c>
      <c r="Q412" s="9"/>
      <c r="R412" s="10"/>
      <c r="S412" s="7">
        <f t="shared" si="123"/>
        <v>5</v>
      </c>
      <c r="T412" s="43">
        <v>43991</v>
      </c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43"/>
      <c r="AI412" s="3"/>
      <c r="AJ412" s="8"/>
      <c r="AK412" s="9"/>
      <c r="AL412" s="10"/>
      <c r="AM412" s="7">
        <f t="shared" si="130"/>
        <v>0</v>
      </c>
      <c r="AN412" s="8"/>
      <c r="AO412" s="9"/>
      <c r="AP412" s="10"/>
      <c r="AQ412" s="7">
        <f t="shared" si="131"/>
        <v>0</v>
      </c>
    </row>
    <row r="413" spans="1:44">
      <c r="A413" s="3"/>
      <c r="B413" s="8"/>
      <c r="C413" s="9"/>
      <c r="D413" s="10"/>
      <c r="E413" s="7">
        <f t="shared" si="120"/>
        <v>0</v>
      </c>
      <c r="F413" s="8"/>
      <c r="G413" s="9"/>
      <c r="H413" s="10"/>
      <c r="I413" s="7">
        <f t="shared" si="121"/>
        <v>0</v>
      </c>
      <c r="J413" s="43"/>
      <c r="K413" s="11" t="s">
        <v>184</v>
      </c>
      <c r="L413" s="30"/>
      <c r="M413" s="9">
        <v>5</v>
      </c>
      <c r="N413" s="10"/>
      <c r="O413" s="7">
        <f t="shared" si="122"/>
        <v>5</v>
      </c>
      <c r="P413" s="8"/>
      <c r="Q413" s="9">
        <v>5</v>
      </c>
      <c r="R413" s="10"/>
      <c r="S413" s="7">
        <f t="shared" si="123"/>
        <v>5</v>
      </c>
      <c r="T413" s="43">
        <v>43991</v>
      </c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43"/>
      <c r="AI413" s="3"/>
      <c r="AJ413" s="8"/>
      <c r="AK413" s="9"/>
      <c r="AL413" s="10"/>
      <c r="AM413" s="7">
        <f t="shared" si="130"/>
        <v>0</v>
      </c>
      <c r="AN413" s="8"/>
      <c r="AO413" s="9"/>
      <c r="AP413" s="10"/>
      <c r="AQ413" s="7">
        <f t="shared" si="131"/>
        <v>0</v>
      </c>
    </row>
    <row r="414" spans="1:44">
      <c r="A414" s="3"/>
      <c r="B414" s="8"/>
      <c r="C414" s="9"/>
      <c r="D414" s="10"/>
      <c r="E414" s="7">
        <f t="shared" si="120"/>
        <v>0</v>
      </c>
      <c r="F414" s="8"/>
      <c r="G414" s="9"/>
      <c r="H414" s="10"/>
      <c r="I414" s="7">
        <f t="shared" si="121"/>
        <v>0</v>
      </c>
      <c r="J414" s="43"/>
      <c r="K414" s="3" t="s">
        <v>82</v>
      </c>
      <c r="L414" s="8">
        <v>4</v>
      </c>
      <c r="M414" s="9">
        <v>6</v>
      </c>
      <c r="N414" s="10"/>
      <c r="O414" s="7">
        <f t="shared" si="122"/>
        <v>10</v>
      </c>
      <c r="P414" s="8">
        <v>4</v>
      </c>
      <c r="Q414" s="9">
        <v>6</v>
      </c>
      <c r="R414" s="10"/>
      <c r="S414" s="7">
        <f t="shared" si="123"/>
        <v>10</v>
      </c>
      <c r="T414" s="43">
        <v>43987</v>
      </c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43"/>
      <c r="AI414" s="3"/>
      <c r="AJ414" s="8"/>
      <c r="AK414" s="9"/>
      <c r="AL414" s="10"/>
      <c r="AM414" s="7">
        <f t="shared" si="130"/>
        <v>0</v>
      </c>
      <c r="AN414" s="8"/>
      <c r="AO414" s="9"/>
      <c r="AP414" s="10"/>
      <c r="AQ414" s="7">
        <f t="shared" si="131"/>
        <v>0</v>
      </c>
    </row>
    <row r="415" spans="1:44">
      <c r="A415" s="3"/>
      <c r="B415" s="8"/>
      <c r="C415" s="9"/>
      <c r="D415" s="10"/>
      <c r="E415" s="7">
        <f t="shared" si="120"/>
        <v>0</v>
      </c>
      <c r="F415" s="8"/>
      <c r="G415" s="9"/>
      <c r="H415" s="10"/>
      <c r="I415" s="7">
        <f t="shared" si="121"/>
        <v>0</v>
      </c>
      <c r="J415" s="43"/>
      <c r="K415" s="11" t="s">
        <v>187</v>
      </c>
      <c r="L415" s="8">
        <v>5</v>
      </c>
      <c r="M415" s="9"/>
      <c r="N415" s="10"/>
      <c r="O415" s="7">
        <f t="shared" si="122"/>
        <v>5</v>
      </c>
      <c r="P415" s="8">
        <v>5</v>
      </c>
      <c r="Q415" s="9"/>
      <c r="R415" s="10"/>
      <c r="S415" s="7">
        <f t="shared" si="123"/>
        <v>5</v>
      </c>
      <c r="T415" s="43">
        <v>43992</v>
      </c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43"/>
      <c r="AI415" s="3"/>
      <c r="AJ415" s="8"/>
      <c r="AK415" s="9"/>
      <c r="AL415" s="10"/>
      <c r="AM415" s="7">
        <f t="shared" si="130"/>
        <v>0</v>
      </c>
      <c r="AN415" s="8"/>
      <c r="AO415" s="9"/>
      <c r="AP415" s="10"/>
      <c r="AQ415" s="7">
        <f t="shared" si="131"/>
        <v>0</v>
      </c>
    </row>
    <row r="416" spans="1:44">
      <c r="A416" s="3"/>
      <c r="B416" s="8"/>
      <c r="C416" s="9"/>
      <c r="D416" s="10"/>
      <c r="E416" s="7">
        <f t="shared" si="120"/>
        <v>0</v>
      </c>
      <c r="F416" s="8"/>
      <c r="G416" s="9"/>
      <c r="H416" s="10"/>
      <c r="I416" s="7">
        <f t="shared" si="121"/>
        <v>0</v>
      </c>
      <c r="J416" s="43"/>
      <c r="K416" s="3" t="s">
        <v>188</v>
      </c>
      <c r="L416" s="8">
        <v>4</v>
      </c>
      <c r="M416" s="9">
        <v>32</v>
      </c>
      <c r="N416" s="10">
        <v>6</v>
      </c>
      <c r="O416" s="7">
        <f t="shared" si="122"/>
        <v>42</v>
      </c>
      <c r="P416" s="8">
        <v>4</v>
      </c>
      <c r="Q416" s="9">
        <v>32</v>
      </c>
      <c r="R416" s="10">
        <v>6</v>
      </c>
      <c r="S416" s="7">
        <f t="shared" si="123"/>
        <v>42</v>
      </c>
      <c r="T416" s="43">
        <v>43990</v>
      </c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43"/>
      <c r="AI416" s="3"/>
      <c r="AJ416" s="8"/>
      <c r="AK416" s="9"/>
      <c r="AL416" s="10"/>
      <c r="AM416" s="7">
        <f t="shared" si="130"/>
        <v>0</v>
      </c>
      <c r="AN416" s="8"/>
      <c r="AO416" s="9"/>
      <c r="AP416" s="10"/>
      <c r="AQ416" s="7">
        <f t="shared" si="131"/>
        <v>0</v>
      </c>
    </row>
    <row r="417" spans="1:44">
      <c r="A417" s="3"/>
      <c r="B417" s="8"/>
      <c r="C417" s="9"/>
      <c r="D417" s="10"/>
      <c r="E417" s="7">
        <f t="shared" si="120"/>
        <v>0</v>
      </c>
      <c r="F417" s="8"/>
      <c r="G417" s="9"/>
      <c r="H417" s="10"/>
      <c r="I417" s="7">
        <f t="shared" si="121"/>
        <v>0</v>
      </c>
      <c r="J417" s="43"/>
      <c r="K417" s="11" t="s">
        <v>189</v>
      </c>
      <c r="L417" s="8">
        <v>5</v>
      </c>
      <c r="M417" s="9">
        <v>10</v>
      </c>
      <c r="N417" s="10">
        <v>5</v>
      </c>
      <c r="O417" s="7">
        <f t="shared" si="122"/>
        <v>20</v>
      </c>
      <c r="P417" s="8">
        <v>5</v>
      </c>
      <c r="Q417" s="9">
        <v>10</v>
      </c>
      <c r="R417" s="10">
        <v>5</v>
      </c>
      <c r="S417" s="7">
        <f t="shared" si="123"/>
        <v>20</v>
      </c>
      <c r="T417" s="43">
        <v>43993</v>
      </c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43"/>
      <c r="AI417" s="3"/>
      <c r="AJ417" s="8"/>
      <c r="AK417" s="9"/>
      <c r="AL417" s="10"/>
      <c r="AM417" s="7">
        <f t="shared" si="130"/>
        <v>0</v>
      </c>
      <c r="AN417" s="8"/>
      <c r="AO417" s="9"/>
      <c r="AP417" s="10"/>
      <c r="AQ417" s="7">
        <f t="shared" si="131"/>
        <v>0</v>
      </c>
    </row>
    <row r="418" spans="1:44">
      <c r="A418" s="3"/>
      <c r="B418" s="8"/>
      <c r="C418" s="9"/>
      <c r="D418" s="10"/>
      <c r="E418" s="7">
        <f t="shared" si="120"/>
        <v>0</v>
      </c>
      <c r="F418" s="8"/>
      <c r="G418" s="9"/>
      <c r="H418" s="10"/>
      <c r="I418" s="7">
        <f t="shared" si="121"/>
        <v>0</v>
      </c>
      <c r="J418" s="43"/>
      <c r="K418" s="3" t="s">
        <v>82</v>
      </c>
      <c r="L418" s="8">
        <v>1</v>
      </c>
      <c r="M418" s="9">
        <v>1</v>
      </c>
      <c r="N418" s="10"/>
      <c r="O418" s="7">
        <f t="shared" si="122"/>
        <v>2</v>
      </c>
      <c r="P418" s="8">
        <v>1</v>
      </c>
      <c r="Q418" s="9">
        <v>1</v>
      </c>
      <c r="R418" s="10"/>
      <c r="S418" s="7">
        <f t="shared" si="123"/>
        <v>2</v>
      </c>
      <c r="T418" s="43">
        <v>43988</v>
      </c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43"/>
      <c r="AI418" s="3"/>
      <c r="AJ418" s="8"/>
      <c r="AK418" s="9"/>
      <c r="AL418" s="10"/>
      <c r="AM418" s="7">
        <f t="shared" si="130"/>
        <v>0</v>
      </c>
      <c r="AN418" s="8"/>
      <c r="AO418" s="9"/>
      <c r="AP418" s="10"/>
      <c r="AQ418" s="7">
        <f t="shared" si="131"/>
        <v>0</v>
      </c>
    </row>
    <row r="419" spans="1:44">
      <c r="A419" s="3"/>
      <c r="B419" s="8"/>
      <c r="C419" s="9"/>
      <c r="D419" s="10"/>
      <c r="E419" s="7">
        <f t="shared" si="120"/>
        <v>0</v>
      </c>
      <c r="F419" s="8"/>
      <c r="G419" s="9"/>
      <c r="H419" s="10"/>
      <c r="I419" s="7">
        <f t="shared" si="121"/>
        <v>0</v>
      </c>
      <c r="J419" s="43"/>
      <c r="K419" s="11" t="s">
        <v>190</v>
      </c>
      <c r="L419" s="8">
        <v>10</v>
      </c>
      <c r="M419" s="9"/>
      <c r="N419" s="10"/>
      <c r="O419" s="7">
        <f t="shared" si="122"/>
        <v>10</v>
      </c>
      <c r="P419" s="8">
        <v>10</v>
      </c>
      <c r="Q419" s="9"/>
      <c r="R419" s="10"/>
      <c r="S419" s="7">
        <f t="shared" si="123"/>
        <v>10</v>
      </c>
      <c r="T419" s="43">
        <v>43993</v>
      </c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43"/>
      <c r="AI419" s="11"/>
      <c r="AJ419" s="8"/>
      <c r="AK419" s="9"/>
      <c r="AL419" s="10"/>
      <c r="AM419" s="7">
        <f t="shared" si="130"/>
        <v>0</v>
      </c>
      <c r="AN419" s="8"/>
      <c r="AO419" s="9"/>
      <c r="AP419" s="10"/>
      <c r="AQ419" s="7">
        <f t="shared" si="131"/>
        <v>0</v>
      </c>
    </row>
    <row r="420" spans="1:44">
      <c r="A420" s="3"/>
      <c r="B420" s="8"/>
      <c r="C420" s="9"/>
      <c r="D420" s="10"/>
      <c r="E420" s="7">
        <f t="shared" si="120"/>
        <v>0</v>
      </c>
      <c r="F420" s="8"/>
      <c r="G420" s="9"/>
      <c r="H420" s="10"/>
      <c r="I420" s="7">
        <f t="shared" si="121"/>
        <v>0</v>
      </c>
      <c r="J420" s="43"/>
      <c r="K420" s="3" t="s">
        <v>82</v>
      </c>
      <c r="L420" s="8">
        <v>3</v>
      </c>
      <c r="M420" s="9">
        <v>7</v>
      </c>
      <c r="N420" s="10">
        <v>1</v>
      </c>
      <c r="O420" s="7">
        <f t="shared" ref="O420:O422" si="132">SUM(L420:N420)</f>
        <v>11</v>
      </c>
      <c r="P420" s="8">
        <v>3</v>
      </c>
      <c r="Q420" s="9">
        <v>7</v>
      </c>
      <c r="R420" s="10">
        <v>1</v>
      </c>
      <c r="S420" s="7">
        <f t="shared" ref="S420:S422" si="133">SUM(P420:R420)</f>
        <v>11</v>
      </c>
      <c r="T420" s="43">
        <v>43991</v>
      </c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43"/>
      <c r="AI420" s="3"/>
      <c r="AJ420" s="8"/>
      <c r="AK420" s="9"/>
      <c r="AL420" s="10"/>
      <c r="AM420" s="7">
        <f t="shared" si="130"/>
        <v>0</v>
      </c>
      <c r="AN420" s="8"/>
      <c r="AO420" s="9"/>
      <c r="AP420" s="10"/>
      <c r="AQ420" s="7">
        <f t="shared" si="131"/>
        <v>0</v>
      </c>
    </row>
    <row r="421" spans="1:44">
      <c r="A421" s="11"/>
      <c r="B421" s="8"/>
      <c r="C421" s="9"/>
      <c r="D421" s="10"/>
      <c r="E421" s="7">
        <f t="shared" si="120"/>
        <v>0</v>
      </c>
      <c r="F421" s="8"/>
      <c r="G421" s="9"/>
      <c r="H421" s="10"/>
      <c r="I421" s="7">
        <f t="shared" si="121"/>
        <v>0</v>
      </c>
      <c r="J421" s="29"/>
      <c r="K421" s="11" t="s">
        <v>191</v>
      </c>
      <c r="L421" s="8"/>
      <c r="M421" s="9">
        <v>5</v>
      </c>
      <c r="N421" s="10">
        <v>5</v>
      </c>
      <c r="O421" s="7">
        <f t="shared" si="132"/>
        <v>10</v>
      </c>
      <c r="P421" s="8"/>
      <c r="Q421" s="9">
        <v>5</v>
      </c>
      <c r="R421" s="10">
        <v>5</v>
      </c>
      <c r="S421" s="7">
        <f t="shared" si="133"/>
        <v>10</v>
      </c>
      <c r="T421" s="43">
        <v>43994</v>
      </c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43"/>
      <c r="AI421" s="11"/>
      <c r="AJ421" s="8"/>
      <c r="AK421" s="9"/>
      <c r="AL421" s="10"/>
      <c r="AM421" s="7">
        <f t="shared" si="130"/>
        <v>0</v>
      </c>
      <c r="AN421" s="8"/>
      <c r="AO421" s="9"/>
      <c r="AP421" s="10"/>
      <c r="AQ421" s="7">
        <f t="shared" si="131"/>
        <v>0</v>
      </c>
    </row>
    <row r="422" spans="1:44">
      <c r="A422" s="11"/>
      <c r="B422" s="8"/>
      <c r="C422" s="9"/>
      <c r="D422" s="10"/>
      <c r="E422" s="7">
        <f t="shared" si="120"/>
        <v>0</v>
      </c>
      <c r="F422" s="8"/>
      <c r="G422" s="9"/>
      <c r="H422" s="10"/>
      <c r="I422" s="7">
        <f t="shared" si="121"/>
        <v>0</v>
      </c>
      <c r="J422" s="29"/>
      <c r="K422" s="11" t="s">
        <v>192</v>
      </c>
      <c r="L422" s="8">
        <v>5</v>
      </c>
      <c r="M422" s="9"/>
      <c r="N422" s="10"/>
      <c r="O422" s="7">
        <f t="shared" si="132"/>
        <v>5</v>
      </c>
      <c r="P422" s="8">
        <v>5</v>
      </c>
      <c r="Q422" s="9"/>
      <c r="R422" s="10"/>
      <c r="S422" s="7">
        <f t="shared" si="133"/>
        <v>5</v>
      </c>
      <c r="T422" s="43">
        <v>43998</v>
      </c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43"/>
      <c r="AI422" s="11"/>
      <c r="AJ422" s="8"/>
      <c r="AK422" s="9"/>
      <c r="AL422" s="10"/>
      <c r="AM422" s="7">
        <f t="shared" si="130"/>
        <v>0</v>
      </c>
      <c r="AN422" s="8"/>
      <c r="AO422" s="9"/>
      <c r="AP422" s="10"/>
      <c r="AQ422" s="7">
        <f t="shared" si="131"/>
        <v>0</v>
      </c>
    </row>
    <row r="423" spans="1:44">
      <c r="A423" s="11"/>
      <c r="B423" s="8"/>
      <c r="C423" s="9"/>
      <c r="D423" s="10"/>
      <c r="E423" s="7">
        <f t="shared" si="120"/>
        <v>0</v>
      </c>
      <c r="F423" s="8"/>
      <c r="G423" s="9"/>
      <c r="H423" s="10"/>
      <c r="I423" s="7">
        <f t="shared" si="121"/>
        <v>0</v>
      </c>
      <c r="J423" s="29"/>
      <c r="K423" s="11" t="s">
        <v>193</v>
      </c>
      <c r="L423" s="8"/>
      <c r="M423" s="9">
        <v>5</v>
      </c>
      <c r="N423" s="10">
        <v>5</v>
      </c>
      <c r="O423" s="7">
        <f t="shared" ref="O423:O424" si="134">SUM(L423:N423)</f>
        <v>10</v>
      </c>
      <c r="P423" s="8"/>
      <c r="Q423" s="9">
        <v>5</v>
      </c>
      <c r="R423" s="10">
        <v>5</v>
      </c>
      <c r="S423" s="7">
        <f t="shared" ref="S423:S424" si="135">SUM(P423:R423)</f>
        <v>10</v>
      </c>
      <c r="T423" s="43">
        <v>43998</v>
      </c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43"/>
      <c r="AI423" s="11"/>
      <c r="AJ423" s="8"/>
      <c r="AK423" s="9"/>
      <c r="AL423" s="10"/>
      <c r="AM423" s="7">
        <f t="shared" si="130"/>
        <v>0</v>
      </c>
      <c r="AN423" s="8"/>
      <c r="AO423" s="9"/>
      <c r="AP423" s="10"/>
      <c r="AQ423" s="7">
        <f t="shared" si="131"/>
        <v>0</v>
      </c>
    </row>
    <row r="424" spans="1:44">
      <c r="A424" s="11"/>
      <c r="B424" s="8"/>
      <c r="C424" s="9"/>
      <c r="D424" s="10"/>
      <c r="E424" s="7">
        <f t="shared" si="120"/>
        <v>0</v>
      </c>
      <c r="F424" s="8"/>
      <c r="G424" s="9"/>
      <c r="H424" s="10"/>
      <c r="I424" s="7">
        <f t="shared" si="121"/>
        <v>0</v>
      </c>
      <c r="J424" s="29"/>
      <c r="K424" s="3" t="s">
        <v>82</v>
      </c>
      <c r="L424" s="8">
        <v>7</v>
      </c>
      <c r="M424" s="9">
        <v>10</v>
      </c>
      <c r="N424" s="10">
        <v>4</v>
      </c>
      <c r="O424" s="7">
        <f t="shared" si="134"/>
        <v>21</v>
      </c>
      <c r="P424" s="8">
        <v>7</v>
      </c>
      <c r="Q424" s="9">
        <v>10</v>
      </c>
      <c r="R424" s="10">
        <v>4</v>
      </c>
      <c r="S424" s="7">
        <f t="shared" si="135"/>
        <v>21</v>
      </c>
      <c r="T424" s="43">
        <v>43993</v>
      </c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43"/>
      <c r="AI424" s="11" t="s">
        <v>149</v>
      </c>
      <c r="AJ424" s="8"/>
      <c r="AK424" s="9"/>
      <c r="AL424" s="10"/>
      <c r="AM424" s="7">
        <f t="shared" si="130"/>
        <v>0</v>
      </c>
      <c r="AN424" s="8"/>
      <c r="AO424" s="9"/>
      <c r="AP424" s="10"/>
      <c r="AQ424" s="7">
        <f t="shared" si="131"/>
        <v>0</v>
      </c>
      <c r="AR424" s="29" t="s">
        <v>150</v>
      </c>
    </row>
    <row r="425" spans="1:44">
      <c r="A425" s="11"/>
      <c r="B425" s="8"/>
      <c r="C425" s="9"/>
      <c r="D425" s="10"/>
      <c r="E425" s="7">
        <f t="shared" si="120"/>
        <v>0</v>
      </c>
      <c r="F425" s="8"/>
      <c r="G425" s="9"/>
      <c r="H425" s="10"/>
      <c r="I425" s="7">
        <f t="shared" si="121"/>
        <v>0</v>
      </c>
      <c r="J425" s="43"/>
      <c r="K425" s="11" t="s">
        <v>194</v>
      </c>
      <c r="L425" s="8">
        <v>5</v>
      </c>
      <c r="M425" s="9"/>
      <c r="N425" s="10"/>
      <c r="O425" s="7">
        <f t="shared" ref="O425:O426" si="136">SUM(L425:N425)</f>
        <v>5</v>
      </c>
      <c r="P425" s="8">
        <v>5</v>
      </c>
      <c r="Q425" s="9"/>
      <c r="R425" s="10"/>
      <c r="S425" s="7">
        <f t="shared" ref="S425:S426" si="137">SUM(P425:R425)</f>
        <v>5</v>
      </c>
      <c r="T425" s="43">
        <v>43999</v>
      </c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43"/>
      <c r="AI425" s="11" t="s">
        <v>165</v>
      </c>
      <c r="AJ425" s="8"/>
      <c r="AK425" s="9"/>
      <c r="AL425" s="10"/>
      <c r="AM425" s="7">
        <f t="shared" si="130"/>
        <v>0</v>
      </c>
      <c r="AN425" s="8"/>
      <c r="AO425" s="9"/>
      <c r="AP425" s="10"/>
      <c r="AQ425" s="7">
        <f t="shared" si="131"/>
        <v>0</v>
      </c>
      <c r="AR425" s="29" t="s">
        <v>88</v>
      </c>
    </row>
    <row r="426" spans="1:44" ht="14.25" thickBot="1">
      <c r="A426" s="3"/>
      <c r="B426" s="8"/>
      <c r="C426" s="9"/>
      <c r="D426" s="10"/>
      <c r="E426" s="7">
        <f t="shared" si="120"/>
        <v>0</v>
      </c>
      <c r="F426" s="8"/>
      <c r="G426" s="9"/>
      <c r="H426" s="10"/>
      <c r="I426" s="7">
        <f t="shared" si="121"/>
        <v>0</v>
      </c>
      <c r="J426" s="29"/>
      <c r="K426" s="3" t="s">
        <v>82</v>
      </c>
      <c r="L426" s="8"/>
      <c r="M426" s="9">
        <v>3</v>
      </c>
      <c r="N426" s="10"/>
      <c r="O426" s="7">
        <f t="shared" si="136"/>
        <v>3</v>
      </c>
      <c r="P426" s="8"/>
      <c r="Q426" s="9">
        <v>3</v>
      </c>
      <c r="R426" s="10"/>
      <c r="S426" s="7">
        <f t="shared" si="137"/>
        <v>3</v>
      </c>
      <c r="T426" s="43">
        <v>43995</v>
      </c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43"/>
      <c r="AI426" s="3" t="s">
        <v>159</v>
      </c>
      <c r="AJ426" s="8"/>
      <c r="AK426" s="9"/>
      <c r="AL426" s="10"/>
      <c r="AM426" s="7">
        <f t="shared" si="130"/>
        <v>0</v>
      </c>
      <c r="AN426" s="8"/>
      <c r="AO426" s="9"/>
      <c r="AP426" s="10"/>
      <c r="AQ426" s="7">
        <f t="shared" si="131"/>
        <v>0</v>
      </c>
      <c r="AR426" s="29" t="s">
        <v>160</v>
      </c>
    </row>
    <row r="427" spans="1:44" ht="14.25" thickBot="1">
      <c r="A427" s="2" t="s">
        <v>5</v>
      </c>
      <c r="B427" s="14">
        <f>SUM(B403:B426)</f>
        <v>1</v>
      </c>
      <c r="C427" s="14">
        <f>SUM(C403:C426)</f>
        <v>6</v>
      </c>
      <c r="D427" s="14">
        <f>SUM(D403:D426)</f>
        <v>3</v>
      </c>
      <c r="E427" s="15">
        <f t="shared" si="120"/>
        <v>10</v>
      </c>
      <c r="F427" s="14">
        <f>SUM(F403:F426)</f>
        <v>1</v>
      </c>
      <c r="G427" s="14">
        <f>SUM(G403:G426)</f>
        <v>6</v>
      </c>
      <c r="H427" s="14">
        <f>SUM(H403:H426)</f>
        <v>3</v>
      </c>
      <c r="I427" s="15">
        <f t="shared" si="121"/>
        <v>10</v>
      </c>
      <c r="K427" s="2" t="s">
        <v>5</v>
      </c>
      <c r="L427" s="14">
        <f>SUM(L403:L426)</f>
        <v>105</v>
      </c>
      <c r="M427" s="14">
        <f>SUM(M403:M426)</f>
        <v>133</v>
      </c>
      <c r="N427" s="14">
        <f>SUM(N403:N426)</f>
        <v>74</v>
      </c>
      <c r="O427" s="15">
        <f t="shared" si="122"/>
        <v>312</v>
      </c>
      <c r="P427" s="14">
        <f>SUM(P403:P426)</f>
        <v>105</v>
      </c>
      <c r="Q427" s="14">
        <f>SUM(Q403:Q426)</f>
        <v>133</v>
      </c>
      <c r="R427" s="14">
        <f>SUM(R403:R426)</f>
        <v>74</v>
      </c>
      <c r="S427" s="15">
        <f t="shared" si="123"/>
        <v>312</v>
      </c>
      <c r="AI427" s="2" t="s">
        <v>5</v>
      </c>
      <c r="AJ427" s="14">
        <f>SUM(AJ403:AJ426)</f>
        <v>0</v>
      </c>
      <c r="AK427" s="14">
        <f>SUM(AK403:AK426)</f>
        <v>0</v>
      </c>
      <c r="AL427" s="14">
        <f>SUM(AL403:AL426)</f>
        <v>0</v>
      </c>
      <c r="AM427" s="15">
        <f t="shared" si="130"/>
        <v>0</v>
      </c>
      <c r="AN427" s="14">
        <f>SUM(AN403:AN426)</f>
        <v>0</v>
      </c>
      <c r="AO427" s="14">
        <f>SUM(AO403:AO426)</f>
        <v>0</v>
      </c>
      <c r="AP427" s="14">
        <f>SUM(AP403:AP426)</f>
        <v>0</v>
      </c>
      <c r="AQ427" s="15">
        <f t="shared" si="131"/>
        <v>0</v>
      </c>
    </row>
    <row r="428" spans="1:44" ht="14.25" thickBot="1">
      <c r="A428" s="27" t="s">
        <v>6</v>
      </c>
      <c r="B428" s="28">
        <f>B402-B427</f>
        <v>11</v>
      </c>
      <c r="C428" s="28">
        <f t="shared" ref="C428:E428" si="138">C402-C427</f>
        <v>5</v>
      </c>
      <c r="D428" s="28">
        <f t="shared" si="138"/>
        <v>56</v>
      </c>
      <c r="E428" s="28">
        <f t="shared" si="138"/>
        <v>72</v>
      </c>
      <c r="F428" s="28">
        <f>F402-F427</f>
        <v>11</v>
      </c>
      <c r="G428" s="28">
        <f t="shared" ref="G428:I428" si="139">G402-G427</f>
        <v>5</v>
      </c>
      <c r="H428" s="28">
        <f t="shared" si="139"/>
        <v>56</v>
      </c>
      <c r="I428" s="26">
        <f t="shared" si="139"/>
        <v>72</v>
      </c>
      <c r="K428" s="27" t="s">
        <v>6</v>
      </c>
      <c r="L428" s="28">
        <f>L402-L427</f>
        <v>44</v>
      </c>
      <c r="M428" s="28">
        <f t="shared" ref="M428:O428" si="140">M402-M427</f>
        <v>98</v>
      </c>
      <c r="N428" s="28">
        <f t="shared" si="140"/>
        <v>74</v>
      </c>
      <c r="O428" s="28">
        <f t="shared" si="140"/>
        <v>216</v>
      </c>
      <c r="P428" s="28">
        <f>P402-P427</f>
        <v>44</v>
      </c>
      <c r="Q428" s="28">
        <f t="shared" ref="Q428:S428" si="141">Q402-Q427</f>
        <v>98</v>
      </c>
      <c r="R428" s="28">
        <f t="shared" si="141"/>
        <v>74</v>
      </c>
      <c r="S428" s="26">
        <f t="shared" si="141"/>
        <v>216</v>
      </c>
      <c r="AI428" s="27" t="s">
        <v>6</v>
      </c>
      <c r="AJ428" s="28">
        <f>AJ402-AJ427</f>
        <v>0</v>
      </c>
      <c r="AK428" s="28">
        <f t="shared" ref="AK428:AM428" si="142">AK402-AK427</f>
        <v>0</v>
      </c>
      <c r="AL428" s="28">
        <f t="shared" si="142"/>
        <v>0</v>
      </c>
      <c r="AM428" s="28">
        <f t="shared" si="142"/>
        <v>0</v>
      </c>
      <c r="AN428" s="28">
        <f>AN402-AN427</f>
        <v>0</v>
      </c>
      <c r="AO428" s="28">
        <f t="shared" ref="AO428:AQ428" si="143">AO402-AO427</f>
        <v>0</v>
      </c>
      <c r="AP428" s="28">
        <f t="shared" si="143"/>
        <v>0</v>
      </c>
      <c r="AQ428" s="26">
        <f t="shared" si="143"/>
        <v>0</v>
      </c>
    </row>
    <row r="429" spans="1:44">
      <c r="L429" s="67">
        <f>L428/$O$428*100</f>
        <v>20.37037037037037</v>
      </c>
      <c r="M429" s="67">
        <f t="shared" ref="M429:O429" si="144">M428/$O$428*100</f>
        <v>45.370370370370374</v>
      </c>
      <c r="N429" s="67">
        <f t="shared" si="144"/>
        <v>34.25925925925926</v>
      </c>
      <c r="O429" s="67">
        <f t="shared" si="144"/>
        <v>100</v>
      </c>
    </row>
    <row r="430" spans="1:44">
      <c r="L430" s="70">
        <v>31.4</v>
      </c>
      <c r="M430" s="70">
        <v>40.799999999999997</v>
      </c>
      <c r="N430" s="70">
        <v>27.8</v>
      </c>
      <c r="O430" s="70">
        <v>100</v>
      </c>
    </row>
    <row r="431" spans="1:44" ht="21.75" thickBot="1">
      <c r="A431" s="33" t="s">
        <v>15</v>
      </c>
      <c r="B431" s="34"/>
      <c r="C431" s="34"/>
      <c r="D431" s="34"/>
      <c r="E431" s="34"/>
      <c r="F431" s="35"/>
      <c r="G431" s="35"/>
      <c r="H431" s="35"/>
      <c r="I431" s="35"/>
      <c r="K431" s="33" t="s">
        <v>125</v>
      </c>
      <c r="L431" s="34"/>
      <c r="M431" s="34"/>
      <c r="N431" s="34"/>
      <c r="O431" s="34"/>
      <c r="P431" s="35"/>
      <c r="Q431" s="35"/>
      <c r="R431" s="35"/>
      <c r="S431" s="35"/>
      <c r="AI431" s="33" t="s">
        <v>87</v>
      </c>
      <c r="AJ431" s="34"/>
      <c r="AK431" s="34"/>
      <c r="AL431" s="34"/>
      <c r="AM431" s="34"/>
      <c r="AN431" s="35"/>
      <c r="AO431" s="35"/>
      <c r="AP431" s="35"/>
      <c r="AQ431" s="35"/>
    </row>
    <row r="432" spans="1:44" ht="14.25" thickBot="1">
      <c r="A432" s="1" t="s">
        <v>0</v>
      </c>
      <c r="B432" s="182" t="s">
        <v>17</v>
      </c>
      <c r="C432" s="182"/>
      <c r="D432" s="182"/>
      <c r="E432" s="183"/>
      <c r="F432" s="182" t="s">
        <v>13</v>
      </c>
      <c r="G432" s="182"/>
      <c r="H432" s="182"/>
      <c r="I432" s="183"/>
      <c r="K432" s="1" t="s">
        <v>0</v>
      </c>
      <c r="L432" s="182" t="s">
        <v>17</v>
      </c>
      <c r="M432" s="182"/>
      <c r="N432" s="182"/>
      <c r="O432" s="183"/>
      <c r="P432" s="182" t="s">
        <v>13</v>
      </c>
      <c r="Q432" s="182"/>
      <c r="R432" s="182"/>
      <c r="S432" s="183"/>
      <c r="AI432" s="1" t="s">
        <v>0</v>
      </c>
      <c r="AJ432" s="181" t="s">
        <v>17</v>
      </c>
      <c r="AK432" s="182"/>
      <c r="AL432" s="182"/>
      <c r="AM432" s="183"/>
      <c r="AN432" s="181" t="s">
        <v>13</v>
      </c>
      <c r="AO432" s="182"/>
      <c r="AP432" s="182"/>
      <c r="AQ432" s="183"/>
    </row>
    <row r="433" spans="1:44" ht="14.25" thickBot="1">
      <c r="A433" s="1" t="s">
        <v>1</v>
      </c>
      <c r="B433" s="2" t="s">
        <v>8</v>
      </c>
      <c r="C433" s="1" t="s">
        <v>9</v>
      </c>
      <c r="D433" s="19" t="s">
        <v>10</v>
      </c>
      <c r="E433" s="1" t="s">
        <v>2</v>
      </c>
      <c r="F433" s="2" t="s">
        <v>8</v>
      </c>
      <c r="G433" s="1" t="s">
        <v>9</v>
      </c>
      <c r="H433" s="19" t="s">
        <v>10</v>
      </c>
      <c r="I433" s="1" t="s">
        <v>2</v>
      </c>
      <c r="K433" s="1" t="s">
        <v>1</v>
      </c>
      <c r="L433" s="2" t="s">
        <v>8</v>
      </c>
      <c r="M433" s="1" t="s">
        <v>9</v>
      </c>
      <c r="N433" s="19" t="s">
        <v>10</v>
      </c>
      <c r="O433" s="1" t="s">
        <v>2</v>
      </c>
      <c r="P433" s="2" t="s">
        <v>8</v>
      </c>
      <c r="Q433" s="1" t="s">
        <v>9</v>
      </c>
      <c r="R433" s="19" t="s">
        <v>10</v>
      </c>
      <c r="S433" s="1" t="s">
        <v>2</v>
      </c>
      <c r="AI433" s="1" t="s">
        <v>1</v>
      </c>
      <c r="AJ433" s="2" t="s">
        <v>8</v>
      </c>
      <c r="AK433" s="1" t="s">
        <v>9</v>
      </c>
      <c r="AL433" s="19" t="s">
        <v>10</v>
      </c>
      <c r="AM433" s="1" t="s">
        <v>2</v>
      </c>
      <c r="AN433" s="2" t="s">
        <v>8</v>
      </c>
      <c r="AO433" s="1" t="s">
        <v>9</v>
      </c>
      <c r="AP433" s="19" t="s">
        <v>10</v>
      </c>
      <c r="AQ433" s="1" t="s">
        <v>2</v>
      </c>
    </row>
    <row r="434" spans="1:44" ht="14.25" thickBot="1">
      <c r="A434" s="21" t="s">
        <v>7</v>
      </c>
      <c r="B434" s="18">
        <f>B428</f>
        <v>11</v>
      </c>
      <c r="C434" s="22">
        <f>C428</f>
        <v>5</v>
      </c>
      <c r="D434" s="22">
        <f>D428</f>
        <v>56</v>
      </c>
      <c r="E434" s="17">
        <f t="shared" ref="E434:E470" si="145">SUM(B434:D434)</f>
        <v>72</v>
      </c>
      <c r="F434" s="22">
        <f>F428</f>
        <v>11</v>
      </c>
      <c r="G434" s="22">
        <f>G428</f>
        <v>5</v>
      </c>
      <c r="H434" s="22">
        <f>H428</f>
        <v>56</v>
      </c>
      <c r="I434" s="17">
        <f t="shared" ref="I434:I470" si="146">SUM(F434:H434)</f>
        <v>72</v>
      </c>
      <c r="K434" s="21" t="s">
        <v>7</v>
      </c>
      <c r="L434" s="18">
        <f>L428</f>
        <v>44</v>
      </c>
      <c r="M434" s="22">
        <f>M428</f>
        <v>98</v>
      </c>
      <c r="N434" s="22">
        <f>N428</f>
        <v>74</v>
      </c>
      <c r="O434" s="17">
        <f t="shared" ref="O434:O470" si="147">SUM(L434:N434)</f>
        <v>216</v>
      </c>
      <c r="P434" s="22">
        <f>P428</f>
        <v>44</v>
      </c>
      <c r="Q434" s="22">
        <f>Q428</f>
        <v>98</v>
      </c>
      <c r="R434" s="22">
        <f>R428</f>
        <v>74</v>
      </c>
      <c r="S434" s="17">
        <f t="shared" ref="S434:S470" si="148">SUM(P434:R434)</f>
        <v>216</v>
      </c>
      <c r="AI434" s="52" t="s">
        <v>7</v>
      </c>
      <c r="AJ434" s="53">
        <f>AJ428</f>
        <v>0</v>
      </c>
      <c r="AK434" s="23">
        <f>AK428</f>
        <v>0</v>
      </c>
      <c r="AL434" s="23">
        <f>AL428</f>
        <v>0</v>
      </c>
      <c r="AM434" s="26">
        <f t="shared" ref="AM434:AM448" si="149">SUM(AJ434:AL434)</f>
        <v>0</v>
      </c>
      <c r="AN434" s="23">
        <f>AN428</f>
        <v>0</v>
      </c>
      <c r="AO434" s="23">
        <f>AO428</f>
        <v>0</v>
      </c>
      <c r="AP434" s="23">
        <f>AP428</f>
        <v>0</v>
      </c>
      <c r="AQ434" s="26">
        <f t="shared" ref="AQ434:AQ448" si="150">SUM(AN434:AP434)</f>
        <v>0</v>
      </c>
    </row>
    <row r="435" spans="1:44">
      <c r="A435" s="5" t="s">
        <v>196</v>
      </c>
      <c r="B435" s="30">
        <v>1</v>
      </c>
      <c r="C435" s="31">
        <v>1</v>
      </c>
      <c r="D435" s="32">
        <v>1</v>
      </c>
      <c r="E435" s="4">
        <f t="shared" si="145"/>
        <v>3</v>
      </c>
      <c r="F435" s="30">
        <v>1</v>
      </c>
      <c r="G435" s="31">
        <v>1</v>
      </c>
      <c r="H435" s="32">
        <v>1</v>
      </c>
      <c r="I435" s="4">
        <f t="shared" si="146"/>
        <v>3</v>
      </c>
      <c r="J435" s="49">
        <v>44006</v>
      </c>
      <c r="K435" s="5" t="s">
        <v>3</v>
      </c>
      <c r="L435" s="57"/>
      <c r="M435" s="58"/>
      <c r="N435" s="57"/>
      <c r="O435" s="4">
        <f t="shared" si="147"/>
        <v>0</v>
      </c>
      <c r="P435" s="57"/>
      <c r="Q435" s="58"/>
      <c r="R435" s="57"/>
      <c r="S435" s="4">
        <f t="shared" si="148"/>
        <v>0</v>
      </c>
      <c r="T435" s="71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71"/>
      <c r="AI435" s="5" t="s">
        <v>3</v>
      </c>
      <c r="AJ435" s="16"/>
      <c r="AK435" s="11"/>
      <c r="AL435" s="16"/>
      <c r="AM435" s="4">
        <f t="shared" si="149"/>
        <v>0</v>
      </c>
      <c r="AN435" s="16"/>
      <c r="AO435" s="11"/>
      <c r="AP435" s="16"/>
      <c r="AQ435" s="4">
        <f t="shared" si="150"/>
        <v>0</v>
      </c>
    </row>
    <row r="436" spans="1:44">
      <c r="A436" s="5" t="s">
        <v>37</v>
      </c>
      <c r="B436" s="30">
        <v>1</v>
      </c>
      <c r="C436" s="31">
        <v>2</v>
      </c>
      <c r="D436" s="32">
        <v>1</v>
      </c>
      <c r="E436" s="4">
        <f t="shared" si="145"/>
        <v>4</v>
      </c>
      <c r="F436" s="30">
        <v>1</v>
      </c>
      <c r="G436" s="31">
        <v>2</v>
      </c>
      <c r="H436" s="32">
        <v>1</v>
      </c>
      <c r="I436" s="4">
        <f t="shared" si="146"/>
        <v>4</v>
      </c>
      <c r="J436" s="49">
        <v>44008</v>
      </c>
      <c r="K436" s="5" t="s">
        <v>3</v>
      </c>
      <c r="L436" s="16"/>
      <c r="M436" s="11"/>
      <c r="N436" s="16"/>
      <c r="O436" s="4">
        <f t="shared" si="147"/>
        <v>0</v>
      </c>
      <c r="P436" s="16"/>
      <c r="Q436" s="11"/>
      <c r="R436" s="16"/>
      <c r="S436" s="4">
        <f t="shared" si="148"/>
        <v>0</v>
      </c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5" t="s">
        <v>142</v>
      </c>
      <c r="AJ436" s="16">
        <v>110</v>
      </c>
      <c r="AK436" s="11">
        <v>120</v>
      </c>
      <c r="AL436" s="16">
        <v>60</v>
      </c>
      <c r="AM436" s="4">
        <f t="shared" si="149"/>
        <v>290</v>
      </c>
      <c r="AN436" s="16">
        <v>110</v>
      </c>
      <c r="AO436" s="11">
        <v>120</v>
      </c>
      <c r="AP436" s="16">
        <v>60</v>
      </c>
      <c r="AQ436" s="4">
        <f t="shared" si="150"/>
        <v>290</v>
      </c>
      <c r="AR436" s="43">
        <v>44000</v>
      </c>
    </row>
    <row r="437" spans="1:44">
      <c r="A437" s="5" t="s">
        <v>3</v>
      </c>
      <c r="B437" s="30"/>
      <c r="C437" s="31"/>
      <c r="D437" s="32"/>
      <c r="E437" s="4">
        <f t="shared" si="145"/>
        <v>0</v>
      </c>
      <c r="F437" s="30"/>
      <c r="G437" s="31"/>
      <c r="H437" s="32"/>
      <c r="I437" s="4">
        <f t="shared" si="146"/>
        <v>0</v>
      </c>
      <c r="K437" s="5" t="s">
        <v>142</v>
      </c>
      <c r="L437" s="16">
        <v>110</v>
      </c>
      <c r="M437" s="11">
        <v>120</v>
      </c>
      <c r="N437" s="16">
        <v>60</v>
      </c>
      <c r="O437" s="4">
        <f t="shared" si="147"/>
        <v>290</v>
      </c>
      <c r="P437" s="16">
        <v>110</v>
      </c>
      <c r="Q437" s="11">
        <v>120</v>
      </c>
      <c r="R437" s="16">
        <v>60</v>
      </c>
      <c r="S437" s="4">
        <f t="shared" si="148"/>
        <v>290</v>
      </c>
      <c r="T437" s="43" t="s">
        <v>205</v>
      </c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5" t="s">
        <v>3</v>
      </c>
      <c r="AJ437" s="30"/>
      <c r="AK437" s="31"/>
      <c r="AL437" s="32"/>
      <c r="AM437" s="4">
        <f t="shared" si="149"/>
        <v>0</v>
      </c>
      <c r="AN437" s="30"/>
      <c r="AO437" s="31"/>
      <c r="AP437" s="32"/>
      <c r="AQ437" s="4">
        <f t="shared" si="150"/>
        <v>0</v>
      </c>
      <c r="AR437" s="29"/>
    </row>
    <row r="438" spans="1:44">
      <c r="A438" s="5" t="s">
        <v>3</v>
      </c>
      <c r="B438" s="16"/>
      <c r="C438" s="11"/>
      <c r="D438" s="16"/>
      <c r="E438" s="4">
        <f t="shared" si="145"/>
        <v>0</v>
      </c>
      <c r="F438" s="16"/>
      <c r="G438" s="11"/>
      <c r="H438" s="16"/>
      <c r="I438" s="4">
        <f t="shared" si="146"/>
        <v>0</v>
      </c>
      <c r="K438" s="5" t="s">
        <v>3</v>
      </c>
      <c r="L438" s="16"/>
      <c r="M438" s="11"/>
      <c r="N438" s="16"/>
      <c r="O438" s="4">
        <f t="shared" si="147"/>
        <v>0</v>
      </c>
      <c r="P438" s="16"/>
      <c r="Q438" s="11"/>
      <c r="R438" s="16"/>
      <c r="S438" s="4">
        <f t="shared" si="148"/>
        <v>0</v>
      </c>
      <c r="T438" s="43" t="s">
        <v>204</v>
      </c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43"/>
      <c r="AI438" s="5" t="s">
        <v>3</v>
      </c>
      <c r="AJ438" s="16"/>
      <c r="AK438" s="11"/>
      <c r="AL438" s="16"/>
      <c r="AM438" s="4">
        <f t="shared" si="149"/>
        <v>0</v>
      </c>
      <c r="AN438" s="16"/>
      <c r="AO438" s="11"/>
      <c r="AP438" s="16"/>
      <c r="AQ438" s="4">
        <f t="shared" si="150"/>
        <v>0</v>
      </c>
      <c r="AR438" s="50"/>
    </row>
    <row r="439" spans="1:44">
      <c r="A439" s="5" t="s">
        <v>3</v>
      </c>
      <c r="B439" s="16"/>
      <c r="C439" s="11"/>
      <c r="D439" s="16"/>
      <c r="E439" s="4">
        <f t="shared" si="145"/>
        <v>0</v>
      </c>
      <c r="F439" s="16"/>
      <c r="G439" s="11"/>
      <c r="H439" s="16"/>
      <c r="I439" s="4">
        <f t="shared" si="146"/>
        <v>0</v>
      </c>
      <c r="K439" s="5" t="s">
        <v>213</v>
      </c>
      <c r="L439" s="32"/>
      <c r="M439" s="31">
        <v>9</v>
      </c>
      <c r="N439" s="32">
        <v>-9</v>
      </c>
      <c r="O439" s="4">
        <f t="shared" si="147"/>
        <v>0</v>
      </c>
      <c r="P439" s="32"/>
      <c r="Q439" s="31">
        <v>9</v>
      </c>
      <c r="R439" s="32">
        <v>-9</v>
      </c>
      <c r="S439" s="4">
        <f t="shared" si="148"/>
        <v>0</v>
      </c>
      <c r="T439" s="43">
        <v>44007</v>
      </c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5" t="s">
        <v>3</v>
      </c>
      <c r="AJ439" s="32"/>
      <c r="AK439" s="31"/>
      <c r="AL439" s="32"/>
      <c r="AM439" s="4">
        <f t="shared" si="149"/>
        <v>0</v>
      </c>
      <c r="AN439" s="32"/>
      <c r="AO439" s="31"/>
      <c r="AP439" s="32"/>
      <c r="AQ439" s="4">
        <f t="shared" si="150"/>
        <v>0</v>
      </c>
      <c r="AR439" s="43"/>
    </row>
    <row r="440" spans="1:44">
      <c r="A440" s="5" t="s">
        <v>3</v>
      </c>
      <c r="B440" s="16"/>
      <c r="C440" s="11"/>
      <c r="D440" s="16"/>
      <c r="E440" s="4">
        <f t="shared" si="145"/>
        <v>0</v>
      </c>
      <c r="F440" s="16"/>
      <c r="G440" s="11"/>
      <c r="H440" s="16"/>
      <c r="I440" s="4">
        <f t="shared" si="146"/>
        <v>0</v>
      </c>
      <c r="K440" s="5" t="s">
        <v>3</v>
      </c>
      <c r="L440" s="16"/>
      <c r="M440" s="11"/>
      <c r="N440" s="16"/>
      <c r="O440" s="4">
        <f t="shared" si="147"/>
        <v>0</v>
      </c>
      <c r="P440" s="16"/>
      <c r="Q440" s="11"/>
      <c r="R440" s="16"/>
      <c r="S440" s="4">
        <f t="shared" si="148"/>
        <v>0</v>
      </c>
      <c r="T440" s="43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43"/>
      <c r="AI440" s="5" t="s">
        <v>3</v>
      </c>
      <c r="AJ440" s="16"/>
      <c r="AK440" s="11"/>
      <c r="AL440" s="16"/>
      <c r="AM440" s="4">
        <f t="shared" si="149"/>
        <v>0</v>
      </c>
      <c r="AN440" s="16"/>
      <c r="AO440" s="11"/>
      <c r="AP440" s="16"/>
      <c r="AQ440" s="4">
        <f t="shared" si="150"/>
        <v>0</v>
      </c>
      <c r="AR440" s="29"/>
    </row>
    <row r="441" spans="1:44">
      <c r="A441" s="5" t="s">
        <v>3</v>
      </c>
      <c r="B441" s="32"/>
      <c r="C441" s="31"/>
      <c r="D441" s="32"/>
      <c r="E441" s="4">
        <f t="shared" si="145"/>
        <v>0</v>
      </c>
      <c r="F441" s="32"/>
      <c r="G441" s="31"/>
      <c r="H441" s="32"/>
      <c r="I441" s="4">
        <f t="shared" si="146"/>
        <v>0</v>
      </c>
      <c r="K441" s="5" t="s">
        <v>3</v>
      </c>
      <c r="L441" s="32"/>
      <c r="M441" s="31"/>
      <c r="N441" s="32"/>
      <c r="O441" s="4">
        <f t="shared" si="147"/>
        <v>0</v>
      </c>
      <c r="P441" s="32"/>
      <c r="Q441" s="31"/>
      <c r="R441" s="32"/>
      <c r="S441" s="4">
        <f t="shared" si="148"/>
        <v>0</v>
      </c>
      <c r="T441" s="43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43"/>
      <c r="AI441" s="5" t="s">
        <v>3</v>
      </c>
      <c r="AJ441" s="10"/>
      <c r="AK441" s="9"/>
      <c r="AL441" s="10"/>
      <c r="AM441" s="4">
        <f t="shared" si="149"/>
        <v>0</v>
      </c>
      <c r="AN441" s="10"/>
      <c r="AO441" s="9"/>
      <c r="AP441" s="10"/>
      <c r="AQ441" s="4">
        <f t="shared" si="150"/>
        <v>0</v>
      </c>
      <c r="AR441" s="29"/>
    </row>
    <row r="442" spans="1:44">
      <c r="A442" s="5" t="s">
        <v>3</v>
      </c>
      <c r="B442" s="32"/>
      <c r="C442" s="31"/>
      <c r="D442" s="32"/>
      <c r="E442" s="4">
        <f t="shared" si="145"/>
        <v>0</v>
      </c>
      <c r="F442" s="32"/>
      <c r="G442" s="31"/>
      <c r="H442" s="32"/>
      <c r="I442" s="4">
        <f t="shared" si="146"/>
        <v>0</v>
      </c>
      <c r="K442" s="5" t="s">
        <v>3</v>
      </c>
      <c r="L442" s="32"/>
      <c r="M442" s="31"/>
      <c r="N442" s="32"/>
      <c r="O442" s="4">
        <f t="shared" si="147"/>
        <v>0</v>
      </c>
      <c r="P442" s="32"/>
      <c r="Q442" s="31"/>
      <c r="R442" s="32"/>
      <c r="S442" s="4">
        <f t="shared" si="148"/>
        <v>0</v>
      </c>
      <c r="AI442" s="6" t="s">
        <v>3</v>
      </c>
      <c r="AJ442" s="10"/>
      <c r="AK442" s="9"/>
      <c r="AL442" s="10"/>
      <c r="AM442" s="4">
        <f t="shared" si="149"/>
        <v>0</v>
      </c>
      <c r="AN442" s="10"/>
      <c r="AO442" s="9"/>
      <c r="AP442" s="10"/>
      <c r="AQ442" s="4">
        <f t="shared" si="150"/>
        <v>0</v>
      </c>
      <c r="AR442" s="29"/>
    </row>
    <row r="443" spans="1:44">
      <c r="A443" s="5" t="s">
        <v>3</v>
      </c>
      <c r="B443" s="30"/>
      <c r="C443" s="31"/>
      <c r="D443" s="32"/>
      <c r="E443" s="4">
        <f t="shared" si="145"/>
        <v>0</v>
      </c>
      <c r="F443" s="30"/>
      <c r="G443" s="31"/>
      <c r="H443" s="32"/>
      <c r="I443" s="4">
        <f t="shared" si="146"/>
        <v>0</v>
      </c>
      <c r="K443" s="5" t="s">
        <v>3</v>
      </c>
      <c r="L443" s="30"/>
      <c r="M443" s="31"/>
      <c r="N443" s="32"/>
      <c r="O443" s="4">
        <f t="shared" si="147"/>
        <v>0</v>
      </c>
      <c r="P443" s="59"/>
      <c r="Q443" s="60"/>
      <c r="R443" s="61"/>
      <c r="S443" s="4">
        <f t="shared" si="148"/>
        <v>0</v>
      </c>
      <c r="AI443" s="6" t="s">
        <v>3</v>
      </c>
      <c r="AJ443" s="32"/>
      <c r="AK443" s="31"/>
      <c r="AL443" s="32"/>
      <c r="AM443" s="4">
        <f t="shared" si="149"/>
        <v>0</v>
      </c>
      <c r="AN443" s="32"/>
      <c r="AO443" s="31"/>
      <c r="AP443" s="32"/>
      <c r="AQ443" s="4">
        <f t="shared" si="150"/>
        <v>0</v>
      </c>
    </row>
    <row r="444" spans="1:44" ht="14.25" thickBot="1">
      <c r="A444" s="6" t="s">
        <v>3</v>
      </c>
      <c r="B444" s="36"/>
      <c r="C444" s="37"/>
      <c r="D444" s="36"/>
      <c r="E444" s="20">
        <f t="shared" si="145"/>
        <v>0</v>
      </c>
      <c r="F444" s="13"/>
      <c r="G444" s="12"/>
      <c r="H444" s="13"/>
      <c r="I444" s="20">
        <f t="shared" si="146"/>
        <v>0</v>
      </c>
      <c r="K444" s="6" t="s">
        <v>3</v>
      </c>
      <c r="L444" s="13"/>
      <c r="M444" s="12"/>
      <c r="N444" s="13"/>
      <c r="O444" s="20">
        <f t="shared" si="147"/>
        <v>0</v>
      </c>
      <c r="P444" s="13"/>
      <c r="Q444" s="12"/>
      <c r="R444" s="13"/>
      <c r="S444" s="20">
        <f t="shared" si="148"/>
        <v>0</v>
      </c>
      <c r="AI444" s="6" t="s">
        <v>3</v>
      </c>
      <c r="AJ444" s="13"/>
      <c r="AK444" s="12"/>
      <c r="AL444" s="13"/>
      <c r="AM444" s="20">
        <f t="shared" si="149"/>
        <v>0</v>
      </c>
      <c r="AN444" s="13"/>
      <c r="AO444" s="12"/>
      <c r="AP444" s="13"/>
      <c r="AQ444" s="20">
        <f t="shared" si="150"/>
        <v>0</v>
      </c>
    </row>
    <row r="445" spans="1:44" ht="14.25" thickBot="1">
      <c r="A445" s="23" t="s">
        <v>4</v>
      </c>
      <c r="B445" s="24">
        <f>SUM(B434:B444)</f>
        <v>13</v>
      </c>
      <c r="C445" s="24">
        <f>SUM(C434:C444)</f>
        <v>8</v>
      </c>
      <c r="D445" s="25">
        <f>SUM(D434:D444)</f>
        <v>58</v>
      </c>
      <c r="E445" s="26">
        <f t="shared" si="145"/>
        <v>79</v>
      </c>
      <c r="F445" s="24">
        <f>SUM(F434:F444)</f>
        <v>13</v>
      </c>
      <c r="G445" s="24">
        <f>SUM(G434:G444)</f>
        <v>8</v>
      </c>
      <c r="H445" s="25">
        <f>SUM(H434:H444)</f>
        <v>58</v>
      </c>
      <c r="I445" s="26">
        <f t="shared" si="146"/>
        <v>79</v>
      </c>
      <c r="K445" s="23" t="s">
        <v>4</v>
      </c>
      <c r="L445" s="24">
        <f>SUM(L434:L444)</f>
        <v>154</v>
      </c>
      <c r="M445" s="24">
        <f>SUM(M434:M444)</f>
        <v>227</v>
      </c>
      <c r="N445" s="25">
        <f>SUM(N434:N444)</f>
        <v>125</v>
      </c>
      <c r="O445" s="26">
        <f t="shared" si="147"/>
        <v>506</v>
      </c>
      <c r="P445" s="24">
        <f>SUM(P434:P444)</f>
        <v>154</v>
      </c>
      <c r="Q445" s="24">
        <f>SUM(Q434:Q444)</f>
        <v>227</v>
      </c>
      <c r="R445" s="25">
        <f>SUM(R434:R444)</f>
        <v>125</v>
      </c>
      <c r="S445" s="26">
        <f t="shared" si="148"/>
        <v>506</v>
      </c>
      <c r="AI445" s="23" t="s">
        <v>4</v>
      </c>
      <c r="AJ445" s="24">
        <f>SUM(AJ434:AJ444)</f>
        <v>110</v>
      </c>
      <c r="AK445" s="24">
        <f>SUM(AK434:AK444)</f>
        <v>120</v>
      </c>
      <c r="AL445" s="25">
        <f>SUM(AL434:AL444)</f>
        <v>60</v>
      </c>
      <c r="AM445" s="26">
        <f t="shared" si="149"/>
        <v>290</v>
      </c>
      <c r="AN445" s="24">
        <f>SUM(AN434:AN444)</f>
        <v>110</v>
      </c>
      <c r="AO445" s="24">
        <f>SUM(AO434:AO444)</f>
        <v>120</v>
      </c>
      <c r="AP445" s="25">
        <f>SUM(AP434:AP444)</f>
        <v>60</v>
      </c>
      <c r="AQ445" s="26">
        <f t="shared" si="150"/>
        <v>290</v>
      </c>
    </row>
    <row r="446" spans="1:44">
      <c r="A446" s="3" t="s">
        <v>182</v>
      </c>
      <c r="B446" s="8"/>
      <c r="C446" s="9">
        <v>1</v>
      </c>
      <c r="D446" s="10"/>
      <c r="E446" s="4">
        <f t="shared" si="145"/>
        <v>1</v>
      </c>
      <c r="F446" s="8"/>
      <c r="G446" s="9">
        <v>1</v>
      </c>
      <c r="H446" s="10"/>
      <c r="I446" s="4">
        <f t="shared" si="146"/>
        <v>1</v>
      </c>
      <c r="J446" s="43">
        <v>44005</v>
      </c>
      <c r="K446" s="11" t="s">
        <v>195</v>
      </c>
      <c r="L446" s="8"/>
      <c r="M446" s="9">
        <v>5</v>
      </c>
      <c r="N446" s="10"/>
      <c r="O446" s="7">
        <f t="shared" si="147"/>
        <v>5</v>
      </c>
      <c r="P446" s="8"/>
      <c r="Q446" s="9">
        <v>5</v>
      </c>
      <c r="R446" s="10"/>
      <c r="S446" s="7">
        <f t="shared" si="148"/>
        <v>5</v>
      </c>
      <c r="T446" s="43">
        <v>44000</v>
      </c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43"/>
      <c r="AI446" s="3" t="s">
        <v>143</v>
      </c>
      <c r="AJ446" s="16">
        <v>110</v>
      </c>
      <c r="AK446" s="11">
        <v>120</v>
      </c>
      <c r="AL446" s="16">
        <v>60</v>
      </c>
      <c r="AM446" s="4">
        <f t="shared" si="149"/>
        <v>290</v>
      </c>
      <c r="AN446" s="16">
        <v>110</v>
      </c>
      <c r="AO446" s="11">
        <v>120</v>
      </c>
      <c r="AP446" s="16">
        <v>60</v>
      </c>
      <c r="AQ446" s="4">
        <f t="shared" si="150"/>
        <v>290</v>
      </c>
      <c r="AR446" s="43">
        <v>44000</v>
      </c>
    </row>
    <row r="447" spans="1:44">
      <c r="A447" s="3" t="s">
        <v>82</v>
      </c>
      <c r="B447" s="8"/>
      <c r="C447" s="9"/>
      <c r="D447" s="10">
        <v>19</v>
      </c>
      <c r="E447" s="4">
        <f t="shared" si="145"/>
        <v>19</v>
      </c>
      <c r="F447" s="8"/>
      <c r="G447" s="9"/>
      <c r="H447" s="10">
        <v>19</v>
      </c>
      <c r="I447" s="4">
        <f t="shared" si="146"/>
        <v>19</v>
      </c>
      <c r="J447" s="43">
        <v>44007</v>
      </c>
      <c r="K447" s="3" t="s">
        <v>82</v>
      </c>
      <c r="L447" s="8">
        <v>4</v>
      </c>
      <c r="M447" s="9">
        <v>13</v>
      </c>
      <c r="N447" s="10">
        <v>4</v>
      </c>
      <c r="O447" s="4">
        <f t="shared" si="147"/>
        <v>21</v>
      </c>
      <c r="P447" s="8">
        <v>4</v>
      </c>
      <c r="Q447" s="9">
        <v>13</v>
      </c>
      <c r="R447" s="10">
        <v>4</v>
      </c>
      <c r="S447" s="4">
        <f t="shared" si="148"/>
        <v>21</v>
      </c>
      <c r="T447" s="43">
        <v>43998</v>
      </c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43"/>
      <c r="AI447" s="3"/>
      <c r="AJ447" s="8"/>
      <c r="AK447" s="9"/>
      <c r="AL447" s="10"/>
      <c r="AM447" s="7">
        <f t="shared" si="149"/>
        <v>0</v>
      </c>
      <c r="AN447" s="8"/>
      <c r="AO447" s="9"/>
      <c r="AP447" s="10"/>
      <c r="AQ447" s="7">
        <f t="shared" si="150"/>
        <v>0</v>
      </c>
      <c r="AR447" s="29"/>
    </row>
    <row r="448" spans="1:44">
      <c r="A448" s="3" t="s">
        <v>182</v>
      </c>
      <c r="B448" s="8"/>
      <c r="C448" s="9"/>
      <c r="D448" s="10">
        <v>1</v>
      </c>
      <c r="E448" s="7">
        <f t="shared" si="145"/>
        <v>1</v>
      </c>
      <c r="F448" s="8"/>
      <c r="G448" s="9"/>
      <c r="H448" s="10">
        <v>1</v>
      </c>
      <c r="I448" s="7">
        <f t="shared" si="146"/>
        <v>1</v>
      </c>
      <c r="J448" s="43">
        <v>44007</v>
      </c>
      <c r="K448" s="11" t="s">
        <v>197</v>
      </c>
      <c r="L448" s="8">
        <v>5</v>
      </c>
      <c r="M448" s="9">
        <v>5</v>
      </c>
      <c r="N448" s="10"/>
      <c r="O448" s="7">
        <f t="shared" si="147"/>
        <v>10</v>
      </c>
      <c r="P448" s="8">
        <v>5</v>
      </c>
      <c r="Q448" s="9">
        <v>5</v>
      </c>
      <c r="R448" s="10"/>
      <c r="S448" s="7">
        <f t="shared" si="148"/>
        <v>10</v>
      </c>
      <c r="T448" s="43">
        <v>44001</v>
      </c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43"/>
      <c r="AI448" s="3"/>
      <c r="AJ448" s="32"/>
      <c r="AK448" s="31"/>
      <c r="AL448" s="32"/>
      <c r="AM448" s="4">
        <f t="shared" si="149"/>
        <v>0</v>
      </c>
      <c r="AN448" s="32"/>
      <c r="AO448" s="31"/>
      <c r="AP448" s="32"/>
      <c r="AQ448" s="4">
        <f t="shared" si="150"/>
        <v>0</v>
      </c>
      <c r="AR448" s="43"/>
    </row>
    <row r="449" spans="1:44">
      <c r="A449" s="3" t="s">
        <v>82</v>
      </c>
      <c r="B449" s="8"/>
      <c r="C449" s="9"/>
      <c r="D449" s="10">
        <v>4</v>
      </c>
      <c r="E449" s="4">
        <f t="shared" si="145"/>
        <v>4</v>
      </c>
      <c r="F449" s="8"/>
      <c r="G449" s="9"/>
      <c r="H449" s="10">
        <v>4</v>
      </c>
      <c r="I449" s="4">
        <f t="shared" si="146"/>
        <v>4</v>
      </c>
      <c r="J449" s="43">
        <v>44009</v>
      </c>
      <c r="K449" s="3" t="s">
        <v>82</v>
      </c>
      <c r="L449" s="8">
        <v>4</v>
      </c>
      <c r="M449" s="9">
        <v>19</v>
      </c>
      <c r="N449" s="10">
        <v>23</v>
      </c>
      <c r="O449" s="4">
        <f t="shared" si="147"/>
        <v>46</v>
      </c>
      <c r="P449" s="8">
        <v>4</v>
      </c>
      <c r="Q449" s="9">
        <v>19</v>
      </c>
      <c r="R449" s="10">
        <v>23</v>
      </c>
      <c r="S449" s="4">
        <f t="shared" si="148"/>
        <v>46</v>
      </c>
      <c r="T449" s="43">
        <v>43999</v>
      </c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43"/>
      <c r="AI449" s="3"/>
      <c r="AJ449" s="8"/>
      <c r="AK449" s="9"/>
      <c r="AL449" s="10"/>
      <c r="AM449" s="4">
        <f t="shared" ref="AM449:AM470" si="151">SUM(AJ449:AL449)</f>
        <v>0</v>
      </c>
      <c r="AN449" s="8"/>
      <c r="AO449" s="9"/>
      <c r="AP449" s="10"/>
      <c r="AQ449" s="4">
        <f t="shared" ref="AQ449:AQ470" si="152">SUM(AN449:AP449)</f>
        <v>0</v>
      </c>
      <c r="AR449" s="29"/>
    </row>
    <row r="450" spans="1:44">
      <c r="A450" s="3" t="s">
        <v>82</v>
      </c>
      <c r="B450" s="8"/>
      <c r="C450" s="9"/>
      <c r="D450" s="10">
        <v>5</v>
      </c>
      <c r="E450" s="4">
        <f t="shared" si="145"/>
        <v>5</v>
      </c>
      <c r="F450" s="8"/>
      <c r="G450" s="9"/>
      <c r="H450" s="10">
        <v>5</v>
      </c>
      <c r="I450" s="4">
        <f t="shared" si="146"/>
        <v>5</v>
      </c>
      <c r="J450" s="43">
        <v>44012</v>
      </c>
      <c r="K450" s="3" t="s">
        <v>201</v>
      </c>
      <c r="L450" s="8">
        <v>12</v>
      </c>
      <c r="M450" s="9">
        <v>18</v>
      </c>
      <c r="N450" s="10">
        <v>2</v>
      </c>
      <c r="O450" s="4">
        <f t="shared" si="147"/>
        <v>32</v>
      </c>
      <c r="P450" s="8">
        <v>12</v>
      </c>
      <c r="Q450" s="9">
        <v>18</v>
      </c>
      <c r="R450" s="10">
        <v>2</v>
      </c>
      <c r="S450" s="4">
        <f t="shared" si="148"/>
        <v>32</v>
      </c>
      <c r="T450" s="43">
        <v>44001</v>
      </c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43"/>
      <c r="AI450" s="3"/>
      <c r="AJ450" s="8"/>
      <c r="AK450" s="9"/>
      <c r="AL450" s="10"/>
      <c r="AM450" s="4">
        <f t="shared" si="151"/>
        <v>0</v>
      </c>
      <c r="AN450" s="8"/>
      <c r="AO450" s="9"/>
      <c r="AP450" s="10"/>
      <c r="AQ450" s="4">
        <f t="shared" si="152"/>
        <v>0</v>
      </c>
      <c r="AR450" s="29"/>
    </row>
    <row r="451" spans="1:44">
      <c r="A451" s="3" t="s">
        <v>82</v>
      </c>
      <c r="B451" s="8">
        <v>1</v>
      </c>
      <c r="C451" s="9">
        <v>7</v>
      </c>
      <c r="D451" s="10"/>
      <c r="E451" s="7">
        <f t="shared" si="145"/>
        <v>8</v>
      </c>
      <c r="F451" s="8">
        <v>1</v>
      </c>
      <c r="G451" s="9">
        <v>7</v>
      </c>
      <c r="H451" s="10"/>
      <c r="I451" s="7">
        <f t="shared" si="146"/>
        <v>8</v>
      </c>
      <c r="J451" s="43">
        <v>44013</v>
      </c>
      <c r="K451" s="3" t="s">
        <v>82</v>
      </c>
      <c r="L451" s="8">
        <v>10</v>
      </c>
      <c r="M451" s="9">
        <v>15</v>
      </c>
      <c r="N451" s="10">
        <v>8</v>
      </c>
      <c r="O451" s="7">
        <f t="shared" si="147"/>
        <v>33</v>
      </c>
      <c r="P451" s="8">
        <v>10</v>
      </c>
      <c r="Q451" s="9">
        <v>15</v>
      </c>
      <c r="R451" s="10">
        <v>8</v>
      </c>
      <c r="S451" s="7">
        <f t="shared" si="148"/>
        <v>33</v>
      </c>
      <c r="T451" s="43">
        <v>44000</v>
      </c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43"/>
      <c r="AI451" s="3"/>
      <c r="AJ451" s="8"/>
      <c r="AK451" s="9"/>
      <c r="AL451" s="10"/>
      <c r="AM451" s="7">
        <f t="shared" si="151"/>
        <v>0</v>
      </c>
      <c r="AN451" s="8"/>
      <c r="AO451" s="9"/>
      <c r="AP451" s="10"/>
      <c r="AQ451" s="7">
        <f t="shared" si="152"/>
        <v>0</v>
      </c>
    </row>
    <row r="452" spans="1:44">
      <c r="A452" s="3" t="s">
        <v>50</v>
      </c>
      <c r="B452" s="8">
        <v>1</v>
      </c>
      <c r="C452" s="9"/>
      <c r="D452" s="10"/>
      <c r="E452" s="7">
        <f t="shared" si="145"/>
        <v>1</v>
      </c>
      <c r="F452" s="8">
        <v>1</v>
      </c>
      <c r="G452" s="9"/>
      <c r="H452" s="10"/>
      <c r="I452" s="7">
        <f t="shared" si="146"/>
        <v>1</v>
      </c>
      <c r="J452" s="49">
        <v>44012</v>
      </c>
      <c r="K452" s="11" t="s">
        <v>202</v>
      </c>
      <c r="L452" s="8"/>
      <c r="M452" s="9"/>
      <c r="N452" s="10">
        <v>5</v>
      </c>
      <c r="O452" s="7">
        <f t="shared" si="147"/>
        <v>5</v>
      </c>
      <c r="P452" s="8"/>
      <c r="Q452" s="9"/>
      <c r="R452" s="10">
        <v>5</v>
      </c>
      <c r="S452" s="7">
        <f t="shared" si="148"/>
        <v>5</v>
      </c>
      <c r="T452" s="43">
        <v>44005</v>
      </c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43"/>
      <c r="AI452" s="3"/>
      <c r="AJ452" s="8"/>
      <c r="AK452" s="9"/>
      <c r="AL452" s="10"/>
      <c r="AM452" s="7">
        <f t="shared" si="151"/>
        <v>0</v>
      </c>
      <c r="AN452" s="8"/>
      <c r="AO452" s="9"/>
      <c r="AP452" s="10"/>
      <c r="AQ452" s="7">
        <f t="shared" si="152"/>
        <v>0</v>
      </c>
    </row>
    <row r="453" spans="1:44">
      <c r="A453" s="3"/>
      <c r="B453" s="8"/>
      <c r="C453" s="9"/>
      <c r="D453" s="10"/>
      <c r="E453" s="7">
        <f t="shared" si="145"/>
        <v>0</v>
      </c>
      <c r="F453" s="8"/>
      <c r="G453" s="9"/>
      <c r="H453" s="10"/>
      <c r="I453" s="7">
        <f t="shared" si="146"/>
        <v>0</v>
      </c>
      <c r="K453" s="3" t="s">
        <v>203</v>
      </c>
      <c r="L453" s="8">
        <v>30</v>
      </c>
      <c r="M453" s="9">
        <v>29</v>
      </c>
      <c r="N453" s="10">
        <v>15</v>
      </c>
      <c r="O453" s="7">
        <f t="shared" si="147"/>
        <v>74</v>
      </c>
      <c r="P453" s="8">
        <v>30</v>
      </c>
      <c r="Q453" s="9">
        <v>29</v>
      </c>
      <c r="R453" s="10">
        <v>15</v>
      </c>
      <c r="S453" s="7">
        <f t="shared" si="148"/>
        <v>74</v>
      </c>
      <c r="T453" s="43">
        <v>44001</v>
      </c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43"/>
      <c r="AI453" s="3"/>
      <c r="AJ453" s="8"/>
      <c r="AK453" s="9"/>
      <c r="AL453" s="10"/>
      <c r="AM453" s="7">
        <f t="shared" si="151"/>
        <v>0</v>
      </c>
      <c r="AN453" s="8"/>
      <c r="AO453" s="9"/>
      <c r="AP453" s="10"/>
      <c r="AQ453" s="7">
        <f t="shared" si="152"/>
        <v>0</v>
      </c>
    </row>
    <row r="454" spans="1:44">
      <c r="A454" s="3"/>
      <c r="B454" s="8"/>
      <c r="C454" s="9"/>
      <c r="D454" s="10"/>
      <c r="E454" s="7">
        <f t="shared" si="145"/>
        <v>0</v>
      </c>
      <c r="F454" s="8"/>
      <c r="G454" s="9"/>
      <c r="H454" s="10"/>
      <c r="I454" s="7">
        <f t="shared" si="146"/>
        <v>0</v>
      </c>
      <c r="K454" s="11" t="s">
        <v>206</v>
      </c>
      <c r="L454" s="8"/>
      <c r="M454" s="9">
        <v>5</v>
      </c>
      <c r="N454" s="10"/>
      <c r="O454" s="7">
        <f t="shared" si="147"/>
        <v>5</v>
      </c>
      <c r="P454" s="8"/>
      <c r="Q454" s="9">
        <v>5</v>
      </c>
      <c r="R454" s="10"/>
      <c r="S454" s="7">
        <f t="shared" si="148"/>
        <v>5</v>
      </c>
      <c r="T454" s="43">
        <v>44005</v>
      </c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43"/>
      <c r="AI454" s="3"/>
      <c r="AJ454" s="8"/>
      <c r="AK454" s="9"/>
      <c r="AL454" s="10"/>
      <c r="AM454" s="7">
        <f t="shared" si="151"/>
        <v>0</v>
      </c>
      <c r="AN454" s="8"/>
      <c r="AO454" s="9"/>
      <c r="AP454" s="10"/>
      <c r="AQ454" s="7">
        <f t="shared" si="152"/>
        <v>0</v>
      </c>
    </row>
    <row r="455" spans="1:44">
      <c r="A455" s="3"/>
      <c r="B455" s="8"/>
      <c r="C455" s="9"/>
      <c r="D455" s="10"/>
      <c r="E455" s="7">
        <f t="shared" si="145"/>
        <v>0</v>
      </c>
      <c r="F455" s="8"/>
      <c r="G455" s="9"/>
      <c r="H455" s="10"/>
      <c r="I455" s="7">
        <f t="shared" si="146"/>
        <v>0</v>
      </c>
      <c r="K455" s="11" t="s">
        <v>207</v>
      </c>
      <c r="L455" s="8">
        <v>5</v>
      </c>
      <c r="M455" s="9"/>
      <c r="N455" s="10"/>
      <c r="O455" s="7">
        <f t="shared" si="147"/>
        <v>5</v>
      </c>
      <c r="P455" s="8">
        <v>5</v>
      </c>
      <c r="Q455" s="9"/>
      <c r="R455" s="10"/>
      <c r="S455" s="7">
        <f t="shared" si="148"/>
        <v>5</v>
      </c>
      <c r="T455" s="43">
        <v>44006</v>
      </c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43"/>
      <c r="AI455" s="3"/>
      <c r="AJ455" s="8"/>
      <c r="AK455" s="9"/>
      <c r="AL455" s="10"/>
      <c r="AM455" s="7">
        <f t="shared" si="151"/>
        <v>0</v>
      </c>
      <c r="AN455" s="8"/>
      <c r="AO455" s="9"/>
      <c r="AP455" s="10"/>
      <c r="AQ455" s="7">
        <f t="shared" si="152"/>
        <v>0</v>
      </c>
    </row>
    <row r="456" spans="1:44">
      <c r="A456" s="3"/>
      <c r="B456" s="8"/>
      <c r="C456" s="9"/>
      <c r="D456" s="10"/>
      <c r="E456" s="7">
        <f t="shared" si="145"/>
        <v>0</v>
      </c>
      <c r="F456" s="8"/>
      <c r="G456" s="9"/>
      <c r="H456" s="10"/>
      <c r="I456" s="7">
        <f t="shared" si="146"/>
        <v>0</v>
      </c>
      <c r="K456" s="3" t="s">
        <v>82</v>
      </c>
      <c r="L456" s="59">
        <v>15</v>
      </c>
      <c r="M456" s="9">
        <v>15</v>
      </c>
      <c r="N456" s="10">
        <v>9</v>
      </c>
      <c r="O456" s="7">
        <f t="shared" si="147"/>
        <v>39</v>
      </c>
      <c r="P456" s="8">
        <v>15</v>
      </c>
      <c r="Q456" s="9">
        <v>15</v>
      </c>
      <c r="R456" s="10">
        <v>9</v>
      </c>
      <c r="S456" s="7">
        <f t="shared" si="148"/>
        <v>39</v>
      </c>
      <c r="T456" s="43">
        <v>44002</v>
      </c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43"/>
      <c r="AI456" s="3"/>
      <c r="AJ456" s="8"/>
      <c r="AK456" s="9"/>
      <c r="AL456" s="10"/>
      <c r="AM456" s="7">
        <f t="shared" si="151"/>
        <v>0</v>
      </c>
      <c r="AN456" s="8"/>
      <c r="AO456" s="9"/>
      <c r="AP456" s="10"/>
      <c r="AQ456" s="7">
        <f t="shared" si="152"/>
        <v>0</v>
      </c>
    </row>
    <row r="457" spans="1:44">
      <c r="A457" s="3"/>
      <c r="B457" s="8"/>
      <c r="C457" s="9"/>
      <c r="D457" s="10"/>
      <c r="E457" s="7">
        <f t="shared" si="145"/>
        <v>0</v>
      </c>
      <c r="F457" s="8"/>
      <c r="G457" s="9"/>
      <c r="H457" s="10"/>
      <c r="I457" s="7">
        <f t="shared" si="146"/>
        <v>0</v>
      </c>
      <c r="K457" s="11" t="s">
        <v>209</v>
      </c>
      <c r="L457" s="8"/>
      <c r="M457" s="9">
        <v>5</v>
      </c>
      <c r="N457" s="10"/>
      <c r="O457" s="7">
        <f t="shared" si="147"/>
        <v>5</v>
      </c>
      <c r="P457" s="8"/>
      <c r="Q457" s="9">
        <v>5</v>
      </c>
      <c r="R457" s="10"/>
      <c r="S457" s="7">
        <f t="shared" si="148"/>
        <v>5</v>
      </c>
      <c r="T457" s="43">
        <v>44007</v>
      </c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43"/>
      <c r="AI457" s="3"/>
      <c r="AJ457" s="8"/>
      <c r="AK457" s="9"/>
      <c r="AL457" s="10"/>
      <c r="AM457" s="7">
        <f t="shared" si="151"/>
        <v>0</v>
      </c>
      <c r="AN457" s="8"/>
      <c r="AO457" s="9"/>
      <c r="AP457" s="10"/>
      <c r="AQ457" s="7">
        <f t="shared" si="152"/>
        <v>0</v>
      </c>
    </row>
    <row r="458" spans="1:44">
      <c r="A458" s="3"/>
      <c r="B458" s="8"/>
      <c r="C458" s="9"/>
      <c r="D458" s="10"/>
      <c r="E458" s="7">
        <f t="shared" si="145"/>
        <v>0</v>
      </c>
      <c r="F458" s="8"/>
      <c r="G458" s="9"/>
      <c r="H458" s="10"/>
      <c r="I458" s="7">
        <f t="shared" si="146"/>
        <v>0</v>
      </c>
      <c r="K458" s="3" t="s">
        <v>82</v>
      </c>
      <c r="L458" s="8">
        <v>24</v>
      </c>
      <c r="M458" s="9">
        <v>32</v>
      </c>
      <c r="N458" s="10">
        <v>29</v>
      </c>
      <c r="O458" s="7">
        <f t="shared" si="147"/>
        <v>85</v>
      </c>
      <c r="P458" s="8">
        <v>24</v>
      </c>
      <c r="Q458" s="9">
        <v>32</v>
      </c>
      <c r="R458" s="10">
        <v>29</v>
      </c>
      <c r="S458" s="7">
        <f t="shared" si="148"/>
        <v>85</v>
      </c>
      <c r="T458" s="43">
        <v>44005</v>
      </c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43"/>
      <c r="AI458" s="3"/>
      <c r="AJ458" s="8"/>
      <c r="AK458" s="9"/>
      <c r="AL458" s="10"/>
      <c r="AM458" s="7">
        <f t="shared" si="151"/>
        <v>0</v>
      </c>
      <c r="AN458" s="8"/>
      <c r="AO458" s="9"/>
      <c r="AP458" s="10"/>
      <c r="AQ458" s="7">
        <f t="shared" si="152"/>
        <v>0</v>
      </c>
    </row>
    <row r="459" spans="1:44">
      <c r="A459" s="3"/>
      <c r="B459" s="8"/>
      <c r="C459" s="9"/>
      <c r="D459" s="10"/>
      <c r="E459" s="7">
        <f t="shared" si="145"/>
        <v>0</v>
      </c>
      <c r="F459" s="8"/>
      <c r="G459" s="9"/>
      <c r="H459" s="10"/>
      <c r="I459" s="7">
        <f t="shared" si="146"/>
        <v>0</v>
      </c>
      <c r="K459" s="11" t="s">
        <v>211</v>
      </c>
      <c r="L459" s="8"/>
      <c r="M459" s="9">
        <v>5</v>
      </c>
      <c r="N459" s="10">
        <v>5</v>
      </c>
      <c r="O459" s="7">
        <f t="shared" si="147"/>
        <v>10</v>
      </c>
      <c r="P459" s="8"/>
      <c r="Q459" s="9">
        <v>5</v>
      </c>
      <c r="R459" s="10">
        <v>5</v>
      </c>
      <c r="S459" s="7">
        <f t="shared" si="148"/>
        <v>10</v>
      </c>
      <c r="T459" s="43">
        <v>44012</v>
      </c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43"/>
      <c r="AI459" s="3"/>
      <c r="AJ459" s="8"/>
      <c r="AK459" s="9"/>
      <c r="AL459" s="10"/>
      <c r="AM459" s="7">
        <f t="shared" si="151"/>
        <v>0</v>
      </c>
      <c r="AN459" s="8"/>
      <c r="AO459" s="9"/>
      <c r="AP459" s="10"/>
      <c r="AQ459" s="7">
        <f t="shared" si="152"/>
        <v>0</v>
      </c>
    </row>
    <row r="460" spans="1:44">
      <c r="A460" s="3"/>
      <c r="B460" s="8"/>
      <c r="C460" s="9"/>
      <c r="D460" s="10"/>
      <c r="E460" s="7">
        <f t="shared" si="145"/>
        <v>0</v>
      </c>
      <c r="F460" s="8"/>
      <c r="G460" s="9"/>
      <c r="H460" s="10"/>
      <c r="I460" s="7">
        <f t="shared" si="146"/>
        <v>0</v>
      </c>
      <c r="K460" s="3" t="s">
        <v>82</v>
      </c>
      <c r="L460" s="8">
        <v>13</v>
      </c>
      <c r="M460" s="9">
        <v>31</v>
      </c>
      <c r="N460" s="10">
        <v>8</v>
      </c>
      <c r="O460" s="7">
        <f t="shared" si="147"/>
        <v>52</v>
      </c>
      <c r="P460" s="8">
        <v>13</v>
      </c>
      <c r="Q460" s="9">
        <v>31</v>
      </c>
      <c r="R460" s="10">
        <v>8</v>
      </c>
      <c r="S460" s="7">
        <f t="shared" si="148"/>
        <v>52</v>
      </c>
      <c r="T460" s="43">
        <v>44006</v>
      </c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43"/>
      <c r="AI460" s="3"/>
      <c r="AJ460" s="8"/>
      <c r="AK460" s="9"/>
      <c r="AL460" s="10"/>
      <c r="AM460" s="7">
        <f t="shared" si="151"/>
        <v>0</v>
      </c>
      <c r="AN460" s="8"/>
      <c r="AO460" s="9"/>
      <c r="AP460" s="10"/>
      <c r="AQ460" s="7">
        <f t="shared" si="152"/>
        <v>0</v>
      </c>
    </row>
    <row r="461" spans="1:44">
      <c r="A461" s="3"/>
      <c r="B461" s="8"/>
      <c r="C461" s="9"/>
      <c r="D461" s="10"/>
      <c r="E461" s="7">
        <f t="shared" si="145"/>
        <v>0</v>
      </c>
      <c r="F461" s="8"/>
      <c r="G461" s="9"/>
      <c r="H461" s="10"/>
      <c r="I461" s="7">
        <f t="shared" si="146"/>
        <v>0</v>
      </c>
      <c r="K461" s="11" t="s">
        <v>212</v>
      </c>
      <c r="L461" s="8">
        <v>5</v>
      </c>
      <c r="M461" s="9"/>
      <c r="N461" s="10"/>
      <c r="O461" s="7">
        <f t="shared" si="147"/>
        <v>5</v>
      </c>
      <c r="P461" s="8">
        <v>5</v>
      </c>
      <c r="Q461" s="9"/>
      <c r="R461" s="10"/>
      <c r="S461" s="7">
        <f t="shared" si="148"/>
        <v>5</v>
      </c>
      <c r="T461" s="43">
        <v>44012</v>
      </c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43"/>
      <c r="AI461" s="3"/>
      <c r="AJ461" s="8"/>
      <c r="AK461" s="9"/>
      <c r="AL461" s="10"/>
      <c r="AM461" s="7">
        <f t="shared" si="151"/>
        <v>0</v>
      </c>
      <c r="AN461" s="8"/>
      <c r="AO461" s="9"/>
      <c r="AP461" s="10"/>
      <c r="AQ461" s="7">
        <f t="shared" si="152"/>
        <v>0</v>
      </c>
    </row>
    <row r="462" spans="1:44">
      <c r="A462" s="3"/>
      <c r="B462" s="8"/>
      <c r="C462" s="9"/>
      <c r="D462" s="10"/>
      <c r="E462" s="7">
        <f t="shared" si="145"/>
        <v>0</v>
      </c>
      <c r="F462" s="8"/>
      <c r="G462" s="9"/>
      <c r="H462" s="10"/>
      <c r="I462" s="7">
        <f t="shared" si="146"/>
        <v>0</v>
      </c>
      <c r="K462" s="3" t="s">
        <v>82</v>
      </c>
      <c r="L462" s="8">
        <v>14</v>
      </c>
      <c r="M462" s="9">
        <v>10</v>
      </c>
      <c r="N462" s="10"/>
      <c r="O462" s="7">
        <f t="shared" si="147"/>
        <v>24</v>
      </c>
      <c r="P462" s="8">
        <v>14</v>
      </c>
      <c r="Q462" s="9">
        <v>10</v>
      </c>
      <c r="R462" s="10"/>
      <c r="S462" s="7">
        <f t="shared" si="148"/>
        <v>24</v>
      </c>
      <c r="T462" s="43">
        <v>44007</v>
      </c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43"/>
      <c r="AI462" s="11"/>
      <c r="AJ462" s="8"/>
      <c r="AK462" s="9"/>
      <c r="AL462" s="10"/>
      <c r="AM462" s="7">
        <f t="shared" si="151"/>
        <v>0</v>
      </c>
      <c r="AN462" s="8"/>
      <c r="AO462" s="9"/>
      <c r="AP462" s="10"/>
      <c r="AQ462" s="7">
        <f t="shared" si="152"/>
        <v>0</v>
      </c>
    </row>
    <row r="463" spans="1:44">
      <c r="A463" s="3"/>
      <c r="B463" s="8"/>
      <c r="C463" s="9"/>
      <c r="D463" s="10"/>
      <c r="E463" s="7">
        <f t="shared" si="145"/>
        <v>0</v>
      </c>
      <c r="F463" s="8"/>
      <c r="G463" s="9"/>
      <c r="H463" s="10"/>
      <c r="I463" s="7">
        <f t="shared" si="146"/>
        <v>0</v>
      </c>
      <c r="K463" s="3" t="s">
        <v>82</v>
      </c>
      <c r="L463" s="8">
        <v>4</v>
      </c>
      <c r="M463" s="9">
        <v>14</v>
      </c>
      <c r="N463" s="10">
        <v>2</v>
      </c>
      <c r="O463" s="7">
        <f t="shared" si="147"/>
        <v>20</v>
      </c>
      <c r="P463" s="8">
        <v>4</v>
      </c>
      <c r="Q463" s="9">
        <v>14</v>
      </c>
      <c r="R463" s="10">
        <v>2</v>
      </c>
      <c r="S463" s="7">
        <f t="shared" si="148"/>
        <v>20</v>
      </c>
      <c r="T463" s="43">
        <v>44008</v>
      </c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43"/>
      <c r="AI463" s="3"/>
      <c r="AJ463" s="8"/>
      <c r="AK463" s="9"/>
      <c r="AL463" s="10"/>
      <c r="AM463" s="7">
        <f t="shared" si="151"/>
        <v>0</v>
      </c>
      <c r="AN463" s="8"/>
      <c r="AO463" s="9"/>
      <c r="AP463" s="10"/>
      <c r="AQ463" s="7">
        <f t="shared" si="152"/>
        <v>0</v>
      </c>
    </row>
    <row r="464" spans="1:44">
      <c r="A464" s="11"/>
      <c r="B464" s="8"/>
      <c r="C464" s="9"/>
      <c r="D464" s="10"/>
      <c r="E464" s="7">
        <f t="shared" si="145"/>
        <v>0</v>
      </c>
      <c r="F464" s="8"/>
      <c r="G464" s="9"/>
      <c r="H464" s="10"/>
      <c r="I464" s="7">
        <f t="shared" si="146"/>
        <v>0</v>
      </c>
      <c r="K464" s="3" t="s">
        <v>82</v>
      </c>
      <c r="L464" s="8">
        <v>2</v>
      </c>
      <c r="M464" s="9">
        <v>2</v>
      </c>
      <c r="N464" s="10"/>
      <c r="O464" s="7">
        <f t="shared" si="147"/>
        <v>4</v>
      </c>
      <c r="P464" s="8">
        <v>2</v>
      </c>
      <c r="Q464" s="9">
        <v>2</v>
      </c>
      <c r="R464" s="10"/>
      <c r="S464" s="7">
        <f t="shared" si="148"/>
        <v>4</v>
      </c>
      <c r="T464" s="43">
        <v>44009</v>
      </c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43"/>
      <c r="AI464" s="11"/>
      <c r="AJ464" s="8"/>
      <c r="AK464" s="9"/>
      <c r="AL464" s="10"/>
      <c r="AM464" s="7">
        <f t="shared" si="151"/>
        <v>0</v>
      </c>
      <c r="AN464" s="8"/>
      <c r="AO464" s="9"/>
      <c r="AP464" s="10"/>
      <c r="AQ464" s="7">
        <f t="shared" si="152"/>
        <v>0</v>
      </c>
    </row>
    <row r="465" spans="1:44">
      <c r="A465" s="11"/>
      <c r="B465" s="8"/>
      <c r="C465" s="9"/>
      <c r="D465" s="10"/>
      <c r="E465" s="7">
        <f t="shared" si="145"/>
        <v>0</v>
      </c>
      <c r="F465" s="8"/>
      <c r="G465" s="9"/>
      <c r="H465" s="10"/>
      <c r="I465" s="7">
        <f t="shared" si="146"/>
        <v>0</v>
      </c>
      <c r="K465" s="3" t="s">
        <v>82</v>
      </c>
      <c r="L465" s="8">
        <v>7</v>
      </c>
      <c r="M465" s="9">
        <v>4</v>
      </c>
      <c r="N465" s="10"/>
      <c r="O465" s="7">
        <f t="shared" si="147"/>
        <v>11</v>
      </c>
      <c r="P465" s="8">
        <v>7</v>
      </c>
      <c r="Q465" s="9">
        <v>4</v>
      </c>
      <c r="R465" s="10"/>
      <c r="S465" s="7">
        <f t="shared" si="148"/>
        <v>11</v>
      </c>
      <c r="T465" s="43">
        <v>44012</v>
      </c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43"/>
      <c r="AI465" s="11"/>
      <c r="AJ465" s="8"/>
      <c r="AK465" s="9"/>
      <c r="AL465" s="10"/>
      <c r="AM465" s="7">
        <f t="shared" si="151"/>
        <v>0</v>
      </c>
      <c r="AN465" s="8"/>
      <c r="AO465" s="9"/>
      <c r="AP465" s="10"/>
      <c r="AQ465" s="7">
        <f t="shared" si="152"/>
        <v>0</v>
      </c>
    </row>
    <row r="466" spans="1:44">
      <c r="A466" s="11"/>
      <c r="B466" s="8"/>
      <c r="C466" s="9"/>
      <c r="D466" s="10"/>
      <c r="E466" s="7">
        <f t="shared" si="145"/>
        <v>0</v>
      </c>
      <c r="F466" s="8"/>
      <c r="G466" s="9"/>
      <c r="H466" s="10"/>
      <c r="I466" s="7">
        <f t="shared" si="146"/>
        <v>0</v>
      </c>
      <c r="K466" s="3" t="s">
        <v>163</v>
      </c>
      <c r="L466" s="8"/>
      <c r="M466" s="9"/>
      <c r="N466" s="10"/>
      <c r="O466" s="7">
        <f t="shared" si="147"/>
        <v>0</v>
      </c>
      <c r="P466" s="8"/>
      <c r="Q466" s="9"/>
      <c r="R466" s="10"/>
      <c r="S466" s="7">
        <f t="shared" si="148"/>
        <v>0</v>
      </c>
      <c r="T466" s="71" t="s">
        <v>164</v>
      </c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71"/>
      <c r="AI466" s="11"/>
      <c r="AJ466" s="8"/>
      <c r="AK466" s="9"/>
      <c r="AL466" s="10"/>
      <c r="AM466" s="7">
        <f t="shared" si="151"/>
        <v>0</v>
      </c>
      <c r="AN466" s="8"/>
      <c r="AO466" s="9"/>
      <c r="AP466" s="10"/>
      <c r="AQ466" s="7">
        <f t="shared" si="152"/>
        <v>0</v>
      </c>
    </row>
    <row r="467" spans="1:44">
      <c r="A467" s="11"/>
      <c r="B467" s="8"/>
      <c r="C467" s="9"/>
      <c r="D467" s="10"/>
      <c r="E467" s="7">
        <f t="shared" si="145"/>
        <v>0</v>
      </c>
      <c r="F467" s="8"/>
      <c r="G467" s="9"/>
      <c r="H467" s="10"/>
      <c r="I467" s="7">
        <f t="shared" si="146"/>
        <v>0</v>
      </c>
      <c r="K467" s="3" t="s">
        <v>153</v>
      </c>
      <c r="L467" s="8"/>
      <c r="M467" s="9"/>
      <c r="N467" s="10"/>
      <c r="O467" s="7">
        <f t="shared" si="147"/>
        <v>0</v>
      </c>
      <c r="P467" s="8"/>
      <c r="Q467" s="9"/>
      <c r="R467" s="10"/>
      <c r="S467" s="7">
        <f t="shared" si="148"/>
        <v>0</v>
      </c>
      <c r="T467" s="71" t="s">
        <v>154</v>
      </c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71"/>
      <c r="AI467" s="11"/>
      <c r="AJ467" s="8"/>
      <c r="AK467" s="9"/>
      <c r="AL467" s="10"/>
      <c r="AM467" s="7">
        <f t="shared" si="151"/>
        <v>0</v>
      </c>
      <c r="AN467" s="8"/>
      <c r="AO467" s="9"/>
      <c r="AP467" s="10"/>
      <c r="AQ467" s="7">
        <f t="shared" si="152"/>
        <v>0</v>
      </c>
    </row>
    <row r="468" spans="1:44">
      <c r="A468" s="11"/>
      <c r="B468" s="8"/>
      <c r="C468" s="9"/>
      <c r="D468" s="10"/>
      <c r="E468" s="7">
        <f t="shared" si="145"/>
        <v>0</v>
      </c>
      <c r="F468" s="8"/>
      <c r="G468" s="9"/>
      <c r="H468" s="10"/>
      <c r="I468" s="7">
        <f t="shared" si="146"/>
        <v>0</v>
      </c>
      <c r="K468" s="11" t="s">
        <v>134</v>
      </c>
      <c r="L468" s="8"/>
      <c r="M468" s="9"/>
      <c r="N468" s="10"/>
      <c r="O468" s="7">
        <f t="shared" si="147"/>
        <v>0</v>
      </c>
      <c r="P468" s="8"/>
      <c r="Q468" s="9"/>
      <c r="R468" s="10"/>
      <c r="S468" s="7">
        <f t="shared" si="148"/>
        <v>0</v>
      </c>
      <c r="T468" s="71" t="s">
        <v>135</v>
      </c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71"/>
      <c r="AI468" s="3"/>
      <c r="AJ468" s="8"/>
      <c r="AK468" s="9"/>
      <c r="AL468" s="10"/>
      <c r="AM468" s="7">
        <f t="shared" si="151"/>
        <v>0</v>
      </c>
      <c r="AN468" s="8"/>
      <c r="AO468" s="9"/>
      <c r="AP468" s="10"/>
      <c r="AQ468" s="7">
        <f t="shared" si="152"/>
        <v>0</v>
      </c>
    </row>
    <row r="469" spans="1:44" ht="14.25" thickBot="1">
      <c r="A469" s="3"/>
      <c r="B469" s="8"/>
      <c r="C469" s="9"/>
      <c r="D469" s="10"/>
      <c r="E469" s="7">
        <f t="shared" si="145"/>
        <v>0</v>
      </c>
      <c r="F469" s="8"/>
      <c r="G469" s="9"/>
      <c r="H469" s="10"/>
      <c r="I469" s="7">
        <f t="shared" si="146"/>
        <v>0</v>
      </c>
      <c r="K469" s="3" t="s">
        <v>148</v>
      </c>
      <c r="L469" s="8"/>
      <c r="M469" s="9"/>
      <c r="N469" s="10"/>
      <c r="O469" s="7">
        <f t="shared" si="147"/>
        <v>0</v>
      </c>
      <c r="P469" s="8"/>
      <c r="Q469" s="9"/>
      <c r="R469" s="10"/>
      <c r="S469" s="7">
        <f t="shared" si="148"/>
        <v>0</v>
      </c>
      <c r="T469" s="71" t="s">
        <v>147</v>
      </c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71"/>
      <c r="AI469" s="3"/>
      <c r="AJ469" s="8"/>
      <c r="AK469" s="9"/>
      <c r="AL469" s="10"/>
      <c r="AM469" s="7">
        <f t="shared" si="151"/>
        <v>0</v>
      </c>
      <c r="AN469" s="8"/>
      <c r="AO469" s="9"/>
      <c r="AP469" s="10"/>
      <c r="AQ469" s="7">
        <f t="shared" si="152"/>
        <v>0</v>
      </c>
    </row>
    <row r="470" spans="1:44" ht="14.25" thickBot="1">
      <c r="A470" s="2" t="s">
        <v>5</v>
      </c>
      <c r="B470" s="14">
        <f>SUM(B446:B469)</f>
        <v>2</v>
      </c>
      <c r="C470" s="14">
        <f>SUM(C446:C469)</f>
        <v>8</v>
      </c>
      <c r="D470" s="14">
        <f>SUM(D446:D469)</f>
        <v>29</v>
      </c>
      <c r="E470" s="15">
        <f t="shared" si="145"/>
        <v>39</v>
      </c>
      <c r="F470" s="14">
        <f>SUM(F446:F469)</f>
        <v>2</v>
      </c>
      <c r="G470" s="14">
        <f>SUM(G446:G469)</f>
        <v>8</v>
      </c>
      <c r="H470" s="14">
        <f>SUM(H446:H469)</f>
        <v>29</v>
      </c>
      <c r="I470" s="15">
        <f t="shared" si="146"/>
        <v>39</v>
      </c>
      <c r="K470" s="2" t="s">
        <v>5</v>
      </c>
      <c r="L470" s="14">
        <f>SUM(L446:L469)</f>
        <v>154</v>
      </c>
      <c r="M470" s="14">
        <f>SUM(M446:M469)</f>
        <v>227</v>
      </c>
      <c r="N470" s="14">
        <f>SUM(N446:N469)</f>
        <v>110</v>
      </c>
      <c r="O470" s="15">
        <f t="shared" si="147"/>
        <v>491</v>
      </c>
      <c r="P470" s="14">
        <f>SUM(P446:P469)</f>
        <v>154</v>
      </c>
      <c r="Q470" s="14">
        <f>SUM(Q446:Q469)</f>
        <v>227</v>
      </c>
      <c r="R470" s="14">
        <f>SUM(R446:R469)</f>
        <v>110</v>
      </c>
      <c r="S470" s="15">
        <f t="shared" si="148"/>
        <v>491</v>
      </c>
      <c r="AI470" s="2" t="s">
        <v>5</v>
      </c>
      <c r="AJ470" s="14">
        <f>SUM(AJ446:AJ469)</f>
        <v>110</v>
      </c>
      <c r="AK470" s="14">
        <f>SUM(AK446:AK469)</f>
        <v>120</v>
      </c>
      <c r="AL470" s="14">
        <f>SUM(AL446:AL469)</f>
        <v>60</v>
      </c>
      <c r="AM470" s="15">
        <f t="shared" si="151"/>
        <v>290</v>
      </c>
      <c r="AN470" s="14">
        <f>SUM(AN446:AN469)</f>
        <v>110</v>
      </c>
      <c r="AO470" s="14">
        <f>SUM(AO446:AO469)</f>
        <v>120</v>
      </c>
      <c r="AP470" s="14">
        <f>SUM(AP446:AP469)</f>
        <v>60</v>
      </c>
      <c r="AQ470" s="15">
        <f t="shared" si="152"/>
        <v>290</v>
      </c>
    </row>
    <row r="471" spans="1:44" ht="14.25" thickBot="1">
      <c r="A471" s="27" t="s">
        <v>6</v>
      </c>
      <c r="B471" s="28">
        <f>B445-B470</f>
        <v>11</v>
      </c>
      <c r="C471" s="28">
        <f t="shared" ref="C471:E471" si="153">C445-C470</f>
        <v>0</v>
      </c>
      <c r="D471" s="28">
        <f t="shared" si="153"/>
        <v>29</v>
      </c>
      <c r="E471" s="28">
        <f t="shared" si="153"/>
        <v>40</v>
      </c>
      <c r="F471" s="28">
        <f>F445-F470</f>
        <v>11</v>
      </c>
      <c r="G471" s="28">
        <f t="shared" ref="G471:I471" si="154">G445-G470</f>
        <v>0</v>
      </c>
      <c r="H471" s="28">
        <f t="shared" si="154"/>
        <v>29</v>
      </c>
      <c r="I471" s="26">
        <f t="shared" si="154"/>
        <v>40</v>
      </c>
      <c r="K471" s="27" t="s">
        <v>6</v>
      </c>
      <c r="L471" s="28">
        <f>L445-L470</f>
        <v>0</v>
      </c>
      <c r="M471" s="28">
        <f t="shared" ref="M471:O471" si="155">M445-M470</f>
        <v>0</v>
      </c>
      <c r="N471" s="28">
        <f t="shared" si="155"/>
        <v>15</v>
      </c>
      <c r="O471" s="28">
        <f t="shared" si="155"/>
        <v>15</v>
      </c>
      <c r="P471" s="28">
        <f>P445-P470</f>
        <v>0</v>
      </c>
      <c r="Q471" s="28">
        <f t="shared" ref="Q471:S471" si="156">Q445-Q470</f>
        <v>0</v>
      </c>
      <c r="R471" s="28">
        <f t="shared" si="156"/>
        <v>15</v>
      </c>
      <c r="S471" s="26">
        <f t="shared" si="156"/>
        <v>15</v>
      </c>
      <c r="AI471" s="27" t="s">
        <v>6</v>
      </c>
      <c r="AJ471" s="28">
        <f>AJ445-AJ470</f>
        <v>0</v>
      </c>
      <c r="AK471" s="28">
        <f t="shared" ref="AK471:AM471" si="157">AK445-AK470</f>
        <v>0</v>
      </c>
      <c r="AL471" s="28">
        <f t="shared" si="157"/>
        <v>0</v>
      </c>
      <c r="AM471" s="28">
        <f t="shared" si="157"/>
        <v>0</v>
      </c>
      <c r="AN471" s="28">
        <f>AN445-AN470</f>
        <v>0</v>
      </c>
      <c r="AO471" s="28">
        <f t="shared" ref="AO471:AQ471" si="158">AO445-AO470</f>
        <v>0</v>
      </c>
      <c r="AP471" s="28">
        <f t="shared" si="158"/>
        <v>0</v>
      </c>
      <c r="AQ471" s="26">
        <f t="shared" si="158"/>
        <v>0</v>
      </c>
    </row>
    <row r="472" spans="1:44">
      <c r="L472" s="87">
        <f>L450+L416+L404+L366+L363+L362+L323</f>
        <v>54</v>
      </c>
      <c r="M472" s="87">
        <f t="shared" ref="M472:O472" si="159">M450+M416+M404+M366+M363+M362+M323</f>
        <v>102</v>
      </c>
      <c r="N472" s="87">
        <f t="shared" si="159"/>
        <v>48</v>
      </c>
      <c r="O472" s="87">
        <f t="shared" si="159"/>
        <v>204</v>
      </c>
    </row>
    <row r="473" spans="1:44">
      <c r="L473" s="70"/>
      <c r="M473" s="70"/>
      <c r="N473" s="70"/>
      <c r="O473" s="70"/>
    </row>
    <row r="474" spans="1:44" ht="21.75" thickBot="1">
      <c r="A474" s="33" t="s">
        <v>15</v>
      </c>
      <c r="B474" s="34"/>
      <c r="C474" s="34"/>
      <c r="D474" s="34"/>
      <c r="E474" s="34"/>
      <c r="F474" s="35"/>
      <c r="G474" s="35"/>
      <c r="H474" s="35"/>
      <c r="I474" s="35"/>
      <c r="K474" s="33" t="s">
        <v>125</v>
      </c>
      <c r="L474" s="34"/>
      <c r="M474" s="34"/>
      <c r="N474" s="34"/>
      <c r="O474" s="34"/>
      <c r="P474" s="35"/>
      <c r="Q474" s="35"/>
      <c r="R474" s="35"/>
      <c r="S474" s="35"/>
      <c r="AI474" s="33" t="s">
        <v>87</v>
      </c>
      <c r="AJ474" s="34"/>
      <c r="AK474" s="34"/>
      <c r="AL474" s="34"/>
      <c r="AM474" s="34"/>
      <c r="AN474" s="35"/>
      <c r="AO474" s="35"/>
      <c r="AP474" s="35"/>
      <c r="AQ474" s="35"/>
    </row>
    <row r="475" spans="1:44" ht="14.25" thickBot="1">
      <c r="A475" s="1" t="s">
        <v>0</v>
      </c>
      <c r="B475" s="182" t="s">
        <v>17</v>
      </c>
      <c r="C475" s="182"/>
      <c r="D475" s="182"/>
      <c r="E475" s="183"/>
      <c r="F475" s="182" t="s">
        <v>13</v>
      </c>
      <c r="G475" s="182"/>
      <c r="H475" s="182"/>
      <c r="I475" s="183"/>
      <c r="K475" s="1" t="s">
        <v>0</v>
      </c>
      <c r="L475" s="182" t="s">
        <v>17</v>
      </c>
      <c r="M475" s="182"/>
      <c r="N475" s="182"/>
      <c r="O475" s="183"/>
      <c r="P475" s="182" t="s">
        <v>13</v>
      </c>
      <c r="Q475" s="182"/>
      <c r="R475" s="182"/>
      <c r="S475" s="183"/>
      <c r="AI475" s="1" t="s">
        <v>0</v>
      </c>
      <c r="AJ475" s="181" t="s">
        <v>17</v>
      </c>
      <c r="AK475" s="182"/>
      <c r="AL475" s="182"/>
      <c r="AM475" s="183"/>
      <c r="AN475" s="181" t="s">
        <v>13</v>
      </c>
      <c r="AO475" s="182"/>
      <c r="AP475" s="182"/>
      <c r="AQ475" s="183"/>
    </row>
    <row r="476" spans="1:44" ht="14.25" thickBot="1">
      <c r="A476" s="1" t="s">
        <v>1</v>
      </c>
      <c r="B476" s="2" t="s">
        <v>8</v>
      </c>
      <c r="C476" s="1" t="s">
        <v>9</v>
      </c>
      <c r="D476" s="19" t="s">
        <v>10</v>
      </c>
      <c r="E476" s="1" t="s">
        <v>2</v>
      </c>
      <c r="F476" s="2" t="s">
        <v>8</v>
      </c>
      <c r="G476" s="1" t="s">
        <v>9</v>
      </c>
      <c r="H476" s="19" t="s">
        <v>10</v>
      </c>
      <c r="I476" s="1" t="s">
        <v>2</v>
      </c>
      <c r="K476" s="1" t="s">
        <v>1</v>
      </c>
      <c r="L476" s="2" t="s">
        <v>8</v>
      </c>
      <c r="M476" s="1" t="s">
        <v>9</v>
      </c>
      <c r="N476" s="19" t="s">
        <v>10</v>
      </c>
      <c r="O476" s="1" t="s">
        <v>2</v>
      </c>
      <c r="P476" s="2" t="s">
        <v>8</v>
      </c>
      <c r="Q476" s="1" t="s">
        <v>9</v>
      </c>
      <c r="R476" s="19" t="s">
        <v>10</v>
      </c>
      <c r="S476" s="1" t="s">
        <v>2</v>
      </c>
      <c r="AI476" s="1" t="s">
        <v>1</v>
      </c>
      <c r="AJ476" s="2" t="s">
        <v>8</v>
      </c>
      <c r="AK476" s="1" t="s">
        <v>9</v>
      </c>
      <c r="AL476" s="19" t="s">
        <v>10</v>
      </c>
      <c r="AM476" s="1" t="s">
        <v>2</v>
      </c>
      <c r="AN476" s="2" t="s">
        <v>8</v>
      </c>
      <c r="AO476" s="1" t="s">
        <v>9</v>
      </c>
      <c r="AP476" s="19" t="s">
        <v>10</v>
      </c>
      <c r="AQ476" s="1" t="s">
        <v>2</v>
      </c>
    </row>
    <row r="477" spans="1:44" ht="14.25" thickBot="1">
      <c r="A477" s="21" t="s">
        <v>7</v>
      </c>
      <c r="B477" s="18">
        <f>B471</f>
        <v>11</v>
      </c>
      <c r="C477" s="22">
        <f>C471</f>
        <v>0</v>
      </c>
      <c r="D477" s="22">
        <f>D471</f>
        <v>29</v>
      </c>
      <c r="E477" s="17">
        <f t="shared" ref="E477:E513" si="160">SUM(B477:D477)</f>
        <v>40</v>
      </c>
      <c r="F477" s="22">
        <f>F471</f>
        <v>11</v>
      </c>
      <c r="G477" s="22">
        <f>G471</f>
        <v>0</v>
      </c>
      <c r="H477" s="22">
        <f>H471</f>
        <v>29</v>
      </c>
      <c r="I477" s="17">
        <f t="shared" ref="I477:I513" si="161">SUM(F477:H477)</f>
        <v>40</v>
      </c>
      <c r="K477" s="21" t="s">
        <v>7</v>
      </c>
      <c r="L477" s="18">
        <f>L471</f>
        <v>0</v>
      </c>
      <c r="M477" s="22">
        <f>M471</f>
        <v>0</v>
      </c>
      <c r="N477" s="22">
        <f>N471</f>
        <v>15</v>
      </c>
      <c r="O477" s="17">
        <f t="shared" ref="O477:O513" si="162">SUM(L477:N477)</f>
        <v>15</v>
      </c>
      <c r="P477" s="22">
        <f>P471</f>
        <v>0</v>
      </c>
      <c r="Q477" s="22">
        <f>Q471</f>
        <v>0</v>
      </c>
      <c r="R477" s="22">
        <f>R471</f>
        <v>15</v>
      </c>
      <c r="S477" s="17">
        <f t="shared" ref="S477:S513" si="163">SUM(P477:R477)</f>
        <v>15</v>
      </c>
      <c r="AI477" s="52" t="s">
        <v>7</v>
      </c>
      <c r="AJ477" s="53">
        <f>AJ471</f>
        <v>0</v>
      </c>
      <c r="AK477" s="23">
        <f>AK471</f>
        <v>0</v>
      </c>
      <c r="AL477" s="23">
        <f>AL471</f>
        <v>0</v>
      </c>
      <c r="AM477" s="26">
        <f t="shared" ref="AM477:AM513" si="164">SUM(AJ477:AL477)</f>
        <v>0</v>
      </c>
      <c r="AN477" s="23">
        <f>AN471</f>
        <v>0</v>
      </c>
      <c r="AO477" s="23">
        <f>AO471</f>
        <v>0</v>
      </c>
      <c r="AP477" s="23">
        <f>AP471</f>
        <v>0</v>
      </c>
      <c r="AQ477" s="26">
        <f t="shared" ref="AQ477:AQ513" si="165">SUM(AN477:AP477)</f>
        <v>0</v>
      </c>
    </row>
    <row r="478" spans="1:44">
      <c r="A478" s="5" t="s">
        <v>37</v>
      </c>
      <c r="B478" s="30">
        <v>2</v>
      </c>
      <c r="C478" s="31">
        <v>2</v>
      </c>
      <c r="D478" s="32">
        <v>4</v>
      </c>
      <c r="E478" s="4">
        <f t="shared" si="160"/>
        <v>8</v>
      </c>
      <c r="F478" s="30">
        <v>2</v>
      </c>
      <c r="G478" s="31">
        <v>2</v>
      </c>
      <c r="H478" s="32">
        <v>4</v>
      </c>
      <c r="I478" s="4">
        <f t="shared" si="161"/>
        <v>8</v>
      </c>
      <c r="J478" s="49">
        <v>44019</v>
      </c>
      <c r="K478" s="5" t="s">
        <v>3</v>
      </c>
      <c r="L478" s="57"/>
      <c r="M478" s="58"/>
      <c r="N478" s="57"/>
      <c r="O478" s="4">
        <f t="shared" si="162"/>
        <v>0</v>
      </c>
      <c r="P478" s="57"/>
      <c r="Q478" s="58"/>
      <c r="R478" s="57"/>
      <c r="S478" s="4">
        <f t="shared" si="163"/>
        <v>0</v>
      </c>
      <c r="T478" s="71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71"/>
      <c r="AI478" s="5" t="s">
        <v>3</v>
      </c>
      <c r="AJ478" s="16"/>
      <c r="AK478" s="11"/>
      <c r="AL478" s="16"/>
      <c r="AM478" s="4">
        <f t="shared" si="164"/>
        <v>0</v>
      </c>
      <c r="AN478" s="16"/>
      <c r="AO478" s="11"/>
      <c r="AP478" s="16"/>
      <c r="AQ478" s="4">
        <f t="shared" si="165"/>
        <v>0</v>
      </c>
    </row>
    <row r="479" spans="1:44">
      <c r="A479" s="5" t="s">
        <v>37</v>
      </c>
      <c r="B479" s="30"/>
      <c r="C479" s="31">
        <v>5</v>
      </c>
      <c r="D479" s="32">
        <v>2</v>
      </c>
      <c r="E479" s="4">
        <f t="shared" si="160"/>
        <v>7</v>
      </c>
      <c r="F479" s="30"/>
      <c r="G479" s="31">
        <v>5</v>
      </c>
      <c r="H479" s="32">
        <v>2</v>
      </c>
      <c r="I479" s="4">
        <f t="shared" si="161"/>
        <v>7</v>
      </c>
      <c r="J479" s="49">
        <v>44027</v>
      </c>
      <c r="K479" s="5" t="s">
        <v>175</v>
      </c>
      <c r="L479" s="32">
        <v>80</v>
      </c>
      <c r="M479" s="31">
        <v>100</v>
      </c>
      <c r="N479" s="32">
        <v>70</v>
      </c>
      <c r="O479" s="4">
        <f t="shared" ref="O479" si="166">SUM(L479:N479)</f>
        <v>250</v>
      </c>
      <c r="P479" s="32">
        <v>80</v>
      </c>
      <c r="Q479" s="31">
        <v>100</v>
      </c>
      <c r="R479" s="32">
        <v>70</v>
      </c>
      <c r="S479" s="4">
        <f t="shared" ref="S479" si="167">SUM(P479:R479)</f>
        <v>250</v>
      </c>
      <c r="T479" s="43" t="s">
        <v>216</v>
      </c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5" t="s">
        <v>175</v>
      </c>
      <c r="AJ479" s="32">
        <v>80</v>
      </c>
      <c r="AK479" s="31">
        <v>100</v>
      </c>
      <c r="AL479" s="32">
        <v>70</v>
      </c>
      <c r="AM479" s="4">
        <f t="shared" ref="AM479" si="168">SUM(AJ479:AL479)</f>
        <v>250</v>
      </c>
      <c r="AN479" s="32">
        <v>80</v>
      </c>
      <c r="AO479" s="31">
        <v>100</v>
      </c>
      <c r="AP479" s="32">
        <v>70</v>
      </c>
      <c r="AQ479" s="4">
        <f t="shared" ref="AQ479" si="169">SUM(AN479:AP479)</f>
        <v>250</v>
      </c>
      <c r="AR479" s="43">
        <v>44013</v>
      </c>
    </row>
    <row r="480" spans="1:44">
      <c r="A480" s="5" t="s">
        <v>196</v>
      </c>
      <c r="B480" s="30"/>
      <c r="C480" s="31">
        <v>2</v>
      </c>
      <c r="D480" s="32"/>
      <c r="E480" s="4">
        <f t="shared" si="160"/>
        <v>2</v>
      </c>
      <c r="F480" s="30"/>
      <c r="G480" s="31">
        <v>2</v>
      </c>
      <c r="H480" s="32"/>
      <c r="I480" s="4">
        <f t="shared" si="161"/>
        <v>2</v>
      </c>
      <c r="J480" s="49">
        <v>44027</v>
      </c>
      <c r="K480" s="5" t="s">
        <v>3</v>
      </c>
      <c r="L480" s="30">
        <v>1</v>
      </c>
      <c r="M480" s="31">
        <v>6</v>
      </c>
      <c r="N480" s="32"/>
      <c r="O480" s="4">
        <f t="shared" si="162"/>
        <v>7</v>
      </c>
      <c r="P480" s="30">
        <v>1</v>
      </c>
      <c r="Q480" s="31">
        <v>6</v>
      </c>
      <c r="R480" s="32"/>
      <c r="S480" s="4">
        <f t="shared" si="163"/>
        <v>7</v>
      </c>
      <c r="T480" s="43">
        <v>44015</v>
      </c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5" t="s">
        <v>3</v>
      </c>
      <c r="AJ480" s="30"/>
      <c r="AK480" s="31"/>
      <c r="AL480" s="32"/>
      <c r="AM480" s="4">
        <f t="shared" si="164"/>
        <v>0</v>
      </c>
      <c r="AN480" s="30"/>
      <c r="AO480" s="31"/>
      <c r="AP480" s="32"/>
      <c r="AQ480" s="4">
        <f t="shared" si="165"/>
        <v>0</v>
      </c>
      <c r="AR480" s="29"/>
    </row>
    <row r="481" spans="1:46">
      <c r="A481" s="5" t="s">
        <v>3</v>
      </c>
      <c r="B481" s="16"/>
      <c r="C481" s="11"/>
      <c r="D481" s="16"/>
      <c r="E481" s="4">
        <f t="shared" si="160"/>
        <v>0</v>
      </c>
      <c r="F481" s="16"/>
      <c r="G481" s="11"/>
      <c r="H481" s="16"/>
      <c r="I481" s="4">
        <f t="shared" si="161"/>
        <v>0</v>
      </c>
      <c r="K481" s="3" t="s">
        <v>217</v>
      </c>
      <c r="L481" s="30">
        <v>11</v>
      </c>
      <c r="M481" s="31">
        <v>0</v>
      </c>
      <c r="N481" s="32">
        <v>29</v>
      </c>
      <c r="O481" s="4">
        <f t="shared" ref="O481" si="170">SUM(L481:N481)</f>
        <v>40</v>
      </c>
      <c r="P481" s="30">
        <v>11</v>
      </c>
      <c r="Q481" s="31">
        <v>0</v>
      </c>
      <c r="R481" s="32">
        <v>29</v>
      </c>
      <c r="S481" s="4">
        <f t="shared" si="163"/>
        <v>40</v>
      </c>
      <c r="T481" s="43">
        <v>44016</v>
      </c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5" t="s">
        <v>3</v>
      </c>
      <c r="AJ481" s="16"/>
      <c r="AK481" s="11"/>
      <c r="AL481" s="16"/>
      <c r="AM481" s="4">
        <f t="shared" si="164"/>
        <v>0</v>
      </c>
      <c r="AN481" s="16"/>
      <c r="AO481" s="11"/>
      <c r="AP481" s="16"/>
      <c r="AQ481" s="4">
        <f t="shared" si="165"/>
        <v>0</v>
      </c>
      <c r="AR481" s="50"/>
    </row>
    <row r="482" spans="1:46">
      <c r="A482" s="5" t="s">
        <v>3</v>
      </c>
      <c r="B482" s="16"/>
      <c r="C482" s="11"/>
      <c r="D482" s="16"/>
      <c r="E482" s="4">
        <f t="shared" si="160"/>
        <v>0</v>
      </c>
      <c r="F482" s="16"/>
      <c r="G482" s="11"/>
      <c r="H482" s="16"/>
      <c r="I482" s="4">
        <f t="shared" si="161"/>
        <v>0</v>
      </c>
      <c r="K482" s="5" t="s">
        <v>3</v>
      </c>
      <c r="L482" s="32"/>
      <c r="M482" s="31"/>
      <c r="N482" s="32"/>
      <c r="O482" s="4">
        <f t="shared" si="162"/>
        <v>0</v>
      </c>
      <c r="P482" s="32"/>
      <c r="Q482" s="31"/>
      <c r="R482" s="32"/>
      <c r="S482" s="4">
        <f t="shared" si="163"/>
        <v>0</v>
      </c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5" t="s">
        <v>3</v>
      </c>
      <c r="AJ482" s="32"/>
      <c r="AK482" s="31"/>
      <c r="AL482" s="32"/>
      <c r="AM482" s="4">
        <f t="shared" si="164"/>
        <v>0</v>
      </c>
      <c r="AN482" s="32"/>
      <c r="AO482" s="31"/>
      <c r="AP482" s="32"/>
      <c r="AQ482" s="4">
        <f t="shared" si="165"/>
        <v>0</v>
      </c>
      <c r="AR482" s="43"/>
      <c r="AS482" s="29"/>
      <c r="AT482" s="29"/>
    </row>
    <row r="483" spans="1:46">
      <c r="A483" s="5" t="s">
        <v>3</v>
      </c>
      <c r="B483" s="16"/>
      <c r="C483" s="11"/>
      <c r="D483" s="16"/>
      <c r="E483" s="4">
        <f t="shared" si="160"/>
        <v>0</v>
      </c>
      <c r="F483" s="16"/>
      <c r="G483" s="11"/>
      <c r="H483" s="16"/>
      <c r="I483" s="4">
        <f t="shared" si="161"/>
        <v>0</v>
      </c>
      <c r="K483" s="5" t="s">
        <v>3</v>
      </c>
      <c r="L483" s="16"/>
      <c r="M483" s="11"/>
      <c r="N483" s="16"/>
      <c r="O483" s="4">
        <f t="shared" si="162"/>
        <v>0</v>
      </c>
      <c r="P483" s="16"/>
      <c r="Q483" s="11"/>
      <c r="R483" s="16"/>
      <c r="S483" s="4">
        <f t="shared" si="163"/>
        <v>0</v>
      </c>
      <c r="T483" s="43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43"/>
      <c r="AI483" s="5" t="s">
        <v>3</v>
      </c>
      <c r="AJ483" s="16"/>
      <c r="AK483" s="11"/>
      <c r="AL483" s="16"/>
      <c r="AM483" s="4">
        <f t="shared" si="164"/>
        <v>0</v>
      </c>
      <c r="AN483" s="16"/>
      <c r="AO483" s="11"/>
      <c r="AP483" s="16"/>
      <c r="AQ483" s="4">
        <f t="shared" si="165"/>
        <v>0</v>
      </c>
      <c r="AR483" s="50"/>
    </row>
    <row r="484" spans="1:46">
      <c r="A484" s="5" t="s">
        <v>3</v>
      </c>
      <c r="B484" s="32"/>
      <c r="C484" s="31"/>
      <c r="D484" s="32"/>
      <c r="E484" s="4">
        <f t="shared" si="160"/>
        <v>0</v>
      </c>
      <c r="F484" s="32"/>
      <c r="G484" s="31"/>
      <c r="H484" s="32"/>
      <c r="I484" s="4">
        <f t="shared" si="161"/>
        <v>0</v>
      </c>
      <c r="K484" s="5" t="s">
        <v>3</v>
      </c>
      <c r="L484" s="32"/>
      <c r="M484" s="31"/>
      <c r="N484" s="32"/>
      <c r="O484" s="4">
        <f t="shared" si="162"/>
        <v>0</v>
      </c>
      <c r="P484" s="32"/>
      <c r="Q484" s="31"/>
      <c r="R484" s="32"/>
      <c r="S484" s="4">
        <f t="shared" si="163"/>
        <v>0</v>
      </c>
      <c r="T484" s="43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43"/>
      <c r="AI484" s="5" t="s">
        <v>3</v>
      </c>
      <c r="AJ484" s="10"/>
      <c r="AK484" s="9"/>
      <c r="AL484" s="10"/>
      <c r="AM484" s="4">
        <f t="shared" si="164"/>
        <v>0</v>
      </c>
      <c r="AN484" s="10"/>
      <c r="AO484" s="9"/>
      <c r="AP484" s="10"/>
      <c r="AQ484" s="4">
        <f t="shared" si="165"/>
        <v>0</v>
      </c>
      <c r="AR484" s="29"/>
    </row>
    <row r="485" spans="1:46">
      <c r="A485" s="5" t="s">
        <v>3</v>
      </c>
      <c r="B485" s="32"/>
      <c r="C485" s="31"/>
      <c r="D485" s="32"/>
      <c r="E485" s="4">
        <f t="shared" si="160"/>
        <v>0</v>
      </c>
      <c r="F485" s="32"/>
      <c r="G485" s="31"/>
      <c r="H485" s="32"/>
      <c r="I485" s="4">
        <f t="shared" si="161"/>
        <v>0</v>
      </c>
      <c r="K485" s="5" t="s">
        <v>175</v>
      </c>
      <c r="L485" s="32">
        <v>40</v>
      </c>
      <c r="M485" s="31">
        <v>50</v>
      </c>
      <c r="N485" s="32">
        <v>30</v>
      </c>
      <c r="O485" s="4">
        <f t="shared" si="162"/>
        <v>120</v>
      </c>
      <c r="P485" s="32">
        <v>40</v>
      </c>
      <c r="Q485" s="31">
        <v>50</v>
      </c>
      <c r="R485" s="32">
        <v>30</v>
      </c>
      <c r="S485" s="4">
        <f t="shared" si="163"/>
        <v>120</v>
      </c>
      <c r="T485" s="43" t="s">
        <v>223</v>
      </c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5" t="s">
        <v>175</v>
      </c>
      <c r="AJ485" s="32">
        <v>40</v>
      </c>
      <c r="AK485" s="31">
        <v>50</v>
      </c>
      <c r="AL485" s="32">
        <v>30</v>
      </c>
      <c r="AM485" s="4">
        <f t="shared" ref="AM485" si="171">SUM(AJ485:AL485)</f>
        <v>120</v>
      </c>
      <c r="AN485" s="32">
        <v>40</v>
      </c>
      <c r="AO485" s="31">
        <v>50</v>
      </c>
      <c r="AP485" s="32">
        <v>30</v>
      </c>
      <c r="AQ485" s="4">
        <f t="shared" ref="AQ485" si="172">SUM(AN485:AP485)</f>
        <v>120</v>
      </c>
      <c r="AR485" s="43">
        <v>44027</v>
      </c>
    </row>
    <row r="486" spans="1:46">
      <c r="A486" s="5" t="s">
        <v>3</v>
      </c>
      <c r="B486" s="30"/>
      <c r="C486" s="31"/>
      <c r="D486" s="32"/>
      <c r="E486" s="4">
        <f t="shared" si="160"/>
        <v>0</v>
      </c>
      <c r="F486" s="30"/>
      <c r="G486" s="31"/>
      <c r="H486" s="32"/>
      <c r="I486" s="4">
        <f t="shared" si="161"/>
        <v>0</v>
      </c>
      <c r="K486" s="5" t="s">
        <v>3</v>
      </c>
      <c r="L486" s="30"/>
      <c r="M486" s="31"/>
      <c r="N486" s="32"/>
      <c r="O486" s="4">
        <f t="shared" si="162"/>
        <v>0</v>
      </c>
      <c r="P486" s="59"/>
      <c r="Q486" s="60"/>
      <c r="R486" s="61"/>
      <c r="S486" s="4">
        <f t="shared" si="163"/>
        <v>0</v>
      </c>
      <c r="AI486" s="6" t="s">
        <v>3</v>
      </c>
      <c r="AJ486" s="32"/>
      <c r="AK486" s="31"/>
      <c r="AL486" s="32"/>
      <c r="AM486" s="4">
        <f t="shared" si="164"/>
        <v>0</v>
      </c>
      <c r="AN486" s="32"/>
      <c r="AO486" s="31"/>
      <c r="AP486" s="32"/>
      <c r="AQ486" s="4">
        <f t="shared" si="165"/>
        <v>0</v>
      </c>
    </row>
    <row r="487" spans="1:46" ht="14.25" thickBot="1">
      <c r="A487" s="6" t="s">
        <v>3</v>
      </c>
      <c r="B487" s="36"/>
      <c r="C487" s="37"/>
      <c r="D487" s="36"/>
      <c r="E487" s="20">
        <f t="shared" si="160"/>
        <v>0</v>
      </c>
      <c r="F487" s="13"/>
      <c r="G487" s="12"/>
      <c r="H487" s="13"/>
      <c r="I487" s="20">
        <f t="shared" si="161"/>
        <v>0</v>
      </c>
      <c r="K487" s="6" t="s">
        <v>224</v>
      </c>
      <c r="L487" s="13">
        <v>2</v>
      </c>
      <c r="M487" s="12">
        <v>11</v>
      </c>
      <c r="N487" s="13">
        <v>4</v>
      </c>
      <c r="O487" s="20">
        <f t="shared" si="162"/>
        <v>17</v>
      </c>
      <c r="P487" s="13">
        <v>2</v>
      </c>
      <c r="Q487" s="12">
        <v>11</v>
      </c>
      <c r="R487" s="13">
        <v>4</v>
      </c>
      <c r="S487" s="20">
        <f t="shared" si="163"/>
        <v>17</v>
      </c>
      <c r="T487" s="49">
        <v>44029</v>
      </c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49"/>
      <c r="AI487" s="6" t="s">
        <v>3</v>
      </c>
      <c r="AJ487" s="13"/>
      <c r="AK487" s="12"/>
      <c r="AL487" s="13"/>
      <c r="AM487" s="20">
        <f t="shared" si="164"/>
        <v>0</v>
      </c>
      <c r="AN487" s="13"/>
      <c r="AO487" s="12"/>
      <c r="AP487" s="13"/>
      <c r="AQ487" s="20">
        <f t="shared" si="165"/>
        <v>0</v>
      </c>
    </row>
    <row r="488" spans="1:46" ht="14.25" thickBot="1">
      <c r="A488" s="23" t="s">
        <v>4</v>
      </c>
      <c r="B488" s="24">
        <f>SUM(B477:B487)</f>
        <v>13</v>
      </c>
      <c r="C488" s="24">
        <f>SUM(C477:C487)</f>
        <v>9</v>
      </c>
      <c r="D488" s="25">
        <f>SUM(D477:D487)</f>
        <v>35</v>
      </c>
      <c r="E488" s="26">
        <f t="shared" si="160"/>
        <v>57</v>
      </c>
      <c r="F488" s="24">
        <f>SUM(F477:F487)</f>
        <v>13</v>
      </c>
      <c r="G488" s="24">
        <f>SUM(G477:G487)</f>
        <v>9</v>
      </c>
      <c r="H488" s="25">
        <f>SUM(H477:H487)</f>
        <v>35</v>
      </c>
      <c r="I488" s="26">
        <f t="shared" si="161"/>
        <v>57</v>
      </c>
      <c r="K488" s="23" t="s">
        <v>4</v>
      </c>
      <c r="L488" s="24">
        <f>SUM(L477:L487)</f>
        <v>134</v>
      </c>
      <c r="M488" s="24">
        <f>SUM(M477:M487)</f>
        <v>167</v>
      </c>
      <c r="N488" s="25">
        <f>SUM(N477:N487)</f>
        <v>148</v>
      </c>
      <c r="O488" s="26">
        <f t="shared" si="162"/>
        <v>449</v>
      </c>
      <c r="P488" s="24">
        <f>SUM(P477:P487)</f>
        <v>134</v>
      </c>
      <c r="Q488" s="24">
        <f>SUM(Q477:Q487)</f>
        <v>167</v>
      </c>
      <c r="R488" s="25">
        <f>SUM(R477:R487)</f>
        <v>148</v>
      </c>
      <c r="S488" s="26">
        <f t="shared" si="163"/>
        <v>449</v>
      </c>
      <c r="AI488" s="23" t="s">
        <v>4</v>
      </c>
      <c r="AJ488" s="24">
        <f>SUM(AJ477:AJ487)</f>
        <v>120</v>
      </c>
      <c r="AK488" s="24">
        <f>SUM(AK477:AK487)</f>
        <v>150</v>
      </c>
      <c r="AL488" s="25">
        <f>SUM(AL477:AL487)</f>
        <v>100</v>
      </c>
      <c r="AM488" s="26">
        <f t="shared" si="164"/>
        <v>370</v>
      </c>
      <c r="AN488" s="24">
        <f>SUM(AN477:AN487)</f>
        <v>120</v>
      </c>
      <c r="AO488" s="24">
        <f>SUM(AO477:AO487)</f>
        <v>150</v>
      </c>
      <c r="AP488" s="25">
        <f>SUM(AP477:AP487)</f>
        <v>100</v>
      </c>
      <c r="AQ488" s="26">
        <f t="shared" si="165"/>
        <v>370</v>
      </c>
    </row>
    <row r="489" spans="1:46">
      <c r="A489" s="3" t="s">
        <v>215</v>
      </c>
      <c r="B489" s="8">
        <v>11</v>
      </c>
      <c r="C489" s="9">
        <v>0</v>
      </c>
      <c r="D489" s="10">
        <v>29</v>
      </c>
      <c r="E489" s="4">
        <f t="shared" si="160"/>
        <v>40</v>
      </c>
      <c r="F489" s="8">
        <v>11</v>
      </c>
      <c r="G489" s="9">
        <v>0</v>
      </c>
      <c r="H489" s="10">
        <v>29</v>
      </c>
      <c r="I489" s="4">
        <f t="shared" si="161"/>
        <v>40</v>
      </c>
      <c r="J489" s="43">
        <v>44016</v>
      </c>
      <c r="K489" s="11" t="s">
        <v>214</v>
      </c>
      <c r="L489" s="8">
        <v>5</v>
      </c>
      <c r="M489" s="9">
        <v>5</v>
      </c>
      <c r="N489" s="10">
        <v>5</v>
      </c>
      <c r="O489" s="7">
        <f t="shared" si="162"/>
        <v>15</v>
      </c>
      <c r="P489" s="8">
        <v>5</v>
      </c>
      <c r="Q489" s="9">
        <v>5</v>
      </c>
      <c r="R489" s="10">
        <v>5</v>
      </c>
      <c r="S489" s="7">
        <f t="shared" si="163"/>
        <v>15</v>
      </c>
      <c r="T489" s="43">
        <v>44019</v>
      </c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43"/>
      <c r="AI489" s="3" t="s">
        <v>208</v>
      </c>
      <c r="AJ489" s="16">
        <v>80</v>
      </c>
      <c r="AK489" s="11">
        <v>100</v>
      </c>
      <c r="AL489" s="16">
        <v>70</v>
      </c>
      <c r="AM489" s="4">
        <v>250</v>
      </c>
      <c r="AN489" s="16">
        <v>80</v>
      </c>
      <c r="AO489" s="11">
        <v>100</v>
      </c>
      <c r="AP489" s="16">
        <v>70</v>
      </c>
      <c r="AQ489" s="4">
        <v>250</v>
      </c>
      <c r="AR489" s="43">
        <v>44013</v>
      </c>
    </row>
    <row r="490" spans="1:46">
      <c r="A490" s="3" t="s">
        <v>220</v>
      </c>
      <c r="B490" s="8"/>
      <c r="C490" s="9">
        <v>-2</v>
      </c>
      <c r="D490" s="10">
        <v>2</v>
      </c>
      <c r="E490" s="4">
        <f t="shared" si="160"/>
        <v>0</v>
      </c>
      <c r="F490" s="8"/>
      <c r="G490" s="9">
        <v>-2</v>
      </c>
      <c r="H490" s="10">
        <v>2</v>
      </c>
      <c r="I490" s="4">
        <f t="shared" si="161"/>
        <v>0</v>
      </c>
      <c r="J490" s="49">
        <v>44020</v>
      </c>
      <c r="K490" s="3" t="s">
        <v>82</v>
      </c>
      <c r="L490" s="8">
        <v>5</v>
      </c>
      <c r="M490" s="9">
        <v>9</v>
      </c>
      <c r="N490" s="10">
        <v>2</v>
      </c>
      <c r="O490" s="4">
        <f t="shared" si="162"/>
        <v>16</v>
      </c>
      <c r="P490" s="8">
        <v>5</v>
      </c>
      <c r="Q490" s="9">
        <v>9</v>
      </c>
      <c r="R490" s="10">
        <v>2</v>
      </c>
      <c r="S490" s="4">
        <f t="shared" si="163"/>
        <v>16</v>
      </c>
      <c r="T490" s="43">
        <v>44014</v>
      </c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43"/>
      <c r="AI490" s="3"/>
      <c r="AJ490" s="8"/>
      <c r="AK490" s="9"/>
      <c r="AL490" s="10"/>
      <c r="AM490" s="7">
        <f t="shared" si="164"/>
        <v>0</v>
      </c>
      <c r="AN490" s="8"/>
      <c r="AO490" s="9"/>
      <c r="AP490" s="10"/>
      <c r="AQ490" s="7">
        <f t="shared" si="165"/>
        <v>0</v>
      </c>
      <c r="AR490" s="29"/>
    </row>
    <row r="491" spans="1:46">
      <c r="A491" s="3" t="s">
        <v>128</v>
      </c>
      <c r="B491" s="8">
        <v>2</v>
      </c>
      <c r="C491" s="9">
        <v>11</v>
      </c>
      <c r="D491" s="10">
        <v>4</v>
      </c>
      <c r="E491" s="7">
        <f t="shared" si="160"/>
        <v>17</v>
      </c>
      <c r="F491" s="8">
        <v>2</v>
      </c>
      <c r="G491" s="9">
        <v>11</v>
      </c>
      <c r="H491" s="10">
        <v>4</v>
      </c>
      <c r="I491" s="7">
        <f t="shared" si="161"/>
        <v>17</v>
      </c>
      <c r="J491" s="49">
        <v>44029</v>
      </c>
      <c r="K491" s="3" t="s">
        <v>82</v>
      </c>
      <c r="L491" s="8">
        <v>4</v>
      </c>
      <c r="M491" s="9">
        <v>2</v>
      </c>
      <c r="N491" s="10">
        <v>2</v>
      </c>
      <c r="O491" s="7">
        <f t="shared" si="162"/>
        <v>8</v>
      </c>
      <c r="P491" s="8">
        <v>4</v>
      </c>
      <c r="Q491" s="9">
        <v>2</v>
      </c>
      <c r="R491" s="10">
        <v>2</v>
      </c>
      <c r="S491" s="7">
        <f t="shared" si="163"/>
        <v>8</v>
      </c>
      <c r="T491" s="43">
        <v>44015</v>
      </c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43"/>
      <c r="AI491" s="3" t="s">
        <v>210</v>
      </c>
      <c r="AJ491" s="32">
        <v>40</v>
      </c>
      <c r="AK491" s="31">
        <v>50</v>
      </c>
      <c r="AL491" s="32">
        <v>30</v>
      </c>
      <c r="AM491" s="4">
        <f t="shared" si="164"/>
        <v>120</v>
      </c>
      <c r="AN491" s="32">
        <v>40</v>
      </c>
      <c r="AO491" s="31">
        <v>50</v>
      </c>
      <c r="AP491" s="32">
        <v>30</v>
      </c>
      <c r="AQ491" s="4">
        <f t="shared" si="165"/>
        <v>120</v>
      </c>
      <c r="AR491" s="43">
        <v>44027</v>
      </c>
      <c r="AS491" s="29"/>
    </row>
    <row r="492" spans="1:46">
      <c r="A492" s="3"/>
      <c r="B492" s="8"/>
      <c r="C492" s="9"/>
      <c r="D492" s="10"/>
      <c r="E492" s="4">
        <f t="shared" si="160"/>
        <v>0</v>
      </c>
      <c r="F492" s="8"/>
      <c r="G492" s="9"/>
      <c r="H492" s="10"/>
      <c r="I492" s="4">
        <f t="shared" si="161"/>
        <v>0</v>
      </c>
      <c r="K492" s="3" t="s">
        <v>82</v>
      </c>
      <c r="L492" s="8">
        <v>2</v>
      </c>
      <c r="M492" s="9"/>
      <c r="N492" s="10">
        <v>4</v>
      </c>
      <c r="O492" s="4">
        <f t="shared" si="162"/>
        <v>6</v>
      </c>
      <c r="P492" s="8">
        <v>2</v>
      </c>
      <c r="Q492" s="9"/>
      <c r="R492" s="10">
        <v>4</v>
      </c>
      <c r="S492" s="4">
        <f t="shared" si="163"/>
        <v>6</v>
      </c>
      <c r="T492" s="43">
        <v>44016</v>
      </c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43"/>
      <c r="AI492" s="3"/>
      <c r="AJ492" s="8"/>
      <c r="AK492" s="9"/>
      <c r="AL492" s="10"/>
      <c r="AM492" s="4">
        <f t="shared" si="164"/>
        <v>0</v>
      </c>
      <c r="AN492" s="8"/>
      <c r="AO492" s="9"/>
      <c r="AP492" s="10"/>
      <c r="AQ492" s="4">
        <f t="shared" si="165"/>
        <v>0</v>
      </c>
      <c r="AR492" s="29"/>
    </row>
    <row r="493" spans="1:46">
      <c r="A493" s="3"/>
      <c r="B493" s="8"/>
      <c r="C493" s="9"/>
      <c r="D493" s="10"/>
      <c r="E493" s="4">
        <f t="shared" si="160"/>
        <v>0</v>
      </c>
      <c r="F493" s="8"/>
      <c r="G493" s="9"/>
      <c r="H493" s="10"/>
      <c r="I493" s="4">
        <f t="shared" si="161"/>
        <v>0</v>
      </c>
      <c r="K493" s="11" t="s">
        <v>218</v>
      </c>
      <c r="L493" s="8">
        <v>5</v>
      </c>
      <c r="M493" s="9"/>
      <c r="N493" s="10"/>
      <c r="O493" s="4">
        <f t="shared" si="162"/>
        <v>5</v>
      </c>
      <c r="P493" s="8">
        <v>5</v>
      </c>
      <c r="Q493" s="9"/>
      <c r="R493" s="10"/>
      <c r="S493" s="4">
        <f t="shared" si="163"/>
        <v>5</v>
      </c>
      <c r="T493" s="43">
        <v>44021</v>
      </c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43"/>
      <c r="AI493" s="3"/>
      <c r="AJ493" s="8"/>
      <c r="AK493" s="9"/>
      <c r="AL493" s="10"/>
      <c r="AM493" s="4">
        <f t="shared" si="164"/>
        <v>0</v>
      </c>
      <c r="AN493" s="8"/>
      <c r="AO493" s="9"/>
      <c r="AP493" s="10"/>
      <c r="AQ493" s="4">
        <f t="shared" si="165"/>
        <v>0</v>
      </c>
      <c r="AR493" s="29"/>
    </row>
    <row r="494" spans="1:46">
      <c r="A494" s="3"/>
      <c r="B494" s="8"/>
      <c r="C494" s="9"/>
      <c r="D494" s="10"/>
      <c r="E494" s="7">
        <f t="shared" si="160"/>
        <v>0</v>
      </c>
      <c r="F494" s="8"/>
      <c r="G494" s="9"/>
      <c r="H494" s="10"/>
      <c r="I494" s="7">
        <f t="shared" si="161"/>
        <v>0</v>
      </c>
      <c r="K494" s="3" t="s">
        <v>82</v>
      </c>
      <c r="L494" s="8">
        <v>4</v>
      </c>
      <c r="M494" s="9">
        <v>11</v>
      </c>
      <c r="N494" s="10">
        <v>9</v>
      </c>
      <c r="O494" s="7">
        <f t="shared" si="162"/>
        <v>24</v>
      </c>
      <c r="P494" s="8">
        <v>4</v>
      </c>
      <c r="Q494" s="9">
        <v>11</v>
      </c>
      <c r="R494" s="10">
        <v>9</v>
      </c>
      <c r="S494" s="7">
        <f t="shared" si="163"/>
        <v>24</v>
      </c>
      <c r="T494" s="43">
        <v>44019</v>
      </c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43"/>
      <c r="AI494" s="3"/>
      <c r="AJ494" s="8"/>
      <c r="AK494" s="9"/>
      <c r="AL494" s="10"/>
      <c r="AM494" s="7">
        <f t="shared" si="164"/>
        <v>0</v>
      </c>
      <c r="AN494" s="8"/>
      <c r="AO494" s="9"/>
      <c r="AP494" s="10"/>
      <c r="AQ494" s="7">
        <f t="shared" si="165"/>
        <v>0</v>
      </c>
      <c r="AR494" s="29"/>
    </row>
    <row r="495" spans="1:46">
      <c r="A495" s="3"/>
      <c r="B495" s="8"/>
      <c r="C495" s="9"/>
      <c r="D495" s="10"/>
      <c r="E495" s="7">
        <f t="shared" si="160"/>
        <v>0</v>
      </c>
      <c r="F495" s="8"/>
      <c r="G495" s="9"/>
      <c r="H495" s="10"/>
      <c r="I495" s="7">
        <f t="shared" si="161"/>
        <v>0</v>
      </c>
      <c r="K495" s="3" t="s">
        <v>82</v>
      </c>
      <c r="L495" s="8"/>
      <c r="M495" s="9"/>
      <c r="N495" s="10">
        <v>4</v>
      </c>
      <c r="O495" s="7">
        <f t="shared" si="162"/>
        <v>4</v>
      </c>
      <c r="P495" s="8"/>
      <c r="Q495" s="9"/>
      <c r="R495" s="10">
        <v>4</v>
      </c>
      <c r="S495" s="7">
        <f t="shared" si="163"/>
        <v>4</v>
      </c>
      <c r="T495" s="43">
        <v>44020</v>
      </c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43"/>
      <c r="AI495" s="3"/>
      <c r="AJ495" s="8"/>
      <c r="AK495" s="9"/>
      <c r="AL495" s="10"/>
      <c r="AM495" s="7">
        <f t="shared" si="164"/>
        <v>0</v>
      </c>
      <c r="AN495" s="8"/>
      <c r="AO495" s="9"/>
      <c r="AP495" s="10"/>
      <c r="AQ495" s="7">
        <f t="shared" si="165"/>
        <v>0</v>
      </c>
      <c r="AR495" s="29"/>
    </row>
    <row r="496" spans="1:46">
      <c r="A496" s="3"/>
      <c r="B496" s="8"/>
      <c r="C496" s="9"/>
      <c r="D496" s="10"/>
      <c r="E496" s="7">
        <f t="shared" si="160"/>
        <v>0</v>
      </c>
      <c r="F496" s="8"/>
      <c r="G496" s="9"/>
      <c r="H496" s="10"/>
      <c r="I496" s="7">
        <f t="shared" si="161"/>
        <v>0</v>
      </c>
      <c r="K496" s="11" t="s">
        <v>219</v>
      </c>
      <c r="L496" s="8"/>
      <c r="M496" s="9">
        <v>5</v>
      </c>
      <c r="N496" s="10"/>
      <c r="O496" s="7">
        <f t="shared" si="162"/>
        <v>5</v>
      </c>
      <c r="P496" s="8"/>
      <c r="Q496" s="9">
        <v>5</v>
      </c>
      <c r="R496" s="10"/>
      <c r="S496" s="7">
        <f t="shared" si="163"/>
        <v>5</v>
      </c>
      <c r="T496" s="43">
        <v>44026</v>
      </c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43"/>
      <c r="AI496" s="3"/>
      <c r="AJ496" s="8"/>
      <c r="AK496" s="9"/>
      <c r="AL496" s="10"/>
      <c r="AM496" s="7">
        <f t="shared" si="164"/>
        <v>0</v>
      </c>
      <c r="AN496" s="8"/>
      <c r="AO496" s="9"/>
      <c r="AP496" s="10"/>
      <c r="AQ496" s="7">
        <f t="shared" si="165"/>
        <v>0</v>
      </c>
    </row>
    <row r="497" spans="1:43">
      <c r="A497" s="3"/>
      <c r="B497" s="8"/>
      <c r="C497" s="9"/>
      <c r="D497" s="10"/>
      <c r="E497" s="7">
        <f t="shared" si="160"/>
        <v>0</v>
      </c>
      <c r="F497" s="8"/>
      <c r="G497" s="9"/>
      <c r="H497" s="10"/>
      <c r="I497" s="7">
        <f t="shared" si="161"/>
        <v>0</v>
      </c>
      <c r="K497" s="3" t="s">
        <v>82</v>
      </c>
      <c r="L497" s="8">
        <v>2</v>
      </c>
      <c r="M497" s="9">
        <v>5</v>
      </c>
      <c r="N497" s="10">
        <v>6</v>
      </c>
      <c r="O497" s="7">
        <f t="shared" si="162"/>
        <v>13</v>
      </c>
      <c r="P497" s="8">
        <v>2</v>
      </c>
      <c r="Q497" s="9">
        <v>5</v>
      </c>
      <c r="R497" s="10">
        <v>6</v>
      </c>
      <c r="S497" s="7">
        <f t="shared" si="163"/>
        <v>13</v>
      </c>
      <c r="T497" s="43">
        <v>44021</v>
      </c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43"/>
      <c r="AI497" s="3"/>
      <c r="AJ497" s="8"/>
      <c r="AK497" s="9"/>
      <c r="AL497" s="10"/>
      <c r="AM497" s="7">
        <f t="shared" si="164"/>
        <v>0</v>
      </c>
      <c r="AN497" s="8"/>
      <c r="AO497" s="9"/>
      <c r="AP497" s="10"/>
      <c r="AQ497" s="7">
        <f t="shared" si="165"/>
        <v>0</v>
      </c>
    </row>
    <row r="498" spans="1:43">
      <c r="A498" s="3"/>
      <c r="B498" s="8"/>
      <c r="C498" s="9"/>
      <c r="D498" s="10"/>
      <c r="E498" s="7">
        <f t="shared" si="160"/>
        <v>0</v>
      </c>
      <c r="F498" s="8"/>
      <c r="G498" s="9"/>
      <c r="H498" s="10"/>
      <c r="I498" s="7">
        <f t="shared" si="161"/>
        <v>0</v>
      </c>
      <c r="K498" s="11" t="s">
        <v>221</v>
      </c>
      <c r="L498" s="8"/>
      <c r="M498" s="9">
        <v>5</v>
      </c>
      <c r="N498" s="10">
        <v>5</v>
      </c>
      <c r="O498" s="7">
        <f t="shared" si="162"/>
        <v>10</v>
      </c>
      <c r="P498" s="8"/>
      <c r="Q498" s="9">
        <v>5</v>
      </c>
      <c r="R498" s="10">
        <v>5</v>
      </c>
      <c r="S498" s="7">
        <f t="shared" si="163"/>
        <v>10</v>
      </c>
      <c r="T498" s="43">
        <v>44026</v>
      </c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43"/>
      <c r="AI498" s="3"/>
      <c r="AJ498" s="8"/>
      <c r="AK498" s="9"/>
      <c r="AL498" s="10"/>
      <c r="AM498" s="7">
        <f t="shared" si="164"/>
        <v>0</v>
      </c>
      <c r="AN498" s="8"/>
      <c r="AO498" s="9"/>
      <c r="AP498" s="10"/>
      <c r="AQ498" s="7">
        <f t="shared" si="165"/>
        <v>0</v>
      </c>
    </row>
    <row r="499" spans="1:43">
      <c r="A499" s="3"/>
      <c r="B499" s="8"/>
      <c r="C499" s="9"/>
      <c r="D499" s="10"/>
      <c r="E499" s="7">
        <f t="shared" si="160"/>
        <v>0</v>
      </c>
      <c r="F499" s="8"/>
      <c r="G499" s="9"/>
      <c r="H499" s="10"/>
      <c r="I499" s="7">
        <f t="shared" si="161"/>
        <v>0</v>
      </c>
      <c r="K499" s="3" t="s">
        <v>82</v>
      </c>
      <c r="L499" s="59">
        <v>3</v>
      </c>
      <c r="M499" s="9">
        <v>2</v>
      </c>
      <c r="N499" s="10">
        <v>2</v>
      </c>
      <c r="O499" s="7">
        <f t="shared" si="162"/>
        <v>7</v>
      </c>
      <c r="P499" s="8">
        <v>3</v>
      </c>
      <c r="Q499" s="9">
        <v>2</v>
      </c>
      <c r="R499" s="10">
        <v>2</v>
      </c>
      <c r="S499" s="7">
        <f t="shared" si="163"/>
        <v>7</v>
      </c>
      <c r="T499" s="43">
        <v>44022</v>
      </c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43"/>
      <c r="AI499" s="3"/>
      <c r="AJ499" s="8"/>
      <c r="AK499" s="9"/>
      <c r="AL499" s="10"/>
      <c r="AM499" s="7">
        <f t="shared" si="164"/>
        <v>0</v>
      </c>
      <c r="AN499" s="8"/>
      <c r="AO499" s="9"/>
      <c r="AP499" s="10"/>
      <c r="AQ499" s="7">
        <f t="shared" si="165"/>
        <v>0</v>
      </c>
    </row>
    <row r="500" spans="1:43">
      <c r="A500" s="3"/>
      <c r="B500" s="8"/>
      <c r="C500" s="9"/>
      <c r="D500" s="10"/>
      <c r="E500" s="7">
        <f t="shared" si="160"/>
        <v>0</v>
      </c>
      <c r="F500" s="8"/>
      <c r="G500" s="9"/>
      <c r="H500" s="10"/>
      <c r="I500" s="7">
        <f t="shared" si="161"/>
        <v>0</v>
      </c>
      <c r="K500" s="3" t="s">
        <v>82</v>
      </c>
      <c r="L500" s="8"/>
      <c r="M500" s="9">
        <v>4</v>
      </c>
      <c r="N500" s="10"/>
      <c r="O500" s="7">
        <f t="shared" si="162"/>
        <v>4</v>
      </c>
      <c r="P500" s="8"/>
      <c r="Q500" s="9">
        <v>4</v>
      </c>
      <c r="R500" s="10"/>
      <c r="S500" s="7">
        <f t="shared" si="163"/>
        <v>4</v>
      </c>
      <c r="T500" s="43">
        <v>44023</v>
      </c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43"/>
      <c r="AI500" s="3"/>
      <c r="AJ500" s="8"/>
      <c r="AK500" s="9"/>
      <c r="AL500" s="10"/>
      <c r="AM500" s="7">
        <f t="shared" si="164"/>
        <v>0</v>
      </c>
      <c r="AN500" s="8"/>
      <c r="AO500" s="9"/>
      <c r="AP500" s="10"/>
      <c r="AQ500" s="7">
        <f t="shared" si="165"/>
        <v>0</v>
      </c>
    </row>
    <row r="501" spans="1:43">
      <c r="A501" s="3"/>
      <c r="B501" s="8"/>
      <c r="C501" s="9"/>
      <c r="D501" s="10"/>
      <c r="E501" s="7">
        <f t="shared" si="160"/>
        <v>0</v>
      </c>
      <c r="F501" s="8"/>
      <c r="G501" s="9"/>
      <c r="H501" s="10"/>
      <c r="I501" s="7">
        <f t="shared" si="161"/>
        <v>0</v>
      </c>
      <c r="K501" s="3" t="s">
        <v>82</v>
      </c>
      <c r="L501" s="8">
        <v>4</v>
      </c>
      <c r="M501" s="9"/>
      <c r="N501" s="10"/>
      <c r="O501" s="7">
        <f t="shared" si="162"/>
        <v>4</v>
      </c>
      <c r="P501" s="8">
        <v>4</v>
      </c>
      <c r="Q501" s="9"/>
      <c r="R501" s="10"/>
      <c r="S501" s="7">
        <f t="shared" si="163"/>
        <v>4</v>
      </c>
      <c r="T501" s="43">
        <v>44026</v>
      </c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43"/>
      <c r="AI501" s="3"/>
      <c r="AJ501" s="8"/>
      <c r="AK501" s="9"/>
      <c r="AL501" s="10"/>
      <c r="AM501" s="7">
        <f t="shared" si="164"/>
        <v>0</v>
      </c>
      <c r="AN501" s="8"/>
      <c r="AO501" s="9"/>
      <c r="AP501" s="10"/>
      <c r="AQ501" s="7">
        <f t="shared" si="165"/>
        <v>0</v>
      </c>
    </row>
    <row r="502" spans="1:43">
      <c r="A502" s="3"/>
      <c r="B502" s="8"/>
      <c r="C502" s="9"/>
      <c r="D502" s="10"/>
      <c r="E502" s="7">
        <f t="shared" si="160"/>
        <v>0</v>
      </c>
      <c r="F502" s="8"/>
      <c r="G502" s="9"/>
      <c r="H502" s="10"/>
      <c r="I502" s="7">
        <f t="shared" si="161"/>
        <v>0</v>
      </c>
      <c r="K502" s="3" t="s">
        <v>82</v>
      </c>
      <c r="L502" s="8"/>
      <c r="M502" s="9"/>
      <c r="N502" s="10">
        <v>2</v>
      </c>
      <c r="O502" s="7">
        <f t="shared" si="162"/>
        <v>2</v>
      </c>
      <c r="P502" s="8"/>
      <c r="Q502" s="9"/>
      <c r="R502" s="10">
        <v>2</v>
      </c>
      <c r="S502" s="7">
        <f t="shared" si="163"/>
        <v>2</v>
      </c>
      <c r="T502" s="43">
        <v>44027</v>
      </c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43"/>
      <c r="AI502" s="3"/>
      <c r="AJ502" s="8"/>
      <c r="AK502" s="9"/>
      <c r="AL502" s="10"/>
      <c r="AM502" s="7">
        <f t="shared" si="164"/>
        <v>0</v>
      </c>
      <c r="AN502" s="8"/>
      <c r="AO502" s="9"/>
      <c r="AP502" s="10"/>
      <c r="AQ502" s="7">
        <f t="shared" si="165"/>
        <v>0</v>
      </c>
    </row>
    <row r="503" spans="1:43">
      <c r="A503" s="3"/>
      <c r="B503" s="8"/>
      <c r="C503" s="9"/>
      <c r="D503" s="10"/>
      <c r="E503" s="7">
        <f t="shared" si="160"/>
        <v>0</v>
      </c>
      <c r="F503" s="8"/>
      <c r="G503" s="9"/>
      <c r="H503" s="10"/>
      <c r="I503" s="7">
        <f t="shared" si="161"/>
        <v>0</v>
      </c>
      <c r="K503" s="11" t="s">
        <v>222</v>
      </c>
      <c r="L503" s="8">
        <v>5</v>
      </c>
      <c r="M503" s="9">
        <v>5</v>
      </c>
      <c r="N503" s="10">
        <v>5</v>
      </c>
      <c r="O503" s="7">
        <f t="shared" si="162"/>
        <v>15</v>
      </c>
      <c r="P503" s="8">
        <v>5</v>
      </c>
      <c r="Q503" s="9">
        <v>5</v>
      </c>
      <c r="R503" s="10">
        <v>5</v>
      </c>
      <c r="S503" s="7">
        <f t="shared" si="163"/>
        <v>15</v>
      </c>
      <c r="T503" s="43">
        <v>44033</v>
      </c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43"/>
      <c r="AI503" s="3"/>
      <c r="AJ503" s="8"/>
      <c r="AK503" s="9"/>
      <c r="AL503" s="10"/>
      <c r="AM503" s="7">
        <f t="shared" si="164"/>
        <v>0</v>
      </c>
      <c r="AN503" s="8"/>
      <c r="AO503" s="9"/>
      <c r="AP503" s="10"/>
      <c r="AQ503" s="7">
        <f t="shared" si="165"/>
        <v>0</v>
      </c>
    </row>
    <row r="504" spans="1:43">
      <c r="A504" s="3"/>
      <c r="B504" s="8"/>
      <c r="C504" s="9"/>
      <c r="D504" s="10"/>
      <c r="E504" s="7">
        <f t="shared" si="160"/>
        <v>0</v>
      </c>
      <c r="F504" s="8"/>
      <c r="G504" s="9"/>
      <c r="H504" s="10"/>
      <c r="I504" s="7">
        <f t="shared" si="161"/>
        <v>0</v>
      </c>
      <c r="K504" s="3" t="s">
        <v>82</v>
      </c>
      <c r="L504" s="8">
        <v>2</v>
      </c>
      <c r="M504" s="9">
        <v>1</v>
      </c>
      <c r="N504" s="10">
        <v>2</v>
      </c>
      <c r="O504" s="7">
        <f t="shared" si="162"/>
        <v>5</v>
      </c>
      <c r="P504" s="8">
        <v>2</v>
      </c>
      <c r="Q504" s="9">
        <v>1</v>
      </c>
      <c r="R504" s="10">
        <v>2</v>
      </c>
      <c r="S504" s="7">
        <f t="shared" si="163"/>
        <v>5</v>
      </c>
      <c r="T504" s="43">
        <v>44028</v>
      </c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43"/>
      <c r="AI504" s="3"/>
      <c r="AJ504" s="8"/>
      <c r="AK504" s="9"/>
      <c r="AL504" s="10"/>
      <c r="AM504" s="7">
        <f t="shared" si="164"/>
        <v>0</v>
      </c>
      <c r="AN504" s="8"/>
      <c r="AO504" s="9"/>
      <c r="AP504" s="10"/>
      <c r="AQ504" s="7">
        <f t="shared" si="165"/>
        <v>0</v>
      </c>
    </row>
    <row r="505" spans="1:43">
      <c r="A505" s="3"/>
      <c r="B505" s="8"/>
      <c r="C505" s="9"/>
      <c r="D505" s="10"/>
      <c r="E505" s="7">
        <f t="shared" si="160"/>
        <v>0</v>
      </c>
      <c r="F505" s="8"/>
      <c r="G505" s="9"/>
      <c r="H505" s="10"/>
      <c r="I505" s="7">
        <f t="shared" si="161"/>
        <v>0</v>
      </c>
      <c r="K505" s="3" t="s">
        <v>82</v>
      </c>
      <c r="L505" s="8"/>
      <c r="M505" s="9">
        <v>3</v>
      </c>
      <c r="N505" s="10">
        <v>3</v>
      </c>
      <c r="O505" s="7">
        <f t="shared" si="162"/>
        <v>6</v>
      </c>
      <c r="P505" s="8"/>
      <c r="Q505" s="9">
        <v>3</v>
      </c>
      <c r="R505" s="10">
        <v>3</v>
      </c>
      <c r="S505" s="7">
        <f t="shared" si="163"/>
        <v>6</v>
      </c>
      <c r="T505" s="43">
        <v>44029</v>
      </c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43"/>
      <c r="AI505" s="11"/>
      <c r="AJ505" s="8"/>
      <c r="AK505" s="9"/>
      <c r="AL505" s="10"/>
      <c r="AM505" s="7">
        <f t="shared" si="164"/>
        <v>0</v>
      </c>
      <c r="AN505" s="8"/>
      <c r="AO505" s="9"/>
      <c r="AP505" s="10"/>
      <c r="AQ505" s="7">
        <f t="shared" si="165"/>
        <v>0</v>
      </c>
    </row>
    <row r="506" spans="1:43">
      <c r="A506" s="3"/>
      <c r="B506" s="8"/>
      <c r="C506" s="9"/>
      <c r="D506" s="10"/>
      <c r="E506" s="7">
        <f t="shared" si="160"/>
        <v>0</v>
      </c>
      <c r="F506" s="8"/>
      <c r="G506" s="9"/>
      <c r="H506" s="10"/>
      <c r="I506" s="7">
        <f t="shared" si="161"/>
        <v>0</v>
      </c>
      <c r="K506" s="3" t="s">
        <v>82</v>
      </c>
      <c r="L506" s="8">
        <v>4</v>
      </c>
      <c r="M506" s="9">
        <v>7</v>
      </c>
      <c r="N506" s="10">
        <v>4</v>
      </c>
      <c r="O506" s="7">
        <f t="shared" si="162"/>
        <v>15</v>
      </c>
      <c r="P506" s="8">
        <v>4</v>
      </c>
      <c r="Q506" s="9">
        <v>7</v>
      </c>
      <c r="R506" s="10">
        <v>4</v>
      </c>
      <c r="S506" s="7">
        <f t="shared" si="163"/>
        <v>15</v>
      </c>
      <c r="T506" s="43">
        <v>44030</v>
      </c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43"/>
      <c r="AI506" s="3"/>
      <c r="AJ506" s="8"/>
      <c r="AK506" s="9"/>
      <c r="AL506" s="10"/>
      <c r="AM506" s="7">
        <f t="shared" si="164"/>
        <v>0</v>
      </c>
      <c r="AN506" s="8"/>
      <c r="AO506" s="9"/>
      <c r="AP506" s="10"/>
      <c r="AQ506" s="7">
        <f t="shared" si="165"/>
        <v>0</v>
      </c>
    </row>
    <row r="507" spans="1:43">
      <c r="A507" s="11"/>
      <c r="B507" s="8"/>
      <c r="C507" s="9"/>
      <c r="D507" s="10"/>
      <c r="E507" s="7">
        <f t="shared" si="160"/>
        <v>0</v>
      </c>
      <c r="F507" s="8"/>
      <c r="G507" s="9"/>
      <c r="H507" s="10"/>
      <c r="I507" s="7">
        <f t="shared" si="161"/>
        <v>0</v>
      </c>
      <c r="K507" s="3" t="s">
        <v>82</v>
      </c>
      <c r="L507" s="8">
        <v>7</v>
      </c>
      <c r="M507" s="9">
        <v>8</v>
      </c>
      <c r="N507" s="10">
        <v>8</v>
      </c>
      <c r="O507" s="7">
        <f t="shared" si="162"/>
        <v>23</v>
      </c>
      <c r="P507" s="8">
        <v>7</v>
      </c>
      <c r="Q507" s="9">
        <v>8</v>
      </c>
      <c r="R507" s="10">
        <v>8</v>
      </c>
      <c r="S507" s="7">
        <f t="shared" si="163"/>
        <v>23</v>
      </c>
      <c r="T507" s="43">
        <v>44033</v>
      </c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43"/>
      <c r="AI507" s="11"/>
      <c r="AJ507" s="8"/>
      <c r="AK507" s="9"/>
      <c r="AL507" s="10"/>
      <c r="AM507" s="7">
        <f t="shared" si="164"/>
        <v>0</v>
      </c>
      <c r="AN507" s="8"/>
      <c r="AO507" s="9"/>
      <c r="AP507" s="10"/>
      <c r="AQ507" s="7">
        <f t="shared" si="165"/>
        <v>0</v>
      </c>
    </row>
    <row r="508" spans="1:43">
      <c r="A508" s="11"/>
      <c r="B508" s="8"/>
      <c r="C508" s="9"/>
      <c r="D508" s="10"/>
      <c r="E508" s="7">
        <f t="shared" si="160"/>
        <v>0</v>
      </c>
      <c r="F508" s="8"/>
      <c r="G508" s="9"/>
      <c r="H508" s="10"/>
      <c r="I508" s="7">
        <f t="shared" si="161"/>
        <v>0</v>
      </c>
      <c r="K508" s="3" t="s">
        <v>82</v>
      </c>
      <c r="L508" s="8"/>
      <c r="M508" s="9">
        <v>4</v>
      </c>
      <c r="N508" s="10">
        <v>2</v>
      </c>
      <c r="O508" s="7">
        <f t="shared" si="162"/>
        <v>6</v>
      </c>
      <c r="P508" s="8"/>
      <c r="Q508" s="9">
        <v>4</v>
      </c>
      <c r="R508" s="10">
        <v>2</v>
      </c>
      <c r="S508" s="7">
        <f t="shared" si="163"/>
        <v>6</v>
      </c>
      <c r="T508" s="43">
        <v>44034</v>
      </c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43"/>
      <c r="AI508" s="11"/>
      <c r="AJ508" s="8"/>
      <c r="AK508" s="9"/>
      <c r="AL508" s="10"/>
      <c r="AM508" s="7">
        <f t="shared" si="164"/>
        <v>0</v>
      </c>
      <c r="AN508" s="8"/>
      <c r="AO508" s="9"/>
      <c r="AP508" s="10"/>
      <c r="AQ508" s="7">
        <f t="shared" si="165"/>
        <v>0</v>
      </c>
    </row>
    <row r="509" spans="1:43">
      <c r="A509" s="11"/>
      <c r="B509" s="8"/>
      <c r="C509" s="9"/>
      <c r="D509" s="10"/>
      <c r="E509" s="7">
        <f t="shared" si="160"/>
        <v>0</v>
      </c>
      <c r="F509" s="8"/>
      <c r="G509" s="9"/>
      <c r="H509" s="10"/>
      <c r="I509" s="7">
        <f t="shared" si="161"/>
        <v>0</v>
      </c>
      <c r="K509" s="11" t="s">
        <v>225</v>
      </c>
      <c r="L509" s="8">
        <v>5</v>
      </c>
      <c r="M509" s="9">
        <v>5</v>
      </c>
      <c r="N509" s="10">
        <v>5</v>
      </c>
      <c r="O509" s="7">
        <f t="shared" si="162"/>
        <v>15</v>
      </c>
      <c r="P509" s="8">
        <v>5</v>
      </c>
      <c r="Q509" s="9">
        <v>5</v>
      </c>
      <c r="R509" s="10">
        <v>5</v>
      </c>
      <c r="S509" s="7">
        <f t="shared" si="163"/>
        <v>15</v>
      </c>
      <c r="T509" s="43">
        <v>44040</v>
      </c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43"/>
      <c r="AI509" s="11"/>
      <c r="AJ509" s="8"/>
      <c r="AK509" s="9"/>
      <c r="AL509" s="10"/>
      <c r="AM509" s="7">
        <f t="shared" si="164"/>
        <v>0</v>
      </c>
      <c r="AN509" s="8"/>
      <c r="AO509" s="9"/>
      <c r="AP509" s="10"/>
      <c r="AQ509" s="7">
        <f t="shared" si="165"/>
        <v>0</v>
      </c>
    </row>
    <row r="510" spans="1:43">
      <c r="A510" s="11"/>
      <c r="B510" s="8"/>
      <c r="C510" s="9"/>
      <c r="D510" s="10"/>
      <c r="E510" s="7">
        <f t="shared" si="160"/>
        <v>0</v>
      </c>
      <c r="F510" s="8"/>
      <c r="G510" s="9"/>
      <c r="H510" s="10"/>
      <c r="I510" s="7">
        <f t="shared" si="161"/>
        <v>0</v>
      </c>
      <c r="K510" s="3" t="s">
        <v>226</v>
      </c>
      <c r="L510" s="8">
        <v>4</v>
      </c>
      <c r="M510" s="9">
        <v>9</v>
      </c>
      <c r="N510" s="10">
        <v>4</v>
      </c>
      <c r="O510" s="7">
        <f t="shared" ref="O510:O512" si="173">SUM(L510:N510)</f>
        <v>17</v>
      </c>
      <c r="P510" s="8">
        <v>4</v>
      </c>
      <c r="Q510" s="9">
        <v>9</v>
      </c>
      <c r="R510" s="10">
        <v>4</v>
      </c>
      <c r="S510" s="7">
        <f t="shared" ref="S510:S512" si="174">SUM(P510:R510)</f>
        <v>17</v>
      </c>
      <c r="T510" s="43">
        <v>44035</v>
      </c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43"/>
      <c r="AI510" s="11"/>
      <c r="AJ510" s="8"/>
      <c r="AK510" s="9"/>
      <c r="AL510" s="10"/>
      <c r="AM510" s="7">
        <f t="shared" si="164"/>
        <v>0</v>
      </c>
      <c r="AN510" s="8"/>
      <c r="AO510" s="9"/>
      <c r="AP510" s="10"/>
      <c r="AQ510" s="7">
        <f t="shared" si="165"/>
        <v>0</v>
      </c>
    </row>
    <row r="511" spans="1:43">
      <c r="A511" s="11"/>
      <c r="B511" s="8"/>
      <c r="C511" s="9"/>
      <c r="D511" s="10"/>
      <c r="E511" s="7">
        <f t="shared" si="160"/>
        <v>0</v>
      </c>
      <c r="F511" s="8"/>
      <c r="G511" s="9"/>
      <c r="H511" s="10"/>
      <c r="I511" s="7">
        <f t="shared" si="161"/>
        <v>0</v>
      </c>
      <c r="K511" s="3" t="s">
        <v>226</v>
      </c>
      <c r="L511" s="8">
        <v>8</v>
      </c>
      <c r="M511" s="9">
        <v>4</v>
      </c>
      <c r="N511" s="10">
        <v>10</v>
      </c>
      <c r="O511" s="7">
        <f t="shared" si="173"/>
        <v>22</v>
      </c>
      <c r="P511" s="8">
        <v>8</v>
      </c>
      <c r="Q511" s="9">
        <v>4</v>
      </c>
      <c r="R511" s="10">
        <v>10</v>
      </c>
      <c r="S511" s="7">
        <f t="shared" si="174"/>
        <v>22</v>
      </c>
      <c r="T511" s="43">
        <v>44040</v>
      </c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43"/>
      <c r="AI511" s="3"/>
      <c r="AJ511" s="8"/>
      <c r="AK511" s="9"/>
      <c r="AL511" s="10"/>
      <c r="AM511" s="7">
        <f t="shared" si="164"/>
        <v>0</v>
      </c>
      <c r="AN511" s="8"/>
      <c r="AO511" s="9"/>
      <c r="AP511" s="10"/>
      <c r="AQ511" s="7">
        <f t="shared" si="165"/>
        <v>0</v>
      </c>
    </row>
    <row r="512" spans="1:43" ht="14.25" thickBot="1">
      <c r="A512" s="3"/>
      <c r="B512" s="8"/>
      <c r="C512" s="9"/>
      <c r="D512" s="10"/>
      <c r="E512" s="7">
        <f t="shared" si="160"/>
        <v>0</v>
      </c>
      <c r="F512" s="8"/>
      <c r="G512" s="9"/>
      <c r="H512" s="10"/>
      <c r="I512" s="7">
        <f t="shared" si="161"/>
        <v>0</v>
      </c>
      <c r="K512" s="3"/>
      <c r="L512" s="8"/>
      <c r="M512" s="9"/>
      <c r="N512" s="10"/>
      <c r="O512" s="7">
        <f t="shared" si="173"/>
        <v>0</v>
      </c>
      <c r="P512" s="8"/>
      <c r="Q512" s="9"/>
      <c r="R512" s="10"/>
      <c r="S512" s="7">
        <f t="shared" si="174"/>
        <v>0</v>
      </c>
      <c r="T512" s="71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71"/>
      <c r="AI512" s="3"/>
      <c r="AJ512" s="8"/>
      <c r="AK512" s="9"/>
      <c r="AL512" s="10"/>
      <c r="AM512" s="7">
        <f t="shared" si="164"/>
        <v>0</v>
      </c>
      <c r="AN512" s="8"/>
      <c r="AO512" s="9"/>
      <c r="AP512" s="10"/>
      <c r="AQ512" s="7">
        <f t="shared" si="165"/>
        <v>0</v>
      </c>
    </row>
    <row r="513" spans="1:44" ht="14.25" thickBot="1">
      <c r="A513" s="2" t="s">
        <v>5</v>
      </c>
      <c r="B513" s="14">
        <f>SUM(B489:B512)</f>
        <v>13</v>
      </c>
      <c r="C513" s="14">
        <f>SUM(C489:C512)</f>
        <v>9</v>
      </c>
      <c r="D513" s="14">
        <f>SUM(D489:D512)</f>
        <v>35</v>
      </c>
      <c r="E513" s="15">
        <f t="shared" si="160"/>
        <v>57</v>
      </c>
      <c r="F513" s="14">
        <f>SUM(F489:F512)</f>
        <v>13</v>
      </c>
      <c r="G513" s="14">
        <f>SUM(G489:G512)</f>
        <v>9</v>
      </c>
      <c r="H513" s="14">
        <f>SUM(H489:H512)</f>
        <v>35</v>
      </c>
      <c r="I513" s="15">
        <f t="shared" si="161"/>
        <v>57</v>
      </c>
      <c r="K513" s="2" t="s">
        <v>5</v>
      </c>
      <c r="L513" s="14">
        <f>SUM(L489:L512)</f>
        <v>69</v>
      </c>
      <c r="M513" s="14">
        <f>SUM(M489:M512)</f>
        <v>94</v>
      </c>
      <c r="N513" s="14">
        <f>SUM(N489:N512)</f>
        <v>84</v>
      </c>
      <c r="O513" s="15">
        <f t="shared" si="162"/>
        <v>247</v>
      </c>
      <c r="P513" s="14">
        <f>SUM(P489:P512)</f>
        <v>69</v>
      </c>
      <c r="Q513" s="14">
        <f>SUM(Q489:Q512)</f>
        <v>94</v>
      </c>
      <c r="R513" s="14">
        <f>SUM(R489:R512)</f>
        <v>84</v>
      </c>
      <c r="S513" s="15">
        <f t="shared" si="163"/>
        <v>247</v>
      </c>
      <c r="AI513" s="2" t="s">
        <v>5</v>
      </c>
      <c r="AJ513" s="14">
        <f>SUM(AJ489:AJ512)</f>
        <v>120</v>
      </c>
      <c r="AK513" s="14">
        <f>SUM(AK489:AK512)</f>
        <v>150</v>
      </c>
      <c r="AL513" s="14">
        <f>SUM(AL489:AL512)</f>
        <v>100</v>
      </c>
      <c r="AM513" s="15">
        <f t="shared" si="164"/>
        <v>370</v>
      </c>
      <c r="AN513" s="14">
        <f>SUM(AN489:AN512)</f>
        <v>120</v>
      </c>
      <c r="AO513" s="14">
        <f>SUM(AO489:AO512)</f>
        <v>150</v>
      </c>
      <c r="AP513" s="14">
        <f>SUM(AP489:AP512)</f>
        <v>100</v>
      </c>
      <c r="AQ513" s="15">
        <f t="shared" si="165"/>
        <v>370</v>
      </c>
    </row>
    <row r="514" spans="1:44" ht="14.25" thickBot="1">
      <c r="A514" s="27" t="s">
        <v>6</v>
      </c>
      <c r="B514" s="28">
        <f>B488-B513</f>
        <v>0</v>
      </c>
      <c r="C514" s="28">
        <f t="shared" ref="C514:E514" si="175">C488-C513</f>
        <v>0</v>
      </c>
      <c r="D514" s="28">
        <f t="shared" si="175"/>
        <v>0</v>
      </c>
      <c r="E514" s="28">
        <f t="shared" si="175"/>
        <v>0</v>
      </c>
      <c r="F514" s="28">
        <f>F488-F513</f>
        <v>0</v>
      </c>
      <c r="G514" s="28">
        <f t="shared" ref="G514:I514" si="176">G488-G513</f>
        <v>0</v>
      </c>
      <c r="H514" s="28">
        <f t="shared" si="176"/>
        <v>0</v>
      </c>
      <c r="I514" s="26">
        <f t="shared" si="176"/>
        <v>0</v>
      </c>
      <c r="K514" s="27" t="s">
        <v>6</v>
      </c>
      <c r="L514" s="28">
        <f>L488-L513</f>
        <v>65</v>
      </c>
      <c r="M514" s="28">
        <f t="shared" ref="M514:O514" si="177">M488-M513</f>
        <v>73</v>
      </c>
      <c r="N514" s="28">
        <f t="shared" si="177"/>
        <v>64</v>
      </c>
      <c r="O514" s="28">
        <f t="shared" si="177"/>
        <v>202</v>
      </c>
      <c r="P514" s="28">
        <f>P488-P513</f>
        <v>65</v>
      </c>
      <c r="Q514" s="28">
        <f t="shared" ref="Q514:S514" si="178">Q488-Q513</f>
        <v>73</v>
      </c>
      <c r="R514" s="28">
        <f t="shared" si="178"/>
        <v>64</v>
      </c>
      <c r="S514" s="26">
        <f t="shared" si="178"/>
        <v>202</v>
      </c>
      <c r="AI514" s="27" t="s">
        <v>6</v>
      </c>
      <c r="AJ514" s="28">
        <f>AJ488-AJ513</f>
        <v>0</v>
      </c>
      <c r="AK514" s="28">
        <f t="shared" ref="AK514:AM514" si="179">AK488-AK513</f>
        <v>0</v>
      </c>
      <c r="AL514" s="28">
        <f t="shared" si="179"/>
        <v>0</v>
      </c>
      <c r="AM514" s="28">
        <f t="shared" si="179"/>
        <v>0</v>
      </c>
      <c r="AN514" s="28">
        <f>AN488-AN513</f>
        <v>0</v>
      </c>
      <c r="AO514" s="28">
        <f t="shared" ref="AO514:AQ514" si="180">AO488-AO513</f>
        <v>0</v>
      </c>
      <c r="AP514" s="28">
        <f t="shared" si="180"/>
        <v>0</v>
      </c>
      <c r="AQ514" s="26">
        <f t="shared" si="180"/>
        <v>0</v>
      </c>
    </row>
    <row r="515" spans="1:44">
      <c r="K515" s="73"/>
      <c r="L515" s="72">
        <f>L513+L470+L427+L384+L341</f>
        <v>455</v>
      </c>
      <c r="M515" s="72"/>
      <c r="N515" s="72"/>
      <c r="P515" s="72"/>
      <c r="Q515" s="72"/>
      <c r="R515" s="72"/>
    </row>
    <row r="517" spans="1:44" ht="21.75" thickBot="1">
      <c r="A517" s="33" t="s">
        <v>15</v>
      </c>
      <c r="B517" s="34"/>
      <c r="C517" s="34"/>
      <c r="D517" s="34"/>
      <c r="E517" s="34"/>
      <c r="F517" s="35"/>
      <c r="G517" s="35"/>
      <c r="H517" s="35"/>
      <c r="I517" s="35"/>
      <c r="K517" s="33" t="s">
        <v>125</v>
      </c>
      <c r="L517" s="34"/>
      <c r="M517" s="34"/>
      <c r="N517" s="34"/>
      <c r="O517" s="34"/>
      <c r="P517" s="35"/>
      <c r="Q517" s="35"/>
      <c r="R517" s="35"/>
      <c r="S517" s="35"/>
      <c r="AI517" s="33" t="s">
        <v>87</v>
      </c>
      <c r="AJ517" s="34"/>
      <c r="AK517" s="34"/>
      <c r="AL517" s="34"/>
      <c r="AM517" s="34"/>
      <c r="AN517" s="35"/>
      <c r="AO517" s="35"/>
      <c r="AP517" s="35"/>
      <c r="AQ517" s="35"/>
    </row>
    <row r="518" spans="1:44" ht="14.25" thickBot="1">
      <c r="A518" s="1" t="s">
        <v>0</v>
      </c>
      <c r="B518" s="182" t="s">
        <v>17</v>
      </c>
      <c r="C518" s="182"/>
      <c r="D518" s="182"/>
      <c r="E518" s="183"/>
      <c r="F518" s="182" t="s">
        <v>13</v>
      </c>
      <c r="G518" s="182"/>
      <c r="H518" s="182"/>
      <c r="I518" s="183"/>
      <c r="K518" s="1" t="s">
        <v>0</v>
      </c>
      <c r="L518" s="182" t="s">
        <v>17</v>
      </c>
      <c r="M518" s="182"/>
      <c r="N518" s="182"/>
      <c r="O518" s="183"/>
      <c r="P518" s="182" t="s">
        <v>13</v>
      </c>
      <c r="Q518" s="182"/>
      <c r="R518" s="182"/>
      <c r="S518" s="183"/>
      <c r="AI518" s="1" t="s">
        <v>0</v>
      </c>
      <c r="AJ518" s="181" t="s">
        <v>17</v>
      </c>
      <c r="AK518" s="182"/>
      <c r="AL518" s="182"/>
      <c r="AM518" s="183"/>
      <c r="AN518" s="181" t="s">
        <v>13</v>
      </c>
      <c r="AO518" s="182"/>
      <c r="AP518" s="182"/>
      <c r="AQ518" s="183"/>
    </row>
    <row r="519" spans="1:44" ht="14.25" thickBot="1">
      <c r="A519" s="1" t="s">
        <v>1</v>
      </c>
      <c r="B519" s="2" t="s">
        <v>8</v>
      </c>
      <c r="C519" s="1" t="s">
        <v>9</v>
      </c>
      <c r="D519" s="19" t="s">
        <v>10</v>
      </c>
      <c r="E519" s="1" t="s">
        <v>2</v>
      </c>
      <c r="F519" s="2" t="s">
        <v>8</v>
      </c>
      <c r="G519" s="1" t="s">
        <v>9</v>
      </c>
      <c r="H519" s="19" t="s">
        <v>10</v>
      </c>
      <c r="I519" s="1" t="s">
        <v>2</v>
      </c>
      <c r="K519" s="1" t="s">
        <v>1</v>
      </c>
      <c r="L519" s="2" t="s">
        <v>8</v>
      </c>
      <c r="M519" s="1" t="s">
        <v>9</v>
      </c>
      <c r="N519" s="19" t="s">
        <v>10</v>
      </c>
      <c r="O519" s="1" t="s">
        <v>2</v>
      </c>
      <c r="P519" s="2" t="s">
        <v>8</v>
      </c>
      <c r="Q519" s="1" t="s">
        <v>9</v>
      </c>
      <c r="R519" s="19" t="s">
        <v>10</v>
      </c>
      <c r="S519" s="1" t="s">
        <v>2</v>
      </c>
      <c r="AI519" s="1" t="s">
        <v>1</v>
      </c>
      <c r="AJ519" s="2" t="s">
        <v>8</v>
      </c>
      <c r="AK519" s="1" t="s">
        <v>9</v>
      </c>
      <c r="AL519" s="19" t="s">
        <v>10</v>
      </c>
      <c r="AM519" s="1" t="s">
        <v>2</v>
      </c>
      <c r="AN519" s="2" t="s">
        <v>8</v>
      </c>
      <c r="AO519" s="1" t="s">
        <v>9</v>
      </c>
      <c r="AP519" s="19" t="s">
        <v>10</v>
      </c>
      <c r="AQ519" s="1" t="s">
        <v>2</v>
      </c>
    </row>
    <row r="520" spans="1:44" ht="14.25" thickBot="1">
      <c r="A520" s="21" t="s">
        <v>7</v>
      </c>
      <c r="B520" s="18">
        <f>B514</f>
        <v>0</v>
      </c>
      <c r="C520" s="22">
        <f>C514</f>
        <v>0</v>
      </c>
      <c r="D520" s="22">
        <f>D514</f>
        <v>0</v>
      </c>
      <c r="E520" s="17">
        <f t="shared" ref="E520:E556" si="181">SUM(B520:D520)</f>
        <v>0</v>
      </c>
      <c r="F520" s="22">
        <f>F514</f>
        <v>0</v>
      </c>
      <c r="G520" s="22">
        <f>G514</f>
        <v>0</v>
      </c>
      <c r="H520" s="22">
        <f>H514</f>
        <v>0</v>
      </c>
      <c r="I520" s="17">
        <f t="shared" ref="I520:I556" si="182">SUM(F520:H520)</f>
        <v>0</v>
      </c>
      <c r="K520" s="21" t="s">
        <v>7</v>
      </c>
      <c r="L520" s="18">
        <f>L514</f>
        <v>65</v>
      </c>
      <c r="M520" s="22">
        <f>M514</f>
        <v>73</v>
      </c>
      <c r="N520" s="22">
        <f>N514</f>
        <v>64</v>
      </c>
      <c r="O520" s="17">
        <f t="shared" ref="O520:O556" si="183">SUM(L520:N520)</f>
        <v>202</v>
      </c>
      <c r="P520" s="22">
        <f>P514</f>
        <v>65</v>
      </c>
      <c r="Q520" s="22">
        <f>Q514</f>
        <v>73</v>
      </c>
      <c r="R520" s="22">
        <f>R514</f>
        <v>64</v>
      </c>
      <c r="S520" s="17">
        <f t="shared" ref="S520:S556" si="184">SUM(P520:R520)</f>
        <v>202</v>
      </c>
      <c r="AI520" s="52" t="s">
        <v>7</v>
      </c>
      <c r="AJ520" s="53">
        <f>AJ514</f>
        <v>0</v>
      </c>
      <c r="AK520" s="23">
        <f>AK514</f>
        <v>0</v>
      </c>
      <c r="AL520" s="23">
        <f>AL514</f>
        <v>0</v>
      </c>
      <c r="AM520" s="26">
        <f t="shared" ref="AM520:AM531" si="185">SUM(AJ520:AL520)</f>
        <v>0</v>
      </c>
      <c r="AN520" s="23">
        <f>AN514</f>
        <v>0</v>
      </c>
      <c r="AO520" s="23">
        <f>AO514</f>
        <v>0</v>
      </c>
      <c r="AP520" s="23">
        <f>AP514</f>
        <v>0</v>
      </c>
      <c r="AQ520" s="26">
        <f t="shared" ref="AQ520:AQ531" si="186">SUM(AN520:AP520)</f>
        <v>0</v>
      </c>
    </row>
    <row r="521" spans="1:44">
      <c r="A521" s="5" t="s">
        <v>37</v>
      </c>
      <c r="B521" s="30"/>
      <c r="C521" s="31">
        <v>2</v>
      </c>
      <c r="D521" s="32">
        <v>1</v>
      </c>
      <c r="E521" s="4">
        <f t="shared" si="181"/>
        <v>3</v>
      </c>
      <c r="F521" s="30"/>
      <c r="G521" s="31">
        <v>2</v>
      </c>
      <c r="H521" s="32">
        <v>1</v>
      </c>
      <c r="I521" s="4">
        <f t="shared" si="182"/>
        <v>3</v>
      </c>
      <c r="J521" s="43">
        <v>44041</v>
      </c>
      <c r="K521" s="5" t="s">
        <v>235</v>
      </c>
      <c r="L521" s="16">
        <v>4</v>
      </c>
      <c r="M521" s="11">
        <v>2</v>
      </c>
      <c r="N521" s="16">
        <v>1</v>
      </c>
      <c r="O521" s="4">
        <f t="shared" si="183"/>
        <v>7</v>
      </c>
      <c r="P521" s="16">
        <v>4</v>
      </c>
      <c r="Q521" s="11">
        <v>2</v>
      </c>
      <c r="R521" s="16">
        <v>1</v>
      </c>
      <c r="S521" s="4">
        <f t="shared" si="184"/>
        <v>7</v>
      </c>
      <c r="T521" s="43" t="s">
        <v>236</v>
      </c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5" t="s">
        <v>3</v>
      </c>
      <c r="AJ521" s="16"/>
      <c r="AK521" s="11"/>
      <c r="AL521" s="16"/>
      <c r="AM521" s="4">
        <f t="shared" si="185"/>
        <v>0</v>
      </c>
      <c r="AN521" s="16"/>
      <c r="AO521" s="11"/>
      <c r="AP521" s="16"/>
      <c r="AQ521" s="4">
        <f t="shared" si="186"/>
        <v>0</v>
      </c>
    </row>
    <row r="522" spans="1:44">
      <c r="A522" s="5" t="s">
        <v>78</v>
      </c>
      <c r="B522" s="30">
        <v>2</v>
      </c>
      <c r="C522" s="31"/>
      <c r="D522" s="32"/>
      <c r="E522" s="4">
        <f t="shared" si="181"/>
        <v>2</v>
      </c>
      <c r="F522" s="30">
        <v>2</v>
      </c>
      <c r="G522" s="31"/>
      <c r="H522" s="32"/>
      <c r="I522" s="4">
        <f t="shared" si="182"/>
        <v>2</v>
      </c>
      <c r="J522" s="43">
        <v>44050</v>
      </c>
      <c r="K522" s="5" t="s">
        <v>231</v>
      </c>
      <c r="L522" s="75">
        <v>35</v>
      </c>
      <c r="M522" s="76">
        <v>22</v>
      </c>
      <c r="N522" s="75">
        <v>6</v>
      </c>
      <c r="O522" s="77">
        <f t="shared" si="183"/>
        <v>63</v>
      </c>
      <c r="P522" s="75">
        <v>35</v>
      </c>
      <c r="Q522" s="76">
        <v>22</v>
      </c>
      <c r="R522" s="75">
        <v>6</v>
      </c>
      <c r="S522" s="77">
        <f t="shared" si="184"/>
        <v>63</v>
      </c>
      <c r="T522" s="78" t="s">
        <v>236</v>
      </c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5" t="s">
        <v>3</v>
      </c>
      <c r="AJ522" s="32"/>
      <c r="AK522" s="31"/>
      <c r="AL522" s="32"/>
      <c r="AM522" s="4">
        <f t="shared" si="185"/>
        <v>0</v>
      </c>
      <c r="AN522" s="32"/>
      <c r="AO522" s="31"/>
      <c r="AP522" s="32"/>
      <c r="AQ522" s="4">
        <f t="shared" si="186"/>
        <v>0</v>
      </c>
      <c r="AR522" s="43"/>
    </row>
    <row r="523" spans="1:44">
      <c r="A523" s="5" t="s">
        <v>196</v>
      </c>
      <c r="B523" s="30">
        <v>2</v>
      </c>
      <c r="C523" s="31">
        <v>1</v>
      </c>
      <c r="D523" s="32">
        <v>1</v>
      </c>
      <c r="E523" s="4">
        <f t="shared" si="181"/>
        <v>4</v>
      </c>
      <c r="F523" s="30">
        <v>2</v>
      </c>
      <c r="G523" s="31">
        <v>1</v>
      </c>
      <c r="H523" s="32">
        <v>1</v>
      </c>
      <c r="I523" s="4">
        <f t="shared" si="182"/>
        <v>4</v>
      </c>
      <c r="J523" s="49">
        <v>44065</v>
      </c>
      <c r="K523" s="5" t="s">
        <v>3</v>
      </c>
      <c r="L523" s="30"/>
      <c r="M523" s="31"/>
      <c r="N523" s="32"/>
      <c r="O523" s="4">
        <f t="shared" si="183"/>
        <v>0</v>
      </c>
      <c r="P523" s="30"/>
      <c r="Q523" s="31"/>
      <c r="R523" s="32"/>
      <c r="S523" s="4">
        <f t="shared" si="184"/>
        <v>0</v>
      </c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5" t="s">
        <v>3</v>
      </c>
      <c r="AJ523" s="30"/>
      <c r="AK523" s="31"/>
      <c r="AL523" s="32"/>
      <c r="AM523" s="4">
        <f t="shared" si="185"/>
        <v>0</v>
      </c>
      <c r="AN523" s="30"/>
      <c r="AO523" s="31"/>
      <c r="AP523" s="32"/>
      <c r="AQ523" s="4">
        <f t="shared" si="186"/>
        <v>0</v>
      </c>
      <c r="AR523" s="29"/>
    </row>
    <row r="524" spans="1:44">
      <c r="A524" s="5" t="s">
        <v>37</v>
      </c>
      <c r="B524" s="16">
        <v>1</v>
      </c>
      <c r="C524" s="11">
        <v>1</v>
      </c>
      <c r="D524" s="16">
        <v>1</v>
      </c>
      <c r="E524" s="4">
        <f t="shared" si="181"/>
        <v>3</v>
      </c>
      <c r="F524" s="16">
        <v>1</v>
      </c>
      <c r="G524" s="11">
        <v>1</v>
      </c>
      <c r="H524" s="16">
        <v>1</v>
      </c>
      <c r="I524" s="4">
        <f t="shared" si="182"/>
        <v>3</v>
      </c>
      <c r="J524" s="49">
        <v>44070</v>
      </c>
      <c r="K524" s="5" t="s">
        <v>3</v>
      </c>
      <c r="L524" s="16"/>
      <c r="M524" s="11"/>
      <c r="N524" s="16"/>
      <c r="O524" s="4">
        <f t="shared" si="183"/>
        <v>0</v>
      </c>
      <c r="P524" s="16"/>
      <c r="Q524" s="11"/>
      <c r="R524" s="16"/>
      <c r="S524" s="4">
        <f t="shared" si="184"/>
        <v>0</v>
      </c>
      <c r="T524" s="43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43"/>
      <c r="AI524" s="5" t="s">
        <v>3</v>
      </c>
      <c r="AJ524" s="16"/>
      <c r="AK524" s="11"/>
      <c r="AL524" s="16"/>
      <c r="AM524" s="4">
        <f t="shared" si="185"/>
        <v>0</v>
      </c>
      <c r="AN524" s="16"/>
      <c r="AO524" s="11"/>
      <c r="AP524" s="16"/>
      <c r="AQ524" s="4">
        <f t="shared" si="186"/>
        <v>0</v>
      </c>
      <c r="AR524" s="50"/>
    </row>
    <row r="525" spans="1:44">
      <c r="A525" s="84" t="s">
        <v>240</v>
      </c>
      <c r="B525" s="16">
        <v>1</v>
      </c>
      <c r="C525" s="11"/>
      <c r="D525" s="16"/>
      <c r="E525" s="4">
        <f t="shared" si="181"/>
        <v>1</v>
      </c>
      <c r="F525" s="16">
        <v>1</v>
      </c>
      <c r="G525" s="11"/>
      <c r="H525" s="16"/>
      <c r="I525" s="4">
        <f t="shared" si="182"/>
        <v>1</v>
      </c>
      <c r="J525" s="49">
        <v>44116</v>
      </c>
      <c r="K525" s="5" t="s">
        <v>3</v>
      </c>
      <c r="L525" s="32"/>
      <c r="M525" s="31"/>
      <c r="N525" s="32"/>
      <c r="O525" s="4">
        <f t="shared" si="183"/>
        <v>0</v>
      </c>
      <c r="P525" s="32"/>
      <c r="Q525" s="31"/>
      <c r="R525" s="32"/>
      <c r="S525" s="4">
        <f t="shared" si="184"/>
        <v>0</v>
      </c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5" t="s">
        <v>3</v>
      </c>
      <c r="AJ525" s="32"/>
      <c r="AK525" s="31"/>
      <c r="AL525" s="32"/>
      <c r="AM525" s="4">
        <f t="shared" si="185"/>
        <v>0</v>
      </c>
      <c r="AN525" s="32"/>
      <c r="AO525" s="31"/>
      <c r="AP525" s="32"/>
      <c r="AQ525" s="4">
        <f t="shared" si="186"/>
        <v>0</v>
      </c>
      <c r="AR525" s="43"/>
    </row>
    <row r="526" spans="1:44">
      <c r="A526" s="5" t="s">
        <v>79</v>
      </c>
      <c r="B526" s="16">
        <v>5</v>
      </c>
      <c r="C526" s="11">
        <v>5</v>
      </c>
      <c r="D526" s="16">
        <v>3</v>
      </c>
      <c r="E526" s="4">
        <f t="shared" si="181"/>
        <v>13</v>
      </c>
      <c r="F526" s="16">
        <v>5</v>
      </c>
      <c r="G526" s="11">
        <v>5</v>
      </c>
      <c r="H526" s="16">
        <v>3</v>
      </c>
      <c r="I526" s="4">
        <f t="shared" si="182"/>
        <v>13</v>
      </c>
      <c r="J526" s="49">
        <v>44123</v>
      </c>
      <c r="K526" s="5" t="s">
        <v>3</v>
      </c>
      <c r="L526" s="16"/>
      <c r="M526" s="11"/>
      <c r="N526" s="16"/>
      <c r="O526" s="4">
        <f t="shared" si="183"/>
        <v>0</v>
      </c>
      <c r="P526" s="16"/>
      <c r="Q526" s="11"/>
      <c r="R526" s="16"/>
      <c r="S526" s="4">
        <f t="shared" si="184"/>
        <v>0</v>
      </c>
      <c r="T526" s="43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43"/>
      <c r="AI526" s="5" t="s">
        <v>3</v>
      </c>
      <c r="AJ526" s="16"/>
      <c r="AK526" s="11"/>
      <c r="AL526" s="16"/>
      <c r="AM526" s="4">
        <f t="shared" si="185"/>
        <v>0</v>
      </c>
      <c r="AN526" s="16"/>
      <c r="AO526" s="11"/>
      <c r="AP526" s="16"/>
      <c r="AQ526" s="4">
        <f t="shared" si="186"/>
        <v>0</v>
      </c>
      <c r="AR526" s="50"/>
    </row>
    <row r="527" spans="1:44">
      <c r="A527" s="5"/>
      <c r="B527" s="32"/>
      <c r="C527" s="31"/>
      <c r="D527" s="32"/>
      <c r="E527" s="4">
        <f t="shared" si="181"/>
        <v>0</v>
      </c>
      <c r="F527" s="32"/>
      <c r="G527" s="31"/>
      <c r="H527" s="32"/>
      <c r="I527" s="4">
        <f t="shared" si="182"/>
        <v>0</v>
      </c>
      <c r="K527" s="5" t="s">
        <v>3</v>
      </c>
      <c r="L527" s="32"/>
      <c r="M527" s="31"/>
      <c r="N527" s="32"/>
      <c r="O527" s="4">
        <f t="shared" si="183"/>
        <v>0</v>
      </c>
      <c r="P527" s="32"/>
      <c r="Q527" s="31"/>
      <c r="R527" s="32"/>
      <c r="S527" s="4">
        <f t="shared" si="184"/>
        <v>0</v>
      </c>
      <c r="T527" s="43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43"/>
      <c r="AI527" s="5" t="s">
        <v>3</v>
      </c>
      <c r="AJ527" s="10"/>
      <c r="AK527" s="9"/>
      <c r="AL527" s="10"/>
      <c r="AM527" s="4">
        <f t="shared" si="185"/>
        <v>0</v>
      </c>
      <c r="AN527" s="10"/>
      <c r="AO527" s="9"/>
      <c r="AP527" s="10"/>
      <c r="AQ527" s="4">
        <f t="shared" si="186"/>
        <v>0</v>
      </c>
      <c r="AR527" s="29"/>
    </row>
    <row r="528" spans="1:44">
      <c r="A528" s="5" t="s">
        <v>3</v>
      </c>
      <c r="B528" s="32"/>
      <c r="C528" s="31"/>
      <c r="D528" s="32"/>
      <c r="E528" s="4">
        <f t="shared" si="181"/>
        <v>0</v>
      </c>
      <c r="F528" s="32"/>
      <c r="G528" s="31"/>
      <c r="H528" s="32"/>
      <c r="I528" s="4">
        <f t="shared" si="182"/>
        <v>0</v>
      </c>
      <c r="K528" s="5" t="s">
        <v>3</v>
      </c>
      <c r="L528" s="32"/>
      <c r="M528" s="31"/>
      <c r="N528" s="32"/>
      <c r="O528" s="4">
        <f t="shared" si="183"/>
        <v>0</v>
      </c>
      <c r="P528" s="32"/>
      <c r="Q528" s="31"/>
      <c r="R528" s="32"/>
      <c r="S528" s="4">
        <f t="shared" si="184"/>
        <v>0</v>
      </c>
      <c r="AI528" s="6" t="s">
        <v>3</v>
      </c>
      <c r="AJ528" s="10"/>
      <c r="AK528" s="9"/>
      <c r="AL528" s="10"/>
      <c r="AM528" s="4">
        <f t="shared" si="185"/>
        <v>0</v>
      </c>
      <c r="AN528" s="10"/>
      <c r="AO528" s="9"/>
      <c r="AP528" s="10"/>
      <c r="AQ528" s="4">
        <f t="shared" si="186"/>
        <v>0</v>
      </c>
    </row>
    <row r="529" spans="1:44">
      <c r="A529" s="5" t="s">
        <v>3</v>
      </c>
      <c r="B529" s="30"/>
      <c r="C529" s="31"/>
      <c r="D529" s="32"/>
      <c r="E529" s="4">
        <f t="shared" si="181"/>
        <v>0</v>
      </c>
      <c r="F529" s="30"/>
      <c r="G529" s="31"/>
      <c r="H529" s="32"/>
      <c r="I529" s="4">
        <f t="shared" si="182"/>
        <v>0</v>
      </c>
      <c r="K529" s="5" t="s">
        <v>3</v>
      </c>
      <c r="L529" s="30"/>
      <c r="M529" s="31"/>
      <c r="N529" s="32"/>
      <c r="O529" s="4">
        <f t="shared" si="183"/>
        <v>0</v>
      </c>
      <c r="P529" s="59"/>
      <c r="Q529" s="60"/>
      <c r="R529" s="61"/>
      <c r="S529" s="4">
        <f t="shared" si="184"/>
        <v>0</v>
      </c>
      <c r="AI529" s="6" t="s">
        <v>3</v>
      </c>
      <c r="AJ529" s="32"/>
      <c r="AK529" s="31"/>
      <c r="AL529" s="32"/>
      <c r="AM529" s="4">
        <f t="shared" si="185"/>
        <v>0</v>
      </c>
      <c r="AN529" s="32"/>
      <c r="AO529" s="31"/>
      <c r="AP529" s="32"/>
      <c r="AQ529" s="4">
        <f t="shared" si="186"/>
        <v>0</v>
      </c>
    </row>
    <row r="530" spans="1:44" ht="14.25" thickBot="1">
      <c r="A530" s="6" t="s">
        <v>3</v>
      </c>
      <c r="B530" s="36"/>
      <c r="C530" s="37"/>
      <c r="D530" s="36"/>
      <c r="E530" s="20">
        <f t="shared" si="181"/>
        <v>0</v>
      </c>
      <c r="F530" s="13"/>
      <c r="G530" s="12"/>
      <c r="H530" s="13"/>
      <c r="I530" s="20">
        <f t="shared" si="182"/>
        <v>0</v>
      </c>
      <c r="K530" s="6" t="s">
        <v>3</v>
      </c>
      <c r="L530" s="13"/>
      <c r="M530" s="12"/>
      <c r="N530" s="13"/>
      <c r="O530" s="20">
        <f t="shared" si="183"/>
        <v>0</v>
      </c>
      <c r="P530" s="13"/>
      <c r="Q530" s="12"/>
      <c r="R530" s="13"/>
      <c r="S530" s="20">
        <f t="shared" si="184"/>
        <v>0</v>
      </c>
      <c r="AI530" s="6" t="s">
        <v>3</v>
      </c>
      <c r="AJ530" s="13"/>
      <c r="AK530" s="12"/>
      <c r="AL530" s="13"/>
      <c r="AM530" s="20">
        <f t="shared" si="185"/>
        <v>0</v>
      </c>
      <c r="AN530" s="13"/>
      <c r="AO530" s="12"/>
      <c r="AP530" s="13"/>
      <c r="AQ530" s="20">
        <f t="shared" si="186"/>
        <v>0</v>
      </c>
    </row>
    <row r="531" spans="1:44" ht="14.25" thickBot="1">
      <c r="A531" s="23" t="s">
        <v>4</v>
      </c>
      <c r="B531" s="24">
        <f>SUM(B520:B530)</f>
        <v>11</v>
      </c>
      <c r="C531" s="24">
        <f>SUM(C520:C530)</f>
        <v>9</v>
      </c>
      <c r="D531" s="25">
        <f>SUM(D520:D530)</f>
        <v>6</v>
      </c>
      <c r="E531" s="26">
        <f t="shared" si="181"/>
        <v>26</v>
      </c>
      <c r="F531" s="24">
        <f>SUM(F520:F530)</f>
        <v>11</v>
      </c>
      <c r="G531" s="24">
        <f>SUM(G520:G530)</f>
        <v>9</v>
      </c>
      <c r="H531" s="25">
        <f>SUM(H520:H530)</f>
        <v>6</v>
      </c>
      <c r="I531" s="26">
        <f t="shared" si="182"/>
        <v>26</v>
      </c>
      <c r="K531" s="23" t="s">
        <v>4</v>
      </c>
      <c r="L531" s="24">
        <f>SUM(L520:L530)</f>
        <v>104</v>
      </c>
      <c r="M531" s="24">
        <f>SUM(M520:M530)</f>
        <v>97</v>
      </c>
      <c r="N531" s="25">
        <f>SUM(N520:N530)</f>
        <v>71</v>
      </c>
      <c r="O531" s="26">
        <f t="shared" si="183"/>
        <v>272</v>
      </c>
      <c r="P531" s="24">
        <f>SUM(P520:P530)</f>
        <v>104</v>
      </c>
      <c r="Q531" s="24">
        <f>SUM(Q520:Q530)</f>
        <v>97</v>
      </c>
      <c r="R531" s="25">
        <f>SUM(R520:R530)</f>
        <v>71</v>
      </c>
      <c r="S531" s="26">
        <f t="shared" si="184"/>
        <v>272</v>
      </c>
      <c r="AI531" s="23" t="s">
        <v>4</v>
      </c>
      <c r="AJ531" s="24">
        <f>SUM(AJ520:AJ530)</f>
        <v>0</v>
      </c>
      <c r="AK531" s="24">
        <f>SUM(AK520:AK530)</f>
        <v>0</v>
      </c>
      <c r="AL531" s="25">
        <f>SUM(AL520:AL530)</f>
        <v>0</v>
      </c>
      <c r="AM531" s="26">
        <f t="shared" si="185"/>
        <v>0</v>
      </c>
      <c r="AN531" s="24">
        <f>SUM(AN520:AN530)</f>
        <v>0</v>
      </c>
      <c r="AO531" s="24">
        <f>SUM(AO520:AO530)</f>
        <v>0</v>
      </c>
      <c r="AP531" s="25">
        <f>SUM(AP520:AP530)</f>
        <v>0</v>
      </c>
      <c r="AQ531" s="26">
        <f t="shared" si="186"/>
        <v>0</v>
      </c>
    </row>
    <row r="532" spans="1:44">
      <c r="A532" s="3" t="s">
        <v>226</v>
      </c>
      <c r="B532" s="8"/>
      <c r="C532" s="9">
        <v>2</v>
      </c>
      <c r="D532" s="10">
        <v>1</v>
      </c>
      <c r="E532" s="4">
        <f t="shared" si="181"/>
        <v>3</v>
      </c>
      <c r="F532" s="8"/>
      <c r="G532" s="9">
        <v>2</v>
      </c>
      <c r="H532" s="10">
        <v>1</v>
      </c>
      <c r="I532" s="4">
        <f t="shared" si="182"/>
        <v>3</v>
      </c>
      <c r="J532" s="43">
        <v>44043</v>
      </c>
      <c r="K532" s="11" t="s">
        <v>177</v>
      </c>
      <c r="L532" s="8">
        <v>20</v>
      </c>
      <c r="M532" s="9">
        <v>20</v>
      </c>
      <c r="N532" s="10">
        <v>20</v>
      </c>
      <c r="O532" s="7">
        <f t="shared" si="183"/>
        <v>60</v>
      </c>
      <c r="P532" s="8">
        <v>20</v>
      </c>
      <c r="Q532" s="9">
        <v>20</v>
      </c>
      <c r="R532" s="10">
        <v>20</v>
      </c>
      <c r="S532" s="7">
        <f t="shared" si="184"/>
        <v>60</v>
      </c>
      <c r="T532" s="43">
        <v>44040</v>
      </c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43"/>
      <c r="AI532" s="3"/>
      <c r="AJ532" s="16"/>
      <c r="AK532" s="11"/>
      <c r="AL532" s="16"/>
      <c r="AM532" s="4">
        <f t="shared" ref="AM532:AM556" si="187">SUM(AJ532:AL532)</f>
        <v>0</v>
      </c>
      <c r="AN532" s="16"/>
      <c r="AO532" s="11"/>
      <c r="AP532" s="16"/>
      <c r="AQ532" s="4">
        <f t="shared" ref="AQ532:AQ556" si="188">SUM(AN532:AP532)</f>
        <v>0</v>
      </c>
      <c r="AR532" s="43"/>
    </row>
    <row r="533" spans="1:44">
      <c r="A533" s="3" t="s">
        <v>226</v>
      </c>
      <c r="B533" s="8">
        <v>2</v>
      </c>
      <c r="C533" s="9"/>
      <c r="D533" s="10"/>
      <c r="E533" s="4">
        <f t="shared" si="181"/>
        <v>2</v>
      </c>
      <c r="F533" s="8">
        <v>2</v>
      </c>
      <c r="G533" s="9"/>
      <c r="H533" s="10"/>
      <c r="I533" s="4">
        <f t="shared" si="182"/>
        <v>2</v>
      </c>
      <c r="J533" s="43">
        <v>44051</v>
      </c>
      <c r="K533" s="3" t="s">
        <v>226</v>
      </c>
      <c r="L533" s="8">
        <v>8</v>
      </c>
      <c r="M533" s="9">
        <v>11</v>
      </c>
      <c r="N533" s="10">
        <v>4</v>
      </c>
      <c r="O533" s="4">
        <f t="shared" si="183"/>
        <v>23</v>
      </c>
      <c r="P533" s="8">
        <v>8</v>
      </c>
      <c r="Q533" s="9">
        <v>11</v>
      </c>
      <c r="R533" s="10">
        <v>4</v>
      </c>
      <c r="S533" s="4">
        <f t="shared" si="184"/>
        <v>23</v>
      </c>
      <c r="T533" s="43">
        <v>44041</v>
      </c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43"/>
      <c r="AI533" s="3"/>
      <c r="AJ533" s="8"/>
      <c r="AK533" s="9"/>
      <c r="AL533" s="10"/>
      <c r="AM533" s="4">
        <f t="shared" si="187"/>
        <v>0</v>
      </c>
      <c r="AN533" s="8"/>
      <c r="AO533" s="9"/>
      <c r="AP533" s="10"/>
      <c r="AQ533" s="4">
        <f t="shared" si="188"/>
        <v>0</v>
      </c>
      <c r="AR533" s="29"/>
    </row>
    <row r="534" spans="1:44">
      <c r="A534" s="3" t="s">
        <v>239</v>
      </c>
      <c r="B534" s="8">
        <v>2</v>
      </c>
      <c r="C534" s="9">
        <v>2</v>
      </c>
      <c r="D534" s="10">
        <v>2</v>
      </c>
      <c r="E534" s="7">
        <f t="shared" si="181"/>
        <v>6</v>
      </c>
      <c r="F534" s="8">
        <v>2</v>
      </c>
      <c r="G534" s="9">
        <v>2</v>
      </c>
      <c r="H534" s="10">
        <v>2</v>
      </c>
      <c r="I534" s="7">
        <f t="shared" si="182"/>
        <v>6</v>
      </c>
      <c r="J534" s="43">
        <v>44076</v>
      </c>
      <c r="K534" s="3" t="s">
        <v>227</v>
      </c>
      <c r="L534" s="8">
        <v>5</v>
      </c>
      <c r="M534" s="9"/>
      <c r="N534" s="10"/>
      <c r="O534" s="7">
        <f t="shared" si="183"/>
        <v>5</v>
      </c>
      <c r="P534" s="8">
        <v>5</v>
      </c>
      <c r="Q534" s="9"/>
      <c r="R534" s="10"/>
      <c r="S534" s="7">
        <f t="shared" si="184"/>
        <v>5</v>
      </c>
      <c r="T534" s="43">
        <v>44047</v>
      </c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43"/>
      <c r="AI534" s="3"/>
      <c r="AJ534" s="32"/>
      <c r="AK534" s="31"/>
      <c r="AL534" s="32"/>
      <c r="AM534" s="4">
        <f t="shared" si="187"/>
        <v>0</v>
      </c>
      <c r="AN534" s="32"/>
      <c r="AO534" s="31"/>
      <c r="AP534" s="32"/>
      <c r="AQ534" s="4">
        <f t="shared" si="188"/>
        <v>0</v>
      </c>
      <c r="AR534" s="43"/>
    </row>
    <row r="535" spans="1:44">
      <c r="A535" s="3"/>
      <c r="B535" s="8"/>
      <c r="C535" s="9"/>
      <c r="D535" s="10"/>
      <c r="E535" s="4">
        <f t="shared" si="181"/>
        <v>0</v>
      </c>
      <c r="F535" s="8"/>
      <c r="G535" s="9"/>
      <c r="H535" s="10"/>
      <c r="I535" s="4">
        <f t="shared" si="182"/>
        <v>0</v>
      </c>
      <c r="K535" s="3" t="s">
        <v>226</v>
      </c>
      <c r="L535" s="8">
        <v>4</v>
      </c>
      <c r="M535" s="9">
        <v>2</v>
      </c>
      <c r="N535" s="10">
        <v>5</v>
      </c>
      <c r="O535" s="4">
        <f t="shared" si="183"/>
        <v>11</v>
      </c>
      <c r="P535" s="8">
        <v>4</v>
      </c>
      <c r="Q535" s="9">
        <v>2</v>
      </c>
      <c r="R535" s="10">
        <v>5</v>
      </c>
      <c r="S535" s="4">
        <f t="shared" si="184"/>
        <v>11</v>
      </c>
      <c r="T535" s="43">
        <v>44042</v>
      </c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43"/>
      <c r="AI535" s="3"/>
      <c r="AJ535" s="8"/>
      <c r="AK535" s="9"/>
      <c r="AL535" s="10"/>
      <c r="AM535" s="4">
        <f t="shared" si="187"/>
        <v>0</v>
      </c>
      <c r="AN535" s="8"/>
      <c r="AO535" s="9"/>
      <c r="AP535" s="10"/>
      <c r="AQ535" s="4">
        <f t="shared" si="188"/>
        <v>0</v>
      </c>
      <c r="AR535" s="29"/>
    </row>
    <row r="536" spans="1:44">
      <c r="A536" s="3"/>
      <c r="B536" s="8"/>
      <c r="C536" s="9"/>
      <c r="D536" s="10"/>
      <c r="E536" s="4">
        <f t="shared" si="181"/>
        <v>0</v>
      </c>
      <c r="F536" s="8"/>
      <c r="G536" s="9"/>
      <c r="H536" s="10"/>
      <c r="I536" s="4">
        <f t="shared" si="182"/>
        <v>0</v>
      </c>
      <c r="K536" s="3" t="s">
        <v>228</v>
      </c>
      <c r="L536" s="8">
        <v>15</v>
      </c>
      <c r="M536" s="9">
        <v>15</v>
      </c>
      <c r="N536" s="10">
        <v>15</v>
      </c>
      <c r="O536" s="4">
        <f t="shared" si="183"/>
        <v>45</v>
      </c>
      <c r="P536" s="8">
        <v>15</v>
      </c>
      <c r="Q536" s="9">
        <v>15</v>
      </c>
      <c r="R536" s="10">
        <v>15</v>
      </c>
      <c r="S536" s="4">
        <f t="shared" si="184"/>
        <v>45</v>
      </c>
      <c r="T536" s="43">
        <v>44047</v>
      </c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43"/>
      <c r="AI536" s="3"/>
      <c r="AJ536" s="8"/>
      <c r="AK536" s="9"/>
      <c r="AL536" s="10"/>
      <c r="AM536" s="4">
        <f t="shared" si="187"/>
        <v>0</v>
      </c>
      <c r="AN536" s="8"/>
      <c r="AO536" s="9"/>
      <c r="AP536" s="10"/>
      <c r="AQ536" s="4">
        <f t="shared" si="188"/>
        <v>0</v>
      </c>
      <c r="AR536" s="29"/>
    </row>
    <row r="537" spans="1:44">
      <c r="A537" s="3"/>
      <c r="B537" s="8"/>
      <c r="C537" s="9"/>
      <c r="D537" s="10"/>
      <c r="E537" s="7">
        <f t="shared" si="181"/>
        <v>0</v>
      </c>
      <c r="F537" s="8"/>
      <c r="G537" s="9"/>
      <c r="H537" s="10"/>
      <c r="I537" s="7">
        <f t="shared" si="182"/>
        <v>0</v>
      </c>
      <c r="K537" s="3" t="s">
        <v>229</v>
      </c>
      <c r="L537" s="8"/>
      <c r="M537" s="9">
        <v>10</v>
      </c>
      <c r="N537" s="10">
        <v>10</v>
      </c>
      <c r="O537" s="7">
        <f t="shared" si="183"/>
        <v>20</v>
      </c>
      <c r="P537" s="8"/>
      <c r="Q537" s="9">
        <v>10</v>
      </c>
      <c r="R537" s="10">
        <v>10</v>
      </c>
      <c r="S537" s="7">
        <f t="shared" si="184"/>
        <v>20</v>
      </c>
      <c r="T537" s="43">
        <v>44049</v>
      </c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43"/>
      <c r="AI537" s="3"/>
      <c r="AJ537" s="8"/>
      <c r="AK537" s="9"/>
      <c r="AL537" s="10"/>
      <c r="AM537" s="7">
        <f t="shared" si="187"/>
        <v>0</v>
      </c>
      <c r="AN537" s="8"/>
      <c r="AO537" s="9"/>
      <c r="AP537" s="10"/>
      <c r="AQ537" s="7">
        <f t="shared" si="188"/>
        <v>0</v>
      </c>
      <c r="AR537" s="29"/>
    </row>
    <row r="538" spans="1:44">
      <c r="A538" s="3"/>
      <c r="B538" s="8"/>
      <c r="C538" s="9"/>
      <c r="D538" s="10"/>
      <c r="E538" s="7">
        <f t="shared" si="181"/>
        <v>0</v>
      </c>
      <c r="F538" s="8"/>
      <c r="G538" s="9"/>
      <c r="H538" s="10"/>
      <c r="I538" s="7">
        <f t="shared" si="182"/>
        <v>0</v>
      </c>
      <c r="K538" s="3" t="s">
        <v>230</v>
      </c>
      <c r="L538" s="8"/>
      <c r="M538" s="9">
        <v>10</v>
      </c>
      <c r="N538" s="10">
        <v>5</v>
      </c>
      <c r="O538" s="7">
        <f t="shared" si="183"/>
        <v>15</v>
      </c>
      <c r="P538" s="8"/>
      <c r="Q538" s="9">
        <v>10</v>
      </c>
      <c r="R538" s="10">
        <v>5</v>
      </c>
      <c r="S538" s="7">
        <f t="shared" si="184"/>
        <v>15</v>
      </c>
      <c r="T538" s="43">
        <v>44051</v>
      </c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43"/>
      <c r="AI538" s="3"/>
      <c r="AJ538" s="8"/>
      <c r="AK538" s="9"/>
      <c r="AL538" s="10"/>
      <c r="AM538" s="7">
        <f t="shared" si="187"/>
        <v>0</v>
      </c>
      <c r="AN538" s="8"/>
      <c r="AO538" s="9"/>
      <c r="AP538" s="10"/>
      <c r="AQ538" s="7">
        <f t="shared" si="188"/>
        <v>0</v>
      </c>
      <c r="AR538" s="29"/>
    </row>
    <row r="539" spans="1:44">
      <c r="A539" s="3"/>
      <c r="B539" s="8"/>
      <c r="C539" s="9"/>
      <c r="D539" s="10"/>
      <c r="E539" s="7">
        <f t="shared" si="181"/>
        <v>0</v>
      </c>
      <c r="F539" s="8"/>
      <c r="G539" s="9"/>
      <c r="H539" s="10"/>
      <c r="I539" s="7">
        <f t="shared" si="182"/>
        <v>0</v>
      </c>
      <c r="K539" s="3" t="s">
        <v>232</v>
      </c>
      <c r="L539" s="8">
        <v>4</v>
      </c>
      <c r="M539" s="9">
        <v>2</v>
      </c>
      <c r="N539" s="10">
        <v>1</v>
      </c>
      <c r="O539" s="7">
        <f t="shared" si="183"/>
        <v>7</v>
      </c>
      <c r="P539" s="8">
        <v>4</v>
      </c>
      <c r="Q539" s="9">
        <v>2</v>
      </c>
      <c r="R539" s="10">
        <v>1</v>
      </c>
      <c r="S539" s="7">
        <f t="shared" si="184"/>
        <v>7</v>
      </c>
      <c r="T539" s="43">
        <v>44056</v>
      </c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43"/>
      <c r="AI539" s="3"/>
      <c r="AJ539" s="8"/>
      <c r="AK539" s="9"/>
      <c r="AL539" s="10"/>
      <c r="AM539" s="7">
        <f t="shared" si="187"/>
        <v>0</v>
      </c>
      <c r="AN539" s="8"/>
      <c r="AO539" s="9"/>
      <c r="AP539" s="10"/>
      <c r="AQ539" s="7">
        <f t="shared" si="188"/>
        <v>0</v>
      </c>
    </row>
    <row r="540" spans="1:44">
      <c r="A540" s="3"/>
      <c r="B540" s="8"/>
      <c r="C540" s="9"/>
      <c r="D540" s="10"/>
      <c r="E540" s="7">
        <f t="shared" si="181"/>
        <v>0</v>
      </c>
      <c r="F540" s="8"/>
      <c r="G540" s="9"/>
      <c r="H540" s="10"/>
      <c r="I540" s="7">
        <f t="shared" si="182"/>
        <v>0</v>
      </c>
      <c r="K540" s="40" t="s">
        <v>233</v>
      </c>
      <c r="L540" s="79">
        <v>12</v>
      </c>
      <c r="M540" s="80">
        <v>22</v>
      </c>
      <c r="N540" s="81">
        <v>6</v>
      </c>
      <c r="O540" s="82">
        <f t="shared" si="183"/>
        <v>40</v>
      </c>
      <c r="P540" s="79">
        <v>12</v>
      </c>
      <c r="Q540" s="80">
        <v>22</v>
      </c>
      <c r="R540" s="81">
        <v>6</v>
      </c>
      <c r="S540" s="82">
        <f t="shared" si="184"/>
        <v>40</v>
      </c>
      <c r="T540" s="78">
        <v>44057</v>
      </c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78"/>
      <c r="AI540" s="3"/>
      <c r="AJ540" s="8"/>
      <c r="AK540" s="9"/>
      <c r="AL540" s="10"/>
      <c r="AM540" s="7">
        <f t="shared" si="187"/>
        <v>0</v>
      </c>
      <c r="AN540" s="8"/>
      <c r="AO540" s="9"/>
      <c r="AP540" s="10"/>
      <c r="AQ540" s="7">
        <f t="shared" si="188"/>
        <v>0</v>
      </c>
    </row>
    <row r="541" spans="1:44">
      <c r="A541" s="3"/>
      <c r="B541" s="8"/>
      <c r="C541" s="9"/>
      <c r="D541" s="10"/>
      <c r="E541" s="7">
        <f t="shared" si="181"/>
        <v>0</v>
      </c>
      <c r="F541" s="8"/>
      <c r="G541" s="9"/>
      <c r="H541" s="10"/>
      <c r="I541" s="7">
        <f t="shared" si="182"/>
        <v>0</v>
      </c>
      <c r="K541" s="40" t="s">
        <v>233</v>
      </c>
      <c r="L541" s="79">
        <v>1</v>
      </c>
      <c r="M541" s="80"/>
      <c r="N541" s="81"/>
      <c r="O541" s="82">
        <f t="shared" si="183"/>
        <v>1</v>
      </c>
      <c r="P541" s="79">
        <v>1</v>
      </c>
      <c r="Q541" s="80"/>
      <c r="R541" s="81"/>
      <c r="S541" s="82">
        <f t="shared" si="184"/>
        <v>1</v>
      </c>
      <c r="T541" s="78">
        <v>44061</v>
      </c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78"/>
      <c r="AI541" s="3"/>
      <c r="AJ541" s="8"/>
      <c r="AK541" s="9"/>
      <c r="AL541" s="10"/>
      <c r="AM541" s="7">
        <f t="shared" si="187"/>
        <v>0</v>
      </c>
      <c r="AN541" s="8"/>
      <c r="AO541" s="9"/>
      <c r="AP541" s="10"/>
      <c r="AQ541" s="7">
        <f t="shared" si="188"/>
        <v>0</v>
      </c>
    </row>
    <row r="542" spans="1:44">
      <c r="A542" s="3"/>
      <c r="B542" s="8"/>
      <c r="C542" s="9"/>
      <c r="D542" s="10"/>
      <c r="E542" s="7">
        <f t="shared" si="181"/>
        <v>0</v>
      </c>
      <c r="F542" s="8"/>
      <c r="G542" s="9"/>
      <c r="H542" s="10"/>
      <c r="I542" s="7">
        <f t="shared" si="182"/>
        <v>0</v>
      </c>
      <c r="K542" s="3" t="s">
        <v>237</v>
      </c>
      <c r="L542" s="30"/>
      <c r="M542" s="9">
        <v>5</v>
      </c>
      <c r="N542" s="10">
        <v>5</v>
      </c>
      <c r="O542" s="7">
        <f t="shared" si="183"/>
        <v>10</v>
      </c>
      <c r="P542" s="8"/>
      <c r="Q542" s="9">
        <v>5</v>
      </c>
      <c r="R542" s="10">
        <v>5</v>
      </c>
      <c r="S542" s="7">
        <f t="shared" si="184"/>
        <v>10</v>
      </c>
      <c r="T542" s="43">
        <v>44068</v>
      </c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43"/>
      <c r="AI542" s="3"/>
      <c r="AJ542" s="8"/>
      <c r="AK542" s="9"/>
      <c r="AL542" s="10"/>
      <c r="AM542" s="7">
        <f t="shared" si="187"/>
        <v>0</v>
      </c>
      <c r="AN542" s="8"/>
      <c r="AO542" s="9"/>
      <c r="AP542" s="10"/>
      <c r="AQ542" s="7">
        <f t="shared" si="188"/>
        <v>0</v>
      </c>
    </row>
    <row r="543" spans="1:44">
      <c r="A543" s="3"/>
      <c r="B543" s="8"/>
      <c r="C543" s="9"/>
      <c r="D543" s="10"/>
      <c r="E543" s="7">
        <f t="shared" si="181"/>
        <v>0</v>
      </c>
      <c r="F543" s="8"/>
      <c r="G543" s="9"/>
      <c r="H543" s="10"/>
      <c r="I543" s="7">
        <f t="shared" si="182"/>
        <v>0</v>
      </c>
      <c r="K543" s="3"/>
      <c r="L543" s="8"/>
      <c r="M543" s="9"/>
      <c r="N543" s="10"/>
      <c r="O543" s="7">
        <f t="shared" si="183"/>
        <v>0</v>
      </c>
      <c r="P543" s="8"/>
      <c r="Q543" s="9"/>
      <c r="R543" s="10"/>
      <c r="S543" s="7">
        <f t="shared" si="184"/>
        <v>0</v>
      </c>
      <c r="T543" s="43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43"/>
      <c r="AI543" s="3"/>
      <c r="AJ543" s="8"/>
      <c r="AK543" s="9"/>
      <c r="AL543" s="10"/>
      <c r="AM543" s="7">
        <f t="shared" si="187"/>
        <v>0</v>
      </c>
      <c r="AN543" s="8"/>
      <c r="AO543" s="9"/>
      <c r="AP543" s="10"/>
      <c r="AQ543" s="7">
        <f t="shared" si="188"/>
        <v>0</v>
      </c>
    </row>
    <row r="544" spans="1:44">
      <c r="A544" s="3"/>
      <c r="B544" s="8"/>
      <c r="C544" s="9"/>
      <c r="D544" s="10"/>
      <c r="E544" s="7">
        <f t="shared" si="181"/>
        <v>0</v>
      </c>
      <c r="F544" s="8"/>
      <c r="G544" s="9"/>
      <c r="H544" s="10"/>
      <c r="I544" s="7">
        <f t="shared" si="182"/>
        <v>0</v>
      </c>
      <c r="K544" s="40" t="s">
        <v>233</v>
      </c>
      <c r="L544" s="79">
        <v>3</v>
      </c>
      <c r="M544" s="80"/>
      <c r="N544" s="81"/>
      <c r="O544" s="82">
        <f t="shared" si="183"/>
        <v>3</v>
      </c>
      <c r="P544" s="79">
        <v>3</v>
      </c>
      <c r="Q544" s="80"/>
      <c r="R544" s="81"/>
      <c r="S544" s="82">
        <f t="shared" si="184"/>
        <v>3</v>
      </c>
      <c r="T544" s="78">
        <v>44062</v>
      </c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78"/>
      <c r="AI544" s="3"/>
      <c r="AJ544" s="8"/>
      <c r="AK544" s="9"/>
      <c r="AL544" s="10"/>
      <c r="AM544" s="7">
        <f t="shared" si="187"/>
        <v>0</v>
      </c>
      <c r="AN544" s="8"/>
      <c r="AO544" s="9"/>
      <c r="AP544" s="10"/>
      <c r="AQ544" s="7">
        <f t="shared" si="188"/>
        <v>0</v>
      </c>
    </row>
    <row r="545" spans="1:43">
      <c r="A545" s="3"/>
      <c r="B545" s="8"/>
      <c r="C545" s="9"/>
      <c r="D545" s="10"/>
      <c r="E545" s="7">
        <f t="shared" si="181"/>
        <v>0</v>
      </c>
      <c r="F545" s="8"/>
      <c r="G545" s="9"/>
      <c r="H545" s="10"/>
      <c r="I545" s="7">
        <f t="shared" si="182"/>
        <v>0</v>
      </c>
      <c r="K545" s="3" t="s">
        <v>238</v>
      </c>
      <c r="L545" s="8">
        <v>10</v>
      </c>
      <c r="M545" s="9"/>
      <c r="N545" s="10"/>
      <c r="O545" s="7">
        <f t="shared" si="183"/>
        <v>10</v>
      </c>
      <c r="P545" s="8">
        <v>10</v>
      </c>
      <c r="Q545" s="9"/>
      <c r="R545" s="10"/>
      <c r="S545" s="7">
        <f t="shared" si="184"/>
        <v>10</v>
      </c>
      <c r="T545" s="43">
        <v>44063</v>
      </c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43"/>
      <c r="AI545" s="3"/>
      <c r="AJ545" s="8"/>
      <c r="AK545" s="9"/>
      <c r="AL545" s="10"/>
      <c r="AM545" s="7">
        <f t="shared" si="187"/>
        <v>0</v>
      </c>
      <c r="AN545" s="8"/>
      <c r="AO545" s="9"/>
      <c r="AP545" s="10"/>
      <c r="AQ545" s="7">
        <f t="shared" si="188"/>
        <v>0</v>
      </c>
    </row>
    <row r="546" spans="1:43">
      <c r="A546" s="3"/>
      <c r="B546" s="8"/>
      <c r="C546" s="9"/>
      <c r="D546" s="10"/>
      <c r="E546" s="7">
        <f t="shared" si="181"/>
        <v>0</v>
      </c>
      <c r="F546" s="8"/>
      <c r="G546" s="9"/>
      <c r="H546" s="10"/>
      <c r="I546" s="7">
        <f t="shared" si="182"/>
        <v>0</v>
      </c>
      <c r="K546" s="40" t="s">
        <v>233</v>
      </c>
      <c r="L546" s="79">
        <v>1</v>
      </c>
      <c r="M546" s="80"/>
      <c r="N546" s="81"/>
      <c r="O546" s="82">
        <f t="shared" si="183"/>
        <v>1</v>
      </c>
      <c r="P546" s="79">
        <v>1</v>
      </c>
      <c r="Q546" s="80"/>
      <c r="R546" s="81"/>
      <c r="S546" s="82">
        <f t="shared" si="184"/>
        <v>1</v>
      </c>
      <c r="T546" s="78">
        <v>44065</v>
      </c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78"/>
      <c r="AI546" s="3"/>
      <c r="AJ546" s="8"/>
      <c r="AK546" s="9"/>
      <c r="AL546" s="10"/>
      <c r="AM546" s="7">
        <f t="shared" si="187"/>
        <v>0</v>
      </c>
      <c r="AN546" s="8"/>
      <c r="AO546" s="9"/>
      <c r="AP546" s="10"/>
      <c r="AQ546" s="7">
        <f t="shared" si="188"/>
        <v>0</v>
      </c>
    </row>
    <row r="547" spans="1:43">
      <c r="A547" s="3"/>
      <c r="B547" s="8"/>
      <c r="C547" s="9"/>
      <c r="D547" s="10"/>
      <c r="E547" s="7">
        <f t="shared" si="181"/>
        <v>0</v>
      </c>
      <c r="F547" s="8"/>
      <c r="G547" s="9"/>
      <c r="H547" s="10"/>
      <c r="I547" s="7">
        <f t="shared" si="182"/>
        <v>0</v>
      </c>
      <c r="K547" s="40" t="s">
        <v>233</v>
      </c>
      <c r="L547" s="79">
        <v>3</v>
      </c>
      <c r="M547" s="80"/>
      <c r="N547" s="81"/>
      <c r="O547" s="82">
        <f t="shared" si="183"/>
        <v>3</v>
      </c>
      <c r="P547" s="79">
        <v>3</v>
      </c>
      <c r="Q547" s="80"/>
      <c r="R547" s="81"/>
      <c r="S547" s="82">
        <f t="shared" si="184"/>
        <v>3</v>
      </c>
      <c r="T547" s="78">
        <v>44068</v>
      </c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78"/>
      <c r="AI547" s="3"/>
      <c r="AJ547" s="8"/>
      <c r="AK547" s="9"/>
      <c r="AL547" s="10"/>
      <c r="AM547" s="7">
        <f t="shared" si="187"/>
        <v>0</v>
      </c>
      <c r="AN547" s="8"/>
      <c r="AO547" s="9"/>
      <c r="AP547" s="10"/>
      <c r="AQ547" s="7">
        <f t="shared" si="188"/>
        <v>0</v>
      </c>
    </row>
    <row r="548" spans="1:43">
      <c r="A548" s="3"/>
      <c r="B548" s="8"/>
      <c r="C548" s="9"/>
      <c r="D548" s="10"/>
      <c r="E548" s="7">
        <f t="shared" si="181"/>
        <v>0</v>
      </c>
      <c r="F548" s="8"/>
      <c r="G548" s="9"/>
      <c r="H548" s="10"/>
      <c r="I548" s="7">
        <f t="shared" si="182"/>
        <v>0</v>
      </c>
      <c r="K548" s="40" t="s">
        <v>233</v>
      </c>
      <c r="L548" s="79">
        <v>2</v>
      </c>
      <c r="M548" s="80"/>
      <c r="N548" s="81"/>
      <c r="O548" s="82">
        <f t="shared" si="183"/>
        <v>2</v>
      </c>
      <c r="P548" s="79">
        <v>2</v>
      </c>
      <c r="Q548" s="80"/>
      <c r="R548" s="81"/>
      <c r="S548" s="82">
        <f t="shared" si="184"/>
        <v>2</v>
      </c>
      <c r="T548" s="78">
        <v>44070</v>
      </c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78"/>
      <c r="AI548" s="11"/>
      <c r="AJ548" s="8"/>
      <c r="AK548" s="9"/>
      <c r="AL548" s="10"/>
      <c r="AM548" s="7">
        <f t="shared" si="187"/>
        <v>0</v>
      </c>
      <c r="AN548" s="8"/>
      <c r="AO548" s="9"/>
      <c r="AP548" s="10"/>
      <c r="AQ548" s="7">
        <f t="shared" si="188"/>
        <v>0</v>
      </c>
    </row>
    <row r="549" spans="1:43">
      <c r="A549" s="3"/>
      <c r="B549" s="8"/>
      <c r="C549" s="9"/>
      <c r="D549" s="10"/>
      <c r="E549" s="7">
        <f t="shared" si="181"/>
        <v>0</v>
      </c>
      <c r="F549" s="8"/>
      <c r="G549" s="9"/>
      <c r="H549" s="10"/>
      <c r="I549" s="7">
        <f t="shared" si="182"/>
        <v>0</v>
      </c>
      <c r="K549" s="40" t="s">
        <v>233</v>
      </c>
      <c r="L549" s="79">
        <v>1</v>
      </c>
      <c r="M549" s="80"/>
      <c r="N549" s="81"/>
      <c r="O549" s="82">
        <f t="shared" si="183"/>
        <v>1</v>
      </c>
      <c r="P549" s="79">
        <v>1</v>
      </c>
      <c r="Q549" s="80"/>
      <c r="R549" s="81"/>
      <c r="S549" s="82">
        <f t="shared" si="184"/>
        <v>1</v>
      </c>
      <c r="T549" s="78">
        <v>44077</v>
      </c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78"/>
      <c r="AI549" s="3"/>
      <c r="AJ549" s="8"/>
      <c r="AK549" s="9"/>
      <c r="AL549" s="10"/>
      <c r="AM549" s="7">
        <f t="shared" si="187"/>
        <v>0</v>
      </c>
      <c r="AN549" s="8"/>
      <c r="AO549" s="9"/>
      <c r="AP549" s="10"/>
      <c r="AQ549" s="7">
        <f t="shared" si="188"/>
        <v>0</v>
      </c>
    </row>
    <row r="550" spans="1:43">
      <c r="A550" s="11"/>
      <c r="B550" s="8"/>
      <c r="C550" s="9"/>
      <c r="D550" s="10"/>
      <c r="E550" s="7">
        <f t="shared" si="181"/>
        <v>0</v>
      </c>
      <c r="F550" s="8"/>
      <c r="G550" s="9"/>
      <c r="H550" s="10"/>
      <c r="I550" s="7">
        <f t="shared" si="182"/>
        <v>0</v>
      </c>
      <c r="K550" s="3"/>
      <c r="L550" s="8"/>
      <c r="M550" s="9"/>
      <c r="N550" s="10"/>
      <c r="O550" s="7">
        <f t="shared" si="183"/>
        <v>0</v>
      </c>
      <c r="P550" s="8"/>
      <c r="Q550" s="9"/>
      <c r="R550" s="10"/>
      <c r="S550" s="7">
        <f t="shared" si="184"/>
        <v>0</v>
      </c>
      <c r="T550" s="43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43"/>
      <c r="AI550" s="11"/>
      <c r="AJ550" s="8"/>
      <c r="AK550" s="9"/>
      <c r="AL550" s="10"/>
      <c r="AM550" s="7">
        <f t="shared" si="187"/>
        <v>0</v>
      </c>
      <c r="AN550" s="8"/>
      <c r="AO550" s="9"/>
      <c r="AP550" s="10"/>
      <c r="AQ550" s="7">
        <f t="shared" si="188"/>
        <v>0</v>
      </c>
    </row>
    <row r="551" spans="1:43">
      <c r="A551" s="11"/>
      <c r="B551" s="8"/>
      <c r="C551" s="9"/>
      <c r="D551" s="10"/>
      <c r="E551" s="7">
        <f t="shared" si="181"/>
        <v>0</v>
      </c>
      <c r="F551" s="8"/>
      <c r="G551" s="9"/>
      <c r="H551" s="10"/>
      <c r="I551" s="7">
        <f t="shared" si="182"/>
        <v>0</v>
      </c>
      <c r="K551" s="3"/>
      <c r="L551" s="8"/>
      <c r="M551" s="9"/>
      <c r="N551" s="10"/>
      <c r="O551" s="7">
        <f t="shared" si="183"/>
        <v>0</v>
      </c>
      <c r="P551" s="8"/>
      <c r="Q551" s="9"/>
      <c r="R551" s="10"/>
      <c r="S551" s="7">
        <f t="shared" si="184"/>
        <v>0</v>
      </c>
      <c r="T551" s="71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71"/>
      <c r="AI551" s="11"/>
      <c r="AJ551" s="8"/>
      <c r="AK551" s="9"/>
      <c r="AL551" s="10"/>
      <c r="AM551" s="7">
        <f t="shared" si="187"/>
        <v>0</v>
      </c>
      <c r="AN551" s="8"/>
      <c r="AO551" s="9"/>
      <c r="AP551" s="10"/>
      <c r="AQ551" s="7">
        <f t="shared" si="188"/>
        <v>0</v>
      </c>
    </row>
    <row r="552" spans="1:43">
      <c r="A552" s="11"/>
      <c r="B552" s="8"/>
      <c r="C552" s="9"/>
      <c r="D552" s="10"/>
      <c r="E552" s="7">
        <f t="shared" si="181"/>
        <v>0</v>
      </c>
      <c r="F552" s="8"/>
      <c r="G552" s="9"/>
      <c r="H552" s="10"/>
      <c r="I552" s="7">
        <f t="shared" si="182"/>
        <v>0</v>
      </c>
      <c r="K552" s="11"/>
      <c r="L552" s="8"/>
      <c r="M552" s="9"/>
      <c r="N552" s="10"/>
      <c r="O552" s="7">
        <f t="shared" si="183"/>
        <v>0</v>
      </c>
      <c r="P552" s="8"/>
      <c r="Q552" s="9"/>
      <c r="R552" s="10"/>
      <c r="S552" s="7">
        <f t="shared" si="184"/>
        <v>0</v>
      </c>
      <c r="T552" s="71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71"/>
      <c r="AI552" s="11"/>
      <c r="AJ552" s="8"/>
      <c r="AK552" s="9"/>
      <c r="AL552" s="10"/>
      <c r="AM552" s="7">
        <f t="shared" si="187"/>
        <v>0</v>
      </c>
      <c r="AN552" s="8"/>
      <c r="AO552" s="9"/>
      <c r="AP552" s="10"/>
      <c r="AQ552" s="7">
        <f t="shared" si="188"/>
        <v>0</v>
      </c>
    </row>
    <row r="553" spans="1:43">
      <c r="A553" s="11"/>
      <c r="B553" s="8"/>
      <c r="C553" s="9"/>
      <c r="D553" s="10"/>
      <c r="E553" s="7">
        <f t="shared" si="181"/>
        <v>0</v>
      </c>
      <c r="F553" s="8"/>
      <c r="G553" s="9"/>
      <c r="H553" s="10"/>
      <c r="I553" s="7">
        <f t="shared" si="182"/>
        <v>0</v>
      </c>
      <c r="K553" s="11" t="s">
        <v>185</v>
      </c>
      <c r="L553" s="8"/>
      <c r="M553" s="9"/>
      <c r="N553" s="10"/>
      <c r="O553" s="7">
        <f t="shared" ref="O553:O554" si="189">SUM(L553:N553)</f>
        <v>0</v>
      </c>
      <c r="P553" s="8"/>
      <c r="Q553" s="9"/>
      <c r="R553" s="10"/>
      <c r="S553" s="7">
        <f t="shared" ref="S553:S554" si="190">SUM(P553:R553)</f>
        <v>0</v>
      </c>
      <c r="T553" s="71" t="s">
        <v>186</v>
      </c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71"/>
      <c r="AI553" s="11"/>
      <c r="AJ553" s="8"/>
      <c r="AK553" s="9"/>
      <c r="AL553" s="10"/>
      <c r="AM553" s="7">
        <f t="shared" si="187"/>
        <v>0</v>
      </c>
      <c r="AN553" s="8"/>
      <c r="AO553" s="9"/>
      <c r="AP553" s="10"/>
      <c r="AQ553" s="7">
        <f t="shared" si="188"/>
        <v>0</v>
      </c>
    </row>
    <row r="554" spans="1:43">
      <c r="A554" s="11"/>
      <c r="B554" s="8"/>
      <c r="C554" s="9"/>
      <c r="D554" s="10"/>
      <c r="E554" s="7">
        <f t="shared" si="181"/>
        <v>0</v>
      </c>
      <c r="F554" s="8"/>
      <c r="G554" s="9"/>
      <c r="H554" s="10"/>
      <c r="I554" s="7">
        <f t="shared" si="182"/>
        <v>0</v>
      </c>
      <c r="K554" s="3" t="s">
        <v>166</v>
      </c>
      <c r="L554" s="8"/>
      <c r="M554" s="9"/>
      <c r="N554" s="10"/>
      <c r="O554" s="7">
        <f t="shared" si="189"/>
        <v>0</v>
      </c>
      <c r="P554" s="8"/>
      <c r="Q554" s="9"/>
      <c r="R554" s="10"/>
      <c r="S554" s="7">
        <f t="shared" si="190"/>
        <v>0</v>
      </c>
      <c r="T554" s="71" t="s">
        <v>116</v>
      </c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71"/>
      <c r="AI554" s="3"/>
      <c r="AJ554" s="8"/>
      <c r="AK554" s="9"/>
      <c r="AL554" s="10"/>
      <c r="AM554" s="7">
        <f t="shared" si="187"/>
        <v>0</v>
      </c>
      <c r="AN554" s="8"/>
      <c r="AO554" s="9"/>
      <c r="AP554" s="10"/>
      <c r="AQ554" s="7">
        <f t="shared" si="188"/>
        <v>0</v>
      </c>
    </row>
    <row r="555" spans="1:43" ht="14.25" thickBot="1">
      <c r="A555" s="3"/>
      <c r="B555" s="8"/>
      <c r="C555" s="9"/>
      <c r="D555" s="10"/>
      <c r="E555" s="7">
        <f t="shared" si="181"/>
        <v>0</v>
      </c>
      <c r="F555" s="8"/>
      <c r="G555" s="9"/>
      <c r="H555" s="10"/>
      <c r="I555" s="7">
        <f t="shared" si="182"/>
        <v>0</v>
      </c>
      <c r="K555" s="3" t="s">
        <v>199</v>
      </c>
      <c r="L555" s="8"/>
      <c r="M555" s="9"/>
      <c r="N555" s="10"/>
      <c r="O555" s="7">
        <f t="shared" si="183"/>
        <v>0</v>
      </c>
      <c r="P555" s="8"/>
      <c r="Q555" s="9"/>
      <c r="R555" s="10"/>
      <c r="S555" s="7">
        <f t="shared" si="184"/>
        <v>0</v>
      </c>
      <c r="T555" s="71" t="s">
        <v>200</v>
      </c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71"/>
      <c r="AI555" s="3"/>
      <c r="AJ555" s="8"/>
      <c r="AK555" s="9"/>
      <c r="AL555" s="10"/>
      <c r="AM555" s="7">
        <f t="shared" si="187"/>
        <v>0</v>
      </c>
      <c r="AN555" s="8"/>
      <c r="AO555" s="9"/>
      <c r="AP555" s="10"/>
      <c r="AQ555" s="7">
        <f t="shared" si="188"/>
        <v>0</v>
      </c>
    </row>
    <row r="556" spans="1:43" ht="14.25" thickBot="1">
      <c r="A556" s="2" t="s">
        <v>5</v>
      </c>
      <c r="B556" s="14">
        <f>SUM(B532:B555)</f>
        <v>4</v>
      </c>
      <c r="C556" s="14">
        <f>SUM(C532:C555)</f>
        <v>4</v>
      </c>
      <c r="D556" s="14">
        <f>SUM(D532:D555)</f>
        <v>3</v>
      </c>
      <c r="E556" s="15">
        <f t="shared" si="181"/>
        <v>11</v>
      </c>
      <c r="F556" s="14">
        <f>SUM(F532:F555)</f>
        <v>4</v>
      </c>
      <c r="G556" s="14">
        <f>SUM(G532:G555)</f>
        <v>4</v>
      </c>
      <c r="H556" s="14">
        <f>SUM(H532:H555)</f>
        <v>3</v>
      </c>
      <c r="I556" s="15">
        <f t="shared" si="182"/>
        <v>11</v>
      </c>
      <c r="K556" s="2" t="s">
        <v>5</v>
      </c>
      <c r="L556" s="14">
        <f>SUM(L532:L555)</f>
        <v>89</v>
      </c>
      <c r="M556" s="14">
        <f>SUM(M532:M555)</f>
        <v>97</v>
      </c>
      <c r="N556" s="14">
        <f>SUM(N532:N555)</f>
        <v>71</v>
      </c>
      <c r="O556" s="15">
        <f t="shared" si="183"/>
        <v>257</v>
      </c>
      <c r="P556" s="14">
        <f>SUM(P532:P555)</f>
        <v>89</v>
      </c>
      <c r="Q556" s="14">
        <f>SUM(Q532:Q555)</f>
        <v>97</v>
      </c>
      <c r="R556" s="14">
        <f>SUM(R532:R555)</f>
        <v>71</v>
      </c>
      <c r="S556" s="15">
        <f t="shared" si="184"/>
        <v>257</v>
      </c>
      <c r="AI556" s="2" t="s">
        <v>5</v>
      </c>
      <c r="AJ556" s="14">
        <f>SUM(AJ532:AJ555)</f>
        <v>0</v>
      </c>
      <c r="AK556" s="14">
        <f>SUM(AK532:AK555)</f>
        <v>0</v>
      </c>
      <c r="AL556" s="14">
        <f>SUM(AL532:AL555)</f>
        <v>0</v>
      </c>
      <c r="AM556" s="15">
        <f t="shared" si="187"/>
        <v>0</v>
      </c>
      <c r="AN556" s="14">
        <f>SUM(AN532:AN555)</f>
        <v>0</v>
      </c>
      <c r="AO556" s="14">
        <f>SUM(AO532:AO555)</f>
        <v>0</v>
      </c>
      <c r="AP556" s="14">
        <f>SUM(AP532:AP555)</f>
        <v>0</v>
      </c>
      <c r="AQ556" s="15">
        <f t="shared" si="188"/>
        <v>0</v>
      </c>
    </row>
    <row r="557" spans="1:43" ht="14.25" thickBot="1">
      <c r="A557" s="27" t="s">
        <v>6</v>
      </c>
      <c r="B557" s="28">
        <f>B531-B556</f>
        <v>7</v>
      </c>
      <c r="C557" s="28">
        <f t="shared" ref="C557:E557" si="191">C531-C556</f>
        <v>5</v>
      </c>
      <c r="D557" s="28">
        <f t="shared" si="191"/>
        <v>3</v>
      </c>
      <c r="E557" s="28">
        <f t="shared" si="191"/>
        <v>15</v>
      </c>
      <c r="F557" s="28">
        <f>F531-F556</f>
        <v>7</v>
      </c>
      <c r="G557" s="28">
        <f t="shared" ref="G557:I557" si="192">G531-G556</f>
        <v>5</v>
      </c>
      <c r="H557" s="28">
        <f t="shared" si="192"/>
        <v>3</v>
      </c>
      <c r="I557" s="26">
        <f t="shared" si="192"/>
        <v>15</v>
      </c>
      <c r="K557" s="27" t="s">
        <v>6</v>
      </c>
      <c r="L557" s="28">
        <f>L531-L556</f>
        <v>15</v>
      </c>
      <c r="M557" s="28">
        <f t="shared" ref="M557:O557" si="193">M531-M556</f>
        <v>0</v>
      </c>
      <c r="N557" s="28">
        <f t="shared" si="193"/>
        <v>0</v>
      </c>
      <c r="O557" s="28">
        <f t="shared" si="193"/>
        <v>15</v>
      </c>
      <c r="P557" s="28">
        <f>P531-P556</f>
        <v>15</v>
      </c>
      <c r="Q557" s="28">
        <f t="shared" ref="Q557:S557" si="194">Q531-Q556</f>
        <v>0</v>
      </c>
      <c r="R557" s="28">
        <f t="shared" si="194"/>
        <v>0</v>
      </c>
      <c r="S557" s="26">
        <f t="shared" si="194"/>
        <v>15</v>
      </c>
      <c r="AI557" s="27" t="s">
        <v>6</v>
      </c>
      <c r="AJ557" s="28">
        <f>AJ531-AJ556</f>
        <v>0</v>
      </c>
      <c r="AK557" s="28">
        <f t="shared" ref="AK557:AM557" si="195">AK531-AK556</f>
        <v>0</v>
      </c>
      <c r="AL557" s="28">
        <f t="shared" si="195"/>
        <v>0</v>
      </c>
      <c r="AM557" s="28">
        <f t="shared" si="195"/>
        <v>0</v>
      </c>
      <c r="AN557" s="28">
        <f>AN531-AN556</f>
        <v>0</v>
      </c>
      <c r="AO557" s="28">
        <f t="shared" ref="AO557:AQ557" si="196">AO531-AO556</f>
        <v>0</v>
      </c>
      <c r="AP557" s="28">
        <f t="shared" si="196"/>
        <v>0</v>
      </c>
      <c r="AQ557" s="26">
        <f t="shared" si="196"/>
        <v>0</v>
      </c>
    </row>
    <row r="558" spans="1:43">
      <c r="K558" s="73"/>
      <c r="L558" s="72"/>
      <c r="M558" s="72"/>
      <c r="N558" s="72"/>
      <c r="P558" s="72"/>
      <c r="Q558" s="72"/>
      <c r="R558" s="72"/>
    </row>
    <row r="560" spans="1:43" ht="21.75" thickBot="1">
      <c r="A560" s="33" t="s">
        <v>15</v>
      </c>
      <c r="B560" s="34"/>
      <c r="C560" s="34"/>
      <c r="D560" s="34"/>
      <c r="E560" s="34"/>
      <c r="F560" s="35"/>
      <c r="G560" s="35"/>
      <c r="H560" s="35"/>
      <c r="I560" s="35"/>
      <c r="K560" s="33" t="s">
        <v>125</v>
      </c>
      <c r="L560" s="34"/>
      <c r="M560" s="34"/>
      <c r="N560" s="34"/>
      <c r="O560" s="34"/>
      <c r="P560" s="35"/>
      <c r="Q560" s="35"/>
      <c r="R560" s="35"/>
      <c r="S560" s="35"/>
      <c r="AI560" s="33" t="s">
        <v>87</v>
      </c>
      <c r="AJ560" s="34"/>
      <c r="AK560" s="34"/>
      <c r="AL560" s="34"/>
      <c r="AM560" s="34"/>
      <c r="AN560" s="35"/>
      <c r="AO560" s="35"/>
      <c r="AP560" s="35"/>
      <c r="AQ560" s="35"/>
    </row>
    <row r="561" spans="1:43" ht="14.25" thickBot="1">
      <c r="A561" s="1" t="s">
        <v>0</v>
      </c>
      <c r="B561" s="182" t="s">
        <v>17</v>
      </c>
      <c r="C561" s="182"/>
      <c r="D561" s="182"/>
      <c r="E561" s="183"/>
      <c r="F561" s="182" t="s">
        <v>13</v>
      </c>
      <c r="G561" s="182"/>
      <c r="H561" s="182"/>
      <c r="I561" s="183"/>
      <c r="K561" s="1" t="s">
        <v>0</v>
      </c>
      <c r="L561" s="182" t="s">
        <v>17</v>
      </c>
      <c r="M561" s="182"/>
      <c r="N561" s="182"/>
      <c r="O561" s="183"/>
      <c r="P561" s="182" t="s">
        <v>13</v>
      </c>
      <c r="Q561" s="182"/>
      <c r="R561" s="182"/>
      <c r="S561" s="183"/>
      <c r="AI561" s="1" t="s">
        <v>0</v>
      </c>
      <c r="AJ561" s="181" t="s">
        <v>17</v>
      </c>
      <c r="AK561" s="182"/>
      <c r="AL561" s="182"/>
      <c r="AM561" s="183"/>
      <c r="AN561" s="181" t="s">
        <v>13</v>
      </c>
      <c r="AO561" s="182"/>
      <c r="AP561" s="182"/>
      <c r="AQ561" s="183"/>
    </row>
    <row r="562" spans="1:43" ht="14.25" thickBot="1">
      <c r="A562" s="1" t="s">
        <v>1</v>
      </c>
      <c r="B562" s="2" t="s">
        <v>8</v>
      </c>
      <c r="C562" s="1" t="s">
        <v>9</v>
      </c>
      <c r="D562" s="19" t="s">
        <v>10</v>
      </c>
      <c r="E562" s="1" t="s">
        <v>2</v>
      </c>
      <c r="F562" s="2" t="s">
        <v>8</v>
      </c>
      <c r="G562" s="1" t="s">
        <v>9</v>
      </c>
      <c r="H562" s="19" t="s">
        <v>10</v>
      </c>
      <c r="I562" s="1" t="s">
        <v>2</v>
      </c>
      <c r="K562" s="1" t="s">
        <v>1</v>
      </c>
      <c r="L562" s="2" t="s">
        <v>8</v>
      </c>
      <c r="M562" s="1" t="s">
        <v>9</v>
      </c>
      <c r="N562" s="19" t="s">
        <v>10</v>
      </c>
      <c r="O562" s="1" t="s">
        <v>2</v>
      </c>
      <c r="P562" s="2" t="s">
        <v>8</v>
      </c>
      <c r="Q562" s="1" t="s">
        <v>9</v>
      </c>
      <c r="R562" s="19" t="s">
        <v>10</v>
      </c>
      <c r="S562" s="1" t="s">
        <v>2</v>
      </c>
      <c r="AI562" s="1" t="s">
        <v>1</v>
      </c>
      <c r="AJ562" s="2" t="s">
        <v>8</v>
      </c>
      <c r="AK562" s="1" t="s">
        <v>9</v>
      </c>
      <c r="AL562" s="19" t="s">
        <v>10</v>
      </c>
      <c r="AM562" s="1" t="s">
        <v>2</v>
      </c>
      <c r="AN562" s="2" t="s">
        <v>8</v>
      </c>
      <c r="AO562" s="1" t="s">
        <v>9</v>
      </c>
      <c r="AP562" s="19" t="s">
        <v>10</v>
      </c>
      <c r="AQ562" s="1" t="s">
        <v>2</v>
      </c>
    </row>
    <row r="563" spans="1:43" ht="14.25" thickBot="1">
      <c r="A563" s="21" t="s">
        <v>7</v>
      </c>
      <c r="B563" s="18">
        <f>B557</f>
        <v>7</v>
      </c>
      <c r="C563" s="22">
        <f>C557</f>
        <v>5</v>
      </c>
      <c r="D563" s="22">
        <f>D557</f>
        <v>3</v>
      </c>
      <c r="E563" s="17">
        <f t="shared" ref="E563:E599" si="197">SUM(B563:D563)</f>
        <v>15</v>
      </c>
      <c r="F563" s="22">
        <f>F557</f>
        <v>7</v>
      </c>
      <c r="G563" s="22">
        <f>G557</f>
        <v>5</v>
      </c>
      <c r="H563" s="22">
        <f>H557</f>
        <v>3</v>
      </c>
      <c r="I563" s="17">
        <f t="shared" ref="I563:I599" si="198">SUM(F563:H563)</f>
        <v>15</v>
      </c>
      <c r="J563" s="49"/>
      <c r="K563" s="21" t="s">
        <v>7</v>
      </c>
      <c r="L563" s="18">
        <f>L557</f>
        <v>15</v>
      </c>
      <c r="M563" s="22">
        <f>M557</f>
        <v>0</v>
      </c>
      <c r="N563" s="22">
        <f>N557</f>
        <v>0</v>
      </c>
      <c r="O563" s="17">
        <f t="shared" ref="O563:O599" si="199">SUM(L563:N563)</f>
        <v>15</v>
      </c>
      <c r="P563" s="22">
        <f>P557</f>
        <v>15</v>
      </c>
      <c r="Q563" s="22">
        <f>Q557</f>
        <v>0</v>
      </c>
      <c r="R563" s="22">
        <f>R557</f>
        <v>0</v>
      </c>
      <c r="S563" s="17">
        <f t="shared" ref="S563:S599" si="200">SUM(P563:R563)</f>
        <v>15</v>
      </c>
      <c r="AI563" s="52" t="s">
        <v>7</v>
      </c>
      <c r="AJ563" s="53">
        <f>AJ557</f>
        <v>0</v>
      </c>
      <c r="AK563" s="23">
        <f>AK557</f>
        <v>0</v>
      </c>
      <c r="AL563" s="23">
        <f>AL557</f>
        <v>0</v>
      </c>
      <c r="AM563" s="26">
        <f t="shared" ref="AM563:AM599" si="201">SUM(AJ563:AL563)</f>
        <v>0</v>
      </c>
      <c r="AN563" s="23">
        <f>AN557</f>
        <v>0</v>
      </c>
      <c r="AO563" s="23">
        <f>AO557</f>
        <v>0</v>
      </c>
      <c r="AP563" s="23">
        <f>AP557</f>
        <v>0</v>
      </c>
      <c r="AQ563" s="26">
        <f t="shared" ref="AQ563:AQ599" si="202">SUM(AN563:AP563)</f>
        <v>0</v>
      </c>
    </row>
    <row r="564" spans="1:43">
      <c r="A564" s="84" t="s">
        <v>246</v>
      </c>
      <c r="B564" s="30">
        <v>1</v>
      </c>
      <c r="C564" s="31"/>
      <c r="D564" s="32"/>
      <c r="E564" s="4">
        <f t="shared" si="197"/>
        <v>1</v>
      </c>
      <c r="F564" s="30">
        <v>1</v>
      </c>
      <c r="G564" s="31"/>
      <c r="H564" s="32"/>
      <c r="I564" s="4">
        <f t="shared" si="198"/>
        <v>1</v>
      </c>
      <c r="J564" s="43">
        <v>44201</v>
      </c>
      <c r="K564" s="5" t="s">
        <v>3</v>
      </c>
      <c r="L564" s="16"/>
      <c r="M564" s="11"/>
      <c r="N564" s="16"/>
      <c r="O564" s="4">
        <f t="shared" si="199"/>
        <v>0</v>
      </c>
      <c r="P564" s="16"/>
      <c r="Q564" s="11"/>
      <c r="R564" s="16"/>
      <c r="S564" s="4">
        <f t="shared" si="200"/>
        <v>0</v>
      </c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5" t="s">
        <v>3</v>
      </c>
      <c r="AJ564" s="16"/>
      <c r="AK564" s="11"/>
      <c r="AL564" s="16"/>
      <c r="AM564" s="4">
        <f t="shared" si="201"/>
        <v>0</v>
      </c>
      <c r="AN564" s="16"/>
      <c r="AO564" s="11"/>
      <c r="AP564" s="16"/>
      <c r="AQ564" s="4">
        <f t="shared" si="202"/>
        <v>0</v>
      </c>
    </row>
    <row r="565" spans="1:43">
      <c r="A565" s="5" t="s">
        <v>79</v>
      </c>
      <c r="B565" s="30">
        <v>1</v>
      </c>
      <c r="C565" s="31"/>
      <c r="D565" s="32"/>
      <c r="E565" s="4">
        <f t="shared" si="197"/>
        <v>1</v>
      </c>
      <c r="F565" s="30">
        <v>1</v>
      </c>
      <c r="G565" s="31"/>
      <c r="H565" s="32"/>
      <c r="I565" s="4">
        <f t="shared" si="198"/>
        <v>1</v>
      </c>
      <c r="J565" s="43">
        <v>44216</v>
      </c>
      <c r="K565" s="5" t="s">
        <v>3</v>
      </c>
      <c r="L565" s="32"/>
      <c r="M565" s="31"/>
      <c r="N565" s="32"/>
      <c r="O565" s="4">
        <f t="shared" si="199"/>
        <v>0</v>
      </c>
      <c r="P565" s="32"/>
      <c r="Q565" s="31"/>
      <c r="R565" s="32"/>
      <c r="S565" s="4">
        <f t="shared" si="200"/>
        <v>0</v>
      </c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5" t="s">
        <v>3</v>
      </c>
      <c r="AJ565" s="32"/>
      <c r="AK565" s="31"/>
      <c r="AL565" s="32"/>
      <c r="AM565" s="4">
        <f t="shared" si="201"/>
        <v>0</v>
      </c>
      <c r="AN565" s="32"/>
      <c r="AO565" s="31"/>
      <c r="AP565" s="32"/>
      <c r="AQ565" s="4">
        <f t="shared" si="202"/>
        <v>0</v>
      </c>
    </row>
    <row r="566" spans="1:43">
      <c r="A566" s="5" t="s">
        <v>3</v>
      </c>
      <c r="B566" s="30"/>
      <c r="C566" s="31"/>
      <c r="D566" s="32"/>
      <c r="E566" s="4">
        <f t="shared" si="197"/>
        <v>0</v>
      </c>
      <c r="F566" s="30"/>
      <c r="G566" s="31"/>
      <c r="H566" s="32"/>
      <c r="I566" s="4">
        <f t="shared" si="198"/>
        <v>0</v>
      </c>
      <c r="J566" s="49"/>
      <c r="K566" s="5" t="s">
        <v>3</v>
      </c>
      <c r="L566" s="30"/>
      <c r="M566" s="31"/>
      <c r="N566" s="32"/>
      <c r="O566" s="4">
        <f t="shared" si="199"/>
        <v>0</v>
      </c>
      <c r="P566" s="30"/>
      <c r="Q566" s="31"/>
      <c r="R566" s="32"/>
      <c r="S566" s="4">
        <f t="shared" si="200"/>
        <v>0</v>
      </c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5" t="s">
        <v>3</v>
      </c>
      <c r="AJ566" s="30"/>
      <c r="AK566" s="31"/>
      <c r="AL566" s="32"/>
      <c r="AM566" s="4">
        <f t="shared" si="201"/>
        <v>0</v>
      </c>
      <c r="AN566" s="30"/>
      <c r="AO566" s="31"/>
      <c r="AP566" s="32"/>
      <c r="AQ566" s="4">
        <f t="shared" si="202"/>
        <v>0</v>
      </c>
    </row>
    <row r="567" spans="1:43">
      <c r="A567" s="5" t="s">
        <v>3</v>
      </c>
      <c r="B567" s="16"/>
      <c r="C567" s="11"/>
      <c r="D567" s="16"/>
      <c r="E567" s="4">
        <f t="shared" si="197"/>
        <v>0</v>
      </c>
      <c r="F567" s="16"/>
      <c r="G567" s="11"/>
      <c r="H567" s="16"/>
      <c r="I567" s="4">
        <f t="shared" si="198"/>
        <v>0</v>
      </c>
      <c r="J567" s="49"/>
      <c r="K567" s="5" t="s">
        <v>3</v>
      </c>
      <c r="L567" s="16"/>
      <c r="M567" s="11"/>
      <c r="N567" s="16"/>
      <c r="O567" s="4">
        <f t="shared" si="199"/>
        <v>0</v>
      </c>
      <c r="P567" s="16"/>
      <c r="Q567" s="11"/>
      <c r="R567" s="16"/>
      <c r="S567" s="4">
        <f t="shared" si="200"/>
        <v>0</v>
      </c>
      <c r="T567" s="43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43"/>
      <c r="AI567" s="5" t="s">
        <v>3</v>
      </c>
      <c r="AJ567" s="16"/>
      <c r="AK567" s="11"/>
      <c r="AL567" s="16"/>
      <c r="AM567" s="4">
        <f t="shared" si="201"/>
        <v>0</v>
      </c>
      <c r="AN567" s="16"/>
      <c r="AO567" s="11"/>
      <c r="AP567" s="16"/>
      <c r="AQ567" s="4">
        <f t="shared" si="202"/>
        <v>0</v>
      </c>
    </row>
    <row r="568" spans="1:43">
      <c r="A568" s="5" t="s">
        <v>3</v>
      </c>
      <c r="B568" s="16"/>
      <c r="C568" s="11"/>
      <c r="D568" s="16"/>
      <c r="E568" s="4">
        <f t="shared" si="197"/>
        <v>0</v>
      </c>
      <c r="F568" s="16"/>
      <c r="G568" s="11"/>
      <c r="H568" s="16"/>
      <c r="I568" s="4">
        <f t="shared" si="198"/>
        <v>0</v>
      </c>
      <c r="K568" s="5" t="s">
        <v>3</v>
      </c>
      <c r="L568" s="32"/>
      <c r="M568" s="31"/>
      <c r="N568" s="32"/>
      <c r="O568" s="4">
        <f t="shared" si="199"/>
        <v>0</v>
      </c>
      <c r="P568" s="32"/>
      <c r="Q568" s="31"/>
      <c r="R568" s="32"/>
      <c r="S568" s="4">
        <f t="shared" si="200"/>
        <v>0</v>
      </c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5" t="s">
        <v>3</v>
      </c>
      <c r="AJ568" s="32"/>
      <c r="AK568" s="31"/>
      <c r="AL568" s="32"/>
      <c r="AM568" s="4">
        <f t="shared" si="201"/>
        <v>0</v>
      </c>
      <c r="AN568" s="32"/>
      <c r="AO568" s="31"/>
      <c r="AP568" s="32"/>
      <c r="AQ568" s="4">
        <f t="shared" si="202"/>
        <v>0</v>
      </c>
    </row>
    <row r="569" spans="1:43">
      <c r="A569" s="5" t="s">
        <v>3</v>
      </c>
      <c r="B569" s="16"/>
      <c r="C569" s="11"/>
      <c r="D569" s="16"/>
      <c r="E569" s="4">
        <f t="shared" si="197"/>
        <v>0</v>
      </c>
      <c r="F569" s="16"/>
      <c r="G569" s="11"/>
      <c r="H569" s="16"/>
      <c r="I569" s="4">
        <f t="shared" si="198"/>
        <v>0</v>
      </c>
      <c r="K569" s="5" t="s">
        <v>3</v>
      </c>
      <c r="L569" s="16"/>
      <c r="M569" s="11"/>
      <c r="N569" s="16"/>
      <c r="O569" s="4">
        <f t="shared" si="199"/>
        <v>0</v>
      </c>
      <c r="P569" s="16"/>
      <c r="Q569" s="11"/>
      <c r="R569" s="16"/>
      <c r="S569" s="4">
        <f t="shared" si="200"/>
        <v>0</v>
      </c>
      <c r="T569" s="43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43"/>
      <c r="AI569" s="5" t="s">
        <v>3</v>
      </c>
      <c r="AJ569" s="16"/>
      <c r="AK569" s="11"/>
      <c r="AL569" s="16"/>
      <c r="AM569" s="4">
        <f t="shared" si="201"/>
        <v>0</v>
      </c>
      <c r="AN569" s="16"/>
      <c r="AO569" s="11"/>
      <c r="AP569" s="16"/>
      <c r="AQ569" s="4">
        <f t="shared" si="202"/>
        <v>0</v>
      </c>
    </row>
    <row r="570" spans="1:43">
      <c r="A570" s="5" t="s">
        <v>3</v>
      </c>
      <c r="B570" s="32"/>
      <c r="C570" s="31"/>
      <c r="D570" s="32"/>
      <c r="E570" s="4">
        <f t="shared" si="197"/>
        <v>0</v>
      </c>
      <c r="F570" s="32"/>
      <c r="G570" s="31"/>
      <c r="H570" s="32"/>
      <c r="I570" s="4">
        <f t="shared" si="198"/>
        <v>0</v>
      </c>
      <c r="K570" s="5" t="s">
        <v>3</v>
      </c>
      <c r="L570" s="32"/>
      <c r="M570" s="31"/>
      <c r="N570" s="32"/>
      <c r="O570" s="4">
        <f t="shared" si="199"/>
        <v>0</v>
      </c>
      <c r="P570" s="32"/>
      <c r="Q570" s="31"/>
      <c r="R570" s="32"/>
      <c r="S570" s="4">
        <f t="shared" si="200"/>
        <v>0</v>
      </c>
      <c r="T570" s="43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43"/>
      <c r="AI570" s="5" t="s">
        <v>3</v>
      </c>
      <c r="AJ570" s="10"/>
      <c r="AK570" s="9"/>
      <c r="AL570" s="10"/>
      <c r="AM570" s="4">
        <f t="shared" si="201"/>
        <v>0</v>
      </c>
      <c r="AN570" s="10"/>
      <c r="AO570" s="9"/>
      <c r="AP570" s="10"/>
      <c r="AQ570" s="4">
        <f t="shared" si="202"/>
        <v>0</v>
      </c>
    </row>
    <row r="571" spans="1:43">
      <c r="A571" s="5" t="s">
        <v>3</v>
      </c>
      <c r="B571" s="32"/>
      <c r="C571" s="31"/>
      <c r="D571" s="32"/>
      <c r="E571" s="4">
        <f t="shared" si="197"/>
        <v>0</v>
      </c>
      <c r="F571" s="32"/>
      <c r="G571" s="31"/>
      <c r="H571" s="32"/>
      <c r="I571" s="4">
        <f t="shared" si="198"/>
        <v>0</v>
      </c>
      <c r="K571" s="5" t="s">
        <v>3</v>
      </c>
      <c r="L571" s="32"/>
      <c r="M571" s="31"/>
      <c r="N571" s="32"/>
      <c r="O571" s="4">
        <f t="shared" si="199"/>
        <v>0</v>
      </c>
      <c r="P571" s="32"/>
      <c r="Q571" s="31"/>
      <c r="R571" s="32"/>
      <c r="S571" s="4">
        <f t="shared" si="200"/>
        <v>0</v>
      </c>
      <c r="AI571" s="6" t="s">
        <v>3</v>
      </c>
      <c r="AJ571" s="10"/>
      <c r="AK571" s="9"/>
      <c r="AL571" s="10"/>
      <c r="AM571" s="4">
        <f t="shared" si="201"/>
        <v>0</v>
      </c>
      <c r="AN571" s="10"/>
      <c r="AO571" s="9"/>
      <c r="AP571" s="10"/>
      <c r="AQ571" s="4">
        <f t="shared" si="202"/>
        <v>0</v>
      </c>
    </row>
    <row r="572" spans="1:43">
      <c r="A572" s="5" t="s">
        <v>3</v>
      </c>
      <c r="B572" s="30"/>
      <c r="C572" s="31"/>
      <c r="D572" s="32"/>
      <c r="E572" s="4">
        <f t="shared" si="197"/>
        <v>0</v>
      </c>
      <c r="F572" s="30"/>
      <c r="G572" s="31"/>
      <c r="H572" s="32"/>
      <c r="I572" s="4">
        <f t="shared" si="198"/>
        <v>0</v>
      </c>
      <c r="K572" s="5" t="s">
        <v>3</v>
      </c>
      <c r="L572" s="30"/>
      <c r="M572" s="31"/>
      <c r="N572" s="32"/>
      <c r="O572" s="4">
        <f t="shared" si="199"/>
        <v>0</v>
      </c>
      <c r="P572" s="59"/>
      <c r="Q572" s="60"/>
      <c r="R572" s="61"/>
      <c r="S572" s="4">
        <f t="shared" si="200"/>
        <v>0</v>
      </c>
      <c r="AI572" s="6" t="s">
        <v>3</v>
      </c>
      <c r="AJ572" s="32"/>
      <c r="AK572" s="31"/>
      <c r="AL572" s="32"/>
      <c r="AM572" s="4">
        <f t="shared" si="201"/>
        <v>0</v>
      </c>
      <c r="AN572" s="32"/>
      <c r="AO572" s="31"/>
      <c r="AP572" s="32"/>
      <c r="AQ572" s="4">
        <f t="shared" si="202"/>
        <v>0</v>
      </c>
    </row>
    <row r="573" spans="1:43" ht="14.25" thickBot="1">
      <c r="A573" s="6" t="s">
        <v>3</v>
      </c>
      <c r="B573" s="36"/>
      <c r="C573" s="37"/>
      <c r="D573" s="36"/>
      <c r="E573" s="20">
        <f t="shared" si="197"/>
        <v>0</v>
      </c>
      <c r="F573" s="13"/>
      <c r="G573" s="12"/>
      <c r="H573" s="13"/>
      <c r="I573" s="20">
        <f t="shared" si="198"/>
        <v>0</v>
      </c>
      <c r="K573" s="6" t="s">
        <v>3</v>
      </c>
      <c r="L573" s="13"/>
      <c r="M573" s="12"/>
      <c r="N573" s="13"/>
      <c r="O573" s="20">
        <f t="shared" si="199"/>
        <v>0</v>
      </c>
      <c r="P573" s="13"/>
      <c r="Q573" s="12"/>
      <c r="R573" s="13"/>
      <c r="S573" s="20">
        <f t="shared" si="200"/>
        <v>0</v>
      </c>
      <c r="AI573" s="6" t="s">
        <v>3</v>
      </c>
      <c r="AJ573" s="13"/>
      <c r="AK573" s="12"/>
      <c r="AL573" s="13"/>
      <c r="AM573" s="20">
        <f t="shared" si="201"/>
        <v>0</v>
      </c>
      <c r="AN573" s="13"/>
      <c r="AO573" s="12"/>
      <c r="AP573" s="13"/>
      <c r="AQ573" s="20">
        <f t="shared" si="202"/>
        <v>0</v>
      </c>
    </row>
    <row r="574" spans="1:43" ht="14.25" thickBot="1">
      <c r="A574" s="23" t="s">
        <v>4</v>
      </c>
      <c r="B574" s="24">
        <f>SUM(B563:B573)</f>
        <v>9</v>
      </c>
      <c r="C574" s="24">
        <f>SUM(C563:C573)</f>
        <v>5</v>
      </c>
      <c r="D574" s="25">
        <f>SUM(D563:D573)</f>
        <v>3</v>
      </c>
      <c r="E574" s="26">
        <f t="shared" si="197"/>
        <v>17</v>
      </c>
      <c r="F574" s="24">
        <f>SUM(F563:F573)</f>
        <v>9</v>
      </c>
      <c r="G574" s="24">
        <f>SUM(G563:G573)</f>
        <v>5</v>
      </c>
      <c r="H574" s="25">
        <f>SUM(H563:H573)</f>
        <v>3</v>
      </c>
      <c r="I574" s="26">
        <f t="shared" si="198"/>
        <v>17</v>
      </c>
      <c r="K574" s="23" t="s">
        <v>4</v>
      </c>
      <c r="L574" s="24">
        <f>SUM(L563:L573)</f>
        <v>15</v>
      </c>
      <c r="M574" s="24">
        <f>SUM(M563:M573)</f>
        <v>0</v>
      </c>
      <c r="N574" s="25">
        <f>SUM(N563:N573)</f>
        <v>0</v>
      </c>
      <c r="O574" s="26">
        <f t="shared" si="199"/>
        <v>15</v>
      </c>
      <c r="P574" s="24">
        <f>SUM(P563:P573)</f>
        <v>15</v>
      </c>
      <c r="Q574" s="24">
        <f>SUM(Q563:Q573)</f>
        <v>0</v>
      </c>
      <c r="R574" s="25">
        <f>SUM(R563:R573)</f>
        <v>0</v>
      </c>
      <c r="S574" s="26">
        <f t="shared" si="200"/>
        <v>15</v>
      </c>
      <c r="AI574" s="23" t="s">
        <v>4</v>
      </c>
      <c r="AJ574" s="24">
        <f>SUM(AJ563:AJ573)</f>
        <v>0</v>
      </c>
      <c r="AK574" s="24">
        <f>SUM(AK563:AK573)</f>
        <v>0</v>
      </c>
      <c r="AL574" s="25">
        <f>SUM(AL563:AL573)</f>
        <v>0</v>
      </c>
      <c r="AM574" s="26">
        <f t="shared" si="201"/>
        <v>0</v>
      </c>
      <c r="AN574" s="24">
        <f>SUM(AN563:AN573)</f>
        <v>0</v>
      </c>
      <c r="AO574" s="24">
        <f>SUM(AO563:AO573)</f>
        <v>0</v>
      </c>
      <c r="AP574" s="25">
        <f>SUM(AP563:AP573)</f>
        <v>0</v>
      </c>
      <c r="AQ574" s="26">
        <f t="shared" si="202"/>
        <v>0</v>
      </c>
    </row>
    <row r="575" spans="1:43">
      <c r="A575" s="3" t="s">
        <v>245</v>
      </c>
      <c r="B575" s="8">
        <v>2</v>
      </c>
      <c r="C575" s="9"/>
      <c r="D575" s="10"/>
      <c r="E575" s="4">
        <f t="shared" si="197"/>
        <v>2</v>
      </c>
      <c r="F575" s="8">
        <v>2</v>
      </c>
      <c r="G575" s="9"/>
      <c r="H575" s="10"/>
      <c r="I575" s="4">
        <f t="shared" si="198"/>
        <v>2</v>
      </c>
      <c r="J575" s="43">
        <v>44184</v>
      </c>
      <c r="K575" s="40" t="s">
        <v>233</v>
      </c>
      <c r="L575" s="8">
        <v>1</v>
      </c>
      <c r="M575" s="9"/>
      <c r="N575" s="10"/>
      <c r="O575" s="7">
        <f t="shared" si="199"/>
        <v>1</v>
      </c>
      <c r="P575" s="8">
        <v>1</v>
      </c>
      <c r="Q575" s="9"/>
      <c r="R575" s="10"/>
      <c r="S575" s="7">
        <f t="shared" si="200"/>
        <v>1</v>
      </c>
      <c r="T575" s="43">
        <v>44079</v>
      </c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43"/>
      <c r="AI575" s="3"/>
      <c r="AJ575" s="16"/>
      <c r="AK575" s="11"/>
      <c r="AL575" s="16"/>
      <c r="AM575" s="4">
        <f t="shared" si="201"/>
        <v>0</v>
      </c>
      <c r="AN575" s="16"/>
      <c r="AO575" s="11"/>
      <c r="AP575" s="16"/>
      <c r="AQ575" s="4">
        <f t="shared" si="202"/>
        <v>0</v>
      </c>
    </row>
    <row r="576" spans="1:43">
      <c r="A576" s="3"/>
      <c r="B576" s="8"/>
      <c r="C576" s="9"/>
      <c r="D576" s="10"/>
      <c r="E576" s="4">
        <f t="shared" si="197"/>
        <v>0</v>
      </c>
      <c r="F576" s="8"/>
      <c r="G576" s="9"/>
      <c r="H576" s="10"/>
      <c r="I576" s="4">
        <f t="shared" si="198"/>
        <v>0</v>
      </c>
      <c r="J576" s="43"/>
      <c r="K576" s="40" t="s">
        <v>233</v>
      </c>
      <c r="L576" s="8">
        <v>1</v>
      </c>
      <c r="M576" s="9"/>
      <c r="N576" s="10"/>
      <c r="O576" s="4">
        <f t="shared" si="199"/>
        <v>1</v>
      </c>
      <c r="P576" s="8">
        <v>1</v>
      </c>
      <c r="Q576" s="9"/>
      <c r="R576" s="10"/>
      <c r="S576" s="4">
        <f t="shared" si="200"/>
        <v>1</v>
      </c>
      <c r="T576" s="43">
        <v>44083</v>
      </c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43"/>
      <c r="AI576" s="3"/>
      <c r="AJ576" s="8"/>
      <c r="AK576" s="9"/>
      <c r="AL576" s="10"/>
      <c r="AM576" s="4">
        <f t="shared" si="201"/>
        <v>0</v>
      </c>
      <c r="AN576" s="8"/>
      <c r="AO576" s="9"/>
      <c r="AP576" s="10"/>
      <c r="AQ576" s="4">
        <f t="shared" si="202"/>
        <v>0</v>
      </c>
    </row>
    <row r="577" spans="1:43">
      <c r="A577" s="3"/>
      <c r="B577" s="8"/>
      <c r="C577" s="9"/>
      <c r="D577" s="10"/>
      <c r="E577" s="7">
        <f t="shared" si="197"/>
        <v>0</v>
      </c>
      <c r="F577" s="8"/>
      <c r="G577" s="9"/>
      <c r="H577" s="10"/>
      <c r="I577" s="7">
        <f t="shared" si="198"/>
        <v>0</v>
      </c>
      <c r="J577" s="43"/>
      <c r="K577" s="40" t="s">
        <v>233</v>
      </c>
      <c r="L577" s="8">
        <v>1</v>
      </c>
      <c r="M577" s="9"/>
      <c r="N577" s="10"/>
      <c r="O577" s="7">
        <f t="shared" si="199"/>
        <v>1</v>
      </c>
      <c r="P577" s="8">
        <v>1</v>
      </c>
      <c r="Q577" s="9"/>
      <c r="R577" s="10"/>
      <c r="S577" s="7">
        <f t="shared" si="200"/>
        <v>1</v>
      </c>
      <c r="T577" s="43">
        <v>44086</v>
      </c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43"/>
      <c r="AI577" s="3"/>
      <c r="AJ577" s="32"/>
      <c r="AK577" s="31"/>
      <c r="AL577" s="32"/>
      <c r="AM577" s="4">
        <f t="shared" si="201"/>
        <v>0</v>
      </c>
      <c r="AN577" s="32"/>
      <c r="AO577" s="31"/>
      <c r="AP577" s="32"/>
      <c r="AQ577" s="4">
        <f t="shared" si="202"/>
        <v>0</v>
      </c>
    </row>
    <row r="578" spans="1:43">
      <c r="A578" s="3"/>
      <c r="B578" s="8"/>
      <c r="C578" s="9"/>
      <c r="D578" s="10"/>
      <c r="E578" s="4">
        <f t="shared" si="197"/>
        <v>0</v>
      </c>
      <c r="F578" s="8"/>
      <c r="G578" s="9"/>
      <c r="H578" s="10"/>
      <c r="I578" s="4">
        <f t="shared" si="198"/>
        <v>0</v>
      </c>
      <c r="K578" s="40" t="s">
        <v>233</v>
      </c>
      <c r="L578" s="8">
        <v>1</v>
      </c>
      <c r="M578" s="9"/>
      <c r="N578" s="10"/>
      <c r="O578" s="4">
        <f t="shared" si="199"/>
        <v>1</v>
      </c>
      <c r="P578" s="8">
        <v>1</v>
      </c>
      <c r="Q578" s="9"/>
      <c r="R578" s="10"/>
      <c r="S578" s="4">
        <f t="shared" si="200"/>
        <v>1</v>
      </c>
      <c r="T578" s="43">
        <v>44093</v>
      </c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43"/>
      <c r="AI578" s="3"/>
      <c r="AJ578" s="8"/>
      <c r="AK578" s="9"/>
      <c r="AL578" s="10"/>
      <c r="AM578" s="4">
        <f t="shared" si="201"/>
        <v>0</v>
      </c>
      <c r="AN578" s="8"/>
      <c r="AO578" s="9"/>
      <c r="AP578" s="10"/>
      <c r="AQ578" s="4">
        <f t="shared" si="202"/>
        <v>0</v>
      </c>
    </row>
    <row r="579" spans="1:43">
      <c r="A579" s="3"/>
      <c r="B579" s="8"/>
      <c r="C579" s="9"/>
      <c r="D579" s="10"/>
      <c r="E579" s="4">
        <f t="shared" si="197"/>
        <v>0</v>
      </c>
      <c r="F579" s="8"/>
      <c r="G579" s="9"/>
      <c r="H579" s="10"/>
      <c r="I579" s="4">
        <f t="shared" si="198"/>
        <v>0</v>
      </c>
      <c r="K579" s="3" t="s">
        <v>249</v>
      </c>
      <c r="L579" s="8">
        <v>1</v>
      </c>
      <c r="M579" s="9"/>
      <c r="N579" s="10"/>
      <c r="O579" s="4">
        <f t="shared" si="199"/>
        <v>1</v>
      </c>
      <c r="P579" s="8">
        <v>1</v>
      </c>
      <c r="Q579" s="9"/>
      <c r="R579" s="10"/>
      <c r="S579" s="4">
        <f t="shared" si="200"/>
        <v>1</v>
      </c>
      <c r="T579" s="43">
        <v>44229</v>
      </c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43"/>
      <c r="AI579" s="3"/>
      <c r="AJ579" s="8"/>
      <c r="AK579" s="9"/>
      <c r="AL579" s="10"/>
      <c r="AM579" s="4">
        <f t="shared" si="201"/>
        <v>0</v>
      </c>
      <c r="AN579" s="8"/>
      <c r="AO579" s="9"/>
      <c r="AP579" s="10"/>
      <c r="AQ579" s="4">
        <f t="shared" si="202"/>
        <v>0</v>
      </c>
    </row>
    <row r="580" spans="1:43">
      <c r="A580" s="3"/>
      <c r="B580" s="8"/>
      <c r="C580" s="9"/>
      <c r="D580" s="10"/>
      <c r="E580" s="7">
        <f t="shared" si="197"/>
        <v>0</v>
      </c>
      <c r="F580" s="8"/>
      <c r="G580" s="9"/>
      <c r="H580" s="10"/>
      <c r="I580" s="7">
        <f t="shared" si="198"/>
        <v>0</v>
      </c>
      <c r="K580" s="3"/>
      <c r="L580" s="8"/>
      <c r="M580" s="9"/>
      <c r="N580" s="10"/>
      <c r="O580" s="7">
        <f t="shared" si="199"/>
        <v>0</v>
      </c>
      <c r="P580" s="8"/>
      <c r="Q580" s="9"/>
      <c r="R580" s="10"/>
      <c r="S580" s="7">
        <f t="shared" si="200"/>
        <v>0</v>
      </c>
      <c r="T580" s="43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43"/>
      <c r="AI580" s="3"/>
      <c r="AJ580" s="8"/>
      <c r="AK580" s="9"/>
      <c r="AL580" s="10"/>
      <c r="AM580" s="7">
        <f t="shared" si="201"/>
        <v>0</v>
      </c>
      <c r="AN580" s="8"/>
      <c r="AO580" s="9"/>
      <c r="AP580" s="10"/>
      <c r="AQ580" s="7">
        <f t="shared" si="202"/>
        <v>0</v>
      </c>
    </row>
    <row r="581" spans="1:43">
      <c r="A581" s="3"/>
      <c r="B581" s="8"/>
      <c r="C581" s="9"/>
      <c r="D581" s="10"/>
      <c r="E581" s="7">
        <f t="shared" si="197"/>
        <v>0</v>
      </c>
      <c r="F581" s="8"/>
      <c r="G581" s="9"/>
      <c r="H581" s="10"/>
      <c r="I581" s="7">
        <f t="shared" si="198"/>
        <v>0</v>
      </c>
      <c r="K581" s="3"/>
      <c r="L581" s="8"/>
      <c r="M581" s="9"/>
      <c r="N581" s="10"/>
      <c r="O581" s="7">
        <f t="shared" si="199"/>
        <v>0</v>
      </c>
      <c r="P581" s="8"/>
      <c r="Q581" s="9"/>
      <c r="R581" s="10"/>
      <c r="S581" s="7">
        <f t="shared" si="200"/>
        <v>0</v>
      </c>
      <c r="T581" s="43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43"/>
      <c r="AI581" s="3"/>
      <c r="AJ581" s="8"/>
      <c r="AK581" s="9"/>
      <c r="AL581" s="10"/>
      <c r="AM581" s="7">
        <f t="shared" si="201"/>
        <v>0</v>
      </c>
      <c r="AN581" s="8"/>
      <c r="AO581" s="9"/>
      <c r="AP581" s="10"/>
      <c r="AQ581" s="7">
        <f t="shared" si="202"/>
        <v>0</v>
      </c>
    </row>
    <row r="582" spans="1:43">
      <c r="A582" s="3"/>
      <c r="B582" s="8"/>
      <c r="C582" s="9"/>
      <c r="D582" s="10"/>
      <c r="E582" s="7">
        <f t="shared" si="197"/>
        <v>0</v>
      </c>
      <c r="F582" s="8"/>
      <c r="G582" s="9"/>
      <c r="H582" s="10"/>
      <c r="I582" s="7">
        <f t="shared" si="198"/>
        <v>0</v>
      </c>
      <c r="K582" s="3"/>
      <c r="L582" s="8"/>
      <c r="M582" s="9"/>
      <c r="N582" s="10"/>
      <c r="O582" s="7">
        <f t="shared" si="199"/>
        <v>0</v>
      </c>
      <c r="P582" s="8"/>
      <c r="Q582" s="9"/>
      <c r="R582" s="10"/>
      <c r="S582" s="7">
        <f t="shared" si="200"/>
        <v>0</v>
      </c>
      <c r="T582" s="43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43"/>
      <c r="AI582" s="3"/>
      <c r="AJ582" s="8"/>
      <c r="AK582" s="9"/>
      <c r="AL582" s="10"/>
      <c r="AM582" s="7">
        <f t="shared" si="201"/>
        <v>0</v>
      </c>
      <c r="AN582" s="8"/>
      <c r="AO582" s="9"/>
      <c r="AP582" s="10"/>
      <c r="AQ582" s="7">
        <f t="shared" si="202"/>
        <v>0</v>
      </c>
    </row>
    <row r="583" spans="1:43">
      <c r="A583" s="3"/>
      <c r="B583" s="8"/>
      <c r="C583" s="9"/>
      <c r="D583" s="10"/>
      <c r="E583" s="7">
        <f t="shared" si="197"/>
        <v>0</v>
      </c>
      <c r="F583" s="8"/>
      <c r="G583" s="9"/>
      <c r="H583" s="10"/>
      <c r="I583" s="7">
        <f t="shared" si="198"/>
        <v>0</v>
      </c>
      <c r="K583" s="3"/>
      <c r="L583" s="8"/>
      <c r="M583" s="9"/>
      <c r="N583" s="10"/>
      <c r="O583" s="7">
        <f t="shared" si="199"/>
        <v>0</v>
      </c>
      <c r="P583" s="8"/>
      <c r="Q583" s="9"/>
      <c r="R583" s="10"/>
      <c r="S583" s="7">
        <f t="shared" si="200"/>
        <v>0</v>
      </c>
      <c r="T583" s="43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43"/>
      <c r="AI583" s="3"/>
      <c r="AJ583" s="8"/>
      <c r="AK583" s="9"/>
      <c r="AL583" s="10"/>
      <c r="AM583" s="7">
        <f t="shared" si="201"/>
        <v>0</v>
      </c>
      <c r="AN583" s="8"/>
      <c r="AO583" s="9"/>
      <c r="AP583" s="10"/>
      <c r="AQ583" s="7">
        <f t="shared" si="202"/>
        <v>0</v>
      </c>
    </row>
    <row r="584" spans="1:43">
      <c r="A584" s="3"/>
      <c r="B584" s="8"/>
      <c r="C584" s="9"/>
      <c r="D584" s="10"/>
      <c r="E584" s="7">
        <f t="shared" si="197"/>
        <v>0</v>
      </c>
      <c r="F584" s="8"/>
      <c r="G584" s="9"/>
      <c r="H584" s="10"/>
      <c r="I584" s="7">
        <f t="shared" si="198"/>
        <v>0</v>
      </c>
      <c r="K584" s="3"/>
      <c r="L584" s="8"/>
      <c r="M584" s="9"/>
      <c r="N584" s="10"/>
      <c r="O584" s="7">
        <f t="shared" si="199"/>
        <v>0</v>
      </c>
      <c r="P584" s="8"/>
      <c r="Q584" s="9"/>
      <c r="R584" s="10"/>
      <c r="S584" s="7">
        <f t="shared" si="200"/>
        <v>0</v>
      </c>
      <c r="T584" s="43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43"/>
      <c r="AI584" s="3"/>
      <c r="AJ584" s="8"/>
      <c r="AK584" s="9"/>
      <c r="AL584" s="10"/>
      <c r="AM584" s="7">
        <f t="shared" si="201"/>
        <v>0</v>
      </c>
      <c r="AN584" s="8"/>
      <c r="AO584" s="9"/>
      <c r="AP584" s="10"/>
      <c r="AQ584" s="7">
        <f t="shared" si="202"/>
        <v>0</v>
      </c>
    </row>
    <row r="585" spans="1:43">
      <c r="A585" s="3"/>
      <c r="B585" s="8"/>
      <c r="C585" s="9"/>
      <c r="D585" s="10"/>
      <c r="E585" s="7">
        <f t="shared" si="197"/>
        <v>0</v>
      </c>
      <c r="F585" s="8"/>
      <c r="G585" s="9"/>
      <c r="H585" s="10"/>
      <c r="I585" s="7">
        <f t="shared" si="198"/>
        <v>0</v>
      </c>
      <c r="K585" s="3"/>
      <c r="L585" s="30"/>
      <c r="M585" s="9"/>
      <c r="N585" s="10"/>
      <c r="O585" s="7">
        <f t="shared" si="199"/>
        <v>0</v>
      </c>
      <c r="P585" s="8"/>
      <c r="Q585" s="9"/>
      <c r="R585" s="10"/>
      <c r="S585" s="7">
        <f t="shared" si="200"/>
        <v>0</v>
      </c>
      <c r="T585" s="43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43"/>
      <c r="AI585" s="3"/>
      <c r="AJ585" s="8"/>
      <c r="AK585" s="9"/>
      <c r="AL585" s="10"/>
      <c r="AM585" s="7">
        <f t="shared" si="201"/>
        <v>0</v>
      </c>
      <c r="AN585" s="8"/>
      <c r="AO585" s="9"/>
      <c r="AP585" s="10"/>
      <c r="AQ585" s="7">
        <f t="shared" si="202"/>
        <v>0</v>
      </c>
    </row>
    <row r="586" spans="1:43">
      <c r="A586" s="3"/>
      <c r="B586" s="8"/>
      <c r="C586" s="9"/>
      <c r="D586" s="10"/>
      <c r="E586" s="7">
        <f t="shared" si="197"/>
        <v>0</v>
      </c>
      <c r="F586" s="8"/>
      <c r="G586" s="9"/>
      <c r="H586" s="10"/>
      <c r="I586" s="7">
        <f t="shared" si="198"/>
        <v>0</v>
      </c>
      <c r="K586" s="3"/>
      <c r="L586" s="8"/>
      <c r="M586" s="9"/>
      <c r="N586" s="10"/>
      <c r="O586" s="7">
        <f t="shared" si="199"/>
        <v>0</v>
      </c>
      <c r="P586" s="8"/>
      <c r="Q586" s="9"/>
      <c r="R586" s="10"/>
      <c r="S586" s="7">
        <f t="shared" si="200"/>
        <v>0</v>
      </c>
      <c r="T586" s="43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43"/>
      <c r="AI586" s="3"/>
      <c r="AJ586" s="8"/>
      <c r="AK586" s="9"/>
      <c r="AL586" s="10"/>
      <c r="AM586" s="7">
        <f t="shared" si="201"/>
        <v>0</v>
      </c>
      <c r="AN586" s="8"/>
      <c r="AO586" s="9"/>
      <c r="AP586" s="10"/>
      <c r="AQ586" s="7">
        <f t="shared" si="202"/>
        <v>0</v>
      </c>
    </row>
    <row r="587" spans="1:43">
      <c r="A587" s="3"/>
      <c r="B587" s="8"/>
      <c r="C587" s="9"/>
      <c r="D587" s="10"/>
      <c r="E587" s="7">
        <f t="shared" si="197"/>
        <v>0</v>
      </c>
      <c r="F587" s="8"/>
      <c r="G587" s="9"/>
      <c r="H587" s="10"/>
      <c r="I587" s="7">
        <f t="shared" si="198"/>
        <v>0</v>
      </c>
      <c r="K587" s="3"/>
      <c r="L587" s="8"/>
      <c r="M587" s="9"/>
      <c r="N587" s="10"/>
      <c r="O587" s="7">
        <f t="shared" si="199"/>
        <v>0</v>
      </c>
      <c r="P587" s="8"/>
      <c r="Q587" s="9"/>
      <c r="R587" s="10"/>
      <c r="S587" s="7">
        <f t="shared" si="200"/>
        <v>0</v>
      </c>
      <c r="T587" s="43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43"/>
      <c r="AI587" s="3"/>
      <c r="AJ587" s="8"/>
      <c r="AK587" s="9"/>
      <c r="AL587" s="10"/>
      <c r="AM587" s="7">
        <f t="shared" si="201"/>
        <v>0</v>
      </c>
      <c r="AN587" s="8"/>
      <c r="AO587" s="9"/>
      <c r="AP587" s="10"/>
      <c r="AQ587" s="7">
        <f t="shared" si="202"/>
        <v>0</v>
      </c>
    </row>
    <row r="588" spans="1:43">
      <c r="A588" s="3"/>
      <c r="B588" s="8"/>
      <c r="C588" s="9"/>
      <c r="D588" s="10"/>
      <c r="E588" s="7">
        <f t="shared" si="197"/>
        <v>0</v>
      </c>
      <c r="F588" s="8"/>
      <c r="G588" s="9"/>
      <c r="H588" s="10"/>
      <c r="I588" s="7">
        <f t="shared" si="198"/>
        <v>0</v>
      </c>
      <c r="K588" s="3"/>
      <c r="L588" s="8"/>
      <c r="M588" s="9"/>
      <c r="N588" s="10"/>
      <c r="O588" s="7">
        <f t="shared" si="199"/>
        <v>0</v>
      </c>
      <c r="P588" s="8"/>
      <c r="Q588" s="9"/>
      <c r="R588" s="10"/>
      <c r="S588" s="7">
        <f t="shared" si="200"/>
        <v>0</v>
      </c>
      <c r="T588" s="43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43"/>
      <c r="AI588" s="3"/>
      <c r="AJ588" s="8"/>
      <c r="AK588" s="9"/>
      <c r="AL588" s="10"/>
      <c r="AM588" s="7">
        <f t="shared" si="201"/>
        <v>0</v>
      </c>
      <c r="AN588" s="8"/>
      <c r="AO588" s="9"/>
      <c r="AP588" s="10"/>
      <c r="AQ588" s="7">
        <f t="shared" si="202"/>
        <v>0</v>
      </c>
    </row>
    <row r="589" spans="1:43">
      <c r="A589" s="3"/>
      <c r="B589" s="8"/>
      <c r="C589" s="9"/>
      <c r="D589" s="10"/>
      <c r="E589" s="7">
        <f t="shared" si="197"/>
        <v>0</v>
      </c>
      <c r="F589" s="8"/>
      <c r="G589" s="9"/>
      <c r="H589" s="10"/>
      <c r="I589" s="7">
        <f t="shared" si="198"/>
        <v>0</v>
      </c>
      <c r="K589" s="3"/>
      <c r="L589" s="8"/>
      <c r="M589" s="9"/>
      <c r="N589" s="10"/>
      <c r="O589" s="7">
        <f t="shared" si="199"/>
        <v>0</v>
      </c>
      <c r="P589" s="8"/>
      <c r="Q589" s="9"/>
      <c r="R589" s="10"/>
      <c r="S589" s="7">
        <f t="shared" si="200"/>
        <v>0</v>
      </c>
      <c r="T589" s="43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43"/>
      <c r="AI589" s="3"/>
      <c r="AJ589" s="8"/>
      <c r="AK589" s="9"/>
      <c r="AL589" s="10"/>
      <c r="AM589" s="7">
        <f t="shared" si="201"/>
        <v>0</v>
      </c>
      <c r="AN589" s="8"/>
      <c r="AO589" s="9"/>
      <c r="AP589" s="10"/>
      <c r="AQ589" s="7">
        <f t="shared" si="202"/>
        <v>0</v>
      </c>
    </row>
    <row r="590" spans="1:43">
      <c r="A590" s="3"/>
      <c r="B590" s="8"/>
      <c r="C590" s="9"/>
      <c r="D590" s="10"/>
      <c r="E590" s="7">
        <f t="shared" si="197"/>
        <v>0</v>
      </c>
      <c r="F590" s="8"/>
      <c r="G590" s="9"/>
      <c r="H590" s="10"/>
      <c r="I590" s="7">
        <f t="shared" si="198"/>
        <v>0</v>
      </c>
      <c r="K590" s="3"/>
      <c r="L590" s="8"/>
      <c r="M590" s="9"/>
      <c r="N590" s="10"/>
      <c r="O590" s="7">
        <f t="shared" si="199"/>
        <v>0</v>
      </c>
      <c r="P590" s="8"/>
      <c r="Q590" s="9"/>
      <c r="R590" s="10"/>
      <c r="S590" s="7">
        <f t="shared" si="200"/>
        <v>0</v>
      </c>
      <c r="T590" s="43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43"/>
      <c r="AI590" s="3"/>
      <c r="AJ590" s="8"/>
      <c r="AK590" s="9"/>
      <c r="AL590" s="10"/>
      <c r="AM590" s="7">
        <f t="shared" si="201"/>
        <v>0</v>
      </c>
      <c r="AN590" s="8"/>
      <c r="AO590" s="9"/>
      <c r="AP590" s="10"/>
      <c r="AQ590" s="7">
        <f t="shared" si="202"/>
        <v>0</v>
      </c>
    </row>
    <row r="591" spans="1:43">
      <c r="A591" s="3"/>
      <c r="B591" s="8"/>
      <c r="C591" s="9"/>
      <c r="D591" s="10"/>
      <c r="E591" s="7">
        <f t="shared" si="197"/>
        <v>0</v>
      </c>
      <c r="F591" s="8"/>
      <c r="G591" s="9"/>
      <c r="H591" s="10"/>
      <c r="I591" s="7">
        <f t="shared" si="198"/>
        <v>0</v>
      </c>
      <c r="K591" s="3"/>
      <c r="L591" s="8"/>
      <c r="M591" s="9"/>
      <c r="N591" s="10"/>
      <c r="O591" s="7">
        <f t="shared" si="199"/>
        <v>0</v>
      </c>
      <c r="P591" s="8"/>
      <c r="Q591" s="9"/>
      <c r="R591" s="10"/>
      <c r="S591" s="7">
        <f t="shared" si="200"/>
        <v>0</v>
      </c>
      <c r="T591" s="43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43"/>
      <c r="AI591" s="11"/>
      <c r="AJ591" s="8"/>
      <c r="AK591" s="9"/>
      <c r="AL591" s="10"/>
      <c r="AM591" s="7">
        <f t="shared" si="201"/>
        <v>0</v>
      </c>
      <c r="AN591" s="8"/>
      <c r="AO591" s="9"/>
      <c r="AP591" s="10"/>
      <c r="AQ591" s="7">
        <f t="shared" si="202"/>
        <v>0</v>
      </c>
    </row>
    <row r="592" spans="1:43">
      <c r="A592" s="3"/>
      <c r="B592" s="8"/>
      <c r="C592" s="9"/>
      <c r="D592" s="10"/>
      <c r="E592" s="7">
        <f t="shared" si="197"/>
        <v>0</v>
      </c>
      <c r="F592" s="8"/>
      <c r="G592" s="9"/>
      <c r="H592" s="10"/>
      <c r="I592" s="7">
        <f t="shared" si="198"/>
        <v>0</v>
      </c>
      <c r="K592" s="3"/>
      <c r="L592" s="8"/>
      <c r="M592" s="9"/>
      <c r="N592" s="10"/>
      <c r="O592" s="7">
        <f t="shared" si="199"/>
        <v>0</v>
      </c>
      <c r="P592" s="8"/>
      <c r="Q592" s="9"/>
      <c r="R592" s="10"/>
      <c r="S592" s="7">
        <f t="shared" si="200"/>
        <v>0</v>
      </c>
      <c r="T592" s="43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43"/>
      <c r="AI592" s="3"/>
      <c r="AJ592" s="8"/>
      <c r="AK592" s="9"/>
      <c r="AL592" s="10"/>
      <c r="AM592" s="7">
        <f t="shared" si="201"/>
        <v>0</v>
      </c>
      <c r="AN592" s="8"/>
      <c r="AO592" s="9"/>
      <c r="AP592" s="10"/>
      <c r="AQ592" s="7">
        <f t="shared" si="202"/>
        <v>0</v>
      </c>
    </row>
    <row r="593" spans="1:43">
      <c r="A593" s="11"/>
      <c r="B593" s="8"/>
      <c r="C593" s="9"/>
      <c r="D593" s="10"/>
      <c r="E593" s="7">
        <f t="shared" si="197"/>
        <v>0</v>
      </c>
      <c r="F593" s="8"/>
      <c r="G593" s="9"/>
      <c r="H593" s="10"/>
      <c r="I593" s="7">
        <f t="shared" si="198"/>
        <v>0</v>
      </c>
      <c r="K593" s="3"/>
      <c r="L593" s="8"/>
      <c r="M593" s="9"/>
      <c r="N593" s="10"/>
      <c r="O593" s="7">
        <f t="shared" si="199"/>
        <v>0</v>
      </c>
      <c r="P593" s="8"/>
      <c r="Q593" s="9"/>
      <c r="R593" s="10"/>
      <c r="S593" s="7">
        <f t="shared" si="200"/>
        <v>0</v>
      </c>
      <c r="T593" s="43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43"/>
      <c r="AI593" s="11"/>
      <c r="AJ593" s="8"/>
      <c r="AK593" s="9"/>
      <c r="AL593" s="10"/>
      <c r="AM593" s="7">
        <f t="shared" si="201"/>
        <v>0</v>
      </c>
      <c r="AN593" s="8"/>
      <c r="AO593" s="9"/>
      <c r="AP593" s="10"/>
      <c r="AQ593" s="7">
        <f t="shared" si="202"/>
        <v>0</v>
      </c>
    </row>
    <row r="594" spans="1:43">
      <c r="A594" s="11"/>
      <c r="B594" s="8"/>
      <c r="C594" s="9"/>
      <c r="D594" s="10"/>
      <c r="E594" s="7">
        <f t="shared" si="197"/>
        <v>0</v>
      </c>
      <c r="F594" s="8"/>
      <c r="G594" s="9"/>
      <c r="H594" s="10"/>
      <c r="I594" s="7">
        <f t="shared" si="198"/>
        <v>0</v>
      </c>
      <c r="K594" s="3"/>
      <c r="L594" s="8"/>
      <c r="M594" s="9"/>
      <c r="N594" s="10"/>
      <c r="O594" s="7">
        <f t="shared" si="199"/>
        <v>0</v>
      </c>
      <c r="P594" s="8"/>
      <c r="Q594" s="9"/>
      <c r="R594" s="10"/>
      <c r="S594" s="7">
        <f t="shared" si="200"/>
        <v>0</v>
      </c>
      <c r="T594" s="71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71"/>
      <c r="AI594" s="11"/>
      <c r="AJ594" s="8"/>
      <c r="AK594" s="9"/>
      <c r="AL594" s="10"/>
      <c r="AM594" s="7">
        <f t="shared" si="201"/>
        <v>0</v>
      </c>
      <c r="AN594" s="8"/>
      <c r="AO594" s="9"/>
      <c r="AP594" s="10"/>
      <c r="AQ594" s="7">
        <f t="shared" si="202"/>
        <v>0</v>
      </c>
    </row>
    <row r="595" spans="1:43">
      <c r="A595" s="11"/>
      <c r="B595" s="8"/>
      <c r="C595" s="9"/>
      <c r="D595" s="10"/>
      <c r="E595" s="7">
        <f t="shared" si="197"/>
        <v>0</v>
      </c>
      <c r="F595" s="8"/>
      <c r="G595" s="9"/>
      <c r="H595" s="10"/>
      <c r="I595" s="7">
        <f t="shared" si="198"/>
        <v>0</v>
      </c>
      <c r="K595" s="11"/>
      <c r="L595" s="8"/>
      <c r="M595" s="9"/>
      <c r="N595" s="10"/>
      <c r="O595" s="7">
        <f t="shared" si="199"/>
        <v>0</v>
      </c>
      <c r="P595" s="8"/>
      <c r="Q595" s="9"/>
      <c r="R595" s="10"/>
      <c r="S595" s="7">
        <f t="shared" si="200"/>
        <v>0</v>
      </c>
      <c r="T595" s="71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71"/>
      <c r="AI595" s="11"/>
      <c r="AJ595" s="8"/>
      <c r="AK595" s="9"/>
      <c r="AL595" s="10"/>
      <c r="AM595" s="7">
        <f t="shared" si="201"/>
        <v>0</v>
      </c>
      <c r="AN595" s="8"/>
      <c r="AO595" s="9"/>
      <c r="AP595" s="10"/>
      <c r="AQ595" s="7">
        <f t="shared" si="202"/>
        <v>0</v>
      </c>
    </row>
    <row r="596" spans="1:43">
      <c r="A596" s="11"/>
      <c r="B596" s="8"/>
      <c r="C596" s="9"/>
      <c r="D596" s="10"/>
      <c r="E596" s="7">
        <f t="shared" si="197"/>
        <v>0</v>
      </c>
      <c r="F596" s="8"/>
      <c r="G596" s="9"/>
      <c r="H596" s="10"/>
      <c r="I596" s="7">
        <f t="shared" si="198"/>
        <v>0</v>
      </c>
      <c r="K596" s="3"/>
      <c r="L596" s="8"/>
      <c r="M596" s="9"/>
      <c r="N596" s="10"/>
      <c r="O596" s="7">
        <f t="shared" si="199"/>
        <v>0</v>
      </c>
      <c r="P596" s="8"/>
      <c r="Q596" s="9"/>
      <c r="R596" s="10"/>
      <c r="S596" s="7">
        <f t="shared" si="200"/>
        <v>0</v>
      </c>
      <c r="T596" s="71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71"/>
      <c r="AI596" s="11"/>
      <c r="AJ596" s="8"/>
      <c r="AK596" s="9"/>
      <c r="AL596" s="10"/>
      <c r="AM596" s="7">
        <f t="shared" si="201"/>
        <v>0</v>
      </c>
      <c r="AN596" s="8"/>
      <c r="AO596" s="9"/>
      <c r="AP596" s="10"/>
      <c r="AQ596" s="7">
        <f t="shared" si="202"/>
        <v>0</v>
      </c>
    </row>
    <row r="597" spans="1:43">
      <c r="A597" s="11"/>
      <c r="B597" s="8"/>
      <c r="C597" s="9"/>
      <c r="D597" s="10"/>
      <c r="E597" s="7">
        <f t="shared" si="197"/>
        <v>0</v>
      </c>
      <c r="F597" s="8"/>
      <c r="G597" s="9"/>
      <c r="H597" s="10"/>
      <c r="I597" s="7">
        <f t="shared" si="198"/>
        <v>0</v>
      </c>
      <c r="K597" s="11" t="s">
        <v>174</v>
      </c>
      <c r="L597" s="8"/>
      <c r="M597" s="9"/>
      <c r="N597" s="10"/>
      <c r="O597" s="7">
        <f t="shared" si="199"/>
        <v>0</v>
      </c>
      <c r="P597" s="8"/>
      <c r="Q597" s="9"/>
      <c r="R597" s="10"/>
      <c r="S597" s="7">
        <f t="shared" si="200"/>
        <v>0</v>
      </c>
      <c r="T597" s="71" t="s">
        <v>173</v>
      </c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71"/>
      <c r="AI597" s="3"/>
      <c r="AJ597" s="8"/>
      <c r="AK597" s="9"/>
      <c r="AL597" s="10"/>
      <c r="AM597" s="7">
        <f t="shared" si="201"/>
        <v>0</v>
      </c>
      <c r="AN597" s="8"/>
      <c r="AO597" s="9"/>
      <c r="AP597" s="10"/>
      <c r="AQ597" s="7">
        <f t="shared" si="202"/>
        <v>0</v>
      </c>
    </row>
    <row r="598" spans="1:43" ht="14.25" thickBot="1">
      <c r="A598" s="3"/>
      <c r="B598" s="8"/>
      <c r="C598" s="9"/>
      <c r="D598" s="10"/>
      <c r="E598" s="7">
        <f t="shared" si="197"/>
        <v>0</v>
      </c>
      <c r="F598" s="8"/>
      <c r="G598" s="9"/>
      <c r="H598" s="10"/>
      <c r="I598" s="7">
        <f t="shared" si="198"/>
        <v>0</v>
      </c>
      <c r="K598" s="40" t="s">
        <v>234</v>
      </c>
      <c r="L598" s="79">
        <v>10</v>
      </c>
      <c r="M598" s="80">
        <v>0</v>
      </c>
      <c r="N598" s="81">
        <v>0</v>
      </c>
      <c r="O598" s="82">
        <f t="shared" si="199"/>
        <v>10</v>
      </c>
      <c r="P598" s="79">
        <v>10</v>
      </c>
      <c r="Q598" s="80">
        <v>0</v>
      </c>
      <c r="R598" s="81">
        <v>0</v>
      </c>
      <c r="S598" s="82">
        <f t="shared" si="200"/>
        <v>10</v>
      </c>
      <c r="T598" s="92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96"/>
      <c r="AI598" s="3"/>
      <c r="AJ598" s="8"/>
      <c r="AK598" s="9"/>
      <c r="AL598" s="10"/>
      <c r="AM598" s="7">
        <f t="shared" si="201"/>
        <v>0</v>
      </c>
      <c r="AN598" s="8"/>
      <c r="AO598" s="9"/>
      <c r="AP598" s="10"/>
      <c r="AQ598" s="7">
        <f t="shared" si="202"/>
        <v>0</v>
      </c>
    </row>
    <row r="599" spans="1:43" ht="14.25" thickBot="1">
      <c r="A599" s="2" t="s">
        <v>5</v>
      </c>
      <c r="B599" s="14">
        <f>SUM(B575:B598)</f>
        <v>2</v>
      </c>
      <c r="C599" s="14">
        <f>SUM(C575:C598)</f>
        <v>0</v>
      </c>
      <c r="D599" s="14">
        <f>SUM(D575:D598)</f>
        <v>0</v>
      </c>
      <c r="E599" s="15">
        <f t="shared" si="197"/>
        <v>2</v>
      </c>
      <c r="F599" s="14">
        <f>SUM(F575:F598)</f>
        <v>2</v>
      </c>
      <c r="G599" s="14">
        <f>SUM(G575:G598)</f>
        <v>0</v>
      </c>
      <c r="H599" s="14">
        <f>SUM(H575:H598)</f>
        <v>0</v>
      </c>
      <c r="I599" s="15">
        <f t="shared" si="198"/>
        <v>2</v>
      </c>
      <c r="K599" s="2" t="s">
        <v>5</v>
      </c>
      <c r="L599" s="14">
        <f>SUM(L575:L598)</f>
        <v>15</v>
      </c>
      <c r="M599" s="14">
        <f>SUM(M575:M598)</f>
        <v>0</v>
      </c>
      <c r="N599" s="14">
        <f>SUM(N575:N598)</f>
        <v>0</v>
      </c>
      <c r="O599" s="15">
        <f t="shared" si="199"/>
        <v>15</v>
      </c>
      <c r="P599" s="14">
        <f>SUM(P575:P598)</f>
        <v>15</v>
      </c>
      <c r="Q599" s="14">
        <f>SUM(Q575:Q598)</f>
        <v>0</v>
      </c>
      <c r="R599" s="14">
        <f>SUM(R575:R598)</f>
        <v>0</v>
      </c>
      <c r="S599" s="15">
        <f t="shared" si="200"/>
        <v>15</v>
      </c>
      <c r="AI599" s="2" t="s">
        <v>5</v>
      </c>
      <c r="AJ599" s="14">
        <f>SUM(AJ575:AJ598)</f>
        <v>0</v>
      </c>
      <c r="AK599" s="14">
        <f>SUM(AK575:AK598)</f>
        <v>0</v>
      </c>
      <c r="AL599" s="14">
        <f>SUM(AL575:AL598)</f>
        <v>0</v>
      </c>
      <c r="AM599" s="15">
        <f t="shared" si="201"/>
        <v>0</v>
      </c>
      <c r="AN599" s="14">
        <f>SUM(AN575:AN598)</f>
        <v>0</v>
      </c>
      <c r="AO599" s="14">
        <f>SUM(AO575:AO598)</f>
        <v>0</v>
      </c>
      <c r="AP599" s="14">
        <f>SUM(AP575:AP598)</f>
        <v>0</v>
      </c>
      <c r="AQ599" s="15">
        <f t="shared" si="202"/>
        <v>0</v>
      </c>
    </row>
    <row r="600" spans="1:43" ht="14.25" thickBot="1">
      <c r="A600" s="27" t="s">
        <v>6</v>
      </c>
      <c r="B600" s="28">
        <f>B574-B599</f>
        <v>7</v>
      </c>
      <c r="C600" s="28">
        <f t="shared" ref="C600:E600" si="203">C574-C599</f>
        <v>5</v>
      </c>
      <c r="D600" s="28">
        <f t="shared" si="203"/>
        <v>3</v>
      </c>
      <c r="E600" s="28">
        <f t="shared" si="203"/>
        <v>15</v>
      </c>
      <c r="F600" s="28">
        <f>F574-F599</f>
        <v>7</v>
      </c>
      <c r="G600" s="28">
        <f t="shared" ref="G600:I600" si="204">G574-G599</f>
        <v>5</v>
      </c>
      <c r="H600" s="28">
        <f t="shared" si="204"/>
        <v>3</v>
      </c>
      <c r="I600" s="26">
        <f t="shared" si="204"/>
        <v>15</v>
      </c>
      <c r="K600" s="27" t="s">
        <v>6</v>
      </c>
      <c r="L600" s="28">
        <f>L574-L599</f>
        <v>0</v>
      </c>
      <c r="M600" s="28">
        <f t="shared" ref="M600:O600" si="205">M574-M599</f>
        <v>0</v>
      </c>
      <c r="N600" s="28">
        <f t="shared" si="205"/>
        <v>0</v>
      </c>
      <c r="O600" s="26">
        <f t="shared" si="205"/>
        <v>0</v>
      </c>
      <c r="P600" s="28">
        <f>P574-P599</f>
        <v>0</v>
      </c>
      <c r="Q600" s="28">
        <f t="shared" ref="Q600:S600" si="206">Q574-Q599</f>
        <v>0</v>
      </c>
      <c r="R600" s="28">
        <f t="shared" si="206"/>
        <v>0</v>
      </c>
      <c r="S600" s="26">
        <f t="shared" si="206"/>
        <v>0</v>
      </c>
      <c r="AI600" s="27" t="s">
        <v>6</v>
      </c>
      <c r="AJ600" s="28">
        <f>AJ574-AJ599</f>
        <v>0</v>
      </c>
      <c r="AK600" s="28">
        <f t="shared" ref="AK600:AM600" si="207">AK574-AK599</f>
        <v>0</v>
      </c>
      <c r="AL600" s="28">
        <f t="shared" si="207"/>
        <v>0</v>
      </c>
      <c r="AM600" s="28">
        <f t="shared" si="207"/>
        <v>0</v>
      </c>
      <c r="AN600" s="28">
        <f>AN574-AN599</f>
        <v>0</v>
      </c>
      <c r="AO600" s="28">
        <f t="shared" ref="AO600:AQ600" si="208">AO574-AO599</f>
        <v>0</v>
      </c>
      <c r="AP600" s="28">
        <f t="shared" si="208"/>
        <v>0</v>
      </c>
      <c r="AQ600" s="26">
        <f t="shared" si="208"/>
        <v>0</v>
      </c>
    </row>
    <row r="601" spans="1:43">
      <c r="L601">
        <f>L556+L513+L470+L427+L384+L341</f>
        <v>544</v>
      </c>
      <c r="M601">
        <f t="shared" ref="M601:S601" si="209">M556+M513+M470+M427+M384+M341</f>
        <v>708</v>
      </c>
      <c r="N601">
        <f t="shared" si="209"/>
        <v>410</v>
      </c>
      <c r="O601">
        <f t="shared" si="209"/>
        <v>1662</v>
      </c>
      <c r="P601">
        <f>P556+P513+P470+P427+P384+P341</f>
        <v>544</v>
      </c>
      <c r="Q601">
        <f t="shared" si="209"/>
        <v>708</v>
      </c>
      <c r="R601">
        <f t="shared" si="209"/>
        <v>410</v>
      </c>
      <c r="S601">
        <f t="shared" si="209"/>
        <v>1662</v>
      </c>
    </row>
    <row r="602" spans="1:43">
      <c r="L602" s="86">
        <f>L601/$O$601*100</f>
        <v>32.731648616125156</v>
      </c>
      <c r="M602" s="86">
        <f>M601/$O$601*100</f>
        <v>42.599277978339352</v>
      </c>
      <c r="N602" s="86">
        <f>N601/$O$601*100</f>
        <v>24.669073405535499</v>
      </c>
      <c r="O602" s="86">
        <f>SUM(L602:N602)</f>
        <v>100</v>
      </c>
    </row>
    <row r="603" spans="1:43" ht="26.25" thickBot="1">
      <c r="A603" s="33" t="s">
        <v>15</v>
      </c>
      <c r="B603" s="34"/>
      <c r="C603" s="34"/>
      <c r="D603" s="34"/>
      <c r="E603" s="34"/>
      <c r="F603" s="35"/>
      <c r="G603" s="35"/>
      <c r="H603" s="35"/>
      <c r="I603" s="35"/>
      <c r="K603" s="33" t="s">
        <v>243</v>
      </c>
      <c r="L603" s="34"/>
      <c r="M603" s="34"/>
      <c r="N603" s="34"/>
      <c r="O603" s="34"/>
      <c r="P603" s="35"/>
      <c r="Q603" s="35"/>
      <c r="R603" s="35"/>
      <c r="S603" s="35"/>
      <c r="U603" s="88" t="s">
        <v>244</v>
      </c>
      <c r="V603" s="89"/>
      <c r="W603" s="89"/>
      <c r="X603" s="89"/>
      <c r="Y603" s="89"/>
      <c r="Z603" s="90"/>
      <c r="AA603" s="90"/>
      <c r="AB603" s="90"/>
      <c r="AC603" s="90"/>
      <c r="AI603" s="33" t="s">
        <v>87</v>
      </c>
      <c r="AJ603" s="34"/>
      <c r="AK603" s="34"/>
      <c r="AL603" s="34"/>
      <c r="AM603" s="34"/>
      <c r="AN603" s="35"/>
      <c r="AO603" s="35"/>
      <c r="AP603" s="35"/>
      <c r="AQ603" s="35"/>
    </row>
    <row r="604" spans="1:43" ht="14.25" thickBot="1">
      <c r="A604" s="1" t="s">
        <v>0</v>
      </c>
      <c r="B604" s="182" t="s">
        <v>17</v>
      </c>
      <c r="C604" s="182"/>
      <c r="D604" s="182"/>
      <c r="E604" s="183"/>
      <c r="F604" s="182" t="s">
        <v>13</v>
      </c>
      <c r="G604" s="182"/>
      <c r="H604" s="182"/>
      <c r="I604" s="183"/>
      <c r="K604" s="1" t="s">
        <v>0</v>
      </c>
      <c r="L604" s="182" t="s">
        <v>17</v>
      </c>
      <c r="M604" s="182"/>
      <c r="N604" s="182"/>
      <c r="O604" s="183"/>
      <c r="P604" s="182" t="s">
        <v>13</v>
      </c>
      <c r="Q604" s="182"/>
      <c r="R604" s="182"/>
      <c r="S604" s="183"/>
      <c r="U604" s="1" t="s">
        <v>0</v>
      </c>
      <c r="V604" s="182" t="s">
        <v>17</v>
      </c>
      <c r="W604" s="182"/>
      <c r="X604" s="182"/>
      <c r="Y604" s="183"/>
      <c r="Z604" s="182" t="s">
        <v>13</v>
      </c>
      <c r="AA604" s="182"/>
      <c r="AB604" s="182"/>
      <c r="AC604" s="183"/>
      <c r="AD604" s="182" t="s">
        <v>242</v>
      </c>
      <c r="AE604" s="182"/>
      <c r="AF604" s="182"/>
      <c r="AG604" s="183"/>
      <c r="AI604" s="1" t="s">
        <v>0</v>
      </c>
      <c r="AJ604" s="181" t="s">
        <v>17</v>
      </c>
      <c r="AK604" s="182"/>
      <c r="AL604" s="182"/>
      <c r="AM604" s="183"/>
      <c r="AN604" s="181" t="s">
        <v>13</v>
      </c>
      <c r="AO604" s="182"/>
      <c r="AP604" s="182"/>
      <c r="AQ604" s="183"/>
    </row>
    <row r="605" spans="1:43" ht="14.25" thickBot="1">
      <c r="A605" s="1" t="s">
        <v>1</v>
      </c>
      <c r="B605" s="2" t="s">
        <v>8</v>
      </c>
      <c r="C605" s="1" t="s">
        <v>9</v>
      </c>
      <c r="D605" s="19" t="s">
        <v>10</v>
      </c>
      <c r="E605" s="1" t="s">
        <v>2</v>
      </c>
      <c r="F605" s="2" t="s">
        <v>8</v>
      </c>
      <c r="G605" s="1" t="s">
        <v>9</v>
      </c>
      <c r="H605" s="19" t="s">
        <v>10</v>
      </c>
      <c r="I605" s="1" t="s">
        <v>2</v>
      </c>
      <c r="K605" s="1" t="s">
        <v>1</v>
      </c>
      <c r="L605" s="2" t="s">
        <v>8</v>
      </c>
      <c r="M605" s="1" t="s">
        <v>9</v>
      </c>
      <c r="N605" s="19" t="s">
        <v>10</v>
      </c>
      <c r="O605" s="1" t="s">
        <v>2</v>
      </c>
      <c r="P605" s="2" t="s">
        <v>8</v>
      </c>
      <c r="Q605" s="1" t="s">
        <v>9</v>
      </c>
      <c r="R605" s="19" t="s">
        <v>10</v>
      </c>
      <c r="S605" s="1" t="s">
        <v>2</v>
      </c>
      <c r="U605" s="1" t="s">
        <v>1</v>
      </c>
      <c r="V605" s="2" t="s">
        <v>8</v>
      </c>
      <c r="W605" s="1" t="s">
        <v>9</v>
      </c>
      <c r="X605" s="19" t="s">
        <v>10</v>
      </c>
      <c r="Y605" s="1" t="s">
        <v>2</v>
      </c>
      <c r="Z605" s="2" t="s">
        <v>8</v>
      </c>
      <c r="AA605" s="1" t="s">
        <v>9</v>
      </c>
      <c r="AB605" s="19" t="s">
        <v>10</v>
      </c>
      <c r="AC605" s="1" t="s">
        <v>2</v>
      </c>
      <c r="AD605" s="2" t="s">
        <v>8</v>
      </c>
      <c r="AE605" s="1" t="s">
        <v>9</v>
      </c>
      <c r="AF605" s="19" t="s">
        <v>10</v>
      </c>
      <c r="AG605" s="1" t="s">
        <v>2</v>
      </c>
      <c r="AI605" s="1" t="s">
        <v>1</v>
      </c>
      <c r="AJ605" s="2" t="s">
        <v>8</v>
      </c>
      <c r="AK605" s="1" t="s">
        <v>9</v>
      </c>
      <c r="AL605" s="19" t="s">
        <v>10</v>
      </c>
      <c r="AM605" s="1" t="s">
        <v>2</v>
      </c>
      <c r="AN605" s="2" t="s">
        <v>8</v>
      </c>
      <c r="AO605" s="1" t="s">
        <v>9</v>
      </c>
      <c r="AP605" s="19" t="s">
        <v>10</v>
      </c>
      <c r="AQ605" s="1" t="s">
        <v>2</v>
      </c>
    </row>
    <row r="606" spans="1:43" ht="14.25" thickBot="1">
      <c r="A606" s="21" t="s">
        <v>7</v>
      </c>
      <c r="B606" s="18">
        <f>B600</f>
        <v>7</v>
      </c>
      <c r="C606" s="22">
        <f>C600</f>
        <v>5</v>
      </c>
      <c r="D606" s="22">
        <f>D600</f>
        <v>3</v>
      </c>
      <c r="E606" s="17">
        <f t="shared" ref="E606:E642" si="210">SUM(B606:D606)</f>
        <v>15</v>
      </c>
      <c r="F606" s="22">
        <f>F600</f>
        <v>7</v>
      </c>
      <c r="G606" s="22">
        <f>G600</f>
        <v>5</v>
      </c>
      <c r="H606" s="22">
        <f>H600</f>
        <v>3</v>
      </c>
      <c r="I606" s="17">
        <f t="shared" ref="I606:I642" si="211">SUM(F606:H606)</f>
        <v>15</v>
      </c>
      <c r="K606" s="21" t="s">
        <v>7</v>
      </c>
      <c r="L606" s="18">
        <f>L600</f>
        <v>0</v>
      </c>
      <c r="M606" s="22">
        <f>M600</f>
        <v>0</v>
      </c>
      <c r="N606" s="22">
        <f>N600</f>
        <v>0</v>
      </c>
      <c r="O606" s="17">
        <f t="shared" ref="O606:O642" si="212">SUM(L606:N606)</f>
        <v>0</v>
      </c>
      <c r="P606" s="22">
        <f>P600</f>
        <v>0</v>
      </c>
      <c r="Q606" s="22">
        <f>Q600</f>
        <v>0</v>
      </c>
      <c r="R606" s="22">
        <f>R600</f>
        <v>0</v>
      </c>
      <c r="S606" s="17">
        <f t="shared" ref="S606:S642" si="213">SUM(P606:R606)</f>
        <v>0</v>
      </c>
      <c r="U606" s="21" t="s">
        <v>7</v>
      </c>
      <c r="V606" s="18">
        <f>V600</f>
        <v>0</v>
      </c>
      <c r="W606" s="22">
        <f>W600</f>
        <v>0</v>
      </c>
      <c r="X606" s="22">
        <f>X600</f>
        <v>0</v>
      </c>
      <c r="Y606" s="17">
        <f t="shared" ref="Y606:Y642" si="214">SUM(V606:X606)</f>
        <v>0</v>
      </c>
      <c r="Z606" s="22">
        <f>Z600</f>
        <v>0</v>
      </c>
      <c r="AA606" s="22">
        <f>AA600</f>
        <v>0</v>
      </c>
      <c r="AB606" s="22">
        <f>AB600</f>
        <v>0</v>
      </c>
      <c r="AC606" s="17">
        <f t="shared" ref="AC606:AC642" si="215">SUM(Z606:AB606)</f>
        <v>0</v>
      </c>
      <c r="AD606" s="22">
        <f>AD600</f>
        <v>0</v>
      </c>
      <c r="AE606" s="22">
        <f>AE600</f>
        <v>0</v>
      </c>
      <c r="AF606" s="22">
        <f>AF600</f>
        <v>0</v>
      </c>
      <c r="AG606" s="17">
        <f t="shared" ref="AG606:AG642" si="216">SUM(AD606:AF606)</f>
        <v>0</v>
      </c>
      <c r="AI606" s="52" t="s">
        <v>7</v>
      </c>
      <c r="AJ606" s="53">
        <f>AJ600</f>
        <v>0</v>
      </c>
      <c r="AK606" s="23">
        <f>AK600</f>
        <v>0</v>
      </c>
      <c r="AL606" s="23">
        <f>AL600</f>
        <v>0</v>
      </c>
      <c r="AM606" s="26">
        <f t="shared" ref="AM606:AM642" si="217">SUM(AJ606:AL606)</f>
        <v>0</v>
      </c>
      <c r="AN606" s="23">
        <f>AN600</f>
        <v>0</v>
      </c>
      <c r="AO606" s="23">
        <f>AO600</f>
        <v>0</v>
      </c>
      <c r="AP606" s="23">
        <f>AP600</f>
        <v>0</v>
      </c>
      <c r="AQ606" s="26">
        <f t="shared" ref="AQ606:AQ642" si="218">SUM(AN606:AP606)</f>
        <v>0</v>
      </c>
    </row>
    <row r="607" spans="1:43">
      <c r="A607" s="5" t="s">
        <v>280</v>
      </c>
      <c r="B607" s="30"/>
      <c r="C607" s="31">
        <v>1</v>
      </c>
      <c r="D607" s="32"/>
      <c r="E607" s="4">
        <f t="shared" si="210"/>
        <v>1</v>
      </c>
      <c r="F607" s="30"/>
      <c r="G607" s="31">
        <v>1</v>
      </c>
      <c r="H607" s="32"/>
      <c r="I607" s="4">
        <f t="shared" si="211"/>
        <v>1</v>
      </c>
      <c r="J607" s="43">
        <v>44312</v>
      </c>
      <c r="K607" s="5" t="s">
        <v>37</v>
      </c>
      <c r="L607" s="16">
        <v>2</v>
      </c>
      <c r="M607" s="11"/>
      <c r="N607" s="16"/>
      <c r="O607" s="4">
        <f t="shared" si="212"/>
        <v>2</v>
      </c>
      <c r="P607" s="16">
        <v>2</v>
      </c>
      <c r="Q607" s="11"/>
      <c r="R607" s="16"/>
      <c r="S607" s="4">
        <f t="shared" si="213"/>
        <v>2</v>
      </c>
      <c r="T607" s="43">
        <v>44308</v>
      </c>
      <c r="U607" s="5" t="s">
        <v>37</v>
      </c>
      <c r="V607" s="16"/>
      <c r="W607" s="11">
        <v>2</v>
      </c>
      <c r="X607" s="16">
        <v>1</v>
      </c>
      <c r="Y607" s="4">
        <f t="shared" si="214"/>
        <v>3</v>
      </c>
      <c r="Z607" s="16"/>
      <c r="AA607" s="11">
        <v>2</v>
      </c>
      <c r="AB607" s="16">
        <v>1</v>
      </c>
      <c r="AC607" s="4">
        <f t="shared" si="215"/>
        <v>3</v>
      </c>
      <c r="AD607" s="16"/>
      <c r="AE607" s="11">
        <v>2</v>
      </c>
      <c r="AF607" s="16">
        <v>1</v>
      </c>
      <c r="AG607" s="4">
        <f t="shared" si="216"/>
        <v>3</v>
      </c>
      <c r="AH607" s="43">
        <v>44308</v>
      </c>
      <c r="AI607" s="5" t="s">
        <v>3</v>
      </c>
      <c r="AJ607" s="16"/>
      <c r="AK607" s="11"/>
      <c r="AL607" s="16"/>
      <c r="AM607" s="4">
        <f t="shared" si="217"/>
        <v>0</v>
      </c>
      <c r="AN607" s="16"/>
      <c r="AO607" s="11"/>
      <c r="AP607" s="16"/>
      <c r="AQ607" s="4">
        <f t="shared" si="218"/>
        <v>0</v>
      </c>
    </row>
    <row r="608" spans="1:43">
      <c r="A608" s="5" t="s">
        <v>3</v>
      </c>
      <c r="B608" s="30"/>
      <c r="C608" s="31"/>
      <c r="D608" s="32"/>
      <c r="E608" s="4">
        <f t="shared" si="210"/>
        <v>0</v>
      </c>
      <c r="F608" s="30"/>
      <c r="G608" s="31"/>
      <c r="H608" s="32"/>
      <c r="I608" s="4">
        <f t="shared" si="211"/>
        <v>0</v>
      </c>
      <c r="J608" s="43"/>
      <c r="K608" s="5" t="s">
        <v>3</v>
      </c>
      <c r="L608" s="32"/>
      <c r="M608" s="31"/>
      <c r="N608" s="32"/>
      <c r="O608" s="4">
        <f t="shared" si="212"/>
        <v>0</v>
      </c>
      <c r="P608" s="32"/>
      <c r="Q608" s="31"/>
      <c r="R608" s="32"/>
      <c r="S608" s="4">
        <f t="shared" si="213"/>
        <v>0</v>
      </c>
      <c r="T608" s="43"/>
      <c r="U608" s="5" t="s">
        <v>224</v>
      </c>
      <c r="V608" s="32">
        <v>1</v>
      </c>
      <c r="W608" s="31"/>
      <c r="X608" s="32"/>
      <c r="Y608" s="4">
        <f t="shared" si="214"/>
        <v>1</v>
      </c>
      <c r="Z608" s="32">
        <v>1</v>
      </c>
      <c r="AA608" s="31"/>
      <c r="AB608" s="32"/>
      <c r="AC608" s="4">
        <f t="shared" si="215"/>
        <v>1</v>
      </c>
      <c r="AD608" s="32">
        <v>1</v>
      </c>
      <c r="AE608" s="31"/>
      <c r="AF608" s="32"/>
      <c r="AG608" s="4">
        <f t="shared" si="216"/>
        <v>1</v>
      </c>
      <c r="AH608" s="43">
        <v>44317</v>
      </c>
      <c r="AI608" s="5" t="s">
        <v>3</v>
      </c>
      <c r="AJ608" s="32"/>
      <c r="AK608" s="31"/>
      <c r="AL608" s="32"/>
      <c r="AM608" s="4">
        <f t="shared" si="217"/>
        <v>0</v>
      </c>
      <c r="AN608" s="32"/>
      <c r="AO608" s="31"/>
      <c r="AP608" s="32"/>
      <c r="AQ608" s="4">
        <f t="shared" si="218"/>
        <v>0</v>
      </c>
    </row>
    <row r="609" spans="1:44">
      <c r="A609" s="5" t="s">
        <v>3</v>
      </c>
      <c r="B609" s="30"/>
      <c r="C609" s="31"/>
      <c r="D609" s="32"/>
      <c r="E609" s="4">
        <f t="shared" si="210"/>
        <v>0</v>
      </c>
      <c r="F609" s="30"/>
      <c r="G609" s="31"/>
      <c r="H609" s="32"/>
      <c r="I609" s="4">
        <f t="shared" si="211"/>
        <v>0</v>
      </c>
      <c r="J609" s="49"/>
      <c r="K609" s="5" t="s">
        <v>3</v>
      </c>
      <c r="L609" s="30"/>
      <c r="M609" s="31"/>
      <c r="N609" s="32"/>
      <c r="O609" s="4">
        <f t="shared" si="212"/>
        <v>0</v>
      </c>
      <c r="P609" s="30"/>
      <c r="Q609" s="31"/>
      <c r="R609" s="32"/>
      <c r="S609" s="4">
        <f t="shared" si="213"/>
        <v>0</v>
      </c>
      <c r="T609" s="43"/>
      <c r="U609" s="5" t="s">
        <v>3</v>
      </c>
      <c r="V609" s="30"/>
      <c r="W609" s="31"/>
      <c r="X609" s="32"/>
      <c r="Y609" s="4">
        <f t="shared" si="214"/>
        <v>0</v>
      </c>
      <c r="Z609" s="30"/>
      <c r="AA609" s="31"/>
      <c r="AB609" s="32"/>
      <c r="AC609" s="4">
        <f t="shared" si="215"/>
        <v>0</v>
      </c>
      <c r="AD609" s="30"/>
      <c r="AE609" s="31"/>
      <c r="AF609" s="32"/>
      <c r="AG609" s="4">
        <f t="shared" si="216"/>
        <v>0</v>
      </c>
      <c r="AH609" s="43"/>
      <c r="AI609" s="5" t="s">
        <v>3</v>
      </c>
      <c r="AJ609" s="30"/>
      <c r="AK609" s="31"/>
      <c r="AL609" s="32"/>
      <c r="AM609" s="4">
        <f t="shared" si="217"/>
        <v>0</v>
      </c>
      <c r="AN609" s="30"/>
      <c r="AO609" s="31"/>
      <c r="AP609" s="32"/>
      <c r="AQ609" s="4">
        <f t="shared" si="218"/>
        <v>0</v>
      </c>
    </row>
    <row r="610" spans="1:44">
      <c r="A610" s="5" t="s">
        <v>3</v>
      </c>
      <c r="B610" s="16"/>
      <c r="C610" s="11"/>
      <c r="D610" s="16"/>
      <c r="E610" s="4">
        <f t="shared" si="210"/>
        <v>0</v>
      </c>
      <c r="F610" s="16"/>
      <c r="G610" s="11"/>
      <c r="H610" s="16"/>
      <c r="I610" s="4">
        <f t="shared" si="211"/>
        <v>0</v>
      </c>
      <c r="J610" s="49"/>
      <c r="K610" s="5" t="s">
        <v>3</v>
      </c>
      <c r="L610" s="16"/>
      <c r="M610" s="11"/>
      <c r="N610" s="16"/>
      <c r="O610" s="4">
        <f t="shared" si="212"/>
        <v>0</v>
      </c>
      <c r="P610" s="16"/>
      <c r="Q610" s="11"/>
      <c r="R610" s="16"/>
      <c r="S610" s="4">
        <f t="shared" si="213"/>
        <v>0</v>
      </c>
      <c r="T610" s="43"/>
      <c r="U610" s="5" t="s">
        <v>3</v>
      </c>
      <c r="V610" s="16"/>
      <c r="W610" s="11"/>
      <c r="X610" s="16"/>
      <c r="Y610" s="4">
        <f t="shared" si="214"/>
        <v>0</v>
      </c>
      <c r="Z610" s="16"/>
      <c r="AA610" s="11"/>
      <c r="AB610" s="16"/>
      <c r="AC610" s="4">
        <f t="shared" si="215"/>
        <v>0</v>
      </c>
      <c r="AD610" s="16"/>
      <c r="AE610" s="11"/>
      <c r="AF610" s="16"/>
      <c r="AG610" s="4">
        <f t="shared" si="216"/>
        <v>0</v>
      </c>
      <c r="AH610" s="43"/>
      <c r="AI610" s="5" t="s">
        <v>3</v>
      </c>
      <c r="AJ610" s="16"/>
      <c r="AK610" s="11"/>
      <c r="AL610" s="16"/>
      <c r="AM610" s="4">
        <f t="shared" si="217"/>
        <v>0</v>
      </c>
      <c r="AN610" s="16"/>
      <c r="AO610" s="11"/>
      <c r="AP610" s="16"/>
      <c r="AQ610" s="4">
        <f t="shared" si="218"/>
        <v>0</v>
      </c>
    </row>
    <row r="611" spans="1:44">
      <c r="A611" s="5" t="s">
        <v>3</v>
      </c>
      <c r="B611" s="16"/>
      <c r="C611" s="11"/>
      <c r="D611" s="16"/>
      <c r="E611" s="4">
        <f t="shared" si="210"/>
        <v>0</v>
      </c>
      <c r="F611" s="16"/>
      <c r="G611" s="11"/>
      <c r="H611" s="16"/>
      <c r="I611" s="4">
        <f t="shared" si="211"/>
        <v>0</v>
      </c>
      <c r="K611" s="5" t="s">
        <v>3</v>
      </c>
      <c r="L611" s="32"/>
      <c r="M611" s="31"/>
      <c r="N611" s="32"/>
      <c r="O611" s="4">
        <f t="shared" si="212"/>
        <v>0</v>
      </c>
      <c r="P611" s="32"/>
      <c r="Q611" s="31"/>
      <c r="R611" s="32"/>
      <c r="S611" s="4">
        <f t="shared" si="213"/>
        <v>0</v>
      </c>
      <c r="T611" s="43"/>
      <c r="U611" s="5" t="s">
        <v>3</v>
      </c>
      <c r="V611" s="32"/>
      <c r="W611" s="31"/>
      <c r="X611" s="32"/>
      <c r="Y611" s="4">
        <f t="shared" si="214"/>
        <v>0</v>
      </c>
      <c r="Z611" s="32"/>
      <c r="AA611" s="31"/>
      <c r="AB611" s="32"/>
      <c r="AC611" s="4">
        <f t="shared" si="215"/>
        <v>0</v>
      </c>
      <c r="AD611" s="32"/>
      <c r="AE611" s="31"/>
      <c r="AF611" s="32"/>
      <c r="AG611" s="4">
        <f t="shared" si="216"/>
        <v>0</v>
      </c>
      <c r="AH611" s="43"/>
      <c r="AI611" s="5" t="s">
        <v>3</v>
      </c>
      <c r="AJ611" s="32"/>
      <c r="AK611" s="31"/>
      <c r="AL611" s="32"/>
      <c r="AM611" s="4">
        <f t="shared" si="217"/>
        <v>0</v>
      </c>
      <c r="AN611" s="32"/>
      <c r="AO611" s="31"/>
      <c r="AP611" s="32"/>
      <c r="AQ611" s="4">
        <f t="shared" si="218"/>
        <v>0</v>
      </c>
    </row>
    <row r="612" spans="1:44">
      <c r="A612" s="5" t="s">
        <v>3</v>
      </c>
      <c r="B612" s="16"/>
      <c r="C612" s="11"/>
      <c r="D612" s="16"/>
      <c r="E612" s="4">
        <f t="shared" si="210"/>
        <v>0</v>
      </c>
      <c r="F612" s="16"/>
      <c r="G612" s="11"/>
      <c r="H612" s="16"/>
      <c r="I612" s="4">
        <f t="shared" si="211"/>
        <v>0</v>
      </c>
      <c r="K612" s="5" t="s">
        <v>3</v>
      </c>
      <c r="L612" s="16"/>
      <c r="M612" s="11"/>
      <c r="N612" s="16"/>
      <c r="O612" s="4">
        <f t="shared" si="212"/>
        <v>0</v>
      </c>
      <c r="P612" s="16"/>
      <c r="Q612" s="11"/>
      <c r="R612" s="16"/>
      <c r="S612" s="4">
        <f t="shared" si="213"/>
        <v>0</v>
      </c>
      <c r="T612" s="43"/>
      <c r="U612" s="5" t="s">
        <v>3</v>
      </c>
      <c r="V612" s="16"/>
      <c r="W612" s="11"/>
      <c r="X612" s="16"/>
      <c r="Y612" s="4">
        <f t="shared" si="214"/>
        <v>0</v>
      </c>
      <c r="Z612" s="16"/>
      <c r="AA612" s="11"/>
      <c r="AB612" s="16"/>
      <c r="AC612" s="4">
        <f t="shared" si="215"/>
        <v>0</v>
      </c>
      <c r="AD612" s="16"/>
      <c r="AE612" s="11"/>
      <c r="AF612" s="16"/>
      <c r="AG612" s="4">
        <f t="shared" si="216"/>
        <v>0</v>
      </c>
      <c r="AH612" s="43"/>
      <c r="AI612" s="5" t="s">
        <v>3</v>
      </c>
      <c r="AJ612" s="16"/>
      <c r="AK612" s="11"/>
      <c r="AL612" s="16"/>
      <c r="AM612" s="4">
        <f t="shared" si="217"/>
        <v>0</v>
      </c>
      <c r="AN612" s="16"/>
      <c r="AO612" s="11"/>
      <c r="AP612" s="16"/>
      <c r="AQ612" s="4">
        <f t="shared" si="218"/>
        <v>0</v>
      </c>
    </row>
    <row r="613" spans="1:44">
      <c r="A613" s="5" t="s">
        <v>3</v>
      </c>
      <c r="B613" s="32"/>
      <c r="C613" s="31"/>
      <c r="D613" s="32"/>
      <c r="E613" s="4">
        <f t="shared" si="210"/>
        <v>0</v>
      </c>
      <c r="F613" s="32"/>
      <c r="G613" s="31"/>
      <c r="H613" s="32"/>
      <c r="I613" s="4">
        <f t="shared" si="211"/>
        <v>0</v>
      </c>
      <c r="K613" s="5" t="s">
        <v>265</v>
      </c>
      <c r="L613" s="32">
        <v>100</v>
      </c>
      <c r="M613" s="31">
        <v>200</v>
      </c>
      <c r="N613" s="32">
        <v>100</v>
      </c>
      <c r="O613" s="4">
        <f t="shared" si="212"/>
        <v>400</v>
      </c>
      <c r="P613" s="32">
        <v>100</v>
      </c>
      <c r="Q613" s="31">
        <v>200</v>
      </c>
      <c r="R613" s="32">
        <v>100</v>
      </c>
      <c r="S613" s="4">
        <f t="shared" si="213"/>
        <v>400</v>
      </c>
      <c r="T613" s="43" t="s">
        <v>264</v>
      </c>
      <c r="U613" s="5" t="s">
        <v>265</v>
      </c>
      <c r="V613" s="32">
        <v>25</v>
      </c>
      <c r="W613" s="31">
        <v>50</v>
      </c>
      <c r="X613" s="32">
        <v>25</v>
      </c>
      <c r="Y613" s="4">
        <f t="shared" si="214"/>
        <v>100</v>
      </c>
      <c r="Z613" s="32">
        <v>25</v>
      </c>
      <c r="AA613" s="31">
        <v>50</v>
      </c>
      <c r="AB613" s="32">
        <v>25</v>
      </c>
      <c r="AC613" s="4">
        <f t="shared" si="215"/>
        <v>100</v>
      </c>
      <c r="AD613" s="32">
        <v>25</v>
      </c>
      <c r="AE613" s="31">
        <v>50</v>
      </c>
      <c r="AF613" s="32">
        <v>25</v>
      </c>
      <c r="AG613" s="4">
        <f t="shared" si="216"/>
        <v>100</v>
      </c>
      <c r="AH613" s="43" t="s">
        <v>264</v>
      </c>
      <c r="AI613" s="5" t="s">
        <v>3</v>
      </c>
      <c r="AJ613" s="10"/>
      <c r="AK613" s="9"/>
      <c r="AL613" s="10"/>
      <c r="AM613" s="4">
        <f t="shared" si="217"/>
        <v>0</v>
      </c>
      <c r="AN613" s="10"/>
      <c r="AO613" s="9"/>
      <c r="AP613" s="10"/>
      <c r="AQ613" s="4">
        <f t="shared" si="218"/>
        <v>0</v>
      </c>
    </row>
    <row r="614" spans="1:44">
      <c r="A614" s="5" t="s">
        <v>3</v>
      </c>
      <c r="B614" s="32"/>
      <c r="C614" s="31"/>
      <c r="D614" s="32"/>
      <c r="E614" s="4">
        <f t="shared" si="210"/>
        <v>0</v>
      </c>
      <c r="F614" s="32"/>
      <c r="G614" s="31"/>
      <c r="H614" s="32"/>
      <c r="I614" s="4">
        <f t="shared" si="211"/>
        <v>0</v>
      </c>
      <c r="K614" s="6" t="s">
        <v>3</v>
      </c>
      <c r="L614" s="32"/>
      <c r="M614" s="31"/>
      <c r="N614" s="32"/>
      <c r="O614" s="4">
        <f t="shared" si="212"/>
        <v>0</v>
      </c>
      <c r="P614" s="32"/>
      <c r="Q614" s="31"/>
      <c r="R614" s="32"/>
      <c r="S614" s="4">
        <f t="shared" si="213"/>
        <v>0</v>
      </c>
      <c r="T614" s="43"/>
      <c r="U614" s="6" t="s">
        <v>3</v>
      </c>
      <c r="V614" s="32"/>
      <c r="W614" s="31"/>
      <c r="X614" s="32"/>
      <c r="Y614" s="4">
        <f t="shared" si="214"/>
        <v>0</v>
      </c>
      <c r="Z614" s="32"/>
      <c r="AA614" s="31"/>
      <c r="AB614" s="32"/>
      <c r="AC614" s="4">
        <f t="shared" si="215"/>
        <v>0</v>
      </c>
      <c r="AD614" s="32"/>
      <c r="AE614" s="31"/>
      <c r="AF614" s="32"/>
      <c r="AG614" s="4">
        <f t="shared" si="216"/>
        <v>0</v>
      </c>
      <c r="AH614" s="43"/>
      <c r="AI614" s="85" t="s">
        <v>241</v>
      </c>
      <c r="AJ614" s="64"/>
      <c r="AK614" s="63"/>
      <c r="AL614" s="64"/>
      <c r="AM614" s="17">
        <f t="shared" si="217"/>
        <v>0</v>
      </c>
      <c r="AN614" s="64"/>
      <c r="AO614" s="63"/>
      <c r="AP614" s="64"/>
      <c r="AQ614" s="17">
        <f t="shared" si="218"/>
        <v>0</v>
      </c>
      <c r="AR614" s="66"/>
    </row>
    <row r="615" spans="1:44">
      <c r="A615" s="5" t="s">
        <v>3</v>
      </c>
      <c r="B615" s="30"/>
      <c r="C615" s="31"/>
      <c r="D615" s="32"/>
      <c r="E615" s="4">
        <f t="shared" si="210"/>
        <v>0</v>
      </c>
      <c r="F615" s="30"/>
      <c r="G615" s="31"/>
      <c r="H615" s="32"/>
      <c r="I615" s="4">
        <f t="shared" si="211"/>
        <v>0</v>
      </c>
      <c r="K615" s="6" t="s">
        <v>3</v>
      </c>
      <c r="L615" s="32"/>
      <c r="M615" s="31"/>
      <c r="N615" s="32"/>
      <c r="O615" s="4">
        <f t="shared" si="212"/>
        <v>0</v>
      </c>
      <c r="P615" s="32"/>
      <c r="Q615" s="31"/>
      <c r="R615" s="32"/>
      <c r="S615" s="4">
        <f t="shared" si="213"/>
        <v>0</v>
      </c>
      <c r="T615" s="43"/>
      <c r="U615" s="6" t="s">
        <v>3</v>
      </c>
      <c r="V615" s="30"/>
      <c r="W615" s="31"/>
      <c r="X615" s="32"/>
      <c r="Y615" s="4">
        <f t="shared" si="214"/>
        <v>0</v>
      </c>
      <c r="Z615" s="30"/>
      <c r="AA615" s="31"/>
      <c r="AB615" s="32"/>
      <c r="AC615" s="4">
        <f t="shared" si="215"/>
        <v>0</v>
      </c>
      <c r="AD615" s="30"/>
      <c r="AE615" s="31"/>
      <c r="AF615" s="32"/>
      <c r="AG615" s="4">
        <f t="shared" si="216"/>
        <v>0</v>
      </c>
      <c r="AH615" s="43"/>
      <c r="AI615" s="6" t="s">
        <v>3</v>
      </c>
      <c r="AJ615" s="32"/>
      <c r="AK615" s="31"/>
      <c r="AL615" s="32"/>
      <c r="AM615" s="4">
        <f t="shared" si="217"/>
        <v>0</v>
      </c>
      <c r="AN615" s="32"/>
      <c r="AO615" s="31"/>
      <c r="AP615" s="32"/>
      <c r="AQ615" s="4">
        <f t="shared" si="218"/>
        <v>0</v>
      </c>
    </row>
    <row r="616" spans="1:44" ht="14.25" thickBot="1">
      <c r="A616" s="6" t="s">
        <v>3</v>
      </c>
      <c r="B616" s="36"/>
      <c r="C616" s="37"/>
      <c r="D616" s="36"/>
      <c r="E616" s="20">
        <f t="shared" si="210"/>
        <v>0</v>
      </c>
      <c r="F616" s="13"/>
      <c r="G616" s="12"/>
      <c r="H616" s="13"/>
      <c r="I616" s="20">
        <f t="shared" si="211"/>
        <v>0</v>
      </c>
      <c r="K616" s="6" t="s">
        <v>3</v>
      </c>
      <c r="L616" s="13"/>
      <c r="M616" s="12"/>
      <c r="N616" s="13"/>
      <c r="O616" s="20">
        <f t="shared" si="212"/>
        <v>0</v>
      </c>
      <c r="P616" s="13"/>
      <c r="Q616" s="12"/>
      <c r="R616" s="13"/>
      <c r="S616" s="20">
        <f t="shared" si="213"/>
        <v>0</v>
      </c>
      <c r="T616" s="93"/>
      <c r="U616" s="6" t="s">
        <v>3</v>
      </c>
      <c r="V616" s="13"/>
      <c r="W616" s="12"/>
      <c r="X616" s="13"/>
      <c r="Y616" s="20">
        <f t="shared" si="214"/>
        <v>0</v>
      </c>
      <c r="Z616" s="13"/>
      <c r="AA616" s="12"/>
      <c r="AB616" s="13"/>
      <c r="AC616" s="20">
        <f t="shared" si="215"/>
        <v>0</v>
      </c>
      <c r="AD616" s="13"/>
      <c r="AE616" s="12"/>
      <c r="AF616" s="13"/>
      <c r="AG616" s="20">
        <f t="shared" si="216"/>
        <v>0</v>
      </c>
      <c r="AI616" s="6" t="s">
        <v>3</v>
      </c>
      <c r="AJ616" s="13"/>
      <c r="AK616" s="12"/>
      <c r="AL616" s="13"/>
      <c r="AM616" s="20">
        <f t="shared" si="217"/>
        <v>0</v>
      </c>
      <c r="AN616" s="13"/>
      <c r="AO616" s="12"/>
      <c r="AP616" s="13"/>
      <c r="AQ616" s="20">
        <f t="shared" si="218"/>
        <v>0</v>
      </c>
    </row>
    <row r="617" spans="1:44" ht="14.25" thickBot="1">
      <c r="A617" s="23" t="s">
        <v>4</v>
      </c>
      <c r="B617" s="24">
        <f>SUM(B606:B616)</f>
        <v>7</v>
      </c>
      <c r="C617" s="24">
        <f>SUM(C606:C616)</f>
        <v>6</v>
      </c>
      <c r="D617" s="25">
        <f>SUM(D606:D616)</f>
        <v>3</v>
      </c>
      <c r="E617" s="26">
        <f t="shared" si="210"/>
        <v>16</v>
      </c>
      <c r="F617" s="24">
        <f>SUM(F606:F616)</f>
        <v>7</v>
      </c>
      <c r="G617" s="24">
        <f>SUM(G606:G616)</f>
        <v>6</v>
      </c>
      <c r="H617" s="25">
        <f>SUM(H606:H616)</f>
        <v>3</v>
      </c>
      <c r="I617" s="26">
        <f t="shared" si="211"/>
        <v>16</v>
      </c>
      <c r="K617" s="23" t="s">
        <v>4</v>
      </c>
      <c r="L617" s="24">
        <f>SUM(L606:L616)</f>
        <v>102</v>
      </c>
      <c r="M617" s="24">
        <f>SUM(M606:M616)</f>
        <v>200</v>
      </c>
      <c r="N617" s="25">
        <f>SUM(N606:N616)</f>
        <v>100</v>
      </c>
      <c r="O617" s="26">
        <f t="shared" si="212"/>
        <v>402</v>
      </c>
      <c r="P617" s="24">
        <f>SUM(P606:P616)</f>
        <v>102</v>
      </c>
      <c r="Q617" s="24">
        <f>SUM(Q606:Q616)</f>
        <v>200</v>
      </c>
      <c r="R617" s="25">
        <f>SUM(R606:R616)</f>
        <v>100</v>
      </c>
      <c r="S617" s="26">
        <f t="shared" si="213"/>
        <v>402</v>
      </c>
      <c r="U617" s="23" t="s">
        <v>4</v>
      </c>
      <c r="V617" s="24">
        <f>SUM(V606:V616)</f>
        <v>26</v>
      </c>
      <c r="W617" s="24">
        <f>SUM(W606:W616)</f>
        <v>52</v>
      </c>
      <c r="X617" s="25">
        <f>SUM(X606:X616)</f>
        <v>26</v>
      </c>
      <c r="Y617" s="26">
        <f t="shared" si="214"/>
        <v>104</v>
      </c>
      <c r="Z617" s="24">
        <f>SUM(Z606:Z616)</f>
        <v>26</v>
      </c>
      <c r="AA617" s="24">
        <f>SUM(AA606:AA616)</f>
        <v>52</v>
      </c>
      <c r="AB617" s="25">
        <f>SUM(AB606:AB616)</f>
        <v>26</v>
      </c>
      <c r="AC617" s="26">
        <f t="shared" si="215"/>
        <v>104</v>
      </c>
      <c r="AD617" s="24">
        <f>SUM(AD606:AD616)</f>
        <v>26</v>
      </c>
      <c r="AE617" s="24">
        <f>SUM(AE606:AE616)</f>
        <v>52</v>
      </c>
      <c r="AF617" s="25">
        <f>SUM(AF606:AF616)</f>
        <v>26</v>
      </c>
      <c r="AG617" s="26">
        <f t="shared" si="216"/>
        <v>104</v>
      </c>
      <c r="AI617" s="23" t="s">
        <v>4</v>
      </c>
      <c r="AJ617" s="24">
        <f>SUM(AJ606:AJ616)</f>
        <v>0</v>
      </c>
      <c r="AK617" s="24">
        <f>SUM(AK606:AK616)</f>
        <v>0</v>
      </c>
      <c r="AL617" s="25">
        <f>SUM(AL606:AL616)</f>
        <v>0</v>
      </c>
      <c r="AM617" s="26">
        <f t="shared" si="217"/>
        <v>0</v>
      </c>
      <c r="AN617" s="24">
        <f>SUM(AN606:AN616)</f>
        <v>0</v>
      </c>
      <c r="AO617" s="24">
        <f>SUM(AO606:AO616)</f>
        <v>0</v>
      </c>
      <c r="AP617" s="25">
        <f>SUM(AP606:AP616)</f>
        <v>0</v>
      </c>
      <c r="AQ617" s="26">
        <f t="shared" si="218"/>
        <v>0</v>
      </c>
    </row>
    <row r="618" spans="1:44">
      <c r="A618" s="3" t="s">
        <v>262</v>
      </c>
      <c r="B618" s="8"/>
      <c r="C618" s="9"/>
      <c r="D618" s="10">
        <v>2</v>
      </c>
      <c r="E618" s="4">
        <f t="shared" si="210"/>
        <v>2</v>
      </c>
      <c r="F618" s="8"/>
      <c r="G618" s="9"/>
      <c r="H618" s="10">
        <v>2</v>
      </c>
      <c r="I618" s="4">
        <f t="shared" si="211"/>
        <v>2</v>
      </c>
      <c r="J618" s="43">
        <v>44285</v>
      </c>
      <c r="K618" s="3" t="s">
        <v>273</v>
      </c>
      <c r="L618" s="8"/>
      <c r="M618" s="9">
        <v>3</v>
      </c>
      <c r="N618" s="10">
        <v>1</v>
      </c>
      <c r="O618" s="4">
        <f t="shared" ref="O618:O619" si="219">SUM(L618:N618)</f>
        <v>4</v>
      </c>
      <c r="P618" s="8"/>
      <c r="Q618" s="9">
        <v>3</v>
      </c>
      <c r="R618" s="10">
        <v>1</v>
      </c>
      <c r="S618" s="4">
        <f t="shared" ref="S618:S619" si="220">SUM(P618:R618)</f>
        <v>4</v>
      </c>
      <c r="T618" s="43">
        <v>44308</v>
      </c>
      <c r="U618" s="3" t="s">
        <v>263</v>
      </c>
      <c r="V618" s="8">
        <v>3</v>
      </c>
      <c r="W618" s="9">
        <v>4</v>
      </c>
      <c r="X618" s="10">
        <v>4</v>
      </c>
      <c r="Y618" s="7">
        <f t="shared" si="214"/>
        <v>11</v>
      </c>
      <c r="Z618" s="8">
        <v>3</v>
      </c>
      <c r="AA618" s="9">
        <v>4</v>
      </c>
      <c r="AB618" s="10">
        <v>4</v>
      </c>
      <c r="AC618" s="7">
        <f t="shared" si="215"/>
        <v>11</v>
      </c>
      <c r="AD618" s="8">
        <v>3</v>
      </c>
      <c r="AE618" s="9">
        <v>4</v>
      </c>
      <c r="AF618" s="10">
        <v>4</v>
      </c>
      <c r="AG618" s="7">
        <f t="shared" si="216"/>
        <v>11</v>
      </c>
      <c r="AH618" s="43">
        <v>44298</v>
      </c>
      <c r="AI618" s="3"/>
      <c r="AJ618" s="16"/>
      <c r="AK618" s="11"/>
      <c r="AL618" s="16"/>
      <c r="AM618" s="4">
        <f t="shared" si="217"/>
        <v>0</v>
      </c>
      <c r="AN618" s="16"/>
      <c r="AO618" s="11"/>
      <c r="AP618" s="16"/>
      <c r="AQ618" s="4">
        <f t="shared" si="218"/>
        <v>0</v>
      </c>
    </row>
    <row r="619" spans="1:44">
      <c r="A619" s="3" t="s">
        <v>285</v>
      </c>
      <c r="B619" s="8"/>
      <c r="C619" s="9">
        <v>1</v>
      </c>
      <c r="D619" s="10"/>
      <c r="E619" s="4">
        <f t="shared" si="210"/>
        <v>1</v>
      </c>
      <c r="F619" s="8"/>
      <c r="G619" s="9">
        <v>1</v>
      </c>
      <c r="H619" s="10"/>
      <c r="I619" s="4">
        <f t="shared" si="211"/>
        <v>1</v>
      </c>
      <c r="J619" s="43">
        <v>44317</v>
      </c>
      <c r="K619" s="3" t="s">
        <v>276</v>
      </c>
      <c r="L619" s="8">
        <v>7</v>
      </c>
      <c r="M619" s="9">
        <v>8</v>
      </c>
      <c r="N619" s="10">
        <v>7</v>
      </c>
      <c r="O619" s="7">
        <f t="shared" si="219"/>
        <v>22</v>
      </c>
      <c r="P619" s="8">
        <v>7</v>
      </c>
      <c r="Q619" s="9">
        <v>8</v>
      </c>
      <c r="R619" s="10">
        <v>7</v>
      </c>
      <c r="S619" s="7">
        <f t="shared" si="220"/>
        <v>22</v>
      </c>
      <c r="T619" s="43">
        <v>44309</v>
      </c>
      <c r="U619" s="3" t="s">
        <v>269</v>
      </c>
      <c r="V619" s="8">
        <v>2</v>
      </c>
      <c r="W619" s="9">
        <v>6</v>
      </c>
      <c r="X619" s="10">
        <v>3</v>
      </c>
      <c r="Y619" s="4">
        <f t="shared" si="214"/>
        <v>11</v>
      </c>
      <c r="Z619" s="8">
        <v>2</v>
      </c>
      <c r="AA619" s="9">
        <v>6</v>
      </c>
      <c r="AB619" s="10">
        <v>3</v>
      </c>
      <c r="AC619" s="4">
        <f t="shared" si="215"/>
        <v>11</v>
      </c>
      <c r="AD619" s="8">
        <v>2</v>
      </c>
      <c r="AE619" s="9">
        <v>6</v>
      </c>
      <c r="AF619" s="10">
        <v>3</v>
      </c>
      <c r="AG619" s="4">
        <f t="shared" si="216"/>
        <v>11</v>
      </c>
      <c r="AH619" s="43">
        <v>44305</v>
      </c>
      <c r="AI619" s="3"/>
      <c r="AJ619" s="8"/>
      <c r="AK619" s="9"/>
      <c r="AL619" s="10"/>
      <c r="AM619" s="4">
        <f t="shared" si="217"/>
        <v>0</v>
      </c>
      <c r="AN619" s="8"/>
      <c r="AO619" s="9"/>
      <c r="AP619" s="10"/>
      <c r="AQ619" s="4">
        <f t="shared" si="218"/>
        <v>0</v>
      </c>
    </row>
    <row r="620" spans="1:44">
      <c r="A620" s="3"/>
      <c r="B620" s="8"/>
      <c r="C620" s="9"/>
      <c r="D620" s="10"/>
      <c r="E620" s="7">
        <f t="shared" si="210"/>
        <v>0</v>
      </c>
      <c r="F620" s="8"/>
      <c r="G620" s="9"/>
      <c r="H620" s="10"/>
      <c r="I620" s="7">
        <f t="shared" si="211"/>
        <v>0</v>
      </c>
      <c r="J620" s="43"/>
      <c r="K620" s="3" t="s">
        <v>278</v>
      </c>
      <c r="L620" s="8">
        <v>8</v>
      </c>
      <c r="M620" s="9">
        <v>8</v>
      </c>
      <c r="N620" s="10">
        <v>5</v>
      </c>
      <c r="O620" s="7">
        <f t="shared" si="212"/>
        <v>21</v>
      </c>
      <c r="P620" s="8">
        <v>8</v>
      </c>
      <c r="Q620" s="9">
        <v>8</v>
      </c>
      <c r="R620" s="10">
        <v>5</v>
      </c>
      <c r="S620" s="7">
        <f t="shared" si="213"/>
        <v>21</v>
      </c>
      <c r="T620" s="43">
        <v>44310</v>
      </c>
      <c r="U620" s="3" t="s">
        <v>270</v>
      </c>
      <c r="V620" s="8">
        <v>5</v>
      </c>
      <c r="W620" s="9">
        <v>15</v>
      </c>
      <c r="X620" s="10">
        <v>2</v>
      </c>
      <c r="Y620" s="7">
        <f t="shared" si="214"/>
        <v>22</v>
      </c>
      <c r="Z620" s="8">
        <v>5</v>
      </c>
      <c r="AA620" s="9">
        <v>15</v>
      </c>
      <c r="AB620" s="10">
        <v>2</v>
      </c>
      <c r="AC620" s="7">
        <f t="shared" si="215"/>
        <v>22</v>
      </c>
      <c r="AD620" s="8">
        <v>5</v>
      </c>
      <c r="AE620" s="9">
        <v>15</v>
      </c>
      <c r="AF620" s="10">
        <v>2</v>
      </c>
      <c r="AG620" s="7">
        <f t="shared" si="216"/>
        <v>22</v>
      </c>
      <c r="AH620" s="43">
        <v>44306</v>
      </c>
      <c r="AI620" s="3"/>
      <c r="AJ620" s="32"/>
      <c r="AK620" s="31"/>
      <c r="AL620" s="32"/>
      <c r="AM620" s="4">
        <f t="shared" si="217"/>
        <v>0</v>
      </c>
      <c r="AN620" s="32"/>
      <c r="AO620" s="31"/>
      <c r="AP620" s="32"/>
      <c r="AQ620" s="4">
        <f t="shared" si="218"/>
        <v>0</v>
      </c>
    </row>
    <row r="621" spans="1:44">
      <c r="A621" s="3"/>
      <c r="B621" s="8"/>
      <c r="C621" s="9"/>
      <c r="D621" s="10"/>
      <c r="E621" s="4">
        <f t="shared" si="210"/>
        <v>0</v>
      </c>
      <c r="F621" s="8"/>
      <c r="G621" s="9"/>
      <c r="H621" s="10"/>
      <c r="I621" s="4">
        <f t="shared" si="211"/>
        <v>0</v>
      </c>
      <c r="K621" s="3" t="s">
        <v>277</v>
      </c>
      <c r="L621" s="8">
        <v>2</v>
      </c>
      <c r="M621" s="9"/>
      <c r="N621" s="10"/>
      <c r="O621" s="7">
        <f t="shared" ref="O621" si="221">SUM(L621:N621)</f>
        <v>2</v>
      </c>
      <c r="P621" s="8">
        <v>2</v>
      </c>
      <c r="Q621" s="9"/>
      <c r="R621" s="10"/>
      <c r="S621" s="7">
        <f t="shared" ref="S621" si="222">SUM(P621:R621)</f>
        <v>2</v>
      </c>
      <c r="T621" s="43">
        <v>44308</v>
      </c>
      <c r="U621" s="3" t="s">
        <v>277</v>
      </c>
      <c r="V621" s="8"/>
      <c r="W621" s="9">
        <v>2</v>
      </c>
      <c r="X621" s="10">
        <v>1</v>
      </c>
      <c r="Y621" s="7">
        <f t="shared" si="214"/>
        <v>3</v>
      </c>
      <c r="Z621" s="8"/>
      <c r="AA621" s="9">
        <v>2</v>
      </c>
      <c r="AB621" s="10">
        <v>1</v>
      </c>
      <c r="AC621" s="7">
        <f t="shared" si="215"/>
        <v>3</v>
      </c>
      <c r="AD621" s="50"/>
      <c r="AE621" s="9">
        <v>2</v>
      </c>
      <c r="AF621" s="10">
        <v>1</v>
      </c>
      <c r="AG621" s="4">
        <f t="shared" si="216"/>
        <v>3</v>
      </c>
      <c r="AH621" s="43">
        <v>44307</v>
      </c>
      <c r="AI621" s="3"/>
      <c r="AJ621" s="8"/>
      <c r="AK621" s="9"/>
      <c r="AL621" s="10"/>
      <c r="AM621" s="4">
        <f t="shared" si="217"/>
        <v>0</v>
      </c>
      <c r="AN621" s="8"/>
      <c r="AO621" s="9"/>
      <c r="AP621" s="10"/>
      <c r="AQ621" s="4">
        <f t="shared" si="218"/>
        <v>0</v>
      </c>
    </row>
    <row r="622" spans="1:44">
      <c r="A622" s="3"/>
      <c r="B622" s="8"/>
      <c r="C622" s="9"/>
      <c r="D622" s="10"/>
      <c r="E622" s="4">
        <f t="shared" si="210"/>
        <v>0</v>
      </c>
      <c r="F622" s="8"/>
      <c r="G622" s="9"/>
      <c r="H622" s="10"/>
      <c r="I622" s="4">
        <f t="shared" si="211"/>
        <v>0</v>
      </c>
      <c r="K622" s="3" t="s">
        <v>279</v>
      </c>
      <c r="L622" s="8"/>
      <c r="M622" s="9">
        <v>1</v>
      </c>
      <c r="N622" s="10"/>
      <c r="O622" s="4">
        <f t="shared" si="212"/>
        <v>1</v>
      </c>
      <c r="P622" s="8"/>
      <c r="Q622" s="9">
        <v>1</v>
      </c>
      <c r="R622" s="10"/>
      <c r="S622" s="4">
        <f t="shared" si="213"/>
        <v>1</v>
      </c>
      <c r="T622" s="43">
        <v>44313</v>
      </c>
      <c r="U622" s="3"/>
      <c r="V622" s="8"/>
      <c r="W622" s="9"/>
      <c r="X622" s="10"/>
      <c r="Y622" s="4">
        <f t="shared" si="214"/>
        <v>0</v>
      </c>
      <c r="Z622" s="8"/>
      <c r="AA622" s="9"/>
      <c r="AB622" s="10"/>
      <c r="AC622" s="4">
        <f t="shared" si="215"/>
        <v>0</v>
      </c>
      <c r="AD622" s="8"/>
      <c r="AE622" s="9"/>
      <c r="AF622" s="10"/>
      <c r="AG622" s="4">
        <f t="shared" si="216"/>
        <v>0</v>
      </c>
      <c r="AH622" s="43"/>
      <c r="AI622" s="3"/>
      <c r="AJ622" s="8"/>
      <c r="AK622" s="9"/>
      <c r="AL622" s="10"/>
      <c r="AM622" s="4">
        <f t="shared" si="217"/>
        <v>0</v>
      </c>
      <c r="AN622" s="8"/>
      <c r="AO622" s="9"/>
      <c r="AP622" s="10"/>
      <c r="AQ622" s="4">
        <f t="shared" si="218"/>
        <v>0</v>
      </c>
    </row>
    <row r="623" spans="1:44">
      <c r="A623" s="3"/>
      <c r="B623" s="8"/>
      <c r="C623" s="9"/>
      <c r="D623" s="10"/>
      <c r="E623" s="7">
        <f t="shared" si="210"/>
        <v>0</v>
      </c>
      <c r="F623" s="8"/>
      <c r="G623" s="9"/>
      <c r="H623" s="10"/>
      <c r="I623" s="7">
        <f t="shared" si="211"/>
        <v>0</v>
      </c>
      <c r="K623" s="3" t="s">
        <v>281</v>
      </c>
      <c r="L623" s="8"/>
      <c r="M623" s="9"/>
      <c r="N623" s="10">
        <v>4</v>
      </c>
      <c r="O623" s="7">
        <f t="shared" si="212"/>
        <v>4</v>
      </c>
      <c r="P623" s="8"/>
      <c r="Q623" s="9"/>
      <c r="R623" s="10">
        <v>4</v>
      </c>
      <c r="S623" s="7">
        <f t="shared" si="213"/>
        <v>4</v>
      </c>
      <c r="T623" s="43">
        <v>44314</v>
      </c>
      <c r="U623" s="3"/>
      <c r="V623" s="8"/>
      <c r="W623" s="9"/>
      <c r="X623" s="10"/>
      <c r="Y623" s="7">
        <f t="shared" si="214"/>
        <v>0</v>
      </c>
      <c r="Z623" s="8"/>
      <c r="AA623" s="9"/>
      <c r="AB623" s="10"/>
      <c r="AC623" s="7">
        <f t="shared" si="215"/>
        <v>0</v>
      </c>
      <c r="AD623" s="8"/>
      <c r="AE623" s="9"/>
      <c r="AF623" s="10"/>
      <c r="AG623" s="7">
        <f t="shared" si="216"/>
        <v>0</v>
      </c>
      <c r="AH623" s="43"/>
      <c r="AI623" s="3"/>
      <c r="AJ623" s="8"/>
      <c r="AK623" s="9"/>
      <c r="AL623" s="10"/>
      <c r="AM623" s="7">
        <f t="shared" si="217"/>
        <v>0</v>
      </c>
      <c r="AN623" s="8"/>
      <c r="AO623" s="9"/>
      <c r="AP623" s="10"/>
      <c r="AQ623" s="7">
        <f t="shared" si="218"/>
        <v>0</v>
      </c>
    </row>
    <row r="624" spans="1:44">
      <c r="A624" s="3"/>
      <c r="B624" s="8"/>
      <c r="C624" s="9"/>
      <c r="D624" s="10"/>
      <c r="E624" s="7">
        <f t="shared" si="210"/>
        <v>0</v>
      </c>
      <c r="F624" s="8"/>
      <c r="G624" s="9"/>
      <c r="H624" s="10"/>
      <c r="I624" s="7">
        <f t="shared" si="211"/>
        <v>0</v>
      </c>
      <c r="K624" s="3" t="s">
        <v>282</v>
      </c>
      <c r="L624" s="8">
        <v>2</v>
      </c>
      <c r="M624" s="9">
        <v>1</v>
      </c>
      <c r="N624" s="10"/>
      <c r="O624" s="7">
        <f t="shared" si="212"/>
        <v>3</v>
      </c>
      <c r="P624" s="8">
        <v>2</v>
      </c>
      <c r="Q624" s="9">
        <v>1</v>
      </c>
      <c r="R624" s="10"/>
      <c r="S624" s="7">
        <f t="shared" si="213"/>
        <v>3</v>
      </c>
      <c r="T624" s="43">
        <v>44315</v>
      </c>
      <c r="U624" s="3"/>
      <c r="V624" s="8"/>
      <c r="W624" s="9"/>
      <c r="X624" s="10"/>
      <c r="Y624" s="7">
        <f t="shared" si="214"/>
        <v>0</v>
      </c>
      <c r="Z624" s="8"/>
      <c r="AA624" s="9"/>
      <c r="AB624" s="10"/>
      <c r="AC624" s="7">
        <f t="shared" si="215"/>
        <v>0</v>
      </c>
      <c r="AD624" s="8"/>
      <c r="AE624" s="9"/>
      <c r="AF624" s="10"/>
      <c r="AG624" s="7">
        <f t="shared" si="216"/>
        <v>0</v>
      </c>
      <c r="AH624" s="43"/>
      <c r="AI624" s="3"/>
      <c r="AJ624" s="8"/>
      <c r="AK624" s="9"/>
      <c r="AL624" s="10"/>
      <c r="AM624" s="7">
        <f t="shared" si="217"/>
        <v>0</v>
      </c>
      <c r="AN624" s="8"/>
      <c r="AO624" s="9"/>
      <c r="AP624" s="10"/>
      <c r="AQ624" s="7">
        <f t="shared" si="218"/>
        <v>0</v>
      </c>
    </row>
    <row r="625" spans="1:43">
      <c r="A625" s="3"/>
      <c r="B625" s="8"/>
      <c r="C625" s="9"/>
      <c r="D625" s="10"/>
      <c r="E625" s="7">
        <f t="shared" si="210"/>
        <v>0</v>
      </c>
      <c r="F625" s="8"/>
      <c r="G625" s="9"/>
      <c r="H625" s="10"/>
      <c r="I625" s="7">
        <f t="shared" si="211"/>
        <v>0</v>
      </c>
      <c r="K625" s="3" t="s">
        <v>284</v>
      </c>
      <c r="L625" s="8">
        <v>3</v>
      </c>
      <c r="M625" s="9">
        <v>9</v>
      </c>
      <c r="N625" s="10">
        <v>3</v>
      </c>
      <c r="O625" s="7">
        <f t="shared" si="212"/>
        <v>15</v>
      </c>
      <c r="P625" s="8">
        <v>3</v>
      </c>
      <c r="Q625" s="9">
        <v>9</v>
      </c>
      <c r="R625" s="10">
        <v>3</v>
      </c>
      <c r="S625" s="7">
        <f t="shared" si="213"/>
        <v>15</v>
      </c>
      <c r="T625" s="43">
        <v>44317</v>
      </c>
      <c r="U625" s="3"/>
      <c r="V625" s="8"/>
      <c r="W625" s="9"/>
      <c r="X625" s="10"/>
      <c r="Y625" s="7">
        <f t="shared" si="214"/>
        <v>0</v>
      </c>
      <c r="Z625" s="8"/>
      <c r="AA625" s="9"/>
      <c r="AB625" s="10"/>
      <c r="AC625" s="7">
        <f t="shared" si="215"/>
        <v>0</v>
      </c>
      <c r="AD625" s="8"/>
      <c r="AE625" s="9"/>
      <c r="AF625" s="10"/>
      <c r="AG625" s="7">
        <f t="shared" si="216"/>
        <v>0</v>
      </c>
      <c r="AH625" s="43"/>
      <c r="AI625" s="3"/>
      <c r="AJ625" s="8"/>
      <c r="AK625" s="9"/>
      <c r="AL625" s="10"/>
      <c r="AM625" s="7">
        <f t="shared" si="217"/>
        <v>0</v>
      </c>
      <c r="AN625" s="8"/>
      <c r="AO625" s="9"/>
      <c r="AP625" s="10"/>
      <c r="AQ625" s="7">
        <f t="shared" si="218"/>
        <v>0</v>
      </c>
    </row>
    <row r="626" spans="1:43">
      <c r="A626" s="3"/>
      <c r="B626" s="8"/>
      <c r="C626" s="9"/>
      <c r="D626" s="10"/>
      <c r="E626" s="7">
        <f t="shared" si="210"/>
        <v>0</v>
      </c>
      <c r="F626" s="8"/>
      <c r="G626" s="9"/>
      <c r="H626" s="10"/>
      <c r="I626" s="7">
        <f t="shared" si="211"/>
        <v>0</v>
      </c>
      <c r="K626" s="3" t="s">
        <v>286</v>
      </c>
      <c r="L626" s="8"/>
      <c r="M626" s="9">
        <v>2</v>
      </c>
      <c r="N626" s="10"/>
      <c r="O626" s="7">
        <f t="shared" si="212"/>
        <v>2</v>
      </c>
      <c r="P626" s="8"/>
      <c r="Q626" s="9">
        <v>2</v>
      </c>
      <c r="R626" s="10"/>
      <c r="S626" s="7">
        <f t="shared" si="213"/>
        <v>2</v>
      </c>
      <c r="T626" s="43">
        <v>44322</v>
      </c>
      <c r="U626" s="3"/>
      <c r="V626" s="8"/>
      <c r="W626" s="9"/>
      <c r="X626" s="10"/>
      <c r="Y626" s="7">
        <f t="shared" si="214"/>
        <v>0</v>
      </c>
      <c r="Z626" s="8"/>
      <c r="AA626" s="9"/>
      <c r="AB626" s="10"/>
      <c r="AC626" s="7">
        <f t="shared" si="215"/>
        <v>0</v>
      </c>
      <c r="AD626" s="8"/>
      <c r="AE626" s="9"/>
      <c r="AF626" s="10"/>
      <c r="AG626" s="7">
        <f t="shared" si="216"/>
        <v>0</v>
      </c>
      <c r="AH626" s="43"/>
      <c r="AI626" s="3"/>
      <c r="AJ626" s="8"/>
      <c r="AK626" s="9"/>
      <c r="AL626" s="10"/>
      <c r="AM626" s="7">
        <f t="shared" si="217"/>
        <v>0</v>
      </c>
      <c r="AN626" s="8"/>
      <c r="AO626" s="9"/>
      <c r="AP626" s="10"/>
      <c r="AQ626" s="7">
        <f t="shared" si="218"/>
        <v>0</v>
      </c>
    </row>
    <row r="627" spans="1:43">
      <c r="A627" s="3"/>
      <c r="B627" s="8"/>
      <c r="C627" s="9"/>
      <c r="D627" s="10"/>
      <c r="E627" s="7">
        <f t="shared" si="210"/>
        <v>0</v>
      </c>
      <c r="F627" s="8"/>
      <c r="G627" s="9"/>
      <c r="H627" s="10"/>
      <c r="I627" s="7">
        <f t="shared" si="211"/>
        <v>0</v>
      </c>
      <c r="K627" s="3"/>
      <c r="L627" s="8"/>
      <c r="M627" s="9"/>
      <c r="N627" s="10"/>
      <c r="O627" s="7">
        <f t="shared" si="212"/>
        <v>0</v>
      </c>
      <c r="P627" s="8"/>
      <c r="Q627" s="9"/>
      <c r="R627" s="10"/>
      <c r="S627" s="7">
        <f t="shared" si="213"/>
        <v>0</v>
      </c>
      <c r="T627" s="43"/>
      <c r="U627" s="3"/>
      <c r="V627" s="8"/>
      <c r="W627" s="9"/>
      <c r="X627" s="10"/>
      <c r="Y627" s="7">
        <f t="shared" si="214"/>
        <v>0</v>
      </c>
      <c r="Z627" s="8"/>
      <c r="AA627" s="9"/>
      <c r="AB627" s="10"/>
      <c r="AC627" s="7">
        <f t="shared" si="215"/>
        <v>0</v>
      </c>
      <c r="AD627" s="8"/>
      <c r="AE627" s="9"/>
      <c r="AF627" s="10"/>
      <c r="AG627" s="7">
        <f t="shared" si="216"/>
        <v>0</v>
      </c>
      <c r="AH627" s="43"/>
      <c r="AI627" s="3"/>
      <c r="AJ627" s="8"/>
      <c r="AK627" s="9"/>
      <c r="AL627" s="10"/>
      <c r="AM627" s="7">
        <f t="shared" si="217"/>
        <v>0</v>
      </c>
      <c r="AN627" s="8"/>
      <c r="AO627" s="9"/>
      <c r="AP627" s="10"/>
      <c r="AQ627" s="7">
        <f t="shared" si="218"/>
        <v>0</v>
      </c>
    </row>
    <row r="628" spans="1:43">
      <c r="A628" s="3"/>
      <c r="B628" s="8"/>
      <c r="C628" s="9"/>
      <c r="D628" s="10"/>
      <c r="E628" s="7">
        <f t="shared" si="210"/>
        <v>0</v>
      </c>
      <c r="F628" s="8"/>
      <c r="G628" s="9"/>
      <c r="H628" s="10"/>
      <c r="I628" s="7">
        <f t="shared" si="211"/>
        <v>0</v>
      </c>
      <c r="K628" s="3"/>
      <c r="L628" s="30"/>
      <c r="M628" s="9"/>
      <c r="N628" s="10"/>
      <c r="O628" s="7">
        <f t="shared" si="212"/>
        <v>0</v>
      </c>
      <c r="P628" s="8"/>
      <c r="Q628" s="9"/>
      <c r="R628" s="10"/>
      <c r="S628" s="7">
        <f t="shared" si="213"/>
        <v>0</v>
      </c>
      <c r="T628" s="43"/>
      <c r="U628" s="3"/>
      <c r="V628" s="30"/>
      <c r="W628" s="9"/>
      <c r="X628" s="10"/>
      <c r="Y628" s="7">
        <f t="shared" si="214"/>
        <v>0</v>
      </c>
      <c r="Z628" s="8"/>
      <c r="AA628" s="9"/>
      <c r="AB628" s="10"/>
      <c r="AC628" s="7">
        <f t="shared" si="215"/>
        <v>0</v>
      </c>
      <c r="AD628" s="8"/>
      <c r="AE628" s="9"/>
      <c r="AF628" s="10"/>
      <c r="AG628" s="7">
        <f t="shared" si="216"/>
        <v>0</v>
      </c>
      <c r="AH628" s="43"/>
      <c r="AI628" s="3"/>
      <c r="AJ628" s="8"/>
      <c r="AK628" s="9"/>
      <c r="AL628" s="10"/>
      <c r="AM628" s="7">
        <f t="shared" si="217"/>
        <v>0</v>
      </c>
      <c r="AN628" s="8"/>
      <c r="AO628" s="9"/>
      <c r="AP628" s="10"/>
      <c r="AQ628" s="7">
        <f t="shared" si="218"/>
        <v>0</v>
      </c>
    </row>
    <row r="629" spans="1:43">
      <c r="A629" s="3"/>
      <c r="B629" s="8"/>
      <c r="C629" s="9"/>
      <c r="D629" s="10"/>
      <c r="E629" s="7">
        <f t="shared" si="210"/>
        <v>0</v>
      </c>
      <c r="F629" s="8"/>
      <c r="G629" s="9"/>
      <c r="H629" s="10"/>
      <c r="I629" s="7">
        <f t="shared" si="211"/>
        <v>0</v>
      </c>
      <c r="K629" s="3"/>
      <c r="L629" s="8"/>
      <c r="M629" s="9"/>
      <c r="N629" s="10"/>
      <c r="O629" s="7">
        <f t="shared" si="212"/>
        <v>0</v>
      </c>
      <c r="P629" s="8"/>
      <c r="Q629" s="9"/>
      <c r="R629" s="10"/>
      <c r="S629" s="7">
        <f t="shared" si="213"/>
        <v>0</v>
      </c>
      <c r="T629" s="43"/>
      <c r="U629" s="3"/>
      <c r="V629" s="8"/>
      <c r="W629" s="9"/>
      <c r="X629" s="10"/>
      <c r="Y629" s="7">
        <f t="shared" si="214"/>
        <v>0</v>
      </c>
      <c r="Z629" s="8"/>
      <c r="AA629" s="9"/>
      <c r="AB629" s="10"/>
      <c r="AC629" s="7">
        <f t="shared" si="215"/>
        <v>0</v>
      </c>
      <c r="AD629" s="8"/>
      <c r="AE629" s="9"/>
      <c r="AF629" s="10"/>
      <c r="AG629" s="7">
        <f t="shared" si="216"/>
        <v>0</v>
      </c>
      <c r="AH629" s="43"/>
      <c r="AI629" s="3"/>
      <c r="AJ629" s="8"/>
      <c r="AK629" s="9"/>
      <c r="AL629" s="10"/>
      <c r="AM629" s="7">
        <f t="shared" si="217"/>
        <v>0</v>
      </c>
      <c r="AN629" s="8"/>
      <c r="AO629" s="9"/>
      <c r="AP629" s="10"/>
      <c r="AQ629" s="7">
        <f t="shared" si="218"/>
        <v>0</v>
      </c>
    </row>
    <row r="630" spans="1:43">
      <c r="A630" s="3"/>
      <c r="B630" s="8"/>
      <c r="C630" s="9"/>
      <c r="D630" s="10"/>
      <c r="E630" s="7">
        <f t="shared" si="210"/>
        <v>0</v>
      </c>
      <c r="F630" s="8"/>
      <c r="G630" s="9"/>
      <c r="H630" s="10"/>
      <c r="I630" s="7">
        <f t="shared" si="211"/>
        <v>0</v>
      </c>
      <c r="K630" s="3"/>
      <c r="L630" s="8"/>
      <c r="M630" s="9"/>
      <c r="N630" s="10"/>
      <c r="O630" s="7">
        <f t="shared" si="212"/>
        <v>0</v>
      </c>
      <c r="P630" s="8"/>
      <c r="Q630" s="9"/>
      <c r="R630" s="10"/>
      <c r="S630" s="7">
        <f t="shared" si="213"/>
        <v>0</v>
      </c>
      <c r="T630" s="43"/>
      <c r="U630" s="3"/>
      <c r="V630" s="8"/>
      <c r="W630" s="9"/>
      <c r="X630" s="10"/>
      <c r="Y630" s="7">
        <f t="shared" si="214"/>
        <v>0</v>
      </c>
      <c r="Z630" s="8"/>
      <c r="AA630" s="9"/>
      <c r="AB630" s="10"/>
      <c r="AC630" s="7">
        <f t="shared" si="215"/>
        <v>0</v>
      </c>
      <c r="AD630" s="8"/>
      <c r="AE630" s="9"/>
      <c r="AF630" s="10"/>
      <c r="AG630" s="7">
        <f t="shared" si="216"/>
        <v>0</v>
      </c>
      <c r="AH630" s="43"/>
      <c r="AI630" s="3"/>
      <c r="AJ630" s="8"/>
      <c r="AK630" s="9"/>
      <c r="AL630" s="10"/>
      <c r="AM630" s="7">
        <f t="shared" si="217"/>
        <v>0</v>
      </c>
      <c r="AN630" s="8"/>
      <c r="AO630" s="9"/>
      <c r="AP630" s="10"/>
      <c r="AQ630" s="7">
        <f t="shared" si="218"/>
        <v>0</v>
      </c>
    </row>
    <row r="631" spans="1:43">
      <c r="A631" s="3"/>
      <c r="B631" s="8"/>
      <c r="C631" s="9"/>
      <c r="D631" s="10"/>
      <c r="E631" s="7">
        <f t="shared" si="210"/>
        <v>0</v>
      </c>
      <c r="F631" s="8"/>
      <c r="G631" s="9"/>
      <c r="H631" s="10"/>
      <c r="I631" s="7">
        <f t="shared" si="211"/>
        <v>0</v>
      </c>
      <c r="K631" s="3"/>
      <c r="L631" s="8"/>
      <c r="M631" s="9"/>
      <c r="N631" s="10"/>
      <c r="O631" s="7">
        <f t="shared" si="212"/>
        <v>0</v>
      </c>
      <c r="P631" s="8"/>
      <c r="Q631" s="9"/>
      <c r="R631" s="10"/>
      <c r="S631" s="7">
        <f t="shared" si="213"/>
        <v>0</v>
      </c>
      <c r="T631" s="43"/>
      <c r="U631" s="3"/>
      <c r="V631" s="8"/>
      <c r="W631" s="9"/>
      <c r="X631" s="10"/>
      <c r="Y631" s="7">
        <f t="shared" si="214"/>
        <v>0</v>
      </c>
      <c r="Z631" s="8"/>
      <c r="AA631" s="9"/>
      <c r="AB631" s="10"/>
      <c r="AC631" s="7">
        <f t="shared" si="215"/>
        <v>0</v>
      </c>
      <c r="AD631" s="8"/>
      <c r="AE631" s="9"/>
      <c r="AF631" s="10"/>
      <c r="AG631" s="7">
        <f t="shared" si="216"/>
        <v>0</v>
      </c>
      <c r="AH631" s="43"/>
      <c r="AI631" s="3"/>
      <c r="AJ631" s="8"/>
      <c r="AK631" s="9"/>
      <c r="AL631" s="10"/>
      <c r="AM631" s="7">
        <f t="shared" si="217"/>
        <v>0</v>
      </c>
      <c r="AN631" s="8"/>
      <c r="AO631" s="9"/>
      <c r="AP631" s="10"/>
      <c r="AQ631" s="7">
        <f t="shared" si="218"/>
        <v>0</v>
      </c>
    </row>
    <row r="632" spans="1:43">
      <c r="A632" s="3"/>
      <c r="B632" s="8"/>
      <c r="C632" s="9"/>
      <c r="D632" s="10"/>
      <c r="E632" s="7">
        <f t="shared" si="210"/>
        <v>0</v>
      </c>
      <c r="F632" s="8"/>
      <c r="G632" s="9"/>
      <c r="H632" s="10"/>
      <c r="I632" s="7">
        <f t="shared" si="211"/>
        <v>0</v>
      </c>
      <c r="K632" s="3"/>
      <c r="L632" s="8"/>
      <c r="M632" s="9"/>
      <c r="N632" s="10"/>
      <c r="O632" s="7">
        <f t="shared" si="212"/>
        <v>0</v>
      </c>
      <c r="P632" s="8"/>
      <c r="Q632" s="9"/>
      <c r="R632" s="10"/>
      <c r="S632" s="7">
        <f t="shared" si="213"/>
        <v>0</v>
      </c>
      <c r="T632" s="43"/>
      <c r="U632" s="3"/>
      <c r="V632" s="8"/>
      <c r="W632" s="9"/>
      <c r="X632" s="10"/>
      <c r="Y632" s="7">
        <f t="shared" si="214"/>
        <v>0</v>
      </c>
      <c r="Z632" s="8"/>
      <c r="AA632" s="9"/>
      <c r="AB632" s="10"/>
      <c r="AC632" s="7">
        <f t="shared" si="215"/>
        <v>0</v>
      </c>
      <c r="AD632" s="8"/>
      <c r="AE632" s="9"/>
      <c r="AF632" s="10"/>
      <c r="AG632" s="7">
        <f t="shared" si="216"/>
        <v>0</v>
      </c>
      <c r="AH632" s="43"/>
      <c r="AI632" s="3"/>
      <c r="AJ632" s="8"/>
      <c r="AK632" s="9"/>
      <c r="AL632" s="10"/>
      <c r="AM632" s="7">
        <f t="shared" si="217"/>
        <v>0</v>
      </c>
      <c r="AN632" s="8"/>
      <c r="AO632" s="9"/>
      <c r="AP632" s="10"/>
      <c r="AQ632" s="7">
        <f t="shared" si="218"/>
        <v>0</v>
      </c>
    </row>
    <row r="633" spans="1:43">
      <c r="A633" s="3"/>
      <c r="B633" s="8"/>
      <c r="C633" s="9"/>
      <c r="D633" s="10"/>
      <c r="E633" s="7">
        <f t="shared" si="210"/>
        <v>0</v>
      </c>
      <c r="F633" s="8"/>
      <c r="G633" s="9"/>
      <c r="H633" s="10"/>
      <c r="I633" s="7">
        <f t="shared" si="211"/>
        <v>0</v>
      </c>
      <c r="K633" s="3"/>
      <c r="L633" s="8"/>
      <c r="M633" s="9"/>
      <c r="N633" s="10"/>
      <c r="O633" s="7">
        <f t="shared" si="212"/>
        <v>0</v>
      </c>
      <c r="P633" s="8"/>
      <c r="Q633" s="9"/>
      <c r="R633" s="10"/>
      <c r="S633" s="7">
        <f t="shared" si="213"/>
        <v>0</v>
      </c>
      <c r="T633" s="43"/>
      <c r="U633" s="3"/>
      <c r="V633" s="8"/>
      <c r="W633" s="9"/>
      <c r="X633" s="10"/>
      <c r="Y633" s="7">
        <f t="shared" si="214"/>
        <v>0</v>
      </c>
      <c r="Z633" s="8"/>
      <c r="AA633" s="9"/>
      <c r="AB633" s="10"/>
      <c r="AC633" s="7">
        <f t="shared" si="215"/>
        <v>0</v>
      </c>
      <c r="AD633" s="8"/>
      <c r="AE633" s="9"/>
      <c r="AF633" s="10"/>
      <c r="AG633" s="7">
        <f t="shared" si="216"/>
        <v>0</v>
      </c>
      <c r="AH633" s="43"/>
      <c r="AI633" s="3"/>
      <c r="AJ633" s="8"/>
      <c r="AK633" s="9"/>
      <c r="AL633" s="10"/>
      <c r="AM633" s="7">
        <f t="shared" si="217"/>
        <v>0</v>
      </c>
      <c r="AN633" s="8"/>
      <c r="AO633" s="9"/>
      <c r="AP633" s="10"/>
      <c r="AQ633" s="7">
        <f t="shared" si="218"/>
        <v>0</v>
      </c>
    </row>
    <row r="634" spans="1:43">
      <c r="A634" s="3"/>
      <c r="B634" s="8"/>
      <c r="C634" s="9"/>
      <c r="D634" s="10"/>
      <c r="E634" s="7">
        <f t="shared" si="210"/>
        <v>0</v>
      </c>
      <c r="F634" s="8"/>
      <c r="G634" s="9"/>
      <c r="H634" s="10"/>
      <c r="I634" s="7">
        <f t="shared" si="211"/>
        <v>0</v>
      </c>
      <c r="K634" s="3"/>
      <c r="L634" s="8"/>
      <c r="M634" s="9"/>
      <c r="N634" s="10"/>
      <c r="O634" s="7">
        <f t="shared" si="212"/>
        <v>0</v>
      </c>
      <c r="P634" s="8"/>
      <c r="Q634" s="9"/>
      <c r="R634" s="10"/>
      <c r="S634" s="7">
        <f t="shared" si="213"/>
        <v>0</v>
      </c>
      <c r="T634" s="43"/>
      <c r="U634" s="3"/>
      <c r="V634" s="8"/>
      <c r="W634" s="9"/>
      <c r="X634" s="10"/>
      <c r="Y634" s="7">
        <f t="shared" si="214"/>
        <v>0</v>
      </c>
      <c r="Z634" s="8"/>
      <c r="AA634" s="9"/>
      <c r="AB634" s="10"/>
      <c r="AC634" s="7">
        <f t="shared" si="215"/>
        <v>0</v>
      </c>
      <c r="AD634" s="8"/>
      <c r="AE634" s="9"/>
      <c r="AF634" s="10"/>
      <c r="AG634" s="7">
        <f t="shared" si="216"/>
        <v>0</v>
      </c>
      <c r="AH634" s="43"/>
      <c r="AI634" s="11"/>
      <c r="AJ634" s="8"/>
      <c r="AK634" s="9"/>
      <c r="AL634" s="10"/>
      <c r="AM634" s="7">
        <f t="shared" si="217"/>
        <v>0</v>
      </c>
      <c r="AN634" s="8"/>
      <c r="AO634" s="9"/>
      <c r="AP634" s="10"/>
      <c r="AQ634" s="7">
        <f t="shared" si="218"/>
        <v>0</v>
      </c>
    </row>
    <row r="635" spans="1:43">
      <c r="A635" s="3"/>
      <c r="B635" s="8"/>
      <c r="C635" s="9"/>
      <c r="D635" s="10"/>
      <c r="E635" s="7">
        <f t="shared" si="210"/>
        <v>0</v>
      </c>
      <c r="F635" s="8"/>
      <c r="G635" s="9"/>
      <c r="H635" s="10"/>
      <c r="I635" s="7">
        <f t="shared" si="211"/>
        <v>0</v>
      </c>
      <c r="K635" s="3"/>
      <c r="L635" s="8"/>
      <c r="M635" s="9"/>
      <c r="N635" s="10"/>
      <c r="O635" s="7">
        <f t="shared" si="212"/>
        <v>0</v>
      </c>
      <c r="P635" s="8"/>
      <c r="Q635" s="9"/>
      <c r="R635" s="10"/>
      <c r="S635" s="7">
        <f t="shared" si="213"/>
        <v>0</v>
      </c>
      <c r="T635" s="43"/>
      <c r="U635" s="3"/>
      <c r="V635" s="8"/>
      <c r="W635" s="9"/>
      <c r="X635" s="10"/>
      <c r="Y635" s="7">
        <f t="shared" si="214"/>
        <v>0</v>
      </c>
      <c r="Z635" s="8"/>
      <c r="AA635" s="9"/>
      <c r="AB635" s="10"/>
      <c r="AC635" s="7">
        <f t="shared" si="215"/>
        <v>0</v>
      </c>
      <c r="AD635" s="8"/>
      <c r="AE635" s="9"/>
      <c r="AF635" s="10"/>
      <c r="AG635" s="7">
        <f t="shared" si="216"/>
        <v>0</v>
      </c>
      <c r="AH635" s="43"/>
      <c r="AI635" s="3"/>
      <c r="AJ635" s="8"/>
      <c r="AK635" s="9"/>
      <c r="AL635" s="10"/>
      <c r="AM635" s="7">
        <f t="shared" si="217"/>
        <v>0</v>
      </c>
      <c r="AN635" s="8"/>
      <c r="AO635" s="9"/>
      <c r="AP635" s="10"/>
      <c r="AQ635" s="7">
        <f t="shared" si="218"/>
        <v>0</v>
      </c>
    </row>
    <row r="636" spans="1:43">
      <c r="A636" s="11"/>
      <c r="B636" s="8"/>
      <c r="C636" s="9"/>
      <c r="D636" s="10"/>
      <c r="E636" s="7">
        <f t="shared" si="210"/>
        <v>0</v>
      </c>
      <c r="F636" s="8"/>
      <c r="G636" s="9"/>
      <c r="H636" s="10"/>
      <c r="I636" s="7">
        <f t="shared" si="211"/>
        <v>0</v>
      </c>
      <c r="K636" s="3"/>
      <c r="L636" s="8"/>
      <c r="M636" s="9"/>
      <c r="N636" s="10"/>
      <c r="O636" s="7">
        <f t="shared" si="212"/>
        <v>0</v>
      </c>
      <c r="P636" s="8"/>
      <c r="Q636" s="9"/>
      <c r="R636" s="10"/>
      <c r="S636" s="7">
        <f t="shared" si="213"/>
        <v>0</v>
      </c>
      <c r="T636" s="43"/>
      <c r="U636" s="3"/>
      <c r="V636" s="8"/>
      <c r="W636" s="9"/>
      <c r="X636" s="10"/>
      <c r="Y636" s="7">
        <f t="shared" si="214"/>
        <v>0</v>
      </c>
      <c r="Z636" s="8"/>
      <c r="AA636" s="9"/>
      <c r="AB636" s="10"/>
      <c r="AC636" s="7">
        <f t="shared" si="215"/>
        <v>0</v>
      </c>
      <c r="AD636" s="8"/>
      <c r="AE636" s="9"/>
      <c r="AF636" s="10"/>
      <c r="AG636" s="7">
        <f t="shared" si="216"/>
        <v>0</v>
      </c>
      <c r="AH636" s="43"/>
      <c r="AI636" s="11"/>
      <c r="AJ636" s="8"/>
      <c r="AK636" s="9"/>
      <c r="AL636" s="10"/>
      <c r="AM636" s="7">
        <f t="shared" si="217"/>
        <v>0</v>
      </c>
      <c r="AN636" s="8"/>
      <c r="AO636" s="9"/>
      <c r="AP636" s="10"/>
      <c r="AQ636" s="7">
        <f t="shared" si="218"/>
        <v>0</v>
      </c>
    </row>
    <row r="637" spans="1:43">
      <c r="A637" s="11"/>
      <c r="B637" s="8"/>
      <c r="C637" s="9"/>
      <c r="D637" s="10"/>
      <c r="E637" s="7">
        <f t="shared" si="210"/>
        <v>0</v>
      </c>
      <c r="F637" s="8"/>
      <c r="G637" s="9"/>
      <c r="H637" s="10"/>
      <c r="I637" s="7">
        <f t="shared" si="211"/>
        <v>0</v>
      </c>
      <c r="K637" s="11"/>
      <c r="L637" s="8"/>
      <c r="M637" s="9"/>
      <c r="N637" s="10"/>
      <c r="O637" s="7">
        <f t="shared" ref="O637" si="223">SUM(L637:N637)</f>
        <v>0</v>
      </c>
      <c r="P637" s="8"/>
      <c r="Q637" s="9"/>
      <c r="R637" s="10"/>
      <c r="S637" s="7">
        <f t="shared" ref="S637" si="224">SUM(P637:R637)</f>
        <v>0</v>
      </c>
      <c r="T637" s="71"/>
      <c r="U637" s="3"/>
      <c r="V637" s="8"/>
      <c r="W637" s="9"/>
      <c r="X637" s="10"/>
      <c r="Y637" s="7">
        <f t="shared" si="214"/>
        <v>0</v>
      </c>
      <c r="Z637" s="8"/>
      <c r="AA637" s="9"/>
      <c r="AB637" s="10"/>
      <c r="AC637" s="7">
        <f t="shared" si="215"/>
        <v>0</v>
      </c>
      <c r="AD637" s="8"/>
      <c r="AE637" s="9"/>
      <c r="AF637" s="10"/>
      <c r="AG637" s="7">
        <f t="shared" si="216"/>
        <v>0</v>
      </c>
      <c r="AH637" s="71"/>
      <c r="AI637" s="11"/>
      <c r="AJ637" s="8"/>
      <c r="AK637" s="9"/>
      <c r="AL637" s="10"/>
      <c r="AM637" s="7">
        <f t="shared" si="217"/>
        <v>0</v>
      </c>
      <c r="AN637" s="8"/>
      <c r="AO637" s="9"/>
      <c r="AP637" s="10"/>
      <c r="AQ637" s="7">
        <f t="shared" si="218"/>
        <v>0</v>
      </c>
    </row>
    <row r="638" spans="1:43">
      <c r="A638" s="11"/>
      <c r="B638" s="8"/>
      <c r="C638" s="9"/>
      <c r="D638" s="10"/>
      <c r="E638" s="7">
        <f t="shared" si="210"/>
        <v>0</v>
      </c>
      <c r="F638" s="8"/>
      <c r="G638" s="9"/>
      <c r="H638" s="10"/>
      <c r="I638" s="7">
        <f t="shared" si="211"/>
        <v>0</v>
      </c>
      <c r="K638" s="11"/>
      <c r="L638" s="8"/>
      <c r="M638" s="9"/>
      <c r="N638" s="10"/>
      <c r="O638" s="7">
        <f t="shared" si="212"/>
        <v>0</v>
      </c>
      <c r="P638" s="8"/>
      <c r="Q638" s="9"/>
      <c r="R638" s="10"/>
      <c r="S638" s="7">
        <f t="shared" si="213"/>
        <v>0</v>
      </c>
      <c r="T638" s="71"/>
      <c r="U638" s="11"/>
      <c r="V638" s="8"/>
      <c r="W638" s="9"/>
      <c r="X638" s="10"/>
      <c r="Y638" s="7">
        <f t="shared" si="214"/>
        <v>0</v>
      </c>
      <c r="Z638" s="8"/>
      <c r="AA638" s="9"/>
      <c r="AB638" s="10"/>
      <c r="AC638" s="7">
        <f t="shared" si="215"/>
        <v>0</v>
      </c>
      <c r="AD638" s="8"/>
      <c r="AE638" s="9"/>
      <c r="AF638" s="10"/>
      <c r="AG638" s="7">
        <f t="shared" si="216"/>
        <v>0</v>
      </c>
      <c r="AH638" s="71"/>
      <c r="AI638" s="11"/>
      <c r="AJ638" s="8"/>
      <c r="AK638" s="9"/>
      <c r="AL638" s="10"/>
      <c r="AM638" s="7">
        <f t="shared" si="217"/>
        <v>0</v>
      </c>
      <c r="AN638" s="8"/>
      <c r="AO638" s="9"/>
      <c r="AP638" s="10"/>
      <c r="AQ638" s="7">
        <f t="shared" si="218"/>
        <v>0</v>
      </c>
    </row>
    <row r="639" spans="1:43">
      <c r="A639" s="11"/>
      <c r="B639" s="8"/>
      <c r="C639" s="9"/>
      <c r="D639" s="10"/>
      <c r="E639" s="7">
        <f t="shared" si="210"/>
        <v>0</v>
      </c>
      <c r="F639" s="8"/>
      <c r="G639" s="9"/>
      <c r="H639" s="10"/>
      <c r="I639" s="7">
        <f t="shared" si="211"/>
        <v>0</v>
      </c>
      <c r="K639" s="11"/>
      <c r="L639" s="8"/>
      <c r="M639" s="9"/>
      <c r="N639" s="10"/>
      <c r="O639" s="7">
        <f t="shared" si="212"/>
        <v>0</v>
      </c>
      <c r="P639" s="8"/>
      <c r="Q639" s="9"/>
      <c r="R639" s="10"/>
      <c r="S639" s="7">
        <f t="shared" si="213"/>
        <v>0</v>
      </c>
      <c r="T639" s="71"/>
      <c r="U639" s="3"/>
      <c r="V639" s="8"/>
      <c r="W639" s="9"/>
      <c r="X639" s="10"/>
      <c r="Y639" s="7">
        <f t="shared" si="214"/>
        <v>0</v>
      </c>
      <c r="Z639" s="8"/>
      <c r="AA639" s="9"/>
      <c r="AB639" s="10"/>
      <c r="AC639" s="7">
        <f t="shared" si="215"/>
        <v>0</v>
      </c>
      <c r="AD639" s="8"/>
      <c r="AE639" s="9"/>
      <c r="AF639" s="10"/>
      <c r="AG639" s="7">
        <f t="shared" si="216"/>
        <v>0</v>
      </c>
      <c r="AH639" s="71"/>
      <c r="AI639" s="11"/>
      <c r="AJ639" s="8"/>
      <c r="AK639" s="9"/>
      <c r="AL639" s="10"/>
      <c r="AM639" s="7">
        <f t="shared" si="217"/>
        <v>0</v>
      </c>
      <c r="AN639" s="8"/>
      <c r="AO639" s="9"/>
      <c r="AP639" s="10"/>
      <c r="AQ639" s="7">
        <f t="shared" si="218"/>
        <v>0</v>
      </c>
    </row>
    <row r="640" spans="1:43">
      <c r="A640" s="11"/>
      <c r="B640" s="8"/>
      <c r="C640" s="9"/>
      <c r="D640" s="10"/>
      <c r="E640" s="7">
        <f t="shared" si="210"/>
        <v>0</v>
      </c>
      <c r="F640" s="8"/>
      <c r="G640" s="9"/>
      <c r="H640" s="10"/>
      <c r="I640" s="7">
        <f t="shared" si="211"/>
        <v>0</v>
      </c>
      <c r="K640" s="3" t="s">
        <v>256</v>
      </c>
      <c r="L640" s="8"/>
      <c r="M640" s="9"/>
      <c r="N640" s="10"/>
      <c r="O640" s="7">
        <f t="shared" ref="O640" si="225">SUM(L640:N640)</f>
        <v>0</v>
      </c>
      <c r="P640" s="8"/>
      <c r="Q640" s="9"/>
      <c r="R640" s="10"/>
      <c r="S640" s="7">
        <f t="shared" ref="S640" si="226">SUM(P640:R640)</f>
        <v>0</v>
      </c>
      <c r="T640" s="71" t="s">
        <v>257</v>
      </c>
      <c r="U640" s="11"/>
      <c r="V640" s="8"/>
      <c r="W640" s="9"/>
      <c r="X640" s="10"/>
      <c r="Y640" s="7">
        <f t="shared" si="214"/>
        <v>0</v>
      </c>
      <c r="Z640" s="8"/>
      <c r="AA640" s="9"/>
      <c r="AB640" s="10"/>
      <c r="AC640" s="7">
        <f t="shared" si="215"/>
        <v>0</v>
      </c>
      <c r="AD640" s="8"/>
      <c r="AE640" s="9"/>
      <c r="AF640" s="10"/>
      <c r="AG640" s="7">
        <f t="shared" si="216"/>
        <v>0</v>
      </c>
      <c r="AH640" s="71"/>
      <c r="AI640" s="3"/>
      <c r="AJ640" s="8"/>
      <c r="AK640" s="9"/>
      <c r="AL640" s="10"/>
      <c r="AM640" s="7">
        <f t="shared" si="217"/>
        <v>0</v>
      </c>
      <c r="AN640" s="8"/>
      <c r="AO640" s="9"/>
      <c r="AP640" s="10"/>
      <c r="AQ640" s="7">
        <f t="shared" si="218"/>
        <v>0</v>
      </c>
    </row>
    <row r="641" spans="1:43" ht="14.25" thickBot="1">
      <c r="A641" s="3"/>
      <c r="B641" s="8"/>
      <c r="C641" s="9"/>
      <c r="D641" s="10"/>
      <c r="E641" s="7">
        <f t="shared" si="210"/>
        <v>0</v>
      </c>
      <c r="F641" s="8"/>
      <c r="G641" s="9"/>
      <c r="H641" s="10"/>
      <c r="I641" s="7">
        <f t="shared" si="211"/>
        <v>0</v>
      </c>
      <c r="K641" s="3" t="s">
        <v>254</v>
      </c>
      <c r="L641" s="8"/>
      <c r="M641" s="9"/>
      <c r="N641" s="10"/>
      <c r="O641" s="7">
        <f t="shared" si="212"/>
        <v>0</v>
      </c>
      <c r="P641" s="8"/>
      <c r="Q641" s="9"/>
      <c r="R641" s="10"/>
      <c r="S641" s="7">
        <f t="shared" si="213"/>
        <v>0</v>
      </c>
      <c r="T641" s="71" t="s">
        <v>88</v>
      </c>
      <c r="U641" s="3" t="s">
        <v>247</v>
      </c>
      <c r="V641" s="8"/>
      <c r="W641" s="9"/>
      <c r="X641" s="10"/>
      <c r="Y641" s="7">
        <f t="shared" si="214"/>
        <v>0</v>
      </c>
      <c r="Z641" s="8"/>
      <c r="AA641" s="9"/>
      <c r="AB641" s="10"/>
      <c r="AC641" s="7">
        <f t="shared" si="215"/>
        <v>0</v>
      </c>
      <c r="AD641" s="8"/>
      <c r="AE641" s="9"/>
      <c r="AF641" s="10"/>
      <c r="AG641" s="7">
        <f t="shared" si="216"/>
        <v>0</v>
      </c>
      <c r="AH641" s="71" t="s">
        <v>248</v>
      </c>
      <c r="AI641" s="3"/>
      <c r="AJ641" s="8"/>
      <c r="AK641" s="9"/>
      <c r="AL641" s="10"/>
      <c r="AM641" s="7">
        <f t="shared" si="217"/>
        <v>0</v>
      </c>
      <c r="AN641" s="8"/>
      <c r="AO641" s="9"/>
      <c r="AP641" s="10"/>
      <c r="AQ641" s="7">
        <f t="shared" si="218"/>
        <v>0</v>
      </c>
    </row>
    <row r="642" spans="1:43" ht="14.25" thickBot="1">
      <c r="A642" s="2" t="s">
        <v>5</v>
      </c>
      <c r="B642" s="14">
        <f>SUM(B618:B641)</f>
        <v>0</v>
      </c>
      <c r="C642" s="14">
        <f>SUM(C618:C641)</f>
        <v>1</v>
      </c>
      <c r="D642" s="14">
        <f>SUM(D618:D641)</f>
        <v>2</v>
      </c>
      <c r="E642" s="15">
        <f t="shared" si="210"/>
        <v>3</v>
      </c>
      <c r="F642" s="14">
        <f>SUM(F618:F641)</f>
        <v>0</v>
      </c>
      <c r="G642" s="14">
        <f>SUM(G618:G641)</f>
        <v>1</v>
      </c>
      <c r="H642" s="14">
        <f>SUM(H618:H641)</f>
        <v>2</v>
      </c>
      <c r="I642" s="15">
        <f t="shared" si="211"/>
        <v>3</v>
      </c>
      <c r="K642" s="2" t="s">
        <v>5</v>
      </c>
      <c r="L642" s="14">
        <f>SUM(L618:L641)</f>
        <v>22</v>
      </c>
      <c r="M642" s="14">
        <f>SUM(M618:M641)</f>
        <v>32</v>
      </c>
      <c r="N642" s="14">
        <f>SUM(N618:N641)</f>
        <v>20</v>
      </c>
      <c r="O642" s="15">
        <f t="shared" si="212"/>
        <v>74</v>
      </c>
      <c r="P642" s="14">
        <f>SUM(P618:P641)</f>
        <v>22</v>
      </c>
      <c r="Q642" s="14">
        <f>SUM(Q618:Q641)</f>
        <v>32</v>
      </c>
      <c r="R642" s="14">
        <f>SUM(R618:R641)</f>
        <v>20</v>
      </c>
      <c r="S642" s="15">
        <f t="shared" si="213"/>
        <v>74</v>
      </c>
      <c r="U642" s="2" t="s">
        <v>5</v>
      </c>
      <c r="V642" s="14">
        <f>SUM(V618:V641)</f>
        <v>10</v>
      </c>
      <c r="W642" s="14">
        <f>SUM(W618:W641)</f>
        <v>27</v>
      </c>
      <c r="X642" s="14">
        <f>SUM(X618:X641)</f>
        <v>10</v>
      </c>
      <c r="Y642" s="15">
        <f t="shared" si="214"/>
        <v>47</v>
      </c>
      <c r="Z642" s="14">
        <f>SUM(Z618:Z641)</f>
        <v>10</v>
      </c>
      <c r="AA642" s="14">
        <f>SUM(AA618:AA641)</f>
        <v>27</v>
      </c>
      <c r="AB642" s="14">
        <f>SUM(AB618:AB641)</f>
        <v>10</v>
      </c>
      <c r="AC642" s="15">
        <f t="shared" si="215"/>
        <v>47</v>
      </c>
      <c r="AD642" s="14">
        <f>SUM(AD618:AD641)</f>
        <v>10</v>
      </c>
      <c r="AE642" s="14">
        <f>SUM(AE618:AE641)</f>
        <v>27</v>
      </c>
      <c r="AF642" s="14">
        <f>SUM(AF618:AF641)</f>
        <v>10</v>
      </c>
      <c r="AG642" s="15">
        <f t="shared" si="216"/>
        <v>47</v>
      </c>
      <c r="AI642" s="2" t="s">
        <v>5</v>
      </c>
      <c r="AJ642" s="14">
        <f>SUM(AJ618:AJ641)</f>
        <v>0</v>
      </c>
      <c r="AK642" s="14">
        <f>SUM(AK618:AK641)</f>
        <v>0</v>
      </c>
      <c r="AL642" s="14">
        <f>SUM(AL618:AL641)</f>
        <v>0</v>
      </c>
      <c r="AM642" s="15">
        <f t="shared" si="217"/>
        <v>0</v>
      </c>
      <c r="AN642" s="14">
        <f>SUM(AN618:AN641)</f>
        <v>0</v>
      </c>
      <c r="AO642" s="14">
        <f>SUM(AO618:AO641)</f>
        <v>0</v>
      </c>
      <c r="AP642" s="14">
        <f>SUM(AP618:AP641)</f>
        <v>0</v>
      </c>
      <c r="AQ642" s="15">
        <f t="shared" si="218"/>
        <v>0</v>
      </c>
    </row>
    <row r="643" spans="1:43" ht="14.25" thickBot="1">
      <c r="A643" s="27" t="s">
        <v>6</v>
      </c>
      <c r="B643" s="28">
        <f>B617-B642</f>
        <v>7</v>
      </c>
      <c r="C643" s="28">
        <f t="shared" ref="C643:E643" si="227">C617-C642</f>
        <v>5</v>
      </c>
      <c r="D643" s="28">
        <f t="shared" si="227"/>
        <v>1</v>
      </c>
      <c r="E643" s="28">
        <f t="shared" si="227"/>
        <v>13</v>
      </c>
      <c r="F643" s="28">
        <f>F617-F642</f>
        <v>7</v>
      </c>
      <c r="G643" s="28">
        <f t="shared" ref="G643:I643" si="228">G617-G642</f>
        <v>5</v>
      </c>
      <c r="H643" s="28">
        <f t="shared" si="228"/>
        <v>1</v>
      </c>
      <c r="I643" s="26">
        <f t="shared" si="228"/>
        <v>13</v>
      </c>
      <c r="K643" s="27" t="s">
        <v>6</v>
      </c>
      <c r="L643" s="28">
        <f>L617-L642</f>
        <v>80</v>
      </c>
      <c r="M643" s="28">
        <f t="shared" ref="M643:O643" si="229">M617-M642</f>
        <v>168</v>
      </c>
      <c r="N643" s="28">
        <f t="shared" si="229"/>
        <v>80</v>
      </c>
      <c r="O643" s="28">
        <f t="shared" si="229"/>
        <v>328</v>
      </c>
      <c r="P643" s="28">
        <f>P617-P642</f>
        <v>80</v>
      </c>
      <c r="Q643" s="28">
        <f t="shared" ref="Q643:S643" si="230">Q617-Q642</f>
        <v>168</v>
      </c>
      <c r="R643" s="28">
        <f t="shared" si="230"/>
        <v>80</v>
      </c>
      <c r="S643" s="26">
        <f t="shared" si="230"/>
        <v>328</v>
      </c>
      <c r="U643" s="27" t="s">
        <v>6</v>
      </c>
      <c r="V643" s="28">
        <f>V617-V642</f>
        <v>16</v>
      </c>
      <c r="W643" s="28">
        <f t="shared" ref="W643:Y643" si="231">W617-W642</f>
        <v>25</v>
      </c>
      <c r="X643" s="28">
        <f t="shared" si="231"/>
        <v>16</v>
      </c>
      <c r="Y643" s="28">
        <f t="shared" si="231"/>
        <v>57</v>
      </c>
      <c r="Z643" s="28">
        <f>Z617-Z642</f>
        <v>16</v>
      </c>
      <c r="AA643" s="28">
        <f t="shared" ref="AA643:AC643" si="232">AA617-AA642</f>
        <v>25</v>
      </c>
      <c r="AB643" s="28">
        <f t="shared" si="232"/>
        <v>16</v>
      </c>
      <c r="AC643" s="26">
        <f t="shared" si="232"/>
        <v>57</v>
      </c>
      <c r="AD643" s="28">
        <f>AD617-AD642</f>
        <v>16</v>
      </c>
      <c r="AE643" s="28">
        <f t="shared" ref="AE643:AG643" si="233">AE617-AE642</f>
        <v>25</v>
      </c>
      <c r="AF643" s="28">
        <f t="shared" si="233"/>
        <v>16</v>
      </c>
      <c r="AG643" s="26">
        <f t="shared" si="233"/>
        <v>57</v>
      </c>
      <c r="AI643" s="27" t="s">
        <v>6</v>
      </c>
      <c r="AJ643" s="28">
        <f>AJ617-AJ642</f>
        <v>0</v>
      </c>
      <c r="AK643" s="28">
        <f t="shared" ref="AK643:AM643" si="234">AK617-AK642</f>
        <v>0</v>
      </c>
      <c r="AL643" s="28">
        <f t="shared" si="234"/>
        <v>0</v>
      </c>
      <c r="AM643" s="28">
        <f t="shared" si="234"/>
        <v>0</v>
      </c>
      <c r="AN643" s="28">
        <f>AN617-AN642</f>
        <v>0</v>
      </c>
      <c r="AO643" s="28">
        <f t="shared" ref="AO643:AQ643" si="235">AO617-AO642</f>
        <v>0</v>
      </c>
      <c r="AP643" s="28">
        <f t="shared" si="235"/>
        <v>0</v>
      </c>
      <c r="AQ643" s="26">
        <f t="shared" si="235"/>
        <v>0</v>
      </c>
    </row>
    <row r="644" spans="1:43">
      <c r="L644" s="67"/>
      <c r="M644" s="67"/>
      <c r="N644" s="67"/>
      <c r="O644" s="67"/>
    </row>
    <row r="646" spans="1:43" ht="26.25" thickBot="1">
      <c r="A646" s="33" t="s">
        <v>255</v>
      </c>
      <c r="B646" s="34"/>
      <c r="C646" s="34"/>
      <c r="D646" s="34"/>
      <c r="E646" s="34"/>
      <c r="F646" s="35"/>
      <c r="G646" s="35"/>
      <c r="H646" s="35"/>
      <c r="I646" s="35"/>
      <c r="K646" s="33" t="s">
        <v>243</v>
      </c>
      <c r="L646" s="34"/>
      <c r="M646" s="34"/>
      <c r="N646" s="34"/>
      <c r="O646" s="34"/>
      <c r="P646" s="35"/>
      <c r="Q646" s="35"/>
      <c r="R646" s="35"/>
      <c r="S646" s="35"/>
      <c r="U646" s="88" t="s">
        <v>244</v>
      </c>
      <c r="V646" s="89"/>
      <c r="W646" s="89"/>
      <c r="X646" s="89"/>
      <c r="Y646" s="89"/>
      <c r="Z646" s="90"/>
      <c r="AA646" s="90"/>
      <c r="AB646" s="90"/>
      <c r="AC646" s="90"/>
    </row>
    <row r="647" spans="1:43" ht="14.25" thickBot="1">
      <c r="A647" s="1" t="s">
        <v>0</v>
      </c>
      <c r="B647" s="182" t="s">
        <v>17</v>
      </c>
      <c r="C647" s="182"/>
      <c r="D647" s="182"/>
      <c r="E647" s="183"/>
      <c r="F647" s="182" t="s">
        <v>13</v>
      </c>
      <c r="G647" s="182"/>
      <c r="H647" s="182"/>
      <c r="I647" s="183"/>
      <c r="K647" s="1" t="s">
        <v>0</v>
      </c>
      <c r="L647" s="182" t="s">
        <v>17</v>
      </c>
      <c r="M647" s="182"/>
      <c r="N647" s="182"/>
      <c r="O647" s="183"/>
      <c r="P647" s="182" t="s">
        <v>13</v>
      </c>
      <c r="Q647" s="182"/>
      <c r="R647" s="182"/>
      <c r="S647" s="183"/>
      <c r="U647" s="1" t="s">
        <v>0</v>
      </c>
      <c r="V647" s="182" t="s">
        <v>17</v>
      </c>
      <c r="W647" s="182"/>
      <c r="X647" s="182"/>
      <c r="Y647" s="183"/>
      <c r="Z647" s="182" t="s">
        <v>13</v>
      </c>
      <c r="AA647" s="182"/>
      <c r="AB647" s="182"/>
      <c r="AC647" s="183"/>
      <c r="AD647" s="182" t="s">
        <v>242</v>
      </c>
      <c r="AE647" s="182"/>
      <c r="AF647" s="182"/>
      <c r="AG647" s="183"/>
    </row>
    <row r="648" spans="1:43" ht="14.25" thickBot="1">
      <c r="A648" s="1" t="s">
        <v>1</v>
      </c>
      <c r="B648" s="2" t="s">
        <v>8</v>
      </c>
      <c r="C648" s="1" t="s">
        <v>9</v>
      </c>
      <c r="D648" s="19" t="s">
        <v>10</v>
      </c>
      <c r="E648" s="1" t="s">
        <v>2</v>
      </c>
      <c r="F648" s="2" t="s">
        <v>8</v>
      </c>
      <c r="G648" s="1" t="s">
        <v>9</v>
      </c>
      <c r="H648" s="19" t="s">
        <v>10</v>
      </c>
      <c r="I648" s="1" t="s">
        <v>2</v>
      </c>
      <c r="K648" s="1" t="s">
        <v>1</v>
      </c>
      <c r="L648" s="2" t="s">
        <v>8</v>
      </c>
      <c r="M648" s="1" t="s">
        <v>9</v>
      </c>
      <c r="N648" s="19" t="s">
        <v>10</v>
      </c>
      <c r="O648" s="1" t="s">
        <v>2</v>
      </c>
      <c r="P648" s="2" t="s">
        <v>8</v>
      </c>
      <c r="Q648" s="1" t="s">
        <v>9</v>
      </c>
      <c r="R648" s="19" t="s">
        <v>10</v>
      </c>
      <c r="S648" s="1" t="s">
        <v>2</v>
      </c>
      <c r="U648" s="1" t="s">
        <v>1</v>
      </c>
      <c r="V648" s="2" t="s">
        <v>8</v>
      </c>
      <c r="W648" s="1" t="s">
        <v>9</v>
      </c>
      <c r="X648" s="19" t="s">
        <v>10</v>
      </c>
      <c r="Y648" s="1" t="s">
        <v>2</v>
      </c>
      <c r="Z648" s="2" t="s">
        <v>8</v>
      </c>
      <c r="AA648" s="1" t="s">
        <v>9</v>
      </c>
      <c r="AB648" s="19" t="s">
        <v>10</v>
      </c>
      <c r="AC648" s="1" t="s">
        <v>2</v>
      </c>
      <c r="AD648" s="2" t="s">
        <v>8</v>
      </c>
      <c r="AE648" s="1" t="s">
        <v>9</v>
      </c>
      <c r="AF648" s="19" t="s">
        <v>10</v>
      </c>
      <c r="AG648" s="1" t="s">
        <v>2</v>
      </c>
    </row>
    <row r="649" spans="1:43">
      <c r="A649" s="21" t="s">
        <v>7</v>
      </c>
      <c r="B649" s="18">
        <f>B643</f>
        <v>7</v>
      </c>
      <c r="C649" s="22">
        <f>C643</f>
        <v>5</v>
      </c>
      <c r="D649" s="22">
        <f>D643</f>
        <v>1</v>
      </c>
      <c r="E649" s="17">
        <f t="shared" ref="E649:E685" si="236">SUM(B649:D649)</f>
        <v>13</v>
      </c>
      <c r="F649" s="22">
        <f>F643</f>
        <v>7</v>
      </c>
      <c r="G649" s="22">
        <f>G643</f>
        <v>5</v>
      </c>
      <c r="H649" s="22">
        <f>H643</f>
        <v>1</v>
      </c>
      <c r="I649" s="17">
        <f t="shared" ref="I649:I685" si="237">SUM(F649:H649)</f>
        <v>13</v>
      </c>
      <c r="K649" s="21" t="s">
        <v>7</v>
      </c>
      <c r="L649" s="18">
        <f>L643</f>
        <v>80</v>
      </c>
      <c r="M649" s="22">
        <f>M643</f>
        <v>168</v>
      </c>
      <c r="N649" s="22">
        <f>N643</f>
        <v>80</v>
      </c>
      <c r="O649" s="17">
        <f t="shared" ref="O649:O685" si="238">SUM(L649:N649)</f>
        <v>328</v>
      </c>
      <c r="P649" s="22">
        <f>P643</f>
        <v>80</v>
      </c>
      <c r="Q649" s="22">
        <f>Q643</f>
        <v>168</v>
      </c>
      <c r="R649" s="22">
        <f>R643</f>
        <v>80</v>
      </c>
      <c r="S649" s="17">
        <f t="shared" ref="S649:S685" si="239">SUM(P649:R649)</f>
        <v>328</v>
      </c>
      <c r="U649" s="21" t="s">
        <v>7</v>
      </c>
      <c r="V649" s="18">
        <f>V643</f>
        <v>16</v>
      </c>
      <c r="W649" s="22">
        <f>W643</f>
        <v>25</v>
      </c>
      <c r="X649" s="22">
        <f>X643</f>
        <v>16</v>
      </c>
      <c r="Y649" s="17">
        <f t="shared" ref="Y649:Y685" si="240">SUM(V649:X649)</f>
        <v>57</v>
      </c>
      <c r="Z649" s="22">
        <f>Z643</f>
        <v>16</v>
      </c>
      <c r="AA649" s="22">
        <f>AA643</f>
        <v>25</v>
      </c>
      <c r="AB649" s="22">
        <f>AB643</f>
        <v>16</v>
      </c>
      <c r="AC649" s="17">
        <f t="shared" ref="AC649:AC685" si="241">SUM(Z649:AB649)</f>
        <v>57</v>
      </c>
      <c r="AD649" s="22">
        <f>AD643</f>
        <v>16</v>
      </c>
      <c r="AE649" s="22">
        <f>AE643</f>
        <v>25</v>
      </c>
      <c r="AF649" s="22">
        <f>AF643</f>
        <v>16</v>
      </c>
      <c r="AG649" s="17">
        <f t="shared" ref="AG649:AG685" si="242">SUM(AD649:AF649)</f>
        <v>57</v>
      </c>
    </row>
    <row r="650" spans="1:43">
      <c r="A650" s="5" t="s">
        <v>3</v>
      </c>
      <c r="B650" s="30"/>
      <c r="C650" s="31"/>
      <c r="D650" s="32">
        <v>10</v>
      </c>
      <c r="E650" s="4">
        <f t="shared" si="236"/>
        <v>10</v>
      </c>
      <c r="F650" s="30"/>
      <c r="G650" s="31"/>
      <c r="H650" s="32">
        <v>10</v>
      </c>
      <c r="I650" s="4">
        <f t="shared" si="237"/>
        <v>10</v>
      </c>
      <c r="J650" s="43">
        <v>44331</v>
      </c>
      <c r="K650" s="5" t="s">
        <v>3</v>
      </c>
      <c r="L650" s="16"/>
      <c r="M650" s="11"/>
      <c r="N650" s="16"/>
      <c r="O650" s="4">
        <f t="shared" si="238"/>
        <v>0</v>
      </c>
      <c r="P650" s="16"/>
      <c r="Q650" s="11"/>
      <c r="R650" s="16"/>
      <c r="S650" s="4">
        <f t="shared" si="239"/>
        <v>0</v>
      </c>
      <c r="T650" s="43"/>
      <c r="U650" s="5" t="s">
        <v>320</v>
      </c>
      <c r="V650" s="16"/>
      <c r="W650" s="11">
        <v>1</v>
      </c>
      <c r="X650" s="16"/>
      <c r="Y650" s="4">
        <f t="shared" si="240"/>
        <v>1</v>
      </c>
      <c r="Z650" s="16"/>
      <c r="AA650" s="11">
        <v>1</v>
      </c>
      <c r="AB650" s="16"/>
      <c r="AC650" s="4">
        <f t="shared" si="241"/>
        <v>1</v>
      </c>
      <c r="AD650" s="16"/>
      <c r="AE650" s="11">
        <v>1</v>
      </c>
      <c r="AF650" s="16"/>
      <c r="AG650" s="4">
        <f t="shared" si="242"/>
        <v>1</v>
      </c>
      <c r="AH650" s="43">
        <v>44345</v>
      </c>
    </row>
    <row r="651" spans="1:43">
      <c r="A651" s="5" t="s">
        <v>305</v>
      </c>
      <c r="B651" s="30"/>
      <c r="C651" s="31">
        <v>1</v>
      </c>
      <c r="D651" s="32"/>
      <c r="E651" s="4">
        <f t="shared" si="236"/>
        <v>1</v>
      </c>
      <c r="F651" s="30"/>
      <c r="G651" s="31">
        <v>1</v>
      </c>
      <c r="H651" s="32"/>
      <c r="I651" s="4">
        <f t="shared" si="237"/>
        <v>1</v>
      </c>
      <c r="J651" s="43">
        <v>44336</v>
      </c>
      <c r="K651" s="5" t="s">
        <v>3</v>
      </c>
      <c r="L651" s="32"/>
      <c r="M651" s="31"/>
      <c r="N651" s="32"/>
      <c r="O651" s="4">
        <f t="shared" si="238"/>
        <v>0</v>
      </c>
      <c r="P651" s="32"/>
      <c r="Q651" s="31"/>
      <c r="R651" s="32"/>
      <c r="S651" s="4">
        <f t="shared" si="239"/>
        <v>0</v>
      </c>
      <c r="T651" s="43"/>
      <c r="U651" s="5" t="s">
        <v>3</v>
      </c>
      <c r="V651" s="32"/>
      <c r="W651" s="31"/>
      <c r="X651" s="32"/>
      <c r="Y651" s="4">
        <f t="shared" si="240"/>
        <v>0</v>
      </c>
      <c r="Z651" s="32"/>
      <c r="AA651" s="31"/>
      <c r="AB651" s="32"/>
      <c r="AC651" s="4">
        <f t="shared" si="241"/>
        <v>0</v>
      </c>
      <c r="AD651" s="32"/>
      <c r="AE651" s="31"/>
      <c r="AF651" s="32"/>
      <c r="AG651" s="4">
        <f t="shared" si="242"/>
        <v>0</v>
      </c>
      <c r="AH651" s="43"/>
    </row>
    <row r="652" spans="1:43">
      <c r="A652" s="5" t="s">
        <v>3</v>
      </c>
      <c r="B652" s="30"/>
      <c r="C652" s="31"/>
      <c r="D652" s="32"/>
      <c r="E652" s="4">
        <f t="shared" si="236"/>
        <v>0</v>
      </c>
      <c r="F652" s="30"/>
      <c r="G652" s="31"/>
      <c r="H652" s="32"/>
      <c r="I652" s="4">
        <f t="shared" si="237"/>
        <v>0</v>
      </c>
      <c r="J652" s="49"/>
      <c r="K652" s="5" t="s">
        <v>3</v>
      </c>
      <c r="L652" s="30"/>
      <c r="M652" s="31"/>
      <c r="N652" s="32"/>
      <c r="O652" s="4">
        <f t="shared" si="238"/>
        <v>0</v>
      </c>
      <c r="P652" s="30"/>
      <c r="Q652" s="31"/>
      <c r="R652" s="32"/>
      <c r="S652" s="4">
        <f t="shared" si="239"/>
        <v>0</v>
      </c>
      <c r="T652" s="43"/>
      <c r="U652" s="5" t="s">
        <v>3</v>
      </c>
      <c r="V652" s="30"/>
      <c r="W652" s="31"/>
      <c r="X652" s="32"/>
      <c r="Y652" s="4">
        <f t="shared" si="240"/>
        <v>0</v>
      </c>
      <c r="Z652" s="30"/>
      <c r="AA652" s="31"/>
      <c r="AB652" s="32"/>
      <c r="AC652" s="4">
        <f t="shared" si="241"/>
        <v>0</v>
      </c>
      <c r="AD652" s="30"/>
      <c r="AE652" s="31"/>
      <c r="AF652" s="32"/>
      <c r="AG652" s="4">
        <f t="shared" si="242"/>
        <v>0</v>
      </c>
      <c r="AH652" s="43"/>
    </row>
    <row r="653" spans="1:43">
      <c r="A653" s="5" t="s">
        <v>3</v>
      </c>
      <c r="B653" s="16"/>
      <c r="C653" s="11"/>
      <c r="D653" s="16"/>
      <c r="E653" s="4">
        <f t="shared" si="236"/>
        <v>0</v>
      </c>
      <c r="F653" s="16"/>
      <c r="G653" s="11"/>
      <c r="H653" s="16"/>
      <c r="I653" s="4">
        <f t="shared" si="237"/>
        <v>0</v>
      </c>
      <c r="J653" s="49"/>
      <c r="K653" s="5" t="s">
        <v>3</v>
      </c>
      <c r="L653" s="16"/>
      <c r="M653" s="11"/>
      <c r="N653" s="16"/>
      <c r="O653" s="4">
        <f t="shared" si="238"/>
        <v>0</v>
      </c>
      <c r="P653" s="16"/>
      <c r="Q653" s="11"/>
      <c r="R653" s="16"/>
      <c r="S653" s="4">
        <f t="shared" si="239"/>
        <v>0</v>
      </c>
      <c r="T653" s="43"/>
      <c r="U653" s="5" t="s">
        <v>3</v>
      </c>
      <c r="V653" s="16"/>
      <c r="W653" s="11"/>
      <c r="X653" s="16"/>
      <c r="Y653" s="4">
        <f t="shared" si="240"/>
        <v>0</v>
      </c>
      <c r="Z653" s="16"/>
      <c r="AA653" s="11"/>
      <c r="AB653" s="16"/>
      <c r="AC653" s="4">
        <f t="shared" si="241"/>
        <v>0</v>
      </c>
      <c r="AD653" s="16"/>
      <c r="AE653" s="11"/>
      <c r="AF653" s="16"/>
      <c r="AG653" s="4">
        <f t="shared" si="242"/>
        <v>0</v>
      </c>
      <c r="AH653" s="43"/>
    </row>
    <row r="654" spans="1:43">
      <c r="A654" s="5" t="s">
        <v>3</v>
      </c>
      <c r="B654" s="16"/>
      <c r="C654" s="11"/>
      <c r="D654" s="16"/>
      <c r="E654" s="4">
        <f t="shared" si="236"/>
        <v>0</v>
      </c>
      <c r="F654" s="16"/>
      <c r="G654" s="11"/>
      <c r="H654" s="16"/>
      <c r="I654" s="4">
        <f t="shared" si="237"/>
        <v>0</v>
      </c>
      <c r="K654" s="5" t="s">
        <v>3</v>
      </c>
      <c r="L654" s="32"/>
      <c r="M654" s="31"/>
      <c r="N654" s="32"/>
      <c r="O654" s="4">
        <f t="shared" si="238"/>
        <v>0</v>
      </c>
      <c r="P654" s="32"/>
      <c r="Q654" s="31"/>
      <c r="R654" s="32"/>
      <c r="S654" s="4">
        <f t="shared" si="239"/>
        <v>0</v>
      </c>
      <c r="T654" s="43"/>
      <c r="U654" s="5" t="s">
        <v>3</v>
      </c>
      <c r="V654" s="32"/>
      <c r="W654" s="31"/>
      <c r="X654" s="32"/>
      <c r="Y654" s="4">
        <f t="shared" si="240"/>
        <v>0</v>
      </c>
      <c r="Z654" s="32"/>
      <c r="AA654" s="31"/>
      <c r="AB654" s="32"/>
      <c r="AC654" s="4">
        <f t="shared" si="241"/>
        <v>0</v>
      </c>
      <c r="AD654" s="32"/>
      <c r="AE654" s="31"/>
      <c r="AF654" s="32"/>
      <c r="AG654" s="4">
        <f t="shared" si="242"/>
        <v>0</v>
      </c>
      <c r="AH654" s="43"/>
    </row>
    <row r="655" spans="1:43">
      <c r="A655" s="5" t="s">
        <v>3</v>
      </c>
      <c r="B655" s="16"/>
      <c r="C655" s="11"/>
      <c r="D655" s="16"/>
      <c r="E655" s="4">
        <f t="shared" si="236"/>
        <v>0</v>
      </c>
      <c r="F655" s="16"/>
      <c r="G655" s="11"/>
      <c r="H655" s="16"/>
      <c r="I655" s="4">
        <f t="shared" si="237"/>
        <v>0</v>
      </c>
      <c r="K655" s="5" t="s">
        <v>3</v>
      </c>
      <c r="L655" s="16"/>
      <c r="M655" s="11"/>
      <c r="N655" s="16"/>
      <c r="O655" s="4">
        <f t="shared" si="238"/>
        <v>0</v>
      </c>
      <c r="P655" s="16"/>
      <c r="Q655" s="11"/>
      <c r="R655" s="16"/>
      <c r="S655" s="4">
        <f t="shared" si="239"/>
        <v>0</v>
      </c>
      <c r="T655" s="43"/>
      <c r="U655" s="5" t="s">
        <v>3</v>
      </c>
      <c r="V655" s="16"/>
      <c r="W655" s="11"/>
      <c r="X655" s="16"/>
      <c r="Y655" s="4">
        <f t="shared" si="240"/>
        <v>0</v>
      </c>
      <c r="Z655" s="16"/>
      <c r="AA655" s="11"/>
      <c r="AB655" s="16"/>
      <c r="AC655" s="4">
        <f t="shared" si="241"/>
        <v>0</v>
      </c>
      <c r="AD655" s="16"/>
      <c r="AE655" s="11"/>
      <c r="AF655" s="16"/>
      <c r="AG655" s="4">
        <f t="shared" si="242"/>
        <v>0</v>
      </c>
      <c r="AH655" s="43"/>
    </row>
    <row r="656" spans="1:43">
      <c r="A656" s="5" t="s">
        <v>3</v>
      </c>
      <c r="B656" s="32"/>
      <c r="C656" s="31"/>
      <c r="D656" s="32"/>
      <c r="E656" s="4">
        <f t="shared" si="236"/>
        <v>0</v>
      </c>
      <c r="F656" s="32"/>
      <c r="G656" s="31"/>
      <c r="H656" s="32"/>
      <c r="I656" s="4">
        <f t="shared" si="237"/>
        <v>0</v>
      </c>
      <c r="K656" s="5" t="s">
        <v>3</v>
      </c>
      <c r="L656" s="32"/>
      <c r="M656" s="31"/>
      <c r="N656" s="32"/>
      <c r="O656" s="4">
        <f t="shared" si="238"/>
        <v>0</v>
      </c>
      <c r="P656" s="32"/>
      <c r="Q656" s="31"/>
      <c r="R656" s="32"/>
      <c r="S656" s="4">
        <f t="shared" si="239"/>
        <v>0</v>
      </c>
      <c r="T656" s="43"/>
      <c r="U656" s="5" t="s">
        <v>3</v>
      </c>
      <c r="V656" s="32"/>
      <c r="W656" s="31"/>
      <c r="X656" s="32"/>
      <c r="Y656" s="4">
        <f t="shared" si="240"/>
        <v>0</v>
      </c>
      <c r="Z656" s="32"/>
      <c r="AA656" s="31"/>
      <c r="AB656" s="32"/>
      <c r="AC656" s="4">
        <f t="shared" si="241"/>
        <v>0</v>
      </c>
      <c r="AD656" s="32"/>
      <c r="AE656" s="31"/>
      <c r="AF656" s="32"/>
      <c r="AG656" s="4">
        <f t="shared" si="242"/>
        <v>0</v>
      </c>
      <c r="AH656" s="43"/>
    </row>
    <row r="657" spans="1:35">
      <c r="A657" s="5" t="s">
        <v>3</v>
      </c>
      <c r="B657" s="32"/>
      <c r="C657" s="31"/>
      <c r="D657" s="32"/>
      <c r="E657" s="4">
        <f t="shared" si="236"/>
        <v>0</v>
      </c>
      <c r="F657" s="32"/>
      <c r="G657" s="31"/>
      <c r="H657" s="32"/>
      <c r="I657" s="4">
        <f t="shared" si="237"/>
        <v>0</v>
      </c>
      <c r="K657" s="5" t="s">
        <v>266</v>
      </c>
      <c r="L657" s="32">
        <v>200</v>
      </c>
      <c r="M657" s="31">
        <v>200</v>
      </c>
      <c r="N657" s="32">
        <v>150</v>
      </c>
      <c r="O657" s="4">
        <f t="shared" si="238"/>
        <v>550</v>
      </c>
      <c r="P657" s="32">
        <v>200</v>
      </c>
      <c r="Q657" s="31">
        <v>200</v>
      </c>
      <c r="R657" s="32">
        <v>150</v>
      </c>
      <c r="S657" s="4">
        <f t="shared" si="239"/>
        <v>550</v>
      </c>
      <c r="T657" s="43" t="s">
        <v>335</v>
      </c>
      <c r="U657" s="5" t="s">
        <v>3</v>
      </c>
      <c r="V657" s="32"/>
      <c r="W657" s="31"/>
      <c r="X657" s="32"/>
      <c r="Y657" s="4">
        <f t="shared" si="240"/>
        <v>0</v>
      </c>
      <c r="Z657" s="32"/>
      <c r="AA657" s="31"/>
      <c r="AB657" s="32"/>
      <c r="AC657" s="4">
        <f t="shared" si="241"/>
        <v>0</v>
      </c>
      <c r="AD657" s="32"/>
      <c r="AE657" s="31"/>
      <c r="AF657" s="32"/>
      <c r="AG657" s="4">
        <f t="shared" si="242"/>
        <v>0</v>
      </c>
      <c r="AH657" s="43"/>
    </row>
    <row r="658" spans="1:35">
      <c r="A658" s="5" t="s">
        <v>3</v>
      </c>
      <c r="B658" s="30"/>
      <c r="C658" s="31"/>
      <c r="D658" s="32"/>
      <c r="E658" s="4">
        <f t="shared" si="236"/>
        <v>0</v>
      </c>
      <c r="F658" s="30"/>
      <c r="G658" s="31"/>
      <c r="H658" s="32"/>
      <c r="I658" s="4">
        <f t="shared" si="237"/>
        <v>0</v>
      </c>
      <c r="K658" s="6" t="s">
        <v>3</v>
      </c>
      <c r="L658" s="32"/>
      <c r="M658" s="31"/>
      <c r="N658" s="32"/>
      <c r="O658" s="4">
        <f t="shared" si="238"/>
        <v>0</v>
      </c>
      <c r="P658" s="32"/>
      <c r="Q658" s="31"/>
      <c r="R658" s="32"/>
      <c r="S658" s="4">
        <f t="shared" si="239"/>
        <v>0</v>
      </c>
      <c r="T658" s="43"/>
      <c r="U658" s="6" t="s">
        <v>3</v>
      </c>
      <c r="V658" s="30"/>
      <c r="W658" s="31"/>
      <c r="X658" s="32"/>
      <c r="Y658" s="4">
        <f t="shared" si="240"/>
        <v>0</v>
      </c>
      <c r="Z658" s="30"/>
      <c r="AA658" s="31"/>
      <c r="AB658" s="32"/>
      <c r="AC658" s="4">
        <f t="shared" si="241"/>
        <v>0</v>
      </c>
      <c r="AD658" s="30"/>
      <c r="AE658" s="31"/>
      <c r="AF658" s="32"/>
      <c r="AG658" s="4">
        <f t="shared" si="242"/>
        <v>0</v>
      </c>
      <c r="AH658" s="43"/>
    </row>
    <row r="659" spans="1:35" ht="14.25" thickBot="1">
      <c r="A659" s="6" t="s">
        <v>3</v>
      </c>
      <c r="B659" s="36"/>
      <c r="C659" s="37"/>
      <c r="D659" s="36"/>
      <c r="E659" s="20">
        <f t="shared" si="236"/>
        <v>0</v>
      </c>
      <c r="F659" s="13"/>
      <c r="G659" s="12"/>
      <c r="H659" s="13"/>
      <c r="I659" s="20">
        <f t="shared" si="237"/>
        <v>0</v>
      </c>
      <c r="K659" s="6" t="s">
        <v>3</v>
      </c>
      <c r="L659" s="13"/>
      <c r="M659" s="12"/>
      <c r="N659" s="13"/>
      <c r="O659" s="20">
        <f t="shared" si="238"/>
        <v>0</v>
      </c>
      <c r="P659" s="13"/>
      <c r="Q659" s="12"/>
      <c r="R659" s="13"/>
      <c r="S659" s="20">
        <f t="shared" si="239"/>
        <v>0</v>
      </c>
      <c r="T659" s="93"/>
      <c r="U659" s="6" t="s">
        <v>3</v>
      </c>
      <c r="V659" s="13"/>
      <c r="W659" s="12"/>
      <c r="X659" s="13"/>
      <c r="Y659" s="20">
        <f t="shared" si="240"/>
        <v>0</v>
      </c>
      <c r="Z659" s="13"/>
      <c r="AA659" s="12"/>
      <c r="AB659" s="13"/>
      <c r="AC659" s="20">
        <f t="shared" si="241"/>
        <v>0</v>
      </c>
      <c r="AD659" s="13"/>
      <c r="AE659" s="12"/>
      <c r="AF659" s="13"/>
      <c r="AG659" s="20">
        <f t="shared" si="242"/>
        <v>0</v>
      </c>
    </row>
    <row r="660" spans="1:35" ht="14.25" thickBot="1">
      <c r="A660" s="23" t="s">
        <v>4</v>
      </c>
      <c r="B660" s="24">
        <f>SUM(B649:B659)</f>
        <v>7</v>
      </c>
      <c r="C660" s="24">
        <f>SUM(C649:C659)</f>
        <v>6</v>
      </c>
      <c r="D660" s="25">
        <f>SUM(D649:D659)</f>
        <v>11</v>
      </c>
      <c r="E660" s="26">
        <f t="shared" si="236"/>
        <v>24</v>
      </c>
      <c r="F660" s="24">
        <f>SUM(F649:F659)</f>
        <v>7</v>
      </c>
      <c r="G660" s="24">
        <f>SUM(G649:G659)</f>
        <v>6</v>
      </c>
      <c r="H660" s="25">
        <f>SUM(H649:H659)</f>
        <v>11</v>
      </c>
      <c r="I660" s="26">
        <f t="shared" si="237"/>
        <v>24</v>
      </c>
      <c r="K660" s="23" t="s">
        <v>4</v>
      </c>
      <c r="L660" s="24">
        <f>SUM(L649:L659)</f>
        <v>280</v>
      </c>
      <c r="M660" s="24">
        <f>SUM(M649:M659)</f>
        <v>368</v>
      </c>
      <c r="N660" s="25">
        <f>SUM(N649:N659)</f>
        <v>230</v>
      </c>
      <c r="O660" s="26">
        <f t="shared" si="238"/>
        <v>878</v>
      </c>
      <c r="P660" s="24">
        <f>SUM(P649:P659)</f>
        <v>280</v>
      </c>
      <c r="Q660" s="24">
        <f>SUM(Q649:Q659)</f>
        <v>368</v>
      </c>
      <c r="R660" s="25">
        <f>SUM(R649:R659)</f>
        <v>230</v>
      </c>
      <c r="S660" s="26">
        <f t="shared" si="239"/>
        <v>878</v>
      </c>
      <c r="U660" s="23" t="s">
        <v>4</v>
      </c>
      <c r="V660" s="24">
        <f>SUM(V649:V659)</f>
        <v>16</v>
      </c>
      <c r="W660" s="24">
        <f>SUM(W649:W659)</f>
        <v>26</v>
      </c>
      <c r="X660" s="25">
        <f>SUM(X649:X659)</f>
        <v>16</v>
      </c>
      <c r="Y660" s="26">
        <f t="shared" si="240"/>
        <v>58</v>
      </c>
      <c r="Z660" s="24">
        <f>SUM(Z649:Z659)</f>
        <v>16</v>
      </c>
      <c r="AA660" s="24">
        <f>SUM(AA649:AA659)</f>
        <v>26</v>
      </c>
      <c r="AB660" s="25">
        <f>SUM(AB649:AB659)</f>
        <v>16</v>
      </c>
      <c r="AC660" s="26">
        <f t="shared" si="241"/>
        <v>58</v>
      </c>
      <c r="AD660" s="24">
        <f>SUM(AD649:AD659)</f>
        <v>16</v>
      </c>
      <c r="AE660" s="24">
        <f>SUM(AE649:AE659)</f>
        <v>26</v>
      </c>
      <c r="AF660" s="25">
        <f>SUM(AF649:AF659)</f>
        <v>16</v>
      </c>
      <c r="AG660" s="26">
        <f t="shared" si="242"/>
        <v>58</v>
      </c>
    </row>
    <row r="661" spans="1:35">
      <c r="A661" s="11" t="s">
        <v>298</v>
      </c>
      <c r="B661" s="8"/>
      <c r="C661" s="9"/>
      <c r="D661" s="10">
        <v>5</v>
      </c>
      <c r="E661" s="4">
        <f t="shared" si="236"/>
        <v>5</v>
      </c>
      <c r="F661" s="8"/>
      <c r="G661" s="9"/>
      <c r="H661" s="10">
        <v>5</v>
      </c>
      <c r="I661" s="4">
        <f t="shared" si="237"/>
        <v>5</v>
      </c>
      <c r="J661" s="43">
        <v>44336</v>
      </c>
      <c r="K661" s="11" t="s">
        <v>283</v>
      </c>
      <c r="L661" s="8">
        <v>5</v>
      </c>
      <c r="M661" s="9">
        <v>5</v>
      </c>
      <c r="N661" s="10">
        <v>5</v>
      </c>
      <c r="O661" s="7">
        <f t="shared" si="238"/>
        <v>15</v>
      </c>
      <c r="P661" s="8">
        <v>5</v>
      </c>
      <c r="Q661" s="9">
        <v>5</v>
      </c>
      <c r="R661" s="10">
        <v>5</v>
      </c>
      <c r="S661" s="7">
        <f t="shared" si="239"/>
        <v>15</v>
      </c>
      <c r="T661" s="43">
        <v>44322</v>
      </c>
      <c r="U661" s="3" t="s">
        <v>288</v>
      </c>
      <c r="V661" s="8">
        <v>15</v>
      </c>
      <c r="W661" s="9">
        <v>15</v>
      </c>
      <c r="X661" s="10">
        <v>10</v>
      </c>
      <c r="Y661" s="4">
        <f t="shared" si="240"/>
        <v>40</v>
      </c>
      <c r="Z661" s="8">
        <v>15</v>
      </c>
      <c r="AA661" s="9">
        <v>15</v>
      </c>
      <c r="AB661" s="10">
        <v>10</v>
      </c>
      <c r="AC661" s="4">
        <f t="shared" si="241"/>
        <v>40</v>
      </c>
      <c r="AD661" s="8">
        <v>15</v>
      </c>
      <c r="AE661" s="9">
        <v>15</v>
      </c>
      <c r="AF661" s="10">
        <v>10</v>
      </c>
      <c r="AG661" s="4">
        <f t="shared" si="242"/>
        <v>40</v>
      </c>
      <c r="AH661" s="43">
        <v>44326</v>
      </c>
      <c r="AI661" s="66"/>
    </row>
    <row r="662" spans="1:35">
      <c r="A662" s="3" t="s">
        <v>300</v>
      </c>
      <c r="B662" s="8"/>
      <c r="C662" s="9">
        <v>1</v>
      </c>
      <c r="D662" s="10"/>
      <c r="E662" s="4">
        <f t="shared" si="236"/>
        <v>1</v>
      </c>
      <c r="F662" s="8"/>
      <c r="G662" s="9">
        <v>1</v>
      </c>
      <c r="H662" s="10"/>
      <c r="I662" s="4">
        <f t="shared" si="237"/>
        <v>1</v>
      </c>
      <c r="J662" s="43">
        <v>44335</v>
      </c>
      <c r="K662" s="3" t="s">
        <v>287</v>
      </c>
      <c r="L662" s="8">
        <v>10</v>
      </c>
      <c r="M662" s="9">
        <v>13</v>
      </c>
      <c r="N662" s="10">
        <v>10</v>
      </c>
      <c r="O662" s="7">
        <f t="shared" si="238"/>
        <v>33</v>
      </c>
      <c r="P662" s="8">
        <v>10</v>
      </c>
      <c r="Q662" s="9">
        <v>13</v>
      </c>
      <c r="R662" s="10">
        <v>10</v>
      </c>
      <c r="S662" s="7">
        <f t="shared" si="239"/>
        <v>33</v>
      </c>
      <c r="T662" s="43">
        <v>44323</v>
      </c>
      <c r="U662" s="40"/>
      <c r="V662" s="8"/>
      <c r="W662" s="9"/>
      <c r="X662" s="10"/>
      <c r="Y662" s="4">
        <f t="shared" si="240"/>
        <v>0</v>
      </c>
      <c r="Z662" s="8"/>
      <c r="AA662" s="9"/>
      <c r="AB662" s="10"/>
      <c r="AC662" s="4">
        <f t="shared" si="241"/>
        <v>0</v>
      </c>
      <c r="AD662" s="8"/>
      <c r="AE662" s="9"/>
      <c r="AF662" s="10"/>
      <c r="AG662" s="4">
        <f t="shared" si="242"/>
        <v>0</v>
      </c>
      <c r="AH662" s="43"/>
    </row>
    <row r="663" spans="1:35">
      <c r="A663" s="3" t="s">
        <v>307</v>
      </c>
      <c r="B663" s="8">
        <v>1</v>
      </c>
      <c r="C663" s="9"/>
      <c r="D663" s="10"/>
      <c r="E663" s="7">
        <f t="shared" si="236"/>
        <v>1</v>
      </c>
      <c r="F663" s="8">
        <v>1</v>
      </c>
      <c r="G663" s="9"/>
      <c r="H663" s="10"/>
      <c r="I663" s="7">
        <f t="shared" si="237"/>
        <v>1</v>
      </c>
      <c r="J663" s="43">
        <v>44337</v>
      </c>
      <c r="K663" s="3" t="s">
        <v>289</v>
      </c>
      <c r="L663" s="8"/>
      <c r="M663" s="9">
        <v>2</v>
      </c>
      <c r="N663" s="10"/>
      <c r="O663" s="7">
        <f t="shared" si="238"/>
        <v>2</v>
      </c>
      <c r="P663" s="8"/>
      <c r="Q663" s="9">
        <v>2</v>
      </c>
      <c r="R663" s="10"/>
      <c r="S663" s="7">
        <f t="shared" si="239"/>
        <v>2</v>
      </c>
      <c r="T663" s="43">
        <v>44327</v>
      </c>
      <c r="U663" s="40"/>
      <c r="V663" s="8"/>
      <c r="W663" s="9"/>
      <c r="X663" s="10"/>
      <c r="Y663" s="7">
        <f t="shared" si="240"/>
        <v>0</v>
      </c>
      <c r="Z663" s="8"/>
      <c r="AA663" s="9"/>
      <c r="AB663" s="10"/>
      <c r="AC663" s="7">
        <f t="shared" si="241"/>
        <v>0</v>
      </c>
      <c r="AD663" s="8"/>
      <c r="AE663" s="9"/>
      <c r="AF663" s="10"/>
      <c r="AG663" s="7">
        <f t="shared" si="242"/>
        <v>0</v>
      </c>
      <c r="AH663" s="43"/>
    </row>
    <row r="664" spans="1:35">
      <c r="A664" s="84" t="s">
        <v>311</v>
      </c>
      <c r="B664" s="8"/>
      <c r="C664" s="9">
        <v>1</v>
      </c>
      <c r="D664" s="10"/>
      <c r="E664" s="4">
        <f t="shared" si="236"/>
        <v>1</v>
      </c>
      <c r="F664" s="8"/>
      <c r="G664" s="9">
        <v>1</v>
      </c>
      <c r="H664" s="10"/>
      <c r="I664" s="4">
        <f t="shared" si="237"/>
        <v>1</v>
      </c>
      <c r="J664" s="49">
        <v>44341</v>
      </c>
      <c r="K664" s="3" t="s">
        <v>290</v>
      </c>
      <c r="L664" s="8"/>
      <c r="M664" s="9">
        <v>6</v>
      </c>
      <c r="N664" s="10"/>
      <c r="O664" s="4">
        <f t="shared" si="238"/>
        <v>6</v>
      </c>
      <c r="P664" s="8"/>
      <c r="Q664" s="9">
        <v>6</v>
      </c>
      <c r="R664" s="10"/>
      <c r="S664" s="4">
        <f t="shared" si="239"/>
        <v>6</v>
      </c>
      <c r="T664" s="43">
        <v>44329</v>
      </c>
      <c r="U664" s="40"/>
      <c r="V664" s="8"/>
      <c r="W664" s="9"/>
      <c r="X664" s="10"/>
      <c r="Y664" s="4">
        <f t="shared" si="240"/>
        <v>0</v>
      </c>
      <c r="Z664" s="8"/>
      <c r="AA664" s="9"/>
      <c r="AB664" s="10"/>
      <c r="AC664" s="4">
        <f t="shared" si="241"/>
        <v>0</v>
      </c>
      <c r="AD664" s="8"/>
      <c r="AE664" s="9"/>
      <c r="AF664" s="10"/>
      <c r="AG664" s="4">
        <f t="shared" si="242"/>
        <v>0</v>
      </c>
      <c r="AH664" s="43"/>
    </row>
    <row r="665" spans="1:35">
      <c r="A665" s="3" t="s">
        <v>319</v>
      </c>
      <c r="B665" s="8"/>
      <c r="C665" s="9">
        <v>1</v>
      </c>
      <c r="D665" s="10"/>
      <c r="E665" s="4">
        <f t="shared" si="236"/>
        <v>1</v>
      </c>
      <c r="F665" s="8"/>
      <c r="G665" s="9">
        <v>1</v>
      </c>
      <c r="H665" s="10"/>
      <c r="I665" s="4">
        <f t="shared" si="237"/>
        <v>1</v>
      </c>
      <c r="J665" s="49">
        <v>44345</v>
      </c>
      <c r="K665" s="3" t="s">
        <v>292</v>
      </c>
      <c r="L665" s="8"/>
      <c r="M665" s="9">
        <v>3</v>
      </c>
      <c r="N665" s="10"/>
      <c r="O665" s="4">
        <f t="shared" si="238"/>
        <v>3</v>
      </c>
      <c r="P665" s="8"/>
      <c r="Q665" s="9">
        <v>3</v>
      </c>
      <c r="R665" s="10"/>
      <c r="S665" s="4">
        <f t="shared" si="239"/>
        <v>3</v>
      </c>
      <c r="T665" s="43">
        <v>44330</v>
      </c>
      <c r="U665" s="3"/>
      <c r="V665" s="8"/>
      <c r="W665" s="9"/>
      <c r="X665" s="10"/>
      <c r="Y665" s="4">
        <f t="shared" si="240"/>
        <v>0</v>
      </c>
      <c r="Z665" s="8"/>
      <c r="AA665" s="9"/>
      <c r="AB665" s="10"/>
      <c r="AC665" s="4">
        <f t="shared" si="241"/>
        <v>0</v>
      </c>
      <c r="AD665" s="8"/>
      <c r="AE665" s="9"/>
      <c r="AF665" s="10"/>
      <c r="AG665" s="4">
        <f t="shared" si="242"/>
        <v>0</v>
      </c>
      <c r="AH665" s="43"/>
    </row>
    <row r="666" spans="1:35">
      <c r="A666" s="3"/>
      <c r="B666" s="8"/>
      <c r="C666" s="9"/>
      <c r="D666" s="10"/>
      <c r="E666" s="7">
        <f t="shared" si="236"/>
        <v>0</v>
      </c>
      <c r="F666" s="8"/>
      <c r="G666" s="9"/>
      <c r="H666" s="10"/>
      <c r="I666" s="7">
        <f t="shared" si="237"/>
        <v>0</v>
      </c>
      <c r="K666" s="3" t="s">
        <v>295</v>
      </c>
      <c r="L666" s="8"/>
      <c r="M666" s="9"/>
      <c r="N666" s="10">
        <v>10</v>
      </c>
      <c r="O666" s="7">
        <f t="shared" si="238"/>
        <v>10</v>
      </c>
      <c r="P666" s="8"/>
      <c r="Q666" s="9"/>
      <c r="R666" s="10">
        <v>10</v>
      </c>
      <c r="S666" s="7">
        <f t="shared" si="239"/>
        <v>10</v>
      </c>
      <c r="T666" s="43">
        <v>44331</v>
      </c>
      <c r="U666" s="3"/>
      <c r="V666" s="8"/>
      <c r="W666" s="9"/>
      <c r="X666" s="10"/>
      <c r="Y666" s="7">
        <f t="shared" si="240"/>
        <v>0</v>
      </c>
      <c r="Z666" s="8"/>
      <c r="AA666" s="9"/>
      <c r="AB666" s="10"/>
      <c r="AC666" s="7">
        <f t="shared" si="241"/>
        <v>0</v>
      </c>
      <c r="AD666" s="8"/>
      <c r="AE666" s="9"/>
      <c r="AF666" s="10"/>
      <c r="AG666" s="7">
        <f t="shared" si="242"/>
        <v>0</v>
      </c>
      <c r="AH666" s="43"/>
    </row>
    <row r="667" spans="1:35">
      <c r="A667" s="3"/>
      <c r="B667" s="8"/>
      <c r="C667" s="9"/>
      <c r="D667" s="10"/>
      <c r="E667" s="7">
        <f t="shared" si="236"/>
        <v>0</v>
      </c>
      <c r="F667" s="8"/>
      <c r="G667" s="9"/>
      <c r="H667" s="10"/>
      <c r="I667" s="7">
        <f t="shared" si="237"/>
        <v>0</v>
      </c>
      <c r="K667" s="3" t="s">
        <v>296</v>
      </c>
      <c r="L667" s="8">
        <v>11</v>
      </c>
      <c r="M667" s="9">
        <v>3</v>
      </c>
      <c r="N667" s="10">
        <v>8</v>
      </c>
      <c r="O667" s="7">
        <f t="shared" si="238"/>
        <v>22</v>
      </c>
      <c r="P667" s="8">
        <v>11</v>
      </c>
      <c r="Q667" s="9">
        <v>3</v>
      </c>
      <c r="R667" s="10">
        <v>8</v>
      </c>
      <c r="S667" s="7">
        <f t="shared" si="239"/>
        <v>22</v>
      </c>
      <c r="T667" s="43">
        <v>44334</v>
      </c>
      <c r="U667" s="3"/>
      <c r="V667" s="8"/>
      <c r="W667" s="9"/>
      <c r="X667" s="10"/>
      <c r="Y667" s="7">
        <f t="shared" si="240"/>
        <v>0</v>
      </c>
      <c r="Z667" s="8"/>
      <c r="AA667" s="9"/>
      <c r="AB667" s="10"/>
      <c r="AC667" s="7">
        <f t="shared" si="241"/>
        <v>0</v>
      </c>
      <c r="AD667" s="8"/>
      <c r="AE667" s="9"/>
      <c r="AF667" s="10"/>
      <c r="AG667" s="7">
        <f t="shared" si="242"/>
        <v>0</v>
      </c>
      <c r="AH667" s="43"/>
    </row>
    <row r="668" spans="1:35">
      <c r="A668" s="3"/>
      <c r="B668" s="8"/>
      <c r="C668" s="9"/>
      <c r="D668" s="10"/>
      <c r="E668" s="7">
        <f t="shared" si="236"/>
        <v>0</v>
      </c>
      <c r="F668" s="8"/>
      <c r="G668" s="9"/>
      <c r="H668" s="10"/>
      <c r="I668" s="7">
        <f t="shared" si="237"/>
        <v>0</v>
      </c>
      <c r="K668" s="11" t="s">
        <v>297</v>
      </c>
      <c r="L668" s="8">
        <v>5</v>
      </c>
      <c r="M668" s="9">
        <v>5</v>
      </c>
      <c r="N668" s="10">
        <v>5</v>
      </c>
      <c r="O668" s="7">
        <f t="shared" si="238"/>
        <v>15</v>
      </c>
      <c r="P668" s="8">
        <v>5</v>
      </c>
      <c r="Q668" s="9">
        <v>5</v>
      </c>
      <c r="R668" s="10">
        <v>5</v>
      </c>
      <c r="S668" s="7">
        <f t="shared" si="239"/>
        <v>15</v>
      </c>
      <c r="T668" s="43">
        <v>44337</v>
      </c>
      <c r="U668" s="3"/>
      <c r="V668" s="8"/>
      <c r="W668" s="9"/>
      <c r="X668" s="10"/>
      <c r="Y668" s="7">
        <f t="shared" si="240"/>
        <v>0</v>
      </c>
      <c r="Z668" s="8"/>
      <c r="AA668" s="9"/>
      <c r="AB668" s="10"/>
      <c r="AC668" s="7">
        <f t="shared" si="241"/>
        <v>0</v>
      </c>
      <c r="AD668" s="8"/>
      <c r="AE668" s="9"/>
      <c r="AF668" s="10"/>
      <c r="AG668" s="7">
        <f t="shared" si="242"/>
        <v>0</v>
      </c>
      <c r="AH668" s="43"/>
    </row>
    <row r="669" spans="1:35">
      <c r="A669" s="3"/>
      <c r="B669" s="8"/>
      <c r="C669" s="9"/>
      <c r="D669" s="10"/>
      <c r="E669" s="7">
        <f t="shared" si="236"/>
        <v>0</v>
      </c>
      <c r="F669" s="8"/>
      <c r="G669" s="9"/>
      <c r="H669" s="10"/>
      <c r="I669" s="7">
        <f t="shared" si="237"/>
        <v>0</v>
      </c>
      <c r="K669" s="11" t="s">
        <v>299</v>
      </c>
      <c r="L669" s="8">
        <v>10</v>
      </c>
      <c r="M669" s="9">
        <v>10</v>
      </c>
      <c r="N669" s="10">
        <v>20</v>
      </c>
      <c r="O669" s="7">
        <f t="shared" si="238"/>
        <v>40</v>
      </c>
      <c r="P669" s="8">
        <v>10</v>
      </c>
      <c r="Q669" s="9">
        <v>10</v>
      </c>
      <c r="R669" s="10">
        <v>20</v>
      </c>
      <c r="S669" s="7">
        <f t="shared" si="239"/>
        <v>40</v>
      </c>
      <c r="T669" s="43">
        <v>44335</v>
      </c>
      <c r="U669" s="3"/>
      <c r="V669" s="8"/>
      <c r="W669" s="9"/>
      <c r="X669" s="10"/>
      <c r="Y669" s="7">
        <f t="shared" si="240"/>
        <v>0</v>
      </c>
      <c r="Z669" s="8"/>
      <c r="AA669" s="9"/>
      <c r="AB669" s="10"/>
      <c r="AC669" s="7">
        <f t="shared" si="241"/>
        <v>0</v>
      </c>
      <c r="AD669" s="8"/>
      <c r="AE669" s="9"/>
      <c r="AF669" s="10"/>
      <c r="AG669" s="7">
        <f t="shared" si="242"/>
        <v>0</v>
      </c>
      <c r="AH669" s="43"/>
    </row>
    <row r="670" spans="1:35">
      <c r="A670" s="3"/>
      <c r="B670" s="8"/>
      <c r="C670" s="9"/>
      <c r="D670" s="10"/>
      <c r="E670" s="7">
        <f t="shared" si="236"/>
        <v>0</v>
      </c>
      <c r="F670" s="8"/>
      <c r="G670" s="9"/>
      <c r="H670" s="10"/>
      <c r="I670" s="7">
        <f t="shared" si="237"/>
        <v>0</v>
      </c>
      <c r="K670" s="3" t="s">
        <v>301</v>
      </c>
      <c r="L670" s="8">
        <v>6</v>
      </c>
      <c r="M670" s="9">
        <v>3</v>
      </c>
      <c r="N670" s="10"/>
      <c r="O670" s="7">
        <f t="shared" si="238"/>
        <v>9</v>
      </c>
      <c r="P670" s="8">
        <v>6</v>
      </c>
      <c r="Q670" s="9">
        <v>3</v>
      </c>
      <c r="R670" s="10"/>
      <c r="S670" s="7">
        <f t="shared" si="239"/>
        <v>9</v>
      </c>
      <c r="T670" s="43">
        <v>44335</v>
      </c>
      <c r="U670" s="3"/>
      <c r="V670" s="8"/>
      <c r="W670" s="9"/>
      <c r="X670" s="10"/>
      <c r="Y670" s="7">
        <f t="shared" si="240"/>
        <v>0</v>
      </c>
      <c r="Z670" s="8"/>
      <c r="AA670" s="9"/>
      <c r="AB670" s="10"/>
      <c r="AC670" s="7">
        <f t="shared" si="241"/>
        <v>0</v>
      </c>
      <c r="AD670" s="8"/>
      <c r="AE670" s="9"/>
      <c r="AF670" s="10"/>
      <c r="AG670" s="7">
        <f t="shared" si="242"/>
        <v>0</v>
      </c>
      <c r="AH670" s="43"/>
    </row>
    <row r="671" spans="1:35">
      <c r="A671" s="3"/>
      <c r="B671" s="8"/>
      <c r="C671" s="9"/>
      <c r="D671" s="10"/>
      <c r="E671" s="7">
        <f t="shared" si="236"/>
        <v>0</v>
      </c>
      <c r="F671" s="8"/>
      <c r="G671" s="9"/>
      <c r="H671" s="10"/>
      <c r="I671" s="7">
        <f t="shared" si="237"/>
        <v>0</v>
      </c>
      <c r="K671" s="3" t="s">
        <v>302</v>
      </c>
      <c r="L671" s="30">
        <v>4</v>
      </c>
      <c r="M671" s="9"/>
      <c r="N671" s="10">
        <v>4</v>
      </c>
      <c r="O671" s="7">
        <f t="shared" si="238"/>
        <v>8</v>
      </c>
      <c r="P671" s="8">
        <v>4</v>
      </c>
      <c r="Q671" s="9"/>
      <c r="R671" s="10">
        <v>4</v>
      </c>
      <c r="S671" s="7">
        <f t="shared" si="239"/>
        <v>8</v>
      </c>
      <c r="T671" s="43">
        <v>44336</v>
      </c>
      <c r="U671" s="3"/>
      <c r="V671" s="30"/>
      <c r="W671" s="9"/>
      <c r="X671" s="10"/>
      <c r="Y671" s="7">
        <f t="shared" si="240"/>
        <v>0</v>
      </c>
      <c r="Z671" s="8"/>
      <c r="AA671" s="9"/>
      <c r="AB671" s="10"/>
      <c r="AC671" s="7">
        <f t="shared" si="241"/>
        <v>0</v>
      </c>
      <c r="AD671" s="8"/>
      <c r="AE671" s="9"/>
      <c r="AF671" s="10"/>
      <c r="AG671" s="7">
        <f t="shared" si="242"/>
        <v>0</v>
      </c>
      <c r="AH671" s="43"/>
    </row>
    <row r="672" spans="1:35">
      <c r="A672" s="3"/>
      <c r="B672" s="8"/>
      <c r="C672" s="9"/>
      <c r="D672" s="10"/>
      <c r="E672" s="7">
        <f t="shared" si="236"/>
        <v>0</v>
      </c>
      <c r="F672" s="8"/>
      <c r="G672" s="9"/>
      <c r="H672" s="10"/>
      <c r="I672" s="7">
        <f t="shared" si="237"/>
        <v>0</v>
      </c>
      <c r="K672" s="3" t="s">
        <v>303</v>
      </c>
      <c r="L672" s="8">
        <v>3</v>
      </c>
      <c r="M672" s="9">
        <v>3</v>
      </c>
      <c r="N672" s="10">
        <v>1</v>
      </c>
      <c r="O672" s="7">
        <f t="shared" si="238"/>
        <v>7</v>
      </c>
      <c r="P672" s="8">
        <v>3</v>
      </c>
      <c r="Q672" s="9">
        <v>3</v>
      </c>
      <c r="R672" s="10">
        <v>1</v>
      </c>
      <c r="S672" s="7">
        <f t="shared" si="239"/>
        <v>7</v>
      </c>
      <c r="T672" s="43">
        <v>44337</v>
      </c>
      <c r="U672" s="3"/>
      <c r="V672" s="8"/>
      <c r="W672" s="9"/>
      <c r="X672" s="10"/>
      <c r="Y672" s="7">
        <f t="shared" si="240"/>
        <v>0</v>
      </c>
      <c r="Z672" s="8"/>
      <c r="AA672" s="9"/>
      <c r="AB672" s="10"/>
      <c r="AC672" s="7">
        <f t="shared" si="241"/>
        <v>0</v>
      </c>
      <c r="AD672" s="8"/>
      <c r="AE672" s="9"/>
      <c r="AF672" s="10"/>
      <c r="AG672" s="7">
        <f t="shared" si="242"/>
        <v>0</v>
      </c>
      <c r="AH672" s="43"/>
    </row>
    <row r="673" spans="1:34">
      <c r="A673" s="3"/>
      <c r="B673" s="8"/>
      <c r="C673" s="9"/>
      <c r="D673" s="10"/>
      <c r="E673" s="7">
        <f t="shared" si="236"/>
        <v>0</v>
      </c>
      <c r="F673" s="8"/>
      <c r="G673" s="9"/>
      <c r="H673" s="10"/>
      <c r="I673" s="7">
        <f t="shared" si="237"/>
        <v>0</v>
      </c>
      <c r="K673" s="11" t="s">
        <v>304</v>
      </c>
      <c r="L673" s="8">
        <v>20</v>
      </c>
      <c r="M673" s="9">
        <v>20</v>
      </c>
      <c r="N673" s="10">
        <v>10</v>
      </c>
      <c r="O673" s="7">
        <f t="shared" si="238"/>
        <v>50</v>
      </c>
      <c r="P673" s="8">
        <v>20</v>
      </c>
      <c r="Q673" s="9">
        <v>20</v>
      </c>
      <c r="R673" s="10">
        <v>10</v>
      </c>
      <c r="S673" s="7">
        <f t="shared" si="239"/>
        <v>50</v>
      </c>
      <c r="T673" s="43">
        <v>44342</v>
      </c>
      <c r="U673" s="3"/>
      <c r="V673" s="8"/>
      <c r="W673" s="9"/>
      <c r="X673" s="10"/>
      <c r="Y673" s="7">
        <f t="shared" si="240"/>
        <v>0</v>
      </c>
      <c r="Z673" s="8"/>
      <c r="AA673" s="9"/>
      <c r="AB673" s="10"/>
      <c r="AC673" s="7">
        <f t="shared" si="241"/>
        <v>0</v>
      </c>
      <c r="AD673" s="8"/>
      <c r="AE673" s="9"/>
      <c r="AF673" s="10"/>
      <c r="AG673" s="7">
        <f t="shared" si="242"/>
        <v>0</v>
      </c>
      <c r="AH673" s="43"/>
    </row>
    <row r="674" spans="1:34">
      <c r="A674" s="3"/>
      <c r="B674" s="8"/>
      <c r="C674" s="9"/>
      <c r="D674" s="10"/>
      <c r="E674" s="7">
        <f t="shared" si="236"/>
        <v>0</v>
      </c>
      <c r="F674" s="8"/>
      <c r="G674" s="9"/>
      <c r="H674" s="10"/>
      <c r="I674" s="7">
        <f t="shared" si="237"/>
        <v>0</v>
      </c>
      <c r="K674" s="3" t="s">
        <v>306</v>
      </c>
      <c r="L674" s="8"/>
      <c r="M674" s="9">
        <v>4</v>
      </c>
      <c r="N674" s="10">
        <v>2</v>
      </c>
      <c r="O674" s="7">
        <f t="shared" si="238"/>
        <v>6</v>
      </c>
      <c r="P674" s="8"/>
      <c r="Q674" s="9">
        <v>4</v>
      </c>
      <c r="R674" s="10">
        <v>2</v>
      </c>
      <c r="S674" s="7">
        <f t="shared" si="239"/>
        <v>6</v>
      </c>
      <c r="T674" s="43">
        <v>44338</v>
      </c>
      <c r="U674" s="3"/>
      <c r="V674" s="8"/>
      <c r="W674" s="9"/>
      <c r="X674" s="10"/>
      <c r="Y674" s="7">
        <f t="shared" si="240"/>
        <v>0</v>
      </c>
      <c r="Z674" s="8"/>
      <c r="AA674" s="9"/>
      <c r="AB674" s="10"/>
      <c r="AC674" s="7">
        <f t="shared" si="241"/>
        <v>0</v>
      </c>
      <c r="AD674" s="8"/>
      <c r="AE674" s="9"/>
      <c r="AF674" s="10"/>
      <c r="AG674" s="7">
        <f t="shared" si="242"/>
        <v>0</v>
      </c>
      <c r="AH674" s="43"/>
    </row>
    <row r="675" spans="1:34">
      <c r="A675" s="3"/>
      <c r="B675" s="8"/>
      <c r="C675" s="9"/>
      <c r="D675" s="10"/>
      <c r="E675" s="7">
        <f t="shared" si="236"/>
        <v>0</v>
      </c>
      <c r="F675" s="8"/>
      <c r="G675" s="9"/>
      <c r="H675" s="10"/>
      <c r="I675" s="7">
        <f t="shared" si="237"/>
        <v>0</v>
      </c>
      <c r="K675" s="3" t="s">
        <v>308</v>
      </c>
      <c r="L675" s="8"/>
      <c r="M675" s="9">
        <v>7</v>
      </c>
      <c r="N675" s="10"/>
      <c r="O675" s="7">
        <f t="shared" si="238"/>
        <v>7</v>
      </c>
      <c r="P675" s="8"/>
      <c r="Q675" s="9">
        <v>7</v>
      </c>
      <c r="R675" s="10"/>
      <c r="S675" s="7">
        <f t="shared" si="239"/>
        <v>7</v>
      </c>
      <c r="T675" s="43">
        <v>44341</v>
      </c>
      <c r="U675" s="3"/>
      <c r="V675" s="8"/>
      <c r="W675" s="9"/>
      <c r="X675" s="10"/>
      <c r="Y675" s="7">
        <f t="shared" si="240"/>
        <v>0</v>
      </c>
      <c r="Z675" s="8"/>
      <c r="AA675" s="9"/>
      <c r="AB675" s="10"/>
      <c r="AC675" s="7">
        <f t="shared" si="241"/>
        <v>0</v>
      </c>
      <c r="AD675" s="8"/>
      <c r="AE675" s="9"/>
      <c r="AF675" s="10"/>
      <c r="AG675" s="7">
        <f t="shared" si="242"/>
        <v>0</v>
      </c>
      <c r="AH675" s="43"/>
    </row>
    <row r="676" spans="1:34">
      <c r="A676" s="3"/>
      <c r="B676" s="8"/>
      <c r="C676" s="9"/>
      <c r="D676" s="10"/>
      <c r="E676" s="7">
        <f t="shared" si="236"/>
        <v>0</v>
      </c>
      <c r="F676" s="8"/>
      <c r="G676" s="9"/>
      <c r="H676" s="10"/>
      <c r="I676" s="7">
        <f t="shared" si="237"/>
        <v>0</v>
      </c>
      <c r="K676" s="3" t="s">
        <v>312</v>
      </c>
      <c r="L676" s="8">
        <v>6</v>
      </c>
      <c r="M676" s="9">
        <v>18</v>
      </c>
      <c r="N676" s="10">
        <v>11</v>
      </c>
      <c r="O676" s="7">
        <f t="shared" si="238"/>
        <v>35</v>
      </c>
      <c r="P676" s="8">
        <v>6</v>
      </c>
      <c r="Q676" s="9">
        <v>18</v>
      </c>
      <c r="R676" s="10">
        <v>11</v>
      </c>
      <c r="S676" s="7">
        <f t="shared" si="239"/>
        <v>35</v>
      </c>
      <c r="T676" s="43">
        <v>44342</v>
      </c>
      <c r="U676" s="3"/>
      <c r="V676" s="8"/>
      <c r="W676" s="9"/>
      <c r="X676" s="10"/>
      <c r="Y676" s="7">
        <f t="shared" si="240"/>
        <v>0</v>
      </c>
      <c r="Z676" s="8"/>
      <c r="AA676" s="9"/>
      <c r="AB676" s="10"/>
      <c r="AC676" s="7">
        <f t="shared" si="241"/>
        <v>0</v>
      </c>
      <c r="AD676" s="8"/>
      <c r="AE676" s="9"/>
      <c r="AF676" s="10"/>
      <c r="AG676" s="7">
        <f t="shared" si="242"/>
        <v>0</v>
      </c>
      <c r="AH676" s="43"/>
    </row>
    <row r="677" spans="1:34">
      <c r="A677" s="3"/>
      <c r="B677" s="8"/>
      <c r="C677" s="9"/>
      <c r="D677" s="10"/>
      <c r="E677" s="7">
        <f t="shared" si="236"/>
        <v>0</v>
      </c>
      <c r="F677" s="8"/>
      <c r="G677" s="9"/>
      <c r="H677" s="10"/>
      <c r="I677" s="7">
        <f t="shared" si="237"/>
        <v>0</v>
      </c>
      <c r="K677" s="11" t="s">
        <v>313</v>
      </c>
      <c r="L677" s="8"/>
      <c r="M677" s="9">
        <v>20</v>
      </c>
      <c r="N677" s="10">
        <v>10</v>
      </c>
      <c r="O677" s="7">
        <f t="shared" si="238"/>
        <v>30</v>
      </c>
      <c r="P677" s="8"/>
      <c r="Q677" s="9">
        <v>20</v>
      </c>
      <c r="R677" s="10">
        <v>10</v>
      </c>
      <c r="S677" s="7">
        <f t="shared" si="239"/>
        <v>30</v>
      </c>
      <c r="T677" s="43">
        <v>44347</v>
      </c>
      <c r="U677" s="3"/>
      <c r="V677" s="8"/>
      <c r="W677" s="9"/>
      <c r="X677" s="10"/>
      <c r="Y677" s="7">
        <f t="shared" si="240"/>
        <v>0</v>
      </c>
      <c r="Z677" s="8"/>
      <c r="AA677" s="9"/>
      <c r="AB677" s="10"/>
      <c r="AC677" s="7">
        <f t="shared" si="241"/>
        <v>0</v>
      </c>
      <c r="AD677" s="8"/>
      <c r="AE677" s="9"/>
      <c r="AF677" s="10"/>
      <c r="AG677" s="7">
        <f t="shared" si="242"/>
        <v>0</v>
      </c>
      <c r="AH677" s="43"/>
    </row>
    <row r="678" spans="1:34">
      <c r="A678" s="3"/>
      <c r="B678" s="8"/>
      <c r="C678" s="9"/>
      <c r="D678" s="10"/>
      <c r="E678" s="7">
        <f t="shared" si="236"/>
        <v>0</v>
      </c>
      <c r="F678" s="8"/>
      <c r="G678" s="9"/>
      <c r="H678" s="10"/>
      <c r="I678" s="7">
        <f t="shared" si="237"/>
        <v>0</v>
      </c>
      <c r="K678" s="3" t="s">
        <v>314</v>
      </c>
      <c r="L678" s="8">
        <v>8</v>
      </c>
      <c r="M678" s="9">
        <v>16</v>
      </c>
      <c r="N678" s="10">
        <v>1</v>
      </c>
      <c r="O678" s="7">
        <f t="shared" si="238"/>
        <v>25</v>
      </c>
      <c r="P678" s="8">
        <v>8</v>
      </c>
      <c r="Q678" s="9">
        <v>16</v>
      </c>
      <c r="R678" s="10">
        <v>1</v>
      </c>
      <c r="S678" s="7">
        <f t="shared" si="239"/>
        <v>25</v>
      </c>
      <c r="T678" s="43">
        <v>44343</v>
      </c>
      <c r="U678" s="3"/>
      <c r="V678" s="8"/>
      <c r="W678" s="9"/>
      <c r="X678" s="10"/>
      <c r="Y678" s="7">
        <f t="shared" si="240"/>
        <v>0</v>
      </c>
      <c r="Z678" s="8"/>
      <c r="AA678" s="9"/>
      <c r="AB678" s="10"/>
      <c r="AC678" s="7">
        <f t="shared" si="241"/>
        <v>0</v>
      </c>
      <c r="AD678" s="8"/>
      <c r="AE678" s="9"/>
      <c r="AF678" s="10"/>
      <c r="AG678" s="7">
        <f t="shared" si="242"/>
        <v>0</v>
      </c>
      <c r="AH678" s="43"/>
    </row>
    <row r="679" spans="1:34">
      <c r="A679" s="11"/>
      <c r="B679" s="8"/>
      <c r="C679" s="9"/>
      <c r="D679" s="10"/>
      <c r="E679" s="7">
        <f t="shared" si="236"/>
        <v>0</v>
      </c>
      <c r="F679" s="8"/>
      <c r="G679" s="9"/>
      <c r="H679" s="10"/>
      <c r="I679" s="7">
        <f t="shared" si="237"/>
        <v>0</v>
      </c>
      <c r="K679" s="3" t="s">
        <v>317</v>
      </c>
      <c r="L679" s="8">
        <v>6</v>
      </c>
      <c r="M679" s="9">
        <v>8</v>
      </c>
      <c r="N679" s="10">
        <v>4</v>
      </c>
      <c r="O679" s="7">
        <f t="shared" si="238"/>
        <v>18</v>
      </c>
      <c r="P679" s="8">
        <v>6</v>
      </c>
      <c r="Q679" s="9">
        <v>8</v>
      </c>
      <c r="R679" s="10">
        <v>4</v>
      </c>
      <c r="S679" s="7">
        <f t="shared" si="239"/>
        <v>18</v>
      </c>
      <c r="T679" s="43">
        <v>44344</v>
      </c>
      <c r="U679" s="3"/>
      <c r="V679" s="8"/>
      <c r="W679" s="9"/>
      <c r="X679" s="10"/>
      <c r="Y679" s="7">
        <f t="shared" si="240"/>
        <v>0</v>
      </c>
      <c r="Z679" s="8"/>
      <c r="AA679" s="9"/>
      <c r="AB679" s="10"/>
      <c r="AC679" s="7">
        <f t="shared" si="241"/>
        <v>0</v>
      </c>
      <c r="AD679" s="8"/>
      <c r="AE679" s="9"/>
      <c r="AF679" s="10"/>
      <c r="AG679" s="7">
        <f t="shared" si="242"/>
        <v>0</v>
      </c>
      <c r="AH679" s="43"/>
    </row>
    <row r="680" spans="1:34">
      <c r="A680" s="11"/>
      <c r="B680" s="8"/>
      <c r="C680" s="9"/>
      <c r="D680" s="10"/>
      <c r="E680" s="7">
        <f t="shared" si="236"/>
        <v>0</v>
      </c>
      <c r="F680" s="8"/>
      <c r="G680" s="9"/>
      <c r="H680" s="10"/>
      <c r="I680" s="7">
        <f t="shared" si="237"/>
        <v>0</v>
      </c>
      <c r="K680" s="3" t="s">
        <v>318</v>
      </c>
      <c r="L680" s="8">
        <v>11</v>
      </c>
      <c r="M680" s="9">
        <v>1</v>
      </c>
      <c r="N680" s="10"/>
      <c r="O680" s="7">
        <f t="shared" si="238"/>
        <v>12</v>
      </c>
      <c r="P680" s="8">
        <v>11</v>
      </c>
      <c r="Q680" s="9">
        <v>1</v>
      </c>
      <c r="R680" s="10"/>
      <c r="S680" s="7">
        <f t="shared" si="239"/>
        <v>12</v>
      </c>
      <c r="T680" s="43">
        <v>44345</v>
      </c>
      <c r="U680" s="3"/>
      <c r="V680" s="8"/>
      <c r="W680" s="9"/>
      <c r="X680" s="10"/>
      <c r="Y680" s="7">
        <f t="shared" si="240"/>
        <v>0</v>
      </c>
      <c r="Z680" s="8"/>
      <c r="AA680" s="9"/>
      <c r="AB680" s="10"/>
      <c r="AC680" s="7">
        <f t="shared" si="241"/>
        <v>0</v>
      </c>
      <c r="AD680" s="8"/>
      <c r="AE680" s="9"/>
      <c r="AF680" s="10"/>
      <c r="AG680" s="7">
        <f t="shared" si="242"/>
        <v>0</v>
      </c>
      <c r="AH680" s="71"/>
    </row>
    <row r="681" spans="1:34">
      <c r="A681" s="11"/>
      <c r="B681" s="8"/>
      <c r="C681" s="9"/>
      <c r="D681" s="10"/>
      <c r="E681" s="7">
        <f t="shared" si="236"/>
        <v>0</v>
      </c>
      <c r="F681" s="8"/>
      <c r="G681" s="9"/>
      <c r="H681" s="10"/>
      <c r="I681" s="7">
        <f t="shared" si="237"/>
        <v>0</v>
      </c>
      <c r="K681" s="3" t="s">
        <v>321</v>
      </c>
      <c r="L681" s="8">
        <v>5</v>
      </c>
      <c r="M681" s="9">
        <v>4</v>
      </c>
      <c r="N681" s="10">
        <v>6</v>
      </c>
      <c r="O681" s="7">
        <f t="shared" si="238"/>
        <v>15</v>
      </c>
      <c r="P681" s="8">
        <v>5</v>
      </c>
      <c r="Q681" s="9">
        <v>4</v>
      </c>
      <c r="R681" s="10">
        <v>6</v>
      </c>
      <c r="S681" s="7">
        <f t="shared" si="239"/>
        <v>15</v>
      </c>
      <c r="T681" s="43">
        <v>44348</v>
      </c>
      <c r="U681" s="11"/>
      <c r="V681" s="8"/>
      <c r="W681" s="9"/>
      <c r="X681" s="10"/>
      <c r="Y681" s="7">
        <f t="shared" si="240"/>
        <v>0</v>
      </c>
      <c r="Z681" s="8"/>
      <c r="AA681" s="9"/>
      <c r="AB681" s="10"/>
      <c r="AC681" s="7">
        <f t="shared" si="241"/>
        <v>0</v>
      </c>
      <c r="AD681" s="8"/>
      <c r="AE681" s="9"/>
      <c r="AF681" s="10"/>
      <c r="AG681" s="7">
        <f t="shared" si="242"/>
        <v>0</v>
      </c>
      <c r="AH681" s="71"/>
    </row>
    <row r="682" spans="1:34">
      <c r="A682" s="11"/>
      <c r="B682" s="8"/>
      <c r="C682" s="9"/>
      <c r="D682" s="10"/>
      <c r="E682" s="7">
        <f t="shared" si="236"/>
        <v>0</v>
      </c>
      <c r="F682" s="8"/>
      <c r="G682" s="9"/>
      <c r="H682" s="10"/>
      <c r="I682" s="7">
        <f t="shared" si="237"/>
        <v>0</v>
      </c>
      <c r="K682" s="11"/>
      <c r="L682" s="8"/>
      <c r="M682" s="9"/>
      <c r="N682" s="10"/>
      <c r="O682" s="7">
        <f t="shared" ref="O682" si="243">SUM(L682:N682)</f>
        <v>0</v>
      </c>
      <c r="P682" s="8"/>
      <c r="Q682" s="9"/>
      <c r="R682" s="10"/>
      <c r="S682" s="7">
        <f t="shared" ref="S682" si="244">SUM(P682:R682)</f>
        <v>0</v>
      </c>
      <c r="T682" s="71"/>
      <c r="U682" s="3"/>
      <c r="V682" s="8"/>
      <c r="W682" s="9"/>
      <c r="X682" s="10"/>
      <c r="Y682" s="7">
        <f t="shared" si="240"/>
        <v>0</v>
      </c>
      <c r="Z682" s="8"/>
      <c r="AA682" s="9"/>
      <c r="AB682" s="10"/>
      <c r="AC682" s="7">
        <f t="shared" si="241"/>
        <v>0</v>
      </c>
      <c r="AD682" s="8"/>
      <c r="AE682" s="9"/>
      <c r="AF682" s="10"/>
      <c r="AG682" s="7">
        <f t="shared" si="242"/>
        <v>0</v>
      </c>
      <c r="AH682" s="71"/>
    </row>
    <row r="683" spans="1:34">
      <c r="A683" s="11"/>
      <c r="B683" s="8"/>
      <c r="C683" s="9"/>
      <c r="D683" s="10"/>
      <c r="E683" s="7">
        <f t="shared" si="236"/>
        <v>0</v>
      </c>
      <c r="F683" s="8"/>
      <c r="G683" s="9"/>
      <c r="H683" s="10"/>
      <c r="I683" s="7">
        <f t="shared" si="237"/>
        <v>0</v>
      </c>
      <c r="K683" s="11" t="s">
        <v>260</v>
      </c>
      <c r="L683" s="8"/>
      <c r="M683" s="9"/>
      <c r="N683" s="10"/>
      <c r="O683" s="7">
        <f t="shared" si="238"/>
        <v>0</v>
      </c>
      <c r="P683" s="8"/>
      <c r="Q683" s="9"/>
      <c r="R683" s="10"/>
      <c r="S683" s="7">
        <f t="shared" si="239"/>
        <v>0</v>
      </c>
      <c r="T683" s="71" t="s">
        <v>261</v>
      </c>
      <c r="U683" s="11"/>
      <c r="V683" s="8"/>
      <c r="W683" s="9"/>
      <c r="X683" s="10"/>
      <c r="Y683" s="7">
        <f t="shared" si="240"/>
        <v>0</v>
      </c>
      <c r="Z683" s="8"/>
      <c r="AA683" s="9"/>
      <c r="AB683" s="10"/>
      <c r="AC683" s="7">
        <f t="shared" si="241"/>
        <v>0</v>
      </c>
      <c r="AD683" s="8"/>
      <c r="AE683" s="9"/>
      <c r="AF683" s="10"/>
      <c r="AG683" s="7">
        <f t="shared" si="242"/>
        <v>0</v>
      </c>
      <c r="AH683" s="71"/>
    </row>
    <row r="684" spans="1:34" ht="14.25" thickBot="1">
      <c r="A684" s="3"/>
      <c r="B684" s="8"/>
      <c r="C684" s="9"/>
      <c r="D684" s="10"/>
      <c r="E684" s="7">
        <f t="shared" si="236"/>
        <v>0</v>
      </c>
      <c r="F684" s="8"/>
      <c r="G684" s="9"/>
      <c r="H684" s="10"/>
      <c r="I684" s="7">
        <f t="shared" si="237"/>
        <v>0</v>
      </c>
      <c r="K684" s="11" t="s">
        <v>267</v>
      </c>
      <c r="L684" s="8"/>
      <c r="M684" s="9"/>
      <c r="N684" s="10"/>
      <c r="O684" s="7">
        <f t="shared" si="238"/>
        <v>0</v>
      </c>
      <c r="P684" s="8"/>
      <c r="Q684" s="9"/>
      <c r="R684" s="10"/>
      <c r="S684" s="7">
        <f t="shared" si="239"/>
        <v>0</v>
      </c>
      <c r="T684" s="71" t="s">
        <v>268</v>
      </c>
      <c r="U684" s="3"/>
      <c r="V684" s="8"/>
      <c r="W684" s="9"/>
      <c r="X684" s="10"/>
      <c r="Y684" s="7">
        <f t="shared" si="240"/>
        <v>0</v>
      </c>
      <c r="Z684" s="8"/>
      <c r="AA684" s="9"/>
      <c r="AB684" s="10"/>
      <c r="AC684" s="7">
        <f t="shared" si="241"/>
        <v>0</v>
      </c>
      <c r="AD684" s="8"/>
      <c r="AE684" s="9"/>
      <c r="AF684" s="10"/>
      <c r="AG684" s="7">
        <f t="shared" si="242"/>
        <v>0</v>
      </c>
      <c r="AH684" s="71"/>
    </row>
    <row r="685" spans="1:34" ht="14.25" thickBot="1">
      <c r="A685" s="2" t="s">
        <v>5</v>
      </c>
      <c r="B685" s="14">
        <f>SUM(B661:B684)</f>
        <v>1</v>
      </c>
      <c r="C685" s="14">
        <f>SUM(C661:C684)</f>
        <v>3</v>
      </c>
      <c r="D685" s="14">
        <f>SUM(D661:D684)</f>
        <v>5</v>
      </c>
      <c r="E685" s="15">
        <f t="shared" si="236"/>
        <v>9</v>
      </c>
      <c r="F685" s="14">
        <f>SUM(F661:F684)</f>
        <v>1</v>
      </c>
      <c r="G685" s="14">
        <f>SUM(G661:G684)</f>
        <v>3</v>
      </c>
      <c r="H685" s="14">
        <f>SUM(H661:H684)</f>
        <v>5</v>
      </c>
      <c r="I685" s="15">
        <f t="shared" si="237"/>
        <v>9</v>
      </c>
      <c r="K685" s="2" t="s">
        <v>5</v>
      </c>
      <c r="L685" s="14">
        <f>SUM(L661:L684)</f>
        <v>110</v>
      </c>
      <c r="M685" s="14">
        <f>SUM(M661:M684)</f>
        <v>151</v>
      </c>
      <c r="N685" s="14">
        <f>SUM(N661:N684)</f>
        <v>107</v>
      </c>
      <c r="O685" s="15">
        <f t="shared" si="238"/>
        <v>368</v>
      </c>
      <c r="P685" s="14">
        <f>SUM(P661:P684)</f>
        <v>110</v>
      </c>
      <c r="Q685" s="14">
        <f>SUM(Q661:Q684)</f>
        <v>151</v>
      </c>
      <c r="R685" s="14">
        <f>SUM(R661:R684)</f>
        <v>107</v>
      </c>
      <c r="S685" s="15">
        <f t="shared" si="239"/>
        <v>368</v>
      </c>
      <c r="U685" s="2" t="s">
        <v>5</v>
      </c>
      <c r="V685" s="14">
        <f>SUM(V661:V684)</f>
        <v>15</v>
      </c>
      <c r="W685" s="14">
        <f>SUM(W661:W684)</f>
        <v>15</v>
      </c>
      <c r="X685" s="14">
        <f>SUM(X661:X684)</f>
        <v>10</v>
      </c>
      <c r="Y685" s="15">
        <f t="shared" si="240"/>
        <v>40</v>
      </c>
      <c r="Z685" s="14">
        <f>SUM(Z661:Z684)</f>
        <v>15</v>
      </c>
      <c r="AA685" s="14">
        <f>SUM(AA661:AA684)</f>
        <v>15</v>
      </c>
      <c r="AB685" s="14">
        <f>SUM(AB661:AB684)</f>
        <v>10</v>
      </c>
      <c r="AC685" s="15">
        <f t="shared" si="241"/>
        <v>40</v>
      </c>
      <c r="AD685" s="14">
        <f>SUM(AD661:AD684)</f>
        <v>15</v>
      </c>
      <c r="AE685" s="14">
        <f>SUM(AE661:AE684)</f>
        <v>15</v>
      </c>
      <c r="AF685" s="14">
        <f>SUM(AF661:AF684)</f>
        <v>10</v>
      </c>
      <c r="AG685" s="15">
        <f t="shared" si="242"/>
        <v>40</v>
      </c>
    </row>
    <row r="686" spans="1:34" ht="14.25" thickBot="1">
      <c r="A686" s="27" t="s">
        <v>6</v>
      </c>
      <c r="B686" s="28">
        <f>B660-B685</f>
        <v>6</v>
      </c>
      <c r="C686" s="28">
        <f t="shared" ref="C686:E686" si="245">C660-C685</f>
        <v>3</v>
      </c>
      <c r="D686" s="28">
        <f t="shared" si="245"/>
        <v>6</v>
      </c>
      <c r="E686" s="28">
        <f t="shared" si="245"/>
        <v>15</v>
      </c>
      <c r="F686" s="28">
        <f>F660-F685</f>
        <v>6</v>
      </c>
      <c r="G686" s="28">
        <f t="shared" ref="G686:I686" si="246">G660-G685</f>
        <v>3</v>
      </c>
      <c r="H686" s="28">
        <f t="shared" si="246"/>
        <v>6</v>
      </c>
      <c r="I686" s="26">
        <f t="shared" si="246"/>
        <v>15</v>
      </c>
      <c r="K686" s="27" t="s">
        <v>6</v>
      </c>
      <c r="L686" s="28">
        <f>L660-L685</f>
        <v>170</v>
      </c>
      <c r="M686" s="28">
        <f t="shared" ref="M686:O686" si="247">M660-M685</f>
        <v>217</v>
      </c>
      <c r="N686" s="28">
        <f t="shared" si="247"/>
        <v>123</v>
      </c>
      <c r="O686" s="28">
        <f t="shared" si="247"/>
        <v>510</v>
      </c>
      <c r="P686" s="28">
        <f>P660-P685</f>
        <v>170</v>
      </c>
      <c r="Q686" s="28">
        <f t="shared" ref="Q686:S686" si="248">Q660-Q685</f>
        <v>217</v>
      </c>
      <c r="R686" s="28">
        <f t="shared" si="248"/>
        <v>123</v>
      </c>
      <c r="S686" s="26">
        <f t="shared" si="248"/>
        <v>510</v>
      </c>
      <c r="U686" s="27" t="s">
        <v>6</v>
      </c>
      <c r="V686" s="28">
        <f>V660-V685</f>
        <v>1</v>
      </c>
      <c r="W686" s="28">
        <f t="shared" ref="W686:Y686" si="249">W660-W685</f>
        <v>11</v>
      </c>
      <c r="X686" s="28">
        <f t="shared" si="249"/>
        <v>6</v>
      </c>
      <c r="Y686" s="28">
        <f t="shared" si="249"/>
        <v>18</v>
      </c>
      <c r="Z686" s="28">
        <f>Z660-Z685</f>
        <v>1</v>
      </c>
      <c r="AA686" s="28">
        <f t="shared" ref="AA686:AC686" si="250">AA660-AA685</f>
        <v>11</v>
      </c>
      <c r="AB686" s="28">
        <f t="shared" si="250"/>
        <v>6</v>
      </c>
      <c r="AC686" s="26">
        <f t="shared" si="250"/>
        <v>18</v>
      </c>
      <c r="AD686" s="28">
        <f>AD660-AD685</f>
        <v>1</v>
      </c>
      <c r="AE686" s="28">
        <f t="shared" ref="AE686:AG686" si="251">AE660-AE685</f>
        <v>11</v>
      </c>
      <c r="AF686" s="28">
        <f t="shared" si="251"/>
        <v>6</v>
      </c>
      <c r="AG686" s="26">
        <f t="shared" si="251"/>
        <v>18</v>
      </c>
    </row>
    <row r="689" spans="1:34" ht="26.25" thickBot="1">
      <c r="A689" s="33" t="s">
        <v>15</v>
      </c>
      <c r="B689" s="34"/>
      <c r="C689" s="34"/>
      <c r="D689" s="34"/>
      <c r="E689" s="34"/>
      <c r="F689" s="35"/>
      <c r="G689" s="35"/>
      <c r="H689" s="35"/>
      <c r="I689" s="35"/>
      <c r="K689" s="33" t="s">
        <v>243</v>
      </c>
      <c r="L689" s="34"/>
      <c r="M689" s="34"/>
      <c r="N689" s="34"/>
      <c r="O689" s="34"/>
      <c r="P689" s="35"/>
      <c r="Q689" s="35"/>
      <c r="R689" s="35"/>
      <c r="S689" s="35"/>
      <c r="U689" s="88" t="s">
        <v>244</v>
      </c>
      <c r="V689" s="89"/>
      <c r="W689" s="89"/>
      <c r="X689" s="89"/>
      <c r="Y689" s="89"/>
      <c r="Z689" s="90"/>
      <c r="AA689" s="90"/>
      <c r="AB689" s="90"/>
      <c r="AC689" s="90"/>
    </row>
    <row r="690" spans="1:34" ht="14.25" thickBot="1">
      <c r="A690" s="1" t="s">
        <v>0</v>
      </c>
      <c r="B690" s="182" t="s">
        <v>17</v>
      </c>
      <c r="C690" s="182"/>
      <c r="D690" s="182"/>
      <c r="E690" s="183"/>
      <c r="F690" s="182" t="s">
        <v>13</v>
      </c>
      <c r="G690" s="182"/>
      <c r="H690" s="182"/>
      <c r="I690" s="183"/>
      <c r="K690" s="1" t="s">
        <v>0</v>
      </c>
      <c r="L690" s="182" t="s">
        <v>17</v>
      </c>
      <c r="M690" s="182"/>
      <c r="N690" s="182"/>
      <c r="O690" s="183"/>
      <c r="P690" s="182" t="s">
        <v>13</v>
      </c>
      <c r="Q690" s="182"/>
      <c r="R690" s="182"/>
      <c r="S690" s="183"/>
      <c r="U690" s="1" t="s">
        <v>0</v>
      </c>
      <c r="V690" s="182" t="s">
        <v>17</v>
      </c>
      <c r="W690" s="182"/>
      <c r="X690" s="182"/>
      <c r="Y690" s="183"/>
      <c r="Z690" s="182" t="s">
        <v>13</v>
      </c>
      <c r="AA690" s="182"/>
      <c r="AB690" s="182"/>
      <c r="AC690" s="183"/>
      <c r="AD690" s="182" t="s">
        <v>242</v>
      </c>
      <c r="AE690" s="182"/>
      <c r="AF690" s="182"/>
      <c r="AG690" s="183"/>
    </row>
    <row r="691" spans="1:34" ht="14.25" thickBot="1">
      <c r="A691" s="1" t="s">
        <v>1</v>
      </c>
      <c r="B691" s="2" t="s">
        <v>8</v>
      </c>
      <c r="C691" s="1" t="s">
        <v>9</v>
      </c>
      <c r="D691" s="19" t="s">
        <v>10</v>
      </c>
      <c r="E691" s="1" t="s">
        <v>2</v>
      </c>
      <c r="F691" s="2" t="s">
        <v>8</v>
      </c>
      <c r="G691" s="1" t="s">
        <v>9</v>
      </c>
      <c r="H691" s="19" t="s">
        <v>10</v>
      </c>
      <c r="I691" s="1" t="s">
        <v>2</v>
      </c>
      <c r="K691" s="1" t="s">
        <v>1</v>
      </c>
      <c r="L691" s="2" t="s">
        <v>8</v>
      </c>
      <c r="M691" s="1" t="s">
        <v>9</v>
      </c>
      <c r="N691" s="19" t="s">
        <v>10</v>
      </c>
      <c r="O691" s="1" t="s">
        <v>2</v>
      </c>
      <c r="P691" s="2" t="s">
        <v>8</v>
      </c>
      <c r="Q691" s="1" t="s">
        <v>9</v>
      </c>
      <c r="R691" s="19" t="s">
        <v>10</v>
      </c>
      <c r="S691" s="1" t="s">
        <v>2</v>
      </c>
      <c r="U691" s="1" t="s">
        <v>1</v>
      </c>
      <c r="V691" s="2" t="s">
        <v>8</v>
      </c>
      <c r="W691" s="1" t="s">
        <v>9</v>
      </c>
      <c r="X691" s="19" t="s">
        <v>10</v>
      </c>
      <c r="Y691" s="1" t="s">
        <v>2</v>
      </c>
      <c r="Z691" s="2" t="s">
        <v>8</v>
      </c>
      <c r="AA691" s="1" t="s">
        <v>9</v>
      </c>
      <c r="AB691" s="19" t="s">
        <v>10</v>
      </c>
      <c r="AC691" s="1" t="s">
        <v>2</v>
      </c>
      <c r="AD691" s="2" t="s">
        <v>8</v>
      </c>
      <c r="AE691" s="1" t="s">
        <v>9</v>
      </c>
      <c r="AF691" s="19" t="s">
        <v>10</v>
      </c>
      <c r="AG691" s="1" t="s">
        <v>2</v>
      </c>
    </row>
    <row r="692" spans="1:34">
      <c r="A692" s="21" t="s">
        <v>7</v>
      </c>
      <c r="B692" s="18">
        <f>B686</f>
        <v>6</v>
      </c>
      <c r="C692" s="22">
        <f>C686</f>
        <v>3</v>
      </c>
      <c r="D692" s="22">
        <f>D686</f>
        <v>6</v>
      </c>
      <c r="E692" s="17">
        <f t="shared" ref="E692:E728" si="252">SUM(B692:D692)</f>
        <v>15</v>
      </c>
      <c r="F692" s="22">
        <f>F686</f>
        <v>6</v>
      </c>
      <c r="G692" s="22">
        <f>G686</f>
        <v>3</v>
      </c>
      <c r="H692" s="22">
        <f>H686</f>
        <v>6</v>
      </c>
      <c r="I692" s="17">
        <f t="shared" ref="I692:I728" si="253">SUM(F692:H692)</f>
        <v>15</v>
      </c>
      <c r="K692" s="21" t="s">
        <v>7</v>
      </c>
      <c r="L692" s="18">
        <f>L686</f>
        <v>170</v>
      </c>
      <c r="M692" s="22">
        <f>M686</f>
        <v>217</v>
      </c>
      <c r="N692" s="22">
        <f>N686</f>
        <v>123</v>
      </c>
      <c r="O692" s="17">
        <f t="shared" ref="O692:O728" si="254">SUM(L692:N692)</f>
        <v>510</v>
      </c>
      <c r="P692" s="22">
        <f>P686</f>
        <v>170</v>
      </c>
      <c r="Q692" s="22">
        <f>Q686</f>
        <v>217</v>
      </c>
      <c r="R692" s="22">
        <f>R686</f>
        <v>123</v>
      </c>
      <c r="S692" s="17">
        <f t="shared" ref="S692:S728" si="255">SUM(P692:R692)</f>
        <v>510</v>
      </c>
      <c r="U692" s="21" t="s">
        <v>7</v>
      </c>
      <c r="V692" s="18">
        <f>V686</f>
        <v>1</v>
      </c>
      <c r="W692" s="22">
        <f>W686</f>
        <v>11</v>
      </c>
      <c r="X692" s="22">
        <f>X686</f>
        <v>6</v>
      </c>
      <c r="Y692" s="17">
        <f t="shared" ref="Y692:Y728" si="256">SUM(V692:X692)</f>
        <v>18</v>
      </c>
      <c r="Z692" s="22">
        <f>Z686</f>
        <v>1</v>
      </c>
      <c r="AA692" s="22">
        <f>AA686</f>
        <v>11</v>
      </c>
      <c r="AB692" s="22">
        <f>AB686</f>
        <v>6</v>
      </c>
      <c r="AC692" s="17">
        <f t="shared" ref="AC692:AC728" si="257">SUM(Z692:AB692)</f>
        <v>18</v>
      </c>
      <c r="AD692" s="22">
        <f>AD686</f>
        <v>1</v>
      </c>
      <c r="AE692" s="22">
        <f>AE686</f>
        <v>11</v>
      </c>
      <c r="AF692" s="22">
        <f>AF686</f>
        <v>6</v>
      </c>
      <c r="AG692" s="17">
        <f t="shared" ref="AG692:AG728" si="258">SUM(AD692:AF692)</f>
        <v>18</v>
      </c>
    </row>
    <row r="693" spans="1:34">
      <c r="A693" s="5" t="s">
        <v>37</v>
      </c>
      <c r="B693" s="30"/>
      <c r="C693" s="31"/>
      <c r="D693" s="32">
        <v>2</v>
      </c>
      <c r="E693" s="4">
        <f t="shared" si="252"/>
        <v>2</v>
      </c>
      <c r="F693" s="30"/>
      <c r="G693" s="31"/>
      <c r="H693" s="32">
        <v>2</v>
      </c>
      <c r="I693" s="4">
        <f t="shared" si="253"/>
        <v>2</v>
      </c>
      <c r="J693" s="43">
        <v>44357</v>
      </c>
      <c r="K693" s="5" t="s">
        <v>224</v>
      </c>
      <c r="L693" s="8"/>
      <c r="M693" s="9">
        <v>1</v>
      </c>
      <c r="N693" s="10">
        <v>4</v>
      </c>
      <c r="O693" s="4">
        <f t="shared" si="254"/>
        <v>5</v>
      </c>
      <c r="P693" s="8"/>
      <c r="Q693" s="9">
        <v>1</v>
      </c>
      <c r="R693" s="10">
        <v>4</v>
      </c>
      <c r="S693" s="4">
        <f t="shared" si="255"/>
        <v>5</v>
      </c>
      <c r="T693" s="43">
        <v>44366</v>
      </c>
      <c r="U693" s="5" t="s">
        <v>3</v>
      </c>
      <c r="V693" s="16"/>
      <c r="W693" s="11"/>
      <c r="X693" s="16"/>
      <c r="Y693" s="4">
        <f t="shared" si="256"/>
        <v>0</v>
      </c>
      <c r="Z693" s="16"/>
      <c r="AA693" s="11"/>
      <c r="AB693" s="16"/>
      <c r="AC693" s="4">
        <f t="shared" si="257"/>
        <v>0</v>
      </c>
      <c r="AD693" s="16"/>
      <c r="AE693" s="11"/>
      <c r="AF693" s="16"/>
      <c r="AG693" s="4">
        <f t="shared" si="258"/>
        <v>0</v>
      </c>
      <c r="AH693" s="43"/>
    </row>
    <row r="694" spans="1:34">
      <c r="A694" s="5" t="s">
        <v>196</v>
      </c>
      <c r="B694" s="30"/>
      <c r="C694" s="31">
        <v>1</v>
      </c>
      <c r="D694" s="32">
        <f>1+1</f>
        <v>2</v>
      </c>
      <c r="E694" s="4">
        <f t="shared" si="252"/>
        <v>3</v>
      </c>
      <c r="F694" s="30"/>
      <c r="G694" s="31">
        <v>1</v>
      </c>
      <c r="H694" s="32">
        <f>1+1</f>
        <v>2</v>
      </c>
      <c r="I694" s="4">
        <f t="shared" si="253"/>
        <v>3</v>
      </c>
      <c r="J694" s="43">
        <v>44357</v>
      </c>
      <c r="K694" s="5" t="s">
        <v>3</v>
      </c>
      <c r="L694" s="32"/>
      <c r="M694" s="31"/>
      <c r="N694" s="32"/>
      <c r="O694" s="4">
        <f t="shared" si="254"/>
        <v>0</v>
      </c>
      <c r="P694" s="32"/>
      <c r="Q694" s="31"/>
      <c r="R694" s="32"/>
      <c r="S694" s="4">
        <f t="shared" si="255"/>
        <v>0</v>
      </c>
      <c r="T694" s="43"/>
      <c r="U694" s="5" t="s">
        <v>266</v>
      </c>
      <c r="V694" s="32">
        <v>30</v>
      </c>
      <c r="W694" s="31">
        <v>50</v>
      </c>
      <c r="X694" s="32">
        <v>25</v>
      </c>
      <c r="Y694" s="4">
        <f t="shared" si="256"/>
        <v>105</v>
      </c>
      <c r="Z694" s="32">
        <v>30</v>
      </c>
      <c r="AA694" s="31">
        <v>50</v>
      </c>
      <c r="AB694" s="32">
        <v>25</v>
      </c>
      <c r="AC694" s="4">
        <f t="shared" si="257"/>
        <v>105</v>
      </c>
      <c r="AD694" s="32">
        <v>30</v>
      </c>
      <c r="AE694" s="31">
        <v>50</v>
      </c>
      <c r="AF694" s="32">
        <v>25</v>
      </c>
      <c r="AG694" s="4">
        <f t="shared" si="258"/>
        <v>105</v>
      </c>
      <c r="AH694" s="43" t="s">
        <v>333</v>
      </c>
    </row>
    <row r="695" spans="1:34">
      <c r="A695" s="5" t="s">
        <v>37</v>
      </c>
      <c r="B695" s="30"/>
      <c r="C695" s="31">
        <v>1</v>
      </c>
      <c r="D695" s="32">
        <v>1</v>
      </c>
      <c r="E695" s="4">
        <f t="shared" si="252"/>
        <v>2</v>
      </c>
      <c r="F695" s="30"/>
      <c r="G695" s="31">
        <v>1</v>
      </c>
      <c r="H695" s="32">
        <v>1</v>
      </c>
      <c r="I695" s="4">
        <f t="shared" si="253"/>
        <v>2</v>
      </c>
      <c r="J695" s="49">
        <v>44370</v>
      </c>
      <c r="K695" s="5" t="s">
        <v>3</v>
      </c>
      <c r="L695" s="30"/>
      <c r="M695" s="31"/>
      <c r="N695" s="32"/>
      <c r="O695" s="4">
        <f t="shared" si="254"/>
        <v>0</v>
      </c>
      <c r="P695" s="30"/>
      <c r="Q695" s="31"/>
      <c r="R695" s="32"/>
      <c r="S695" s="4">
        <f t="shared" si="255"/>
        <v>0</v>
      </c>
      <c r="T695" s="43"/>
      <c r="U695" s="5" t="s">
        <v>3</v>
      </c>
      <c r="V695" s="30"/>
      <c r="W695" s="31"/>
      <c r="X695" s="32"/>
      <c r="Y695" s="4">
        <f t="shared" si="256"/>
        <v>0</v>
      </c>
      <c r="Z695" s="30"/>
      <c r="AA695" s="31"/>
      <c r="AB695" s="32"/>
      <c r="AC695" s="4">
        <f t="shared" si="257"/>
        <v>0</v>
      </c>
      <c r="AD695" s="30"/>
      <c r="AE695" s="31"/>
      <c r="AF695" s="32"/>
      <c r="AG695" s="4">
        <f t="shared" si="258"/>
        <v>0</v>
      </c>
      <c r="AH695" s="43"/>
    </row>
    <row r="696" spans="1:34">
      <c r="A696" s="5" t="s">
        <v>3</v>
      </c>
      <c r="B696" s="16"/>
      <c r="C696" s="11"/>
      <c r="D696" s="16"/>
      <c r="E696" s="4">
        <f t="shared" si="252"/>
        <v>0</v>
      </c>
      <c r="F696" s="16"/>
      <c r="G696" s="11"/>
      <c r="H696" s="16"/>
      <c r="I696" s="4">
        <f t="shared" si="253"/>
        <v>0</v>
      </c>
      <c r="J696" s="49"/>
      <c r="K696" s="5" t="s">
        <v>3</v>
      </c>
      <c r="L696" s="16"/>
      <c r="M696" s="11"/>
      <c r="N696" s="16"/>
      <c r="O696" s="4">
        <f t="shared" si="254"/>
        <v>0</v>
      </c>
      <c r="P696" s="16"/>
      <c r="Q696" s="11"/>
      <c r="R696" s="16"/>
      <c r="S696" s="4">
        <f t="shared" si="255"/>
        <v>0</v>
      </c>
      <c r="T696" s="43"/>
      <c r="U696" s="5" t="s">
        <v>3</v>
      </c>
      <c r="V696" s="16"/>
      <c r="W696" s="11"/>
      <c r="X696" s="16"/>
      <c r="Y696" s="4">
        <f t="shared" si="256"/>
        <v>0</v>
      </c>
      <c r="Z696" s="16"/>
      <c r="AA696" s="11"/>
      <c r="AB696" s="16"/>
      <c r="AC696" s="4">
        <f t="shared" si="257"/>
        <v>0</v>
      </c>
      <c r="AD696" s="16"/>
      <c r="AE696" s="11"/>
      <c r="AF696" s="16"/>
      <c r="AG696" s="4">
        <f t="shared" si="258"/>
        <v>0</v>
      </c>
      <c r="AH696" s="43"/>
    </row>
    <row r="697" spans="1:34">
      <c r="A697" s="5" t="s">
        <v>3</v>
      </c>
      <c r="B697" s="16"/>
      <c r="C697" s="11"/>
      <c r="D697" s="16"/>
      <c r="E697" s="4">
        <f t="shared" si="252"/>
        <v>0</v>
      </c>
      <c r="F697" s="16"/>
      <c r="G697" s="11"/>
      <c r="H697" s="16"/>
      <c r="I697" s="4">
        <f t="shared" si="253"/>
        <v>0</v>
      </c>
      <c r="K697" s="5" t="s">
        <v>3</v>
      </c>
      <c r="L697" s="32"/>
      <c r="M697" s="31"/>
      <c r="N697" s="32"/>
      <c r="O697" s="4">
        <f t="shared" si="254"/>
        <v>0</v>
      </c>
      <c r="P697" s="32"/>
      <c r="Q697" s="31"/>
      <c r="R697" s="32"/>
      <c r="S697" s="4">
        <f t="shared" si="255"/>
        <v>0</v>
      </c>
      <c r="T697" s="43"/>
      <c r="U697" s="5" t="s">
        <v>3</v>
      </c>
      <c r="V697" s="32"/>
      <c r="W697" s="31"/>
      <c r="X697" s="32"/>
      <c r="Y697" s="4">
        <f t="shared" si="256"/>
        <v>0</v>
      </c>
      <c r="Z697" s="32"/>
      <c r="AA697" s="31"/>
      <c r="AB697" s="32"/>
      <c r="AC697" s="4">
        <f t="shared" si="257"/>
        <v>0</v>
      </c>
      <c r="AD697" s="32"/>
      <c r="AE697" s="31"/>
      <c r="AF697" s="32"/>
      <c r="AG697" s="4">
        <f t="shared" si="258"/>
        <v>0</v>
      </c>
      <c r="AH697" s="43"/>
    </row>
    <row r="698" spans="1:34">
      <c r="A698" s="5" t="s">
        <v>3</v>
      </c>
      <c r="B698" s="16"/>
      <c r="C698" s="11"/>
      <c r="D698" s="16"/>
      <c r="E698" s="4">
        <f t="shared" si="252"/>
        <v>0</v>
      </c>
      <c r="F698" s="16"/>
      <c r="G698" s="11"/>
      <c r="H698" s="16"/>
      <c r="I698" s="4">
        <f t="shared" si="253"/>
        <v>0</v>
      </c>
      <c r="K698" s="5" t="s">
        <v>3</v>
      </c>
      <c r="L698" s="16"/>
      <c r="M698" s="11"/>
      <c r="N698" s="16"/>
      <c r="O698" s="4">
        <f t="shared" si="254"/>
        <v>0</v>
      </c>
      <c r="P698" s="16"/>
      <c r="Q698" s="11"/>
      <c r="R698" s="16"/>
      <c r="S698" s="4">
        <f t="shared" si="255"/>
        <v>0</v>
      </c>
      <c r="T698" s="43"/>
      <c r="U698" s="5" t="s">
        <v>3</v>
      </c>
      <c r="V698" s="16"/>
      <c r="W698" s="11"/>
      <c r="X698" s="16"/>
      <c r="Y698" s="4">
        <f t="shared" si="256"/>
        <v>0</v>
      </c>
      <c r="Z698" s="16"/>
      <c r="AA698" s="11"/>
      <c r="AB698" s="16"/>
      <c r="AC698" s="4">
        <f t="shared" si="257"/>
        <v>0</v>
      </c>
      <c r="AD698" s="16"/>
      <c r="AE698" s="11"/>
      <c r="AF698" s="16"/>
      <c r="AG698" s="4">
        <f t="shared" si="258"/>
        <v>0</v>
      </c>
      <c r="AH698" s="43"/>
    </row>
    <row r="699" spans="1:34">
      <c r="A699" s="5" t="s">
        <v>3</v>
      </c>
      <c r="B699" s="32"/>
      <c r="C699" s="31"/>
      <c r="D699" s="32"/>
      <c r="E699" s="4">
        <f t="shared" si="252"/>
        <v>0</v>
      </c>
      <c r="F699" s="32"/>
      <c r="G699" s="31"/>
      <c r="H699" s="32"/>
      <c r="I699" s="4">
        <f t="shared" si="253"/>
        <v>0</v>
      </c>
      <c r="K699" s="5" t="s">
        <v>3</v>
      </c>
      <c r="L699" s="32"/>
      <c r="M699" s="31"/>
      <c r="N699" s="32"/>
      <c r="O699" s="4">
        <f t="shared" si="254"/>
        <v>0</v>
      </c>
      <c r="P699" s="32"/>
      <c r="Q699" s="31"/>
      <c r="R699" s="32"/>
      <c r="S699" s="4">
        <f t="shared" si="255"/>
        <v>0</v>
      </c>
      <c r="T699" s="43"/>
      <c r="U699" s="5" t="s">
        <v>3</v>
      </c>
      <c r="V699" s="32"/>
      <c r="W699" s="31"/>
      <c r="X699" s="32"/>
      <c r="Y699" s="4">
        <f t="shared" si="256"/>
        <v>0</v>
      </c>
      <c r="Z699" s="32"/>
      <c r="AA699" s="31"/>
      <c r="AB699" s="32"/>
      <c r="AC699" s="4">
        <f t="shared" si="257"/>
        <v>0</v>
      </c>
      <c r="AD699" s="32"/>
      <c r="AE699" s="31"/>
      <c r="AF699" s="32"/>
      <c r="AG699" s="4">
        <f t="shared" si="258"/>
        <v>0</v>
      </c>
      <c r="AH699" s="43"/>
    </row>
    <row r="700" spans="1:34">
      <c r="A700" s="5" t="s">
        <v>3</v>
      </c>
      <c r="B700" s="32"/>
      <c r="C700" s="31"/>
      <c r="D700" s="32"/>
      <c r="E700" s="4">
        <f t="shared" si="252"/>
        <v>0</v>
      </c>
      <c r="F700" s="32"/>
      <c r="G700" s="31"/>
      <c r="H700" s="32"/>
      <c r="I700" s="4">
        <f t="shared" si="253"/>
        <v>0</v>
      </c>
      <c r="K700" s="5" t="s">
        <v>3</v>
      </c>
      <c r="L700" s="32"/>
      <c r="M700" s="31"/>
      <c r="N700" s="32"/>
      <c r="O700" s="4">
        <f t="shared" si="254"/>
        <v>0</v>
      </c>
      <c r="P700" s="32"/>
      <c r="Q700" s="31"/>
      <c r="R700" s="32"/>
      <c r="S700" s="4">
        <f t="shared" si="255"/>
        <v>0</v>
      </c>
      <c r="T700" s="43"/>
      <c r="U700" s="5" t="s">
        <v>3</v>
      </c>
      <c r="V700" s="32"/>
      <c r="W700" s="31"/>
      <c r="X700" s="32"/>
      <c r="Y700" s="4">
        <f t="shared" si="256"/>
        <v>0</v>
      </c>
      <c r="Z700" s="32"/>
      <c r="AA700" s="31"/>
      <c r="AB700" s="32"/>
      <c r="AC700" s="4">
        <f t="shared" si="257"/>
        <v>0</v>
      </c>
      <c r="AD700" s="32"/>
      <c r="AE700" s="31"/>
      <c r="AF700" s="32"/>
      <c r="AG700" s="4">
        <f t="shared" si="258"/>
        <v>0</v>
      </c>
      <c r="AH700" s="43"/>
    </row>
    <row r="701" spans="1:34">
      <c r="A701" s="5" t="s">
        <v>3</v>
      </c>
      <c r="B701" s="30"/>
      <c r="C701" s="31"/>
      <c r="D701" s="32"/>
      <c r="E701" s="4">
        <f t="shared" si="252"/>
        <v>0</v>
      </c>
      <c r="F701" s="30"/>
      <c r="G701" s="31"/>
      <c r="H701" s="32"/>
      <c r="I701" s="4">
        <f t="shared" si="253"/>
        <v>0</v>
      </c>
      <c r="K701" s="5" t="s">
        <v>3</v>
      </c>
      <c r="L701" s="32"/>
      <c r="M701" s="31"/>
      <c r="N701" s="32"/>
      <c r="O701" s="4">
        <f t="shared" si="254"/>
        <v>0</v>
      </c>
      <c r="P701" s="32"/>
      <c r="Q701" s="31"/>
      <c r="R701" s="32"/>
      <c r="S701" s="4">
        <f t="shared" si="255"/>
        <v>0</v>
      </c>
      <c r="T701" s="43"/>
      <c r="U701" s="5" t="s">
        <v>3</v>
      </c>
      <c r="V701" s="30"/>
      <c r="W701" s="31"/>
      <c r="X701" s="32"/>
      <c r="Y701" s="4">
        <f t="shared" si="256"/>
        <v>0</v>
      </c>
      <c r="Z701" s="30"/>
      <c r="AA701" s="31"/>
      <c r="AB701" s="32"/>
      <c r="AC701" s="4">
        <f t="shared" si="257"/>
        <v>0</v>
      </c>
      <c r="AD701" s="30"/>
      <c r="AE701" s="31"/>
      <c r="AF701" s="32"/>
      <c r="AG701" s="4">
        <f t="shared" si="258"/>
        <v>0</v>
      </c>
      <c r="AH701" s="43"/>
    </row>
    <row r="702" spans="1:34" ht="14.25" thickBot="1">
      <c r="A702" s="6" t="s">
        <v>3</v>
      </c>
      <c r="B702" s="36"/>
      <c r="C702" s="37"/>
      <c r="D702" s="36"/>
      <c r="E702" s="20">
        <f t="shared" si="252"/>
        <v>0</v>
      </c>
      <c r="F702" s="13"/>
      <c r="G702" s="12"/>
      <c r="H702" s="13"/>
      <c r="I702" s="20">
        <f t="shared" si="253"/>
        <v>0</v>
      </c>
      <c r="K702" s="6" t="s">
        <v>3</v>
      </c>
      <c r="L702" s="13"/>
      <c r="M702" s="12"/>
      <c r="N702" s="13"/>
      <c r="O702" s="20">
        <f t="shared" si="254"/>
        <v>0</v>
      </c>
      <c r="P702" s="13"/>
      <c r="Q702" s="12"/>
      <c r="R702" s="13"/>
      <c r="S702" s="20">
        <f t="shared" si="255"/>
        <v>0</v>
      </c>
      <c r="T702" s="93"/>
      <c r="U702" s="6" t="s">
        <v>3</v>
      </c>
      <c r="V702" s="13"/>
      <c r="W702" s="12"/>
      <c r="X702" s="13"/>
      <c r="Y702" s="20">
        <f t="shared" si="256"/>
        <v>0</v>
      </c>
      <c r="Z702" s="13"/>
      <c r="AA702" s="12"/>
      <c r="AB702" s="13"/>
      <c r="AC702" s="20">
        <f t="shared" si="257"/>
        <v>0</v>
      </c>
      <c r="AD702" s="13"/>
      <c r="AE702" s="12"/>
      <c r="AF702" s="13"/>
      <c r="AG702" s="20">
        <f t="shared" si="258"/>
        <v>0</v>
      </c>
      <c r="AH702" s="71"/>
    </row>
    <row r="703" spans="1:34" ht="14.25" thickBot="1">
      <c r="A703" s="23" t="s">
        <v>4</v>
      </c>
      <c r="B703" s="24">
        <f>SUM(B692:B702)</f>
        <v>6</v>
      </c>
      <c r="C703" s="24">
        <f>SUM(C692:C702)</f>
        <v>5</v>
      </c>
      <c r="D703" s="25">
        <f>SUM(D692:D702)</f>
        <v>11</v>
      </c>
      <c r="E703" s="26">
        <f t="shared" si="252"/>
        <v>22</v>
      </c>
      <c r="F703" s="24">
        <f>SUM(F692:F702)</f>
        <v>6</v>
      </c>
      <c r="G703" s="24">
        <f>SUM(G692:G702)</f>
        <v>5</v>
      </c>
      <c r="H703" s="25">
        <f>SUM(H692:H702)</f>
        <v>11</v>
      </c>
      <c r="I703" s="26">
        <f t="shared" si="253"/>
        <v>22</v>
      </c>
      <c r="K703" s="23" t="s">
        <v>4</v>
      </c>
      <c r="L703" s="24">
        <f>SUM(L692:L702)</f>
        <v>170</v>
      </c>
      <c r="M703" s="24">
        <f>SUM(M692:M702)</f>
        <v>218</v>
      </c>
      <c r="N703" s="25">
        <f>SUM(N692:N702)</f>
        <v>127</v>
      </c>
      <c r="O703" s="26">
        <f t="shared" si="254"/>
        <v>515</v>
      </c>
      <c r="P703" s="24">
        <f>SUM(P692:P702)</f>
        <v>170</v>
      </c>
      <c r="Q703" s="24">
        <f>SUM(Q692:Q702)</f>
        <v>218</v>
      </c>
      <c r="R703" s="25">
        <f>SUM(R692:R702)</f>
        <v>127</v>
      </c>
      <c r="S703" s="26">
        <f t="shared" si="255"/>
        <v>515</v>
      </c>
      <c r="U703" s="23" t="s">
        <v>4</v>
      </c>
      <c r="V703" s="24">
        <f>SUM(V692:V702)</f>
        <v>31</v>
      </c>
      <c r="W703" s="24">
        <f>SUM(W692:W702)</f>
        <v>61</v>
      </c>
      <c r="X703" s="25">
        <f>SUM(X692:X702)</f>
        <v>31</v>
      </c>
      <c r="Y703" s="26">
        <f t="shared" si="256"/>
        <v>123</v>
      </c>
      <c r="Z703" s="24">
        <f>SUM(Z692:Z702)</f>
        <v>31</v>
      </c>
      <c r="AA703" s="24">
        <f>SUM(AA692:AA702)</f>
        <v>61</v>
      </c>
      <c r="AB703" s="25">
        <f>SUM(AB692:AB702)</f>
        <v>31</v>
      </c>
      <c r="AC703" s="26">
        <f t="shared" si="257"/>
        <v>123</v>
      </c>
      <c r="AD703" s="24">
        <f>SUM(AD692:AD702)</f>
        <v>31</v>
      </c>
      <c r="AE703" s="24">
        <f>SUM(AE692:AE702)</f>
        <v>61</v>
      </c>
      <c r="AF703" s="25">
        <f>SUM(AF692:AF702)</f>
        <v>31</v>
      </c>
      <c r="AG703" s="26">
        <f t="shared" si="258"/>
        <v>123</v>
      </c>
    </row>
    <row r="704" spans="1:34">
      <c r="A704" s="3" t="s">
        <v>336</v>
      </c>
      <c r="B704" s="8"/>
      <c r="C704" s="9">
        <v>1</v>
      </c>
      <c r="D704" s="10"/>
      <c r="E704" s="4">
        <f t="shared" si="252"/>
        <v>1</v>
      </c>
      <c r="F704" s="8"/>
      <c r="G704" s="9">
        <v>1</v>
      </c>
      <c r="H704" s="10"/>
      <c r="I704" s="4">
        <f t="shared" si="253"/>
        <v>1</v>
      </c>
      <c r="J704" s="43">
        <v>44363</v>
      </c>
      <c r="K704" s="3" t="s">
        <v>322</v>
      </c>
      <c r="L704" s="8">
        <v>5</v>
      </c>
      <c r="M704" s="9">
        <v>8</v>
      </c>
      <c r="N704" s="10">
        <v>4</v>
      </c>
      <c r="O704" s="7">
        <f t="shared" si="254"/>
        <v>17</v>
      </c>
      <c r="P704" s="8">
        <v>5</v>
      </c>
      <c r="Q704" s="9">
        <v>8</v>
      </c>
      <c r="R704" s="10">
        <v>4</v>
      </c>
      <c r="S704" s="7">
        <f t="shared" si="255"/>
        <v>17</v>
      </c>
      <c r="T704" s="43">
        <v>44349</v>
      </c>
      <c r="U704" s="3" t="s">
        <v>339</v>
      </c>
      <c r="V704" s="8">
        <v>15</v>
      </c>
      <c r="W704" s="9">
        <v>7</v>
      </c>
      <c r="X704" s="10">
        <v>7</v>
      </c>
      <c r="Y704" s="7">
        <f t="shared" si="256"/>
        <v>29</v>
      </c>
      <c r="Z704" s="8">
        <v>15</v>
      </c>
      <c r="AA704" s="9">
        <v>7</v>
      </c>
      <c r="AB704" s="10">
        <v>7</v>
      </c>
      <c r="AC704" s="7">
        <f t="shared" si="257"/>
        <v>29</v>
      </c>
      <c r="AD704" s="8">
        <v>15</v>
      </c>
      <c r="AE704" s="9">
        <v>7</v>
      </c>
      <c r="AF704" s="10">
        <v>7</v>
      </c>
      <c r="AG704" s="7">
        <f t="shared" si="258"/>
        <v>29</v>
      </c>
      <c r="AH704" s="43">
        <v>44368</v>
      </c>
    </row>
    <row r="705" spans="1:34">
      <c r="A705" s="3" t="s">
        <v>344</v>
      </c>
      <c r="B705" s="8"/>
      <c r="C705" s="9">
        <v>1</v>
      </c>
      <c r="D705" s="10">
        <v>4</v>
      </c>
      <c r="E705" s="4">
        <f t="shared" si="252"/>
        <v>5</v>
      </c>
      <c r="F705" s="8"/>
      <c r="G705" s="9">
        <v>1</v>
      </c>
      <c r="H705" s="10">
        <v>4</v>
      </c>
      <c r="I705" s="4">
        <f t="shared" si="253"/>
        <v>5</v>
      </c>
      <c r="J705" s="43">
        <v>44366</v>
      </c>
      <c r="K705" s="3" t="s">
        <v>323</v>
      </c>
      <c r="L705" s="8">
        <v>5</v>
      </c>
      <c r="M705" s="9">
        <v>1</v>
      </c>
      <c r="N705" s="10"/>
      <c r="O705" s="4">
        <f t="shared" si="254"/>
        <v>6</v>
      </c>
      <c r="P705" s="8">
        <v>5</v>
      </c>
      <c r="Q705" s="9">
        <v>1</v>
      </c>
      <c r="R705" s="10"/>
      <c r="S705" s="4">
        <f t="shared" si="255"/>
        <v>6</v>
      </c>
      <c r="T705" s="43">
        <v>44350</v>
      </c>
      <c r="U705" s="40"/>
      <c r="V705" s="8"/>
      <c r="W705" s="9"/>
      <c r="X705" s="10"/>
      <c r="Y705" s="4">
        <f t="shared" si="256"/>
        <v>0</v>
      </c>
      <c r="Z705" s="8"/>
      <c r="AA705" s="9"/>
      <c r="AB705" s="10"/>
      <c r="AC705" s="4">
        <f t="shared" si="257"/>
        <v>0</v>
      </c>
      <c r="AD705" s="8"/>
      <c r="AE705" s="9"/>
      <c r="AF705" s="10"/>
      <c r="AG705" s="4">
        <f t="shared" si="258"/>
        <v>0</v>
      </c>
      <c r="AH705" s="43"/>
    </row>
    <row r="706" spans="1:34">
      <c r="A706" s="3"/>
      <c r="B706" s="8"/>
      <c r="C706" s="9"/>
      <c r="D706" s="10"/>
      <c r="E706" s="7">
        <f t="shared" si="252"/>
        <v>0</v>
      </c>
      <c r="F706" s="8"/>
      <c r="G706" s="9"/>
      <c r="H706" s="10"/>
      <c r="I706" s="7">
        <f t="shared" si="253"/>
        <v>0</v>
      </c>
      <c r="J706" s="43"/>
      <c r="K706" s="3" t="s">
        <v>326</v>
      </c>
      <c r="L706" s="8">
        <v>2</v>
      </c>
      <c r="M706" s="9">
        <v>1</v>
      </c>
      <c r="N706" s="10"/>
      <c r="O706" s="7">
        <f t="shared" si="254"/>
        <v>3</v>
      </c>
      <c r="P706" s="8">
        <v>2</v>
      </c>
      <c r="Q706" s="9">
        <v>1</v>
      </c>
      <c r="R706" s="10"/>
      <c r="S706" s="7">
        <f t="shared" si="255"/>
        <v>3</v>
      </c>
      <c r="T706" s="43">
        <v>44351</v>
      </c>
      <c r="U706" s="40"/>
      <c r="V706" s="8"/>
      <c r="W706" s="9"/>
      <c r="X706" s="10"/>
      <c r="Y706" s="7">
        <f t="shared" si="256"/>
        <v>0</v>
      </c>
      <c r="Z706" s="8"/>
      <c r="AA706" s="9"/>
      <c r="AB706" s="10"/>
      <c r="AC706" s="7">
        <f t="shared" si="257"/>
        <v>0</v>
      </c>
      <c r="AD706" s="8"/>
      <c r="AE706" s="9"/>
      <c r="AF706" s="10"/>
      <c r="AG706" s="7">
        <f t="shared" si="258"/>
        <v>0</v>
      </c>
      <c r="AH706" s="43"/>
    </row>
    <row r="707" spans="1:34">
      <c r="A707" s="3"/>
      <c r="B707" s="8"/>
      <c r="C707" s="9"/>
      <c r="D707" s="10"/>
      <c r="E707" s="4">
        <f t="shared" si="252"/>
        <v>0</v>
      </c>
      <c r="F707" s="8"/>
      <c r="G707" s="9"/>
      <c r="H707" s="10"/>
      <c r="I707" s="4">
        <f t="shared" si="253"/>
        <v>0</v>
      </c>
      <c r="K707" s="3" t="s">
        <v>327</v>
      </c>
      <c r="L707" s="8"/>
      <c r="M707" s="9"/>
      <c r="N707" s="10">
        <v>2</v>
      </c>
      <c r="O707" s="4">
        <f t="shared" si="254"/>
        <v>2</v>
      </c>
      <c r="P707" s="8"/>
      <c r="Q707" s="9"/>
      <c r="R707" s="10">
        <v>2</v>
      </c>
      <c r="S707" s="4">
        <f t="shared" si="255"/>
        <v>2</v>
      </c>
      <c r="T707" s="43">
        <v>44352</v>
      </c>
      <c r="U707" s="40"/>
      <c r="V707" s="8"/>
      <c r="W707" s="9"/>
      <c r="X707" s="10"/>
      <c r="Y707" s="4">
        <f t="shared" si="256"/>
        <v>0</v>
      </c>
      <c r="Z707" s="8"/>
      <c r="AA707" s="9"/>
      <c r="AB707" s="10"/>
      <c r="AC707" s="4">
        <f t="shared" si="257"/>
        <v>0</v>
      </c>
      <c r="AD707" s="8"/>
      <c r="AE707" s="9"/>
      <c r="AF707" s="10"/>
      <c r="AG707" s="4">
        <f t="shared" si="258"/>
        <v>0</v>
      </c>
      <c r="AH707" s="43"/>
    </row>
    <row r="708" spans="1:34">
      <c r="A708" s="3"/>
      <c r="B708" s="8"/>
      <c r="C708" s="9"/>
      <c r="D708" s="10"/>
      <c r="E708" s="4">
        <f t="shared" si="252"/>
        <v>0</v>
      </c>
      <c r="F708" s="8"/>
      <c r="G708" s="9"/>
      <c r="H708" s="10"/>
      <c r="I708" s="4">
        <f t="shared" si="253"/>
        <v>0</v>
      </c>
      <c r="K708" s="3" t="s">
        <v>328</v>
      </c>
      <c r="L708" s="8">
        <v>6</v>
      </c>
      <c r="M708" s="9">
        <v>11</v>
      </c>
      <c r="N708" s="10">
        <v>10</v>
      </c>
      <c r="O708" s="4">
        <f t="shared" si="254"/>
        <v>27</v>
      </c>
      <c r="P708" s="8">
        <v>6</v>
      </c>
      <c r="Q708" s="9">
        <v>11</v>
      </c>
      <c r="R708" s="10">
        <v>10</v>
      </c>
      <c r="S708" s="4">
        <f t="shared" si="255"/>
        <v>27</v>
      </c>
      <c r="T708" s="43">
        <v>44354</v>
      </c>
      <c r="U708" s="3"/>
      <c r="V708" s="8"/>
      <c r="W708" s="9"/>
      <c r="X708" s="10"/>
      <c r="Y708" s="4">
        <f t="shared" si="256"/>
        <v>0</v>
      </c>
      <c r="Z708" s="8"/>
      <c r="AA708" s="9"/>
      <c r="AB708" s="10"/>
      <c r="AC708" s="4">
        <f t="shared" si="257"/>
        <v>0</v>
      </c>
      <c r="AD708" s="8"/>
      <c r="AE708" s="9"/>
      <c r="AF708" s="10"/>
      <c r="AG708" s="4">
        <f t="shared" si="258"/>
        <v>0</v>
      </c>
      <c r="AH708" s="43"/>
    </row>
    <row r="709" spans="1:34">
      <c r="A709" s="3"/>
      <c r="B709" s="8"/>
      <c r="C709" s="9"/>
      <c r="D709" s="10"/>
      <c r="E709" s="7">
        <f t="shared" si="252"/>
        <v>0</v>
      </c>
      <c r="F709" s="8"/>
      <c r="G709" s="9"/>
      <c r="H709" s="10"/>
      <c r="I709" s="7">
        <f t="shared" si="253"/>
        <v>0</v>
      </c>
      <c r="K709" s="11" t="s">
        <v>329</v>
      </c>
      <c r="L709" s="8">
        <v>10</v>
      </c>
      <c r="M709" s="9"/>
      <c r="N709" s="10">
        <v>15</v>
      </c>
      <c r="O709" s="7">
        <f t="shared" si="254"/>
        <v>25</v>
      </c>
      <c r="P709" s="8">
        <v>10</v>
      </c>
      <c r="Q709" s="9"/>
      <c r="R709" s="10">
        <v>15</v>
      </c>
      <c r="S709" s="7">
        <f t="shared" si="255"/>
        <v>25</v>
      </c>
      <c r="T709" s="43">
        <v>44361</v>
      </c>
      <c r="U709" s="3"/>
      <c r="V709" s="8"/>
      <c r="W709" s="9"/>
      <c r="X709" s="10"/>
      <c r="Y709" s="7">
        <f t="shared" si="256"/>
        <v>0</v>
      </c>
      <c r="Z709" s="8"/>
      <c r="AA709" s="9"/>
      <c r="AB709" s="10"/>
      <c r="AC709" s="7">
        <f t="shared" si="257"/>
        <v>0</v>
      </c>
      <c r="AD709" s="8"/>
      <c r="AE709" s="9"/>
      <c r="AF709" s="10"/>
      <c r="AG709" s="7">
        <f t="shared" si="258"/>
        <v>0</v>
      </c>
      <c r="AH709" s="43"/>
    </row>
    <row r="710" spans="1:34">
      <c r="A710" s="3"/>
      <c r="B710" s="8"/>
      <c r="C710" s="9"/>
      <c r="D710" s="10"/>
      <c r="E710" s="7">
        <f t="shared" si="252"/>
        <v>0</v>
      </c>
      <c r="F710" s="8"/>
      <c r="G710" s="9"/>
      <c r="H710" s="10"/>
      <c r="I710" s="7">
        <f t="shared" si="253"/>
        <v>0</v>
      </c>
      <c r="K710" s="3" t="s">
        <v>330</v>
      </c>
      <c r="L710" s="8">
        <v>5</v>
      </c>
      <c r="M710" s="9"/>
      <c r="N710" s="10"/>
      <c r="O710" s="7">
        <f t="shared" si="254"/>
        <v>5</v>
      </c>
      <c r="P710" s="8">
        <v>5</v>
      </c>
      <c r="Q710" s="9"/>
      <c r="R710" s="10"/>
      <c r="S710" s="7">
        <f t="shared" si="255"/>
        <v>5</v>
      </c>
      <c r="T710" s="43">
        <v>44357</v>
      </c>
      <c r="U710" s="3"/>
      <c r="V710" s="8"/>
      <c r="W710" s="9"/>
      <c r="X710" s="10"/>
      <c r="Y710" s="7">
        <f t="shared" si="256"/>
        <v>0</v>
      </c>
      <c r="Z710" s="8"/>
      <c r="AA710" s="9"/>
      <c r="AB710" s="10"/>
      <c r="AC710" s="7">
        <f t="shared" si="257"/>
        <v>0</v>
      </c>
      <c r="AD710" s="8"/>
      <c r="AE710" s="9"/>
      <c r="AF710" s="10"/>
      <c r="AG710" s="7">
        <f t="shared" si="258"/>
        <v>0</v>
      </c>
      <c r="AH710" s="43"/>
    </row>
    <row r="711" spans="1:34">
      <c r="A711" s="3"/>
      <c r="B711" s="8"/>
      <c r="C711" s="9"/>
      <c r="D711" s="10"/>
      <c r="E711" s="7">
        <f t="shared" si="252"/>
        <v>0</v>
      </c>
      <c r="F711" s="8"/>
      <c r="G711" s="9"/>
      <c r="H711" s="10"/>
      <c r="I711" s="7">
        <f t="shared" si="253"/>
        <v>0</v>
      </c>
      <c r="K711" s="3" t="s">
        <v>331</v>
      </c>
      <c r="L711" s="8">
        <v>12</v>
      </c>
      <c r="M711" s="9">
        <v>6</v>
      </c>
      <c r="N711" s="10">
        <v>8</v>
      </c>
      <c r="O711" s="7">
        <f t="shared" si="254"/>
        <v>26</v>
      </c>
      <c r="P711" s="8">
        <v>12</v>
      </c>
      <c r="Q711" s="9">
        <v>6</v>
      </c>
      <c r="R711" s="10">
        <v>8</v>
      </c>
      <c r="S711" s="7">
        <f t="shared" si="255"/>
        <v>26</v>
      </c>
      <c r="T711" s="43">
        <v>44359</v>
      </c>
      <c r="U711" s="3"/>
      <c r="V711" s="8"/>
      <c r="W711" s="9"/>
      <c r="X711" s="10"/>
      <c r="Y711" s="7">
        <f t="shared" si="256"/>
        <v>0</v>
      </c>
      <c r="Z711" s="8"/>
      <c r="AA711" s="9"/>
      <c r="AB711" s="10"/>
      <c r="AC711" s="7">
        <f t="shared" si="257"/>
        <v>0</v>
      </c>
      <c r="AD711" s="8"/>
      <c r="AE711" s="9"/>
      <c r="AF711" s="10"/>
      <c r="AG711" s="7">
        <f t="shared" si="258"/>
        <v>0</v>
      </c>
      <c r="AH711" s="43"/>
    </row>
    <row r="712" spans="1:34">
      <c r="A712" s="3"/>
      <c r="B712" s="8"/>
      <c r="C712" s="9"/>
      <c r="D712" s="10"/>
      <c r="E712" s="7">
        <f t="shared" si="252"/>
        <v>0</v>
      </c>
      <c r="F712" s="8"/>
      <c r="G712" s="9"/>
      <c r="H712" s="10"/>
      <c r="I712" s="7">
        <f t="shared" si="253"/>
        <v>0</v>
      </c>
      <c r="K712" s="3" t="s">
        <v>332</v>
      </c>
      <c r="L712" s="8"/>
      <c r="M712" s="9">
        <v>13</v>
      </c>
      <c r="N712" s="10">
        <v>10</v>
      </c>
      <c r="O712" s="7">
        <f t="shared" si="254"/>
        <v>23</v>
      </c>
      <c r="P712" s="8"/>
      <c r="Q712" s="9">
        <v>13</v>
      </c>
      <c r="R712" s="10">
        <v>10</v>
      </c>
      <c r="S712" s="7">
        <f t="shared" si="255"/>
        <v>23</v>
      </c>
      <c r="T712" s="43">
        <v>44359</v>
      </c>
      <c r="U712" s="3"/>
      <c r="V712" s="8"/>
      <c r="W712" s="9"/>
      <c r="X712" s="10"/>
      <c r="Y712" s="7">
        <f t="shared" si="256"/>
        <v>0</v>
      </c>
      <c r="Z712" s="8"/>
      <c r="AA712" s="9"/>
      <c r="AB712" s="10"/>
      <c r="AC712" s="7">
        <f t="shared" si="257"/>
        <v>0</v>
      </c>
      <c r="AD712" s="8"/>
      <c r="AE712" s="9"/>
      <c r="AF712" s="10"/>
      <c r="AG712" s="7">
        <f t="shared" si="258"/>
        <v>0</v>
      </c>
      <c r="AH712" s="43"/>
    </row>
    <row r="713" spans="1:34">
      <c r="A713" s="3"/>
      <c r="B713" s="8"/>
      <c r="C713" s="9"/>
      <c r="D713" s="10"/>
      <c r="E713" s="7">
        <f t="shared" si="252"/>
        <v>0</v>
      </c>
      <c r="F713" s="8"/>
      <c r="G713" s="9"/>
      <c r="H713" s="10"/>
      <c r="I713" s="7">
        <f t="shared" si="253"/>
        <v>0</v>
      </c>
      <c r="K713" s="3" t="s">
        <v>334</v>
      </c>
      <c r="L713" s="8">
        <v>11</v>
      </c>
      <c r="M713" s="9">
        <v>13</v>
      </c>
      <c r="N713" s="10">
        <v>8</v>
      </c>
      <c r="O713" s="7">
        <f t="shared" si="254"/>
        <v>32</v>
      </c>
      <c r="P713" s="8">
        <v>11</v>
      </c>
      <c r="Q713" s="9">
        <v>13</v>
      </c>
      <c r="R713" s="10">
        <v>8</v>
      </c>
      <c r="S713" s="7">
        <f t="shared" si="255"/>
        <v>32</v>
      </c>
      <c r="T713" s="43">
        <v>44362</v>
      </c>
      <c r="U713" s="3"/>
      <c r="V713" s="8"/>
      <c r="W713" s="9"/>
      <c r="X713" s="10"/>
      <c r="Y713" s="7">
        <f t="shared" si="256"/>
        <v>0</v>
      </c>
      <c r="Z713" s="8"/>
      <c r="AA713" s="9"/>
      <c r="AB713" s="10"/>
      <c r="AC713" s="7">
        <f t="shared" si="257"/>
        <v>0</v>
      </c>
      <c r="AD713" s="8"/>
      <c r="AE713" s="9"/>
      <c r="AF713" s="10"/>
      <c r="AG713" s="7">
        <f t="shared" si="258"/>
        <v>0</v>
      </c>
      <c r="AH713" s="43"/>
    </row>
    <row r="714" spans="1:34">
      <c r="A714" s="3"/>
      <c r="B714" s="8"/>
      <c r="C714" s="9"/>
      <c r="D714" s="10"/>
      <c r="E714" s="7">
        <f t="shared" si="252"/>
        <v>0</v>
      </c>
      <c r="F714" s="8"/>
      <c r="G714" s="9"/>
      <c r="H714" s="10"/>
      <c r="I714" s="7">
        <f t="shared" si="253"/>
        <v>0</v>
      </c>
      <c r="K714" s="3" t="s">
        <v>337</v>
      </c>
      <c r="L714" s="59">
        <v>10</v>
      </c>
      <c r="M714" s="9">
        <v>10</v>
      </c>
      <c r="N714" s="10">
        <v>7</v>
      </c>
      <c r="O714" s="7">
        <f t="shared" si="254"/>
        <v>27</v>
      </c>
      <c r="P714" s="8">
        <v>10</v>
      </c>
      <c r="Q714" s="9">
        <v>10</v>
      </c>
      <c r="R714" s="10">
        <v>7</v>
      </c>
      <c r="S714" s="7">
        <f t="shared" si="255"/>
        <v>27</v>
      </c>
      <c r="T714" s="43">
        <v>44363</v>
      </c>
      <c r="U714" s="3"/>
      <c r="V714" s="30"/>
      <c r="W714" s="9"/>
      <c r="X714" s="10"/>
      <c r="Y714" s="7">
        <f t="shared" si="256"/>
        <v>0</v>
      </c>
      <c r="Z714" s="8"/>
      <c r="AA714" s="9"/>
      <c r="AB714" s="10"/>
      <c r="AC714" s="7">
        <f t="shared" si="257"/>
        <v>0</v>
      </c>
      <c r="AD714" s="8"/>
      <c r="AE714" s="9"/>
      <c r="AF714" s="10"/>
      <c r="AG714" s="7">
        <f t="shared" si="258"/>
        <v>0</v>
      </c>
      <c r="AH714" s="43"/>
    </row>
    <row r="715" spans="1:34">
      <c r="A715" s="3"/>
      <c r="B715" s="8"/>
      <c r="C715" s="9"/>
      <c r="D715" s="10"/>
      <c r="E715" s="7">
        <f t="shared" si="252"/>
        <v>0</v>
      </c>
      <c r="F715" s="8"/>
      <c r="G715" s="9"/>
      <c r="H715" s="10"/>
      <c r="I715" s="7">
        <f t="shared" si="253"/>
        <v>0</v>
      </c>
      <c r="K715" s="11" t="s">
        <v>338</v>
      </c>
      <c r="L715" s="8">
        <v>10</v>
      </c>
      <c r="M715" s="9"/>
      <c r="N715" s="10"/>
      <c r="O715" s="7">
        <f t="shared" si="254"/>
        <v>10</v>
      </c>
      <c r="P715" s="8">
        <v>10</v>
      </c>
      <c r="Q715" s="9"/>
      <c r="R715" s="10"/>
      <c r="S715" s="7">
        <f t="shared" si="255"/>
        <v>10</v>
      </c>
      <c r="T715" s="43">
        <v>44369</v>
      </c>
      <c r="U715" s="3"/>
      <c r="V715" s="8"/>
      <c r="W715" s="9"/>
      <c r="X715" s="10"/>
      <c r="Y715" s="7">
        <f t="shared" si="256"/>
        <v>0</v>
      </c>
      <c r="Z715" s="8"/>
      <c r="AA715" s="9"/>
      <c r="AB715" s="10"/>
      <c r="AC715" s="7">
        <f t="shared" si="257"/>
        <v>0</v>
      </c>
      <c r="AD715" s="8"/>
      <c r="AE715" s="9"/>
      <c r="AF715" s="10"/>
      <c r="AG715" s="7">
        <f t="shared" si="258"/>
        <v>0</v>
      </c>
      <c r="AH715" s="43"/>
    </row>
    <row r="716" spans="1:34">
      <c r="A716" s="3"/>
      <c r="B716" s="8"/>
      <c r="C716" s="9"/>
      <c r="D716" s="10"/>
      <c r="E716" s="7">
        <f t="shared" si="252"/>
        <v>0</v>
      </c>
      <c r="F716" s="8"/>
      <c r="G716" s="9"/>
      <c r="H716" s="10"/>
      <c r="I716" s="7">
        <f t="shared" si="253"/>
        <v>0</v>
      </c>
      <c r="K716" s="3" t="s">
        <v>340</v>
      </c>
      <c r="L716" s="8">
        <v>11</v>
      </c>
      <c r="M716" s="9">
        <v>15</v>
      </c>
      <c r="N716" s="10">
        <v>7</v>
      </c>
      <c r="O716" s="7">
        <f t="shared" si="254"/>
        <v>33</v>
      </c>
      <c r="P716" s="8">
        <v>11</v>
      </c>
      <c r="Q716" s="9">
        <v>15</v>
      </c>
      <c r="R716" s="10">
        <v>7</v>
      </c>
      <c r="S716" s="7">
        <f t="shared" si="255"/>
        <v>33</v>
      </c>
      <c r="T716" s="43">
        <v>44364</v>
      </c>
      <c r="U716" s="3"/>
      <c r="V716" s="8"/>
      <c r="W716" s="9"/>
      <c r="X716" s="10"/>
      <c r="Y716" s="7">
        <f t="shared" si="256"/>
        <v>0</v>
      </c>
      <c r="Z716" s="8"/>
      <c r="AA716" s="9"/>
      <c r="AB716" s="10"/>
      <c r="AC716" s="7">
        <f t="shared" si="257"/>
        <v>0</v>
      </c>
      <c r="AD716" s="8"/>
      <c r="AE716" s="9"/>
      <c r="AF716" s="10"/>
      <c r="AG716" s="7">
        <f t="shared" si="258"/>
        <v>0</v>
      </c>
      <c r="AH716" s="43"/>
    </row>
    <row r="717" spans="1:34">
      <c r="A717" s="3"/>
      <c r="B717" s="8"/>
      <c r="C717" s="9"/>
      <c r="D717" s="10"/>
      <c r="E717" s="7">
        <f t="shared" si="252"/>
        <v>0</v>
      </c>
      <c r="F717" s="8"/>
      <c r="G717" s="9"/>
      <c r="H717" s="10"/>
      <c r="I717" s="7">
        <f t="shared" si="253"/>
        <v>0</v>
      </c>
      <c r="K717" s="11" t="s">
        <v>341</v>
      </c>
      <c r="L717" s="8"/>
      <c r="M717" s="9">
        <v>23</v>
      </c>
      <c r="N717" s="10"/>
      <c r="O717" s="7">
        <f t="shared" si="254"/>
        <v>23</v>
      </c>
      <c r="P717" s="8"/>
      <c r="Q717" s="9">
        <v>23</v>
      </c>
      <c r="R717" s="10"/>
      <c r="S717" s="7">
        <f t="shared" si="255"/>
        <v>23</v>
      </c>
      <c r="T717" s="43">
        <v>44368</v>
      </c>
      <c r="U717" s="3"/>
      <c r="V717" s="8"/>
      <c r="W717" s="9"/>
      <c r="X717" s="10"/>
      <c r="Y717" s="7">
        <f t="shared" si="256"/>
        <v>0</v>
      </c>
      <c r="Z717" s="8"/>
      <c r="AA717" s="9"/>
      <c r="AB717" s="10"/>
      <c r="AC717" s="7">
        <f t="shared" si="257"/>
        <v>0</v>
      </c>
      <c r="AD717" s="8"/>
      <c r="AE717" s="9"/>
      <c r="AF717" s="10"/>
      <c r="AG717" s="7">
        <f t="shared" si="258"/>
        <v>0</v>
      </c>
      <c r="AH717" s="43"/>
    </row>
    <row r="718" spans="1:34">
      <c r="A718" s="3"/>
      <c r="B718" s="8"/>
      <c r="C718" s="9"/>
      <c r="D718" s="10"/>
      <c r="E718" s="7">
        <f t="shared" si="252"/>
        <v>0</v>
      </c>
      <c r="F718" s="8"/>
      <c r="G718" s="9"/>
      <c r="H718" s="10"/>
      <c r="I718" s="7">
        <f t="shared" si="253"/>
        <v>0</v>
      </c>
      <c r="K718" s="3" t="s">
        <v>342</v>
      </c>
      <c r="L718" s="8">
        <v>7</v>
      </c>
      <c r="M718" s="9">
        <v>14</v>
      </c>
      <c r="N718" s="10">
        <v>14</v>
      </c>
      <c r="O718" s="7">
        <f t="shared" si="254"/>
        <v>35</v>
      </c>
      <c r="P718" s="8">
        <v>7</v>
      </c>
      <c r="Q718" s="9">
        <v>14</v>
      </c>
      <c r="R718" s="10">
        <v>14</v>
      </c>
      <c r="S718" s="7">
        <f t="shared" si="255"/>
        <v>35</v>
      </c>
      <c r="T718" s="43">
        <v>44365</v>
      </c>
      <c r="U718" s="3"/>
      <c r="V718" s="8"/>
      <c r="W718" s="9"/>
      <c r="X718" s="10"/>
      <c r="Y718" s="7">
        <f t="shared" si="256"/>
        <v>0</v>
      </c>
      <c r="Z718" s="8"/>
      <c r="AA718" s="9"/>
      <c r="AB718" s="10"/>
      <c r="AC718" s="7">
        <f t="shared" si="257"/>
        <v>0</v>
      </c>
      <c r="AD718" s="8"/>
      <c r="AE718" s="9"/>
      <c r="AF718" s="10"/>
      <c r="AG718" s="7">
        <f t="shared" si="258"/>
        <v>0</v>
      </c>
      <c r="AH718" s="43"/>
    </row>
    <row r="719" spans="1:34">
      <c r="A719" s="3"/>
      <c r="B719" s="8"/>
      <c r="C719" s="9"/>
      <c r="D719" s="10"/>
      <c r="E719" s="7">
        <f t="shared" si="252"/>
        <v>0</v>
      </c>
      <c r="F719" s="8"/>
      <c r="G719" s="9"/>
      <c r="H719" s="10"/>
      <c r="I719" s="7">
        <f t="shared" si="253"/>
        <v>0</v>
      </c>
      <c r="K719" s="3" t="s">
        <v>345</v>
      </c>
      <c r="L719" s="8">
        <v>5</v>
      </c>
      <c r="M719" s="9">
        <v>8</v>
      </c>
      <c r="N719" s="10">
        <v>14</v>
      </c>
      <c r="O719" s="7">
        <f t="shared" si="254"/>
        <v>27</v>
      </c>
      <c r="P719" s="8">
        <v>5</v>
      </c>
      <c r="Q719" s="9">
        <v>8</v>
      </c>
      <c r="R719" s="10">
        <v>14</v>
      </c>
      <c r="S719" s="7">
        <f t="shared" si="255"/>
        <v>27</v>
      </c>
      <c r="T719" s="43">
        <v>44369</v>
      </c>
      <c r="U719" s="3"/>
      <c r="V719" s="8"/>
      <c r="W719" s="9"/>
      <c r="X719" s="10"/>
      <c r="Y719" s="7">
        <f t="shared" si="256"/>
        <v>0</v>
      </c>
      <c r="Z719" s="8"/>
      <c r="AA719" s="9"/>
      <c r="AB719" s="10"/>
      <c r="AC719" s="7">
        <f t="shared" si="257"/>
        <v>0</v>
      </c>
      <c r="AD719" s="8"/>
      <c r="AE719" s="9"/>
      <c r="AF719" s="10"/>
      <c r="AG719" s="7">
        <f t="shared" si="258"/>
        <v>0</v>
      </c>
      <c r="AH719" s="43"/>
    </row>
    <row r="720" spans="1:34">
      <c r="A720" s="3"/>
      <c r="B720" s="8"/>
      <c r="C720" s="9"/>
      <c r="D720" s="10"/>
      <c r="E720" s="7">
        <f t="shared" si="252"/>
        <v>0</v>
      </c>
      <c r="F720" s="8"/>
      <c r="G720" s="9"/>
      <c r="H720" s="10"/>
      <c r="I720" s="7">
        <f t="shared" si="253"/>
        <v>0</v>
      </c>
      <c r="K720" s="3" t="s">
        <v>346</v>
      </c>
      <c r="L720" s="8">
        <v>1</v>
      </c>
      <c r="M720" s="9">
        <v>4</v>
      </c>
      <c r="N720" s="10">
        <v>3</v>
      </c>
      <c r="O720" s="7">
        <f t="shared" si="254"/>
        <v>8</v>
      </c>
      <c r="P720" s="8">
        <v>1</v>
      </c>
      <c r="Q720" s="9">
        <v>4</v>
      </c>
      <c r="R720" s="10">
        <v>3</v>
      </c>
      <c r="S720" s="7">
        <f t="shared" si="255"/>
        <v>8</v>
      </c>
      <c r="T720" s="43">
        <v>44370</v>
      </c>
      <c r="U720" s="3"/>
      <c r="V720" s="8"/>
      <c r="W720" s="9"/>
      <c r="X720" s="10"/>
      <c r="Y720" s="7">
        <f t="shared" si="256"/>
        <v>0</v>
      </c>
      <c r="Z720" s="8"/>
      <c r="AA720" s="9"/>
      <c r="AB720" s="10"/>
      <c r="AC720" s="7">
        <f t="shared" si="257"/>
        <v>0</v>
      </c>
      <c r="AD720" s="8"/>
      <c r="AE720" s="9"/>
      <c r="AF720" s="10"/>
      <c r="AG720" s="7">
        <f t="shared" si="258"/>
        <v>0</v>
      </c>
      <c r="AH720" s="43"/>
    </row>
    <row r="721" spans="1:34">
      <c r="A721" s="3"/>
      <c r="B721" s="8"/>
      <c r="C721" s="9"/>
      <c r="D721" s="10"/>
      <c r="E721" s="7">
        <f t="shared" si="252"/>
        <v>0</v>
      </c>
      <c r="F721" s="8"/>
      <c r="G721" s="9"/>
      <c r="H721" s="10"/>
      <c r="I721" s="7">
        <f t="shared" si="253"/>
        <v>0</v>
      </c>
      <c r="K721" s="3" t="s">
        <v>349</v>
      </c>
      <c r="L721" s="8">
        <v>2</v>
      </c>
      <c r="M721" s="9">
        <v>5</v>
      </c>
      <c r="N721" s="10">
        <v>3</v>
      </c>
      <c r="O721" s="7">
        <f t="shared" si="254"/>
        <v>10</v>
      </c>
      <c r="P721" s="8">
        <v>2</v>
      </c>
      <c r="Q721" s="9">
        <v>5</v>
      </c>
      <c r="R721" s="10">
        <v>3</v>
      </c>
      <c r="S721" s="7">
        <f t="shared" si="255"/>
        <v>10</v>
      </c>
      <c r="T721" s="43">
        <v>44371</v>
      </c>
      <c r="U721" s="3"/>
      <c r="V721" s="8"/>
      <c r="W721" s="9"/>
      <c r="X721" s="10"/>
      <c r="Y721" s="7">
        <f t="shared" si="256"/>
        <v>0</v>
      </c>
      <c r="Z721" s="8"/>
      <c r="AA721" s="9"/>
      <c r="AB721" s="10"/>
      <c r="AC721" s="7">
        <f t="shared" si="257"/>
        <v>0</v>
      </c>
      <c r="AD721" s="8"/>
      <c r="AE721" s="9"/>
      <c r="AF721" s="10"/>
      <c r="AG721" s="7">
        <f t="shared" si="258"/>
        <v>0</v>
      </c>
      <c r="AH721" s="43"/>
    </row>
    <row r="722" spans="1:34">
      <c r="A722" s="11"/>
      <c r="B722" s="8"/>
      <c r="C722" s="9"/>
      <c r="D722" s="10"/>
      <c r="E722" s="7">
        <f t="shared" si="252"/>
        <v>0</v>
      </c>
      <c r="F722" s="8"/>
      <c r="G722" s="9"/>
      <c r="H722" s="10"/>
      <c r="I722" s="7">
        <f t="shared" si="253"/>
        <v>0</v>
      </c>
      <c r="K722" s="3" t="s">
        <v>75</v>
      </c>
      <c r="L722" s="8">
        <v>2</v>
      </c>
      <c r="M722" s="9">
        <v>3</v>
      </c>
      <c r="N722" s="10">
        <v>3</v>
      </c>
      <c r="O722" s="7">
        <f t="shared" si="254"/>
        <v>8</v>
      </c>
      <c r="P722" s="8">
        <v>2</v>
      </c>
      <c r="Q722" s="9">
        <v>3</v>
      </c>
      <c r="R722" s="10">
        <v>3</v>
      </c>
      <c r="S722" s="7">
        <f t="shared" si="255"/>
        <v>8</v>
      </c>
      <c r="T722" s="43">
        <v>44372</v>
      </c>
      <c r="U722" s="3"/>
      <c r="V722" s="8"/>
      <c r="W722" s="9"/>
      <c r="X722" s="10"/>
      <c r="Y722" s="7">
        <f t="shared" si="256"/>
        <v>0</v>
      </c>
      <c r="Z722" s="8"/>
      <c r="AA722" s="9"/>
      <c r="AB722" s="10"/>
      <c r="AC722" s="7">
        <f t="shared" si="257"/>
        <v>0</v>
      </c>
      <c r="AD722" s="8"/>
      <c r="AE722" s="9"/>
      <c r="AF722" s="10"/>
      <c r="AG722" s="7">
        <f t="shared" si="258"/>
        <v>0</v>
      </c>
      <c r="AH722" s="43"/>
    </row>
    <row r="723" spans="1:34">
      <c r="A723" s="11"/>
      <c r="B723" s="8"/>
      <c r="C723" s="9"/>
      <c r="D723" s="10"/>
      <c r="E723" s="7">
        <f t="shared" si="252"/>
        <v>0</v>
      </c>
      <c r="F723" s="8"/>
      <c r="G723" s="9"/>
      <c r="H723" s="10"/>
      <c r="I723" s="7">
        <f t="shared" si="253"/>
        <v>0</v>
      </c>
      <c r="K723" s="11" t="s">
        <v>350</v>
      </c>
      <c r="L723" s="8">
        <v>5</v>
      </c>
      <c r="M723" s="9"/>
      <c r="N723" s="10"/>
      <c r="O723" s="7">
        <f t="shared" si="254"/>
        <v>5</v>
      </c>
      <c r="P723" s="8">
        <v>5</v>
      </c>
      <c r="Q723" s="9"/>
      <c r="R723" s="10"/>
      <c r="S723" s="7">
        <f t="shared" si="255"/>
        <v>5</v>
      </c>
      <c r="T723" s="43">
        <v>44375</v>
      </c>
      <c r="U723" s="3"/>
      <c r="V723" s="8"/>
      <c r="W723" s="9"/>
      <c r="X723" s="10"/>
      <c r="Y723" s="7">
        <f t="shared" si="256"/>
        <v>0</v>
      </c>
      <c r="Z723" s="8"/>
      <c r="AA723" s="9"/>
      <c r="AB723" s="10"/>
      <c r="AC723" s="7">
        <f t="shared" si="257"/>
        <v>0</v>
      </c>
      <c r="AD723" s="8"/>
      <c r="AE723" s="9"/>
      <c r="AF723" s="10"/>
      <c r="AG723" s="7">
        <f t="shared" si="258"/>
        <v>0</v>
      </c>
      <c r="AH723" s="71"/>
    </row>
    <row r="724" spans="1:34">
      <c r="A724" s="11"/>
      <c r="B724" s="8"/>
      <c r="C724" s="9"/>
      <c r="D724" s="10"/>
      <c r="E724" s="7">
        <f t="shared" si="252"/>
        <v>0</v>
      </c>
      <c r="F724" s="8"/>
      <c r="G724" s="9"/>
      <c r="H724" s="10"/>
      <c r="I724" s="7">
        <f t="shared" si="253"/>
        <v>0</v>
      </c>
      <c r="K724" s="11"/>
      <c r="L724" s="8"/>
      <c r="M724" s="9"/>
      <c r="N724" s="10"/>
      <c r="O724" s="7">
        <f t="shared" ref="O724" si="259">SUM(L724:N724)</f>
        <v>0</v>
      </c>
      <c r="P724" s="8"/>
      <c r="Q724" s="9"/>
      <c r="R724" s="10"/>
      <c r="S724" s="7">
        <f t="shared" ref="S724" si="260">SUM(P724:R724)</f>
        <v>0</v>
      </c>
      <c r="T724" s="71"/>
      <c r="U724" s="11"/>
      <c r="V724" s="8"/>
      <c r="W724" s="9"/>
      <c r="X724" s="10"/>
      <c r="Y724" s="7">
        <f t="shared" si="256"/>
        <v>0</v>
      </c>
      <c r="Z724" s="8"/>
      <c r="AA724" s="9"/>
      <c r="AB724" s="10"/>
      <c r="AC724" s="7">
        <f t="shared" si="257"/>
        <v>0</v>
      </c>
      <c r="AD724" s="8"/>
      <c r="AE724" s="9"/>
      <c r="AF724" s="10"/>
      <c r="AG724" s="7">
        <f t="shared" si="258"/>
        <v>0</v>
      </c>
      <c r="AH724" s="71"/>
    </row>
    <row r="725" spans="1:34">
      <c r="A725" s="11"/>
      <c r="B725" s="8"/>
      <c r="C725" s="9"/>
      <c r="D725" s="10"/>
      <c r="E725" s="7">
        <f t="shared" si="252"/>
        <v>0</v>
      </c>
      <c r="F725" s="8"/>
      <c r="G725" s="9"/>
      <c r="H725" s="10"/>
      <c r="I725" s="7">
        <f t="shared" si="253"/>
        <v>0</v>
      </c>
      <c r="K725" s="91" t="s">
        <v>274</v>
      </c>
      <c r="L725" s="8"/>
      <c r="M725" s="9"/>
      <c r="N725" s="10"/>
      <c r="O725" s="7">
        <f t="shared" si="254"/>
        <v>0</v>
      </c>
      <c r="P725" s="8"/>
      <c r="Q725" s="9"/>
      <c r="R725" s="10"/>
      <c r="S725" s="7">
        <f t="shared" si="255"/>
        <v>0</v>
      </c>
      <c r="T725" s="71" t="s">
        <v>275</v>
      </c>
      <c r="U725" s="3"/>
      <c r="V725" s="8"/>
      <c r="W725" s="9"/>
      <c r="X725" s="10"/>
      <c r="Y725" s="7">
        <f t="shared" si="256"/>
        <v>0</v>
      </c>
      <c r="Z725" s="8"/>
      <c r="AA725" s="9"/>
      <c r="AB725" s="10"/>
      <c r="AC725" s="7">
        <f t="shared" si="257"/>
        <v>0</v>
      </c>
      <c r="AD725" s="8"/>
      <c r="AE725" s="9"/>
      <c r="AF725" s="10"/>
      <c r="AG725" s="7">
        <f t="shared" si="258"/>
        <v>0</v>
      </c>
      <c r="AH725" s="71"/>
    </row>
    <row r="726" spans="1:34">
      <c r="A726" s="11"/>
      <c r="B726" s="8"/>
      <c r="C726" s="9"/>
      <c r="D726" s="10"/>
      <c r="E726" s="7">
        <f t="shared" si="252"/>
        <v>0</v>
      </c>
      <c r="F726" s="8"/>
      <c r="G726" s="9"/>
      <c r="H726" s="10"/>
      <c r="I726" s="7">
        <f t="shared" si="253"/>
        <v>0</v>
      </c>
      <c r="K726" s="11" t="s">
        <v>271</v>
      </c>
      <c r="L726" s="8"/>
      <c r="M726" s="9"/>
      <c r="N726" s="10"/>
      <c r="O726" s="7">
        <f t="shared" si="254"/>
        <v>0</v>
      </c>
      <c r="P726" s="8"/>
      <c r="Q726" s="9"/>
      <c r="R726" s="10"/>
      <c r="S726" s="7">
        <f t="shared" si="255"/>
        <v>0</v>
      </c>
      <c r="T726" s="71" t="s">
        <v>272</v>
      </c>
      <c r="U726" s="3"/>
      <c r="V726" s="8"/>
      <c r="W726" s="9"/>
      <c r="X726" s="10"/>
      <c r="Y726" s="7">
        <f t="shared" ref="Y726" si="261">SUM(V726:X726)</f>
        <v>0</v>
      </c>
      <c r="Z726" s="8"/>
      <c r="AA726" s="9"/>
      <c r="AB726" s="10"/>
      <c r="AC726" s="7">
        <f t="shared" ref="AC726" si="262">SUM(Z726:AB726)</f>
        <v>0</v>
      </c>
      <c r="AD726" s="8"/>
      <c r="AE726" s="9"/>
      <c r="AF726" s="10"/>
      <c r="AG726" s="7">
        <f t="shared" ref="AG726" si="263">SUM(AD726:AF726)</f>
        <v>0</v>
      </c>
      <c r="AH726" s="71"/>
    </row>
    <row r="727" spans="1:34" ht="14.25" thickBot="1">
      <c r="A727" s="3"/>
      <c r="B727" s="8"/>
      <c r="C727" s="9"/>
      <c r="D727" s="10"/>
      <c r="E727" s="7">
        <f t="shared" si="252"/>
        <v>0</v>
      </c>
      <c r="F727" s="8"/>
      <c r="G727" s="9"/>
      <c r="H727" s="10"/>
      <c r="I727" s="7">
        <f t="shared" si="253"/>
        <v>0</v>
      </c>
      <c r="K727" s="11" t="s">
        <v>315</v>
      </c>
      <c r="L727" s="8"/>
      <c r="M727" s="9"/>
      <c r="N727" s="10"/>
      <c r="O727" s="7">
        <f t="shared" si="254"/>
        <v>0</v>
      </c>
      <c r="P727" s="8"/>
      <c r="Q727" s="9"/>
      <c r="R727" s="10"/>
      <c r="S727" s="7">
        <f t="shared" si="255"/>
        <v>0</v>
      </c>
      <c r="T727" s="71" t="s">
        <v>316</v>
      </c>
      <c r="U727" s="3" t="s">
        <v>258</v>
      </c>
      <c r="V727" s="8"/>
      <c r="W727" s="9"/>
      <c r="X727" s="10"/>
      <c r="Y727" s="7">
        <f t="shared" ref="Y727" si="264">SUM(V727:X727)</f>
        <v>0</v>
      </c>
      <c r="Z727" s="8"/>
      <c r="AA727" s="9"/>
      <c r="AB727" s="10"/>
      <c r="AC727" s="7">
        <f t="shared" ref="AC727" si="265">SUM(Z727:AB727)</f>
        <v>0</v>
      </c>
      <c r="AD727" s="8"/>
      <c r="AE727" s="9"/>
      <c r="AF727" s="10"/>
      <c r="AG727" s="7">
        <f t="shared" ref="AG727" si="266">SUM(AD727:AF727)</f>
        <v>0</v>
      </c>
      <c r="AH727" s="71" t="s">
        <v>259</v>
      </c>
    </row>
    <row r="728" spans="1:34" ht="14.25" thickBot="1">
      <c r="A728" s="2" t="s">
        <v>5</v>
      </c>
      <c r="B728" s="14">
        <f>SUM(B704:B727)</f>
        <v>0</v>
      </c>
      <c r="C728" s="14">
        <f>SUM(C704:C727)</f>
        <v>2</v>
      </c>
      <c r="D728" s="14">
        <f>SUM(D704:D727)</f>
        <v>4</v>
      </c>
      <c r="E728" s="15">
        <f t="shared" si="252"/>
        <v>6</v>
      </c>
      <c r="F728" s="14">
        <f>SUM(F704:F727)</f>
        <v>0</v>
      </c>
      <c r="G728" s="14">
        <f>SUM(G704:G727)</f>
        <v>2</v>
      </c>
      <c r="H728" s="14">
        <f>SUM(H704:H727)</f>
        <v>4</v>
      </c>
      <c r="I728" s="15">
        <f t="shared" si="253"/>
        <v>6</v>
      </c>
      <c r="K728" s="2" t="s">
        <v>5</v>
      </c>
      <c r="L728" s="14">
        <f>SUM(L704:L727)</f>
        <v>109</v>
      </c>
      <c r="M728" s="14">
        <f>SUM(M704:M727)</f>
        <v>135</v>
      </c>
      <c r="N728" s="14">
        <f>SUM(N704:N727)</f>
        <v>108</v>
      </c>
      <c r="O728" s="15">
        <f t="shared" si="254"/>
        <v>352</v>
      </c>
      <c r="P728" s="14">
        <f>SUM(P704:P727)</f>
        <v>109</v>
      </c>
      <c r="Q728" s="14">
        <f>SUM(Q704:Q727)</f>
        <v>135</v>
      </c>
      <c r="R728" s="14">
        <f>SUM(R704:R727)</f>
        <v>108</v>
      </c>
      <c r="S728" s="15">
        <f t="shared" si="255"/>
        <v>352</v>
      </c>
      <c r="U728" s="2" t="s">
        <v>5</v>
      </c>
      <c r="V728" s="14">
        <f>SUM(V704:V727)</f>
        <v>15</v>
      </c>
      <c r="W728" s="14">
        <f>SUM(W704:W727)</f>
        <v>7</v>
      </c>
      <c r="X728" s="14">
        <f>SUM(X704:X727)</f>
        <v>7</v>
      </c>
      <c r="Y728" s="15">
        <f t="shared" si="256"/>
        <v>29</v>
      </c>
      <c r="Z728" s="14">
        <f>SUM(Z704:Z727)</f>
        <v>15</v>
      </c>
      <c r="AA728" s="14">
        <f>SUM(AA704:AA727)</f>
        <v>7</v>
      </c>
      <c r="AB728" s="14">
        <f>SUM(AB704:AB727)</f>
        <v>7</v>
      </c>
      <c r="AC728" s="15">
        <f t="shared" si="257"/>
        <v>29</v>
      </c>
      <c r="AD728" s="14">
        <f>SUM(AD704:AD727)</f>
        <v>15</v>
      </c>
      <c r="AE728" s="14">
        <f>SUM(AE704:AE727)</f>
        <v>7</v>
      </c>
      <c r="AF728" s="14">
        <f>SUM(AF704:AF727)</f>
        <v>7</v>
      </c>
      <c r="AG728" s="15">
        <f t="shared" si="258"/>
        <v>29</v>
      </c>
    </row>
    <row r="729" spans="1:34" ht="14.25" thickBot="1">
      <c r="A729" s="27" t="s">
        <v>6</v>
      </c>
      <c r="B729" s="28">
        <f>B703-B728</f>
        <v>6</v>
      </c>
      <c r="C729" s="28">
        <f t="shared" ref="C729:E729" si="267">C703-C728</f>
        <v>3</v>
      </c>
      <c r="D729" s="28">
        <f t="shared" si="267"/>
        <v>7</v>
      </c>
      <c r="E729" s="28">
        <f t="shared" si="267"/>
        <v>16</v>
      </c>
      <c r="F729" s="28">
        <f>F703-F728</f>
        <v>6</v>
      </c>
      <c r="G729" s="28">
        <f t="shared" ref="G729:I729" si="268">G703-G728</f>
        <v>3</v>
      </c>
      <c r="H729" s="28">
        <f t="shared" si="268"/>
        <v>7</v>
      </c>
      <c r="I729" s="26">
        <f t="shared" si="268"/>
        <v>16</v>
      </c>
      <c r="K729" s="27" t="s">
        <v>6</v>
      </c>
      <c r="L729" s="28">
        <f>L703-L728</f>
        <v>61</v>
      </c>
      <c r="M729" s="28">
        <f t="shared" ref="M729:O729" si="269">M703-M728</f>
        <v>83</v>
      </c>
      <c r="N729" s="28">
        <f t="shared" si="269"/>
        <v>19</v>
      </c>
      <c r="O729" s="28">
        <f t="shared" si="269"/>
        <v>163</v>
      </c>
      <c r="P729" s="28">
        <f>P703-P728</f>
        <v>61</v>
      </c>
      <c r="Q729" s="28">
        <f t="shared" ref="Q729:S729" si="270">Q703-Q728</f>
        <v>83</v>
      </c>
      <c r="R729" s="28">
        <f t="shared" si="270"/>
        <v>19</v>
      </c>
      <c r="S729" s="26">
        <f t="shared" si="270"/>
        <v>163</v>
      </c>
      <c r="U729" s="27" t="s">
        <v>6</v>
      </c>
      <c r="V729" s="28">
        <f>V703-V728</f>
        <v>16</v>
      </c>
      <c r="W729" s="28">
        <f t="shared" ref="W729:Y729" si="271">W703-W728</f>
        <v>54</v>
      </c>
      <c r="X729" s="28">
        <f t="shared" si="271"/>
        <v>24</v>
      </c>
      <c r="Y729" s="28">
        <f t="shared" si="271"/>
        <v>94</v>
      </c>
      <c r="Z729" s="28">
        <f>Z703-Z728</f>
        <v>16</v>
      </c>
      <c r="AA729" s="28">
        <f t="shared" ref="AA729:AC729" si="272">AA703-AA728</f>
        <v>54</v>
      </c>
      <c r="AB729" s="28">
        <f t="shared" si="272"/>
        <v>24</v>
      </c>
      <c r="AC729" s="26">
        <f t="shared" si="272"/>
        <v>94</v>
      </c>
      <c r="AD729" s="28">
        <f>AD703-AD728</f>
        <v>16</v>
      </c>
      <c r="AE729" s="28">
        <f t="shared" ref="AE729:AG729" si="273">AE703-AE728</f>
        <v>54</v>
      </c>
      <c r="AF729" s="28">
        <f t="shared" si="273"/>
        <v>24</v>
      </c>
      <c r="AG729" s="26">
        <f t="shared" si="273"/>
        <v>94</v>
      </c>
    </row>
    <row r="732" spans="1:34" ht="26.25" thickBot="1">
      <c r="A732" s="33" t="s">
        <v>15</v>
      </c>
      <c r="B732" s="34"/>
      <c r="C732" s="34"/>
      <c r="D732" s="34"/>
      <c r="E732" s="34"/>
      <c r="F732" s="35"/>
      <c r="G732" s="35"/>
      <c r="H732" s="35"/>
      <c r="I732" s="35"/>
      <c r="K732" s="33" t="s">
        <v>243</v>
      </c>
      <c r="L732" s="34"/>
      <c r="M732" s="34"/>
      <c r="N732" s="34"/>
      <c r="O732" s="34"/>
      <c r="P732" s="35"/>
      <c r="Q732" s="35"/>
      <c r="R732" s="35"/>
      <c r="S732" s="35"/>
      <c r="U732" s="88" t="s">
        <v>244</v>
      </c>
      <c r="V732" s="89"/>
      <c r="W732" s="89"/>
      <c r="X732" s="89"/>
      <c r="Y732" s="89"/>
      <c r="Z732" s="90"/>
      <c r="AA732" s="90"/>
      <c r="AB732" s="90"/>
      <c r="AC732" s="90"/>
    </row>
    <row r="733" spans="1:34" ht="14.25" thickBot="1">
      <c r="A733" s="1" t="s">
        <v>0</v>
      </c>
      <c r="B733" s="182" t="s">
        <v>17</v>
      </c>
      <c r="C733" s="182"/>
      <c r="D733" s="182"/>
      <c r="E733" s="183"/>
      <c r="F733" s="182" t="s">
        <v>13</v>
      </c>
      <c r="G733" s="182"/>
      <c r="H733" s="182"/>
      <c r="I733" s="183"/>
      <c r="K733" s="1" t="s">
        <v>0</v>
      </c>
      <c r="L733" s="182" t="s">
        <v>17</v>
      </c>
      <c r="M733" s="182"/>
      <c r="N733" s="182"/>
      <c r="O733" s="183"/>
      <c r="P733" s="182" t="s">
        <v>13</v>
      </c>
      <c r="Q733" s="182"/>
      <c r="R733" s="182"/>
      <c r="S733" s="183"/>
      <c r="U733" s="1" t="s">
        <v>0</v>
      </c>
      <c r="V733" s="182" t="s">
        <v>17</v>
      </c>
      <c r="W733" s="182"/>
      <c r="X733" s="182"/>
      <c r="Y733" s="183"/>
      <c r="Z733" s="182" t="s">
        <v>13</v>
      </c>
      <c r="AA733" s="182"/>
      <c r="AB733" s="182"/>
      <c r="AC733" s="183"/>
      <c r="AD733" s="182" t="s">
        <v>242</v>
      </c>
      <c r="AE733" s="182"/>
      <c r="AF733" s="182"/>
      <c r="AG733" s="183"/>
    </row>
    <row r="734" spans="1:34" ht="14.25" thickBot="1">
      <c r="A734" s="1" t="s">
        <v>1</v>
      </c>
      <c r="B734" s="2" t="s">
        <v>8</v>
      </c>
      <c r="C734" s="1" t="s">
        <v>9</v>
      </c>
      <c r="D734" s="19" t="s">
        <v>10</v>
      </c>
      <c r="E734" s="1" t="s">
        <v>2</v>
      </c>
      <c r="F734" s="2" t="s">
        <v>8</v>
      </c>
      <c r="G734" s="1" t="s">
        <v>9</v>
      </c>
      <c r="H734" s="19" t="s">
        <v>10</v>
      </c>
      <c r="I734" s="1" t="s">
        <v>2</v>
      </c>
      <c r="K734" s="1" t="s">
        <v>1</v>
      </c>
      <c r="L734" s="2" t="s">
        <v>8</v>
      </c>
      <c r="M734" s="1" t="s">
        <v>9</v>
      </c>
      <c r="N734" s="19" t="s">
        <v>10</v>
      </c>
      <c r="O734" s="1" t="s">
        <v>2</v>
      </c>
      <c r="P734" s="2" t="s">
        <v>8</v>
      </c>
      <c r="Q734" s="1" t="s">
        <v>9</v>
      </c>
      <c r="R734" s="19" t="s">
        <v>10</v>
      </c>
      <c r="S734" s="1" t="s">
        <v>2</v>
      </c>
      <c r="U734" s="1" t="s">
        <v>1</v>
      </c>
      <c r="V734" s="2" t="s">
        <v>8</v>
      </c>
      <c r="W734" s="1" t="s">
        <v>9</v>
      </c>
      <c r="X734" s="19" t="s">
        <v>10</v>
      </c>
      <c r="Y734" s="1" t="s">
        <v>2</v>
      </c>
      <c r="Z734" s="2" t="s">
        <v>8</v>
      </c>
      <c r="AA734" s="1" t="s">
        <v>9</v>
      </c>
      <c r="AB734" s="19" t="s">
        <v>10</v>
      </c>
      <c r="AC734" s="1" t="s">
        <v>2</v>
      </c>
      <c r="AD734" s="2" t="s">
        <v>8</v>
      </c>
      <c r="AE734" s="1" t="s">
        <v>9</v>
      </c>
      <c r="AF734" s="19" t="s">
        <v>10</v>
      </c>
      <c r="AG734" s="1" t="s">
        <v>2</v>
      </c>
    </row>
    <row r="735" spans="1:34">
      <c r="A735" s="21" t="s">
        <v>7</v>
      </c>
      <c r="B735" s="18">
        <f>B729</f>
        <v>6</v>
      </c>
      <c r="C735" s="22">
        <f>C729</f>
        <v>3</v>
      </c>
      <c r="D735" s="22">
        <f>D729</f>
        <v>7</v>
      </c>
      <c r="E735" s="17">
        <f t="shared" ref="E735:E771" si="274">SUM(B735:D735)</f>
        <v>16</v>
      </c>
      <c r="F735" s="22">
        <f>F729</f>
        <v>6</v>
      </c>
      <c r="G735" s="22">
        <f>G729</f>
        <v>3</v>
      </c>
      <c r="H735" s="22">
        <f>H729</f>
        <v>7</v>
      </c>
      <c r="I735" s="17">
        <f t="shared" ref="I735:I771" si="275">SUM(F735:H735)</f>
        <v>16</v>
      </c>
      <c r="K735" s="21" t="s">
        <v>7</v>
      </c>
      <c r="L735" s="18">
        <f>L729</f>
        <v>61</v>
      </c>
      <c r="M735" s="22">
        <f>M729</f>
        <v>83</v>
      </c>
      <c r="N735" s="22">
        <f>N729</f>
        <v>19</v>
      </c>
      <c r="O735" s="17">
        <f t="shared" ref="O735:O771" si="276">SUM(L735:N735)</f>
        <v>163</v>
      </c>
      <c r="P735" s="22">
        <f>P729</f>
        <v>61</v>
      </c>
      <c r="Q735" s="22">
        <f>Q729</f>
        <v>83</v>
      </c>
      <c r="R735" s="22">
        <f>R729</f>
        <v>19</v>
      </c>
      <c r="S735" s="17">
        <f t="shared" ref="S735:S771" si="277">SUM(P735:R735)</f>
        <v>163</v>
      </c>
      <c r="U735" s="21" t="s">
        <v>7</v>
      </c>
      <c r="V735" s="18">
        <f>V729</f>
        <v>16</v>
      </c>
      <c r="W735" s="22">
        <f>W729</f>
        <v>54</v>
      </c>
      <c r="X735" s="22">
        <f>X729</f>
        <v>24</v>
      </c>
      <c r="Y735" s="17">
        <f t="shared" ref="Y735:Y771" si="278">SUM(V735:X735)</f>
        <v>94</v>
      </c>
      <c r="Z735" s="22">
        <f>Z729</f>
        <v>16</v>
      </c>
      <c r="AA735" s="22">
        <f>AA729</f>
        <v>54</v>
      </c>
      <c r="AB735" s="22">
        <f>AB729</f>
        <v>24</v>
      </c>
      <c r="AC735" s="17">
        <f t="shared" ref="AC735:AC771" si="279">SUM(Z735:AB735)</f>
        <v>94</v>
      </c>
      <c r="AD735" s="22">
        <f>AD729</f>
        <v>16</v>
      </c>
      <c r="AE735" s="22">
        <f>AE729</f>
        <v>54</v>
      </c>
      <c r="AF735" s="22">
        <f>AF729</f>
        <v>24</v>
      </c>
      <c r="AG735" s="17">
        <f t="shared" ref="AG735:AG771" si="280">SUM(AD735:AF735)</f>
        <v>94</v>
      </c>
    </row>
    <row r="736" spans="1:34">
      <c r="A736" s="5" t="s">
        <v>196</v>
      </c>
      <c r="B736" s="30">
        <v>1</v>
      </c>
      <c r="C736" s="31"/>
      <c r="D736" s="32"/>
      <c r="E736" s="4">
        <f t="shared" si="274"/>
        <v>1</v>
      </c>
      <c r="F736" s="30">
        <v>1</v>
      </c>
      <c r="G736" s="31"/>
      <c r="H736" s="32"/>
      <c r="I736" s="4">
        <f t="shared" si="275"/>
        <v>1</v>
      </c>
      <c r="J736" s="43">
        <v>44382</v>
      </c>
      <c r="K736" s="5" t="s">
        <v>3</v>
      </c>
      <c r="L736" s="16"/>
      <c r="M736" s="11"/>
      <c r="N736" s="16"/>
      <c r="O736" s="4">
        <f t="shared" si="276"/>
        <v>0</v>
      </c>
      <c r="P736" s="16"/>
      <c r="Q736" s="11"/>
      <c r="R736" s="16"/>
      <c r="S736" s="4">
        <f t="shared" si="277"/>
        <v>0</v>
      </c>
      <c r="T736" s="43"/>
      <c r="U736" s="5" t="s">
        <v>3</v>
      </c>
      <c r="V736" s="16"/>
      <c r="W736" s="11"/>
      <c r="X736" s="16"/>
      <c r="Y736" s="4">
        <f t="shared" si="278"/>
        <v>0</v>
      </c>
      <c r="Z736" s="16"/>
      <c r="AA736" s="11"/>
      <c r="AB736" s="16"/>
      <c r="AC736" s="4">
        <f t="shared" si="279"/>
        <v>0</v>
      </c>
      <c r="AD736" s="16"/>
      <c r="AE736" s="11"/>
      <c r="AF736" s="16"/>
      <c r="AG736" s="4">
        <f t="shared" si="280"/>
        <v>0</v>
      </c>
      <c r="AH736" s="43"/>
    </row>
    <row r="737" spans="1:34">
      <c r="A737" s="5" t="s">
        <v>196</v>
      </c>
      <c r="B737" s="30">
        <v>2</v>
      </c>
      <c r="C737" s="31"/>
      <c r="D737" s="32"/>
      <c r="E737" s="4">
        <f t="shared" si="274"/>
        <v>2</v>
      </c>
      <c r="F737" s="30">
        <v>2</v>
      </c>
      <c r="G737" s="31"/>
      <c r="H737" s="32"/>
      <c r="I737" s="4">
        <f t="shared" si="275"/>
        <v>2</v>
      </c>
      <c r="J737" s="43">
        <v>44384</v>
      </c>
      <c r="K737" s="5" t="s">
        <v>3</v>
      </c>
      <c r="L737" s="32"/>
      <c r="M737" s="31"/>
      <c r="N737" s="32"/>
      <c r="O737" s="4">
        <f t="shared" si="276"/>
        <v>0</v>
      </c>
      <c r="P737" s="32"/>
      <c r="Q737" s="31"/>
      <c r="R737" s="32"/>
      <c r="S737" s="4">
        <f t="shared" si="277"/>
        <v>0</v>
      </c>
      <c r="T737" s="43"/>
      <c r="U737" s="5" t="s">
        <v>3</v>
      </c>
      <c r="V737" s="32"/>
      <c r="W737" s="31"/>
      <c r="X737" s="32"/>
      <c r="Y737" s="4">
        <f t="shared" si="278"/>
        <v>0</v>
      </c>
      <c r="Z737" s="32"/>
      <c r="AA737" s="31"/>
      <c r="AB737" s="32"/>
      <c r="AC737" s="4">
        <f t="shared" si="279"/>
        <v>0</v>
      </c>
      <c r="AD737" s="32"/>
      <c r="AE737" s="31"/>
      <c r="AF737" s="32"/>
      <c r="AG737" s="4">
        <f t="shared" si="280"/>
        <v>0</v>
      </c>
      <c r="AH737" s="43"/>
    </row>
    <row r="738" spans="1:34">
      <c r="A738" s="5" t="s">
        <v>37</v>
      </c>
      <c r="B738" s="30"/>
      <c r="C738" s="31">
        <v>2</v>
      </c>
      <c r="D738" s="32">
        <v>1</v>
      </c>
      <c r="E738" s="4">
        <f t="shared" si="274"/>
        <v>3</v>
      </c>
      <c r="F738" s="30"/>
      <c r="G738" s="31">
        <v>2</v>
      </c>
      <c r="H738" s="32">
        <v>1</v>
      </c>
      <c r="I738" s="4">
        <f t="shared" si="275"/>
        <v>3</v>
      </c>
      <c r="J738" s="49">
        <v>44392</v>
      </c>
      <c r="K738" s="5" t="s">
        <v>343</v>
      </c>
      <c r="L738" s="32">
        <v>90</v>
      </c>
      <c r="M738" s="31">
        <v>120</v>
      </c>
      <c r="N738" s="32">
        <v>140</v>
      </c>
      <c r="O738" s="4">
        <f t="shared" si="276"/>
        <v>350</v>
      </c>
      <c r="P738" s="32">
        <v>90</v>
      </c>
      <c r="Q738" s="31">
        <v>120</v>
      </c>
      <c r="R738" s="32">
        <v>140</v>
      </c>
      <c r="S738" s="4">
        <f t="shared" si="277"/>
        <v>350</v>
      </c>
      <c r="T738" s="43" t="s">
        <v>359</v>
      </c>
      <c r="U738" s="5" t="s">
        <v>3</v>
      </c>
      <c r="V738" s="30"/>
      <c r="W738" s="31"/>
      <c r="X738" s="32"/>
      <c r="Y738" s="4">
        <f t="shared" ref="Y738" si="281">SUM(V738:X738)</f>
        <v>0</v>
      </c>
      <c r="Z738" s="30"/>
      <c r="AA738" s="31"/>
      <c r="AB738" s="32"/>
      <c r="AC738" s="4">
        <f t="shared" ref="AC738" si="282">SUM(Z738:AB738)</f>
        <v>0</v>
      </c>
      <c r="AD738" s="30"/>
      <c r="AE738" s="31"/>
      <c r="AF738" s="32"/>
      <c r="AG738" s="4">
        <f t="shared" ref="AG738" si="283">SUM(AD738:AF738)</f>
        <v>0</v>
      </c>
      <c r="AH738" s="43"/>
    </row>
    <row r="739" spans="1:34">
      <c r="A739" s="5" t="s">
        <v>3</v>
      </c>
      <c r="B739" s="16"/>
      <c r="C739" s="11"/>
      <c r="D739" s="16"/>
      <c r="E739" s="4">
        <f t="shared" si="274"/>
        <v>0</v>
      </c>
      <c r="F739" s="16"/>
      <c r="G739" s="11"/>
      <c r="H739" s="16"/>
      <c r="I739" s="4">
        <f t="shared" si="275"/>
        <v>0</v>
      </c>
      <c r="J739" s="49"/>
      <c r="K739" s="5" t="s">
        <v>3</v>
      </c>
      <c r="L739" s="16"/>
      <c r="M739" s="11"/>
      <c r="N739" s="16"/>
      <c r="O739" s="4">
        <f t="shared" si="276"/>
        <v>0</v>
      </c>
      <c r="P739" s="16"/>
      <c r="Q739" s="11"/>
      <c r="R739" s="16"/>
      <c r="S739" s="4">
        <f t="shared" si="277"/>
        <v>0</v>
      </c>
      <c r="T739" s="43"/>
      <c r="U739" s="5" t="s">
        <v>3</v>
      </c>
      <c r="V739" s="16"/>
      <c r="W739" s="11"/>
      <c r="X739" s="16"/>
      <c r="Y739" s="4">
        <f t="shared" si="278"/>
        <v>0</v>
      </c>
      <c r="Z739" s="16"/>
      <c r="AA739" s="11"/>
      <c r="AB739" s="16"/>
      <c r="AC739" s="4">
        <f t="shared" si="279"/>
        <v>0</v>
      </c>
      <c r="AD739" s="16"/>
      <c r="AE739" s="11"/>
      <c r="AF739" s="16"/>
      <c r="AG739" s="4">
        <f t="shared" si="280"/>
        <v>0</v>
      </c>
      <c r="AH739" s="43"/>
    </row>
    <row r="740" spans="1:34">
      <c r="A740" s="5" t="s">
        <v>3</v>
      </c>
      <c r="B740" s="16"/>
      <c r="C740" s="11"/>
      <c r="D740" s="16"/>
      <c r="E740" s="4">
        <f t="shared" si="274"/>
        <v>0</v>
      </c>
      <c r="F740" s="16"/>
      <c r="G740" s="11"/>
      <c r="H740" s="16"/>
      <c r="I740" s="4">
        <f t="shared" si="275"/>
        <v>0</v>
      </c>
      <c r="K740" s="5" t="s">
        <v>3</v>
      </c>
      <c r="L740" s="32"/>
      <c r="M740" s="31"/>
      <c r="N740" s="32"/>
      <c r="O740" s="4">
        <f t="shared" si="276"/>
        <v>0</v>
      </c>
      <c r="P740" s="32"/>
      <c r="Q740" s="31"/>
      <c r="R740" s="32"/>
      <c r="S740" s="4">
        <f t="shared" si="277"/>
        <v>0</v>
      </c>
      <c r="T740" s="43"/>
      <c r="U740" s="5" t="s">
        <v>3</v>
      </c>
      <c r="V740" s="32"/>
      <c r="W740" s="31"/>
      <c r="X740" s="32"/>
      <c r="Y740" s="4">
        <f t="shared" si="278"/>
        <v>0</v>
      </c>
      <c r="Z740" s="32"/>
      <c r="AA740" s="31"/>
      <c r="AB740" s="32"/>
      <c r="AC740" s="4">
        <f t="shared" si="279"/>
        <v>0</v>
      </c>
      <c r="AD740" s="32"/>
      <c r="AE740" s="31"/>
      <c r="AF740" s="32"/>
      <c r="AG740" s="4">
        <f t="shared" si="280"/>
        <v>0</v>
      </c>
      <c r="AH740" s="43"/>
    </row>
    <row r="741" spans="1:34">
      <c r="A741" s="5" t="s">
        <v>3</v>
      </c>
      <c r="B741" s="16"/>
      <c r="C741" s="11"/>
      <c r="D741" s="16"/>
      <c r="E741" s="4">
        <f t="shared" si="274"/>
        <v>0</v>
      </c>
      <c r="F741" s="16"/>
      <c r="G741" s="11"/>
      <c r="H741" s="16"/>
      <c r="I741" s="4">
        <f t="shared" si="275"/>
        <v>0</v>
      </c>
      <c r="K741" s="5" t="s">
        <v>3</v>
      </c>
      <c r="L741" s="16"/>
      <c r="M741" s="11"/>
      <c r="N741" s="16"/>
      <c r="O741" s="4">
        <f t="shared" si="276"/>
        <v>0</v>
      </c>
      <c r="P741" s="16"/>
      <c r="Q741" s="11"/>
      <c r="R741" s="16"/>
      <c r="S741" s="4">
        <f t="shared" si="277"/>
        <v>0</v>
      </c>
      <c r="T741" s="43"/>
      <c r="U741" s="5" t="s">
        <v>3</v>
      </c>
      <c r="V741" s="16"/>
      <c r="W741" s="11"/>
      <c r="X741" s="16"/>
      <c r="Y741" s="4">
        <f t="shared" si="278"/>
        <v>0</v>
      </c>
      <c r="Z741" s="16"/>
      <c r="AA741" s="11"/>
      <c r="AB741" s="16"/>
      <c r="AC741" s="4">
        <f t="shared" si="279"/>
        <v>0</v>
      </c>
      <c r="AD741" s="16"/>
      <c r="AE741" s="11"/>
      <c r="AF741" s="16"/>
      <c r="AG741" s="4">
        <f t="shared" si="280"/>
        <v>0</v>
      </c>
      <c r="AH741" s="43"/>
    </row>
    <row r="742" spans="1:34">
      <c r="A742" s="5" t="s">
        <v>3</v>
      </c>
      <c r="B742" s="32"/>
      <c r="C742" s="31"/>
      <c r="D742" s="32"/>
      <c r="E742" s="4">
        <f t="shared" si="274"/>
        <v>0</v>
      </c>
      <c r="F742" s="32"/>
      <c r="G742" s="31"/>
      <c r="H742" s="32"/>
      <c r="I742" s="4">
        <f t="shared" si="275"/>
        <v>0</v>
      </c>
      <c r="K742" s="5" t="s">
        <v>3</v>
      </c>
      <c r="L742" s="32"/>
      <c r="M742" s="31"/>
      <c r="N742" s="32"/>
      <c r="O742" s="4">
        <f t="shared" si="276"/>
        <v>0</v>
      </c>
      <c r="P742" s="32"/>
      <c r="Q742" s="31"/>
      <c r="R742" s="32"/>
      <c r="S742" s="4">
        <f t="shared" si="277"/>
        <v>0</v>
      </c>
      <c r="T742" s="43"/>
      <c r="U742" s="5" t="s">
        <v>3</v>
      </c>
      <c r="V742" s="32"/>
      <c r="W742" s="31"/>
      <c r="X742" s="32"/>
      <c r="Y742" s="4">
        <f t="shared" si="278"/>
        <v>0</v>
      </c>
      <c r="Z742" s="32"/>
      <c r="AA742" s="31"/>
      <c r="AB742" s="32"/>
      <c r="AC742" s="4">
        <f t="shared" si="279"/>
        <v>0</v>
      </c>
      <c r="AD742" s="32"/>
      <c r="AE742" s="31"/>
      <c r="AF742" s="32"/>
      <c r="AG742" s="4">
        <f t="shared" si="280"/>
        <v>0</v>
      </c>
      <c r="AH742" s="43"/>
    </row>
    <row r="743" spans="1:34">
      <c r="A743" s="5" t="s">
        <v>3</v>
      </c>
      <c r="B743" s="32"/>
      <c r="C743" s="31"/>
      <c r="D743" s="32"/>
      <c r="E743" s="4">
        <f t="shared" si="274"/>
        <v>0</v>
      </c>
      <c r="F743" s="32"/>
      <c r="G743" s="31"/>
      <c r="H743" s="32"/>
      <c r="I743" s="4">
        <f t="shared" si="275"/>
        <v>0</v>
      </c>
      <c r="K743" s="5" t="s">
        <v>3</v>
      </c>
      <c r="L743" s="32"/>
      <c r="M743" s="31"/>
      <c r="N743" s="32"/>
      <c r="O743" s="4">
        <f t="shared" si="276"/>
        <v>0</v>
      </c>
      <c r="P743" s="32"/>
      <c r="Q743" s="31"/>
      <c r="R743" s="32"/>
      <c r="S743" s="4">
        <f t="shared" si="277"/>
        <v>0</v>
      </c>
      <c r="T743" s="43"/>
      <c r="U743" s="5" t="s">
        <v>3</v>
      </c>
      <c r="V743" s="32"/>
      <c r="W743" s="31"/>
      <c r="X743" s="32"/>
      <c r="Y743" s="4">
        <f t="shared" si="278"/>
        <v>0</v>
      </c>
      <c r="Z743" s="32"/>
      <c r="AA743" s="31"/>
      <c r="AB743" s="32"/>
      <c r="AC743" s="4">
        <f t="shared" si="279"/>
        <v>0</v>
      </c>
      <c r="AD743" s="32"/>
      <c r="AE743" s="31"/>
      <c r="AF743" s="32"/>
      <c r="AG743" s="4">
        <f t="shared" si="280"/>
        <v>0</v>
      </c>
      <c r="AH743" s="43"/>
    </row>
    <row r="744" spans="1:34">
      <c r="A744" s="5" t="s">
        <v>3</v>
      </c>
      <c r="B744" s="30"/>
      <c r="C744" s="31"/>
      <c r="D744" s="32"/>
      <c r="E744" s="4">
        <f t="shared" si="274"/>
        <v>0</v>
      </c>
      <c r="F744" s="30"/>
      <c r="G744" s="31"/>
      <c r="H744" s="32"/>
      <c r="I744" s="4">
        <f t="shared" si="275"/>
        <v>0</v>
      </c>
      <c r="K744" s="5" t="s">
        <v>3</v>
      </c>
      <c r="L744" s="32"/>
      <c r="M744" s="31"/>
      <c r="N744" s="32"/>
      <c r="O744" s="4">
        <f t="shared" si="276"/>
        <v>0</v>
      </c>
      <c r="P744" s="32"/>
      <c r="Q744" s="31"/>
      <c r="R744" s="32"/>
      <c r="S744" s="4">
        <f t="shared" si="277"/>
        <v>0</v>
      </c>
      <c r="T744" s="43"/>
      <c r="U744" s="5" t="s">
        <v>3</v>
      </c>
      <c r="V744" s="30"/>
      <c r="W744" s="31"/>
      <c r="X744" s="32"/>
      <c r="Y744" s="4">
        <f t="shared" si="278"/>
        <v>0</v>
      </c>
      <c r="Z744" s="30"/>
      <c r="AA744" s="31"/>
      <c r="AB744" s="32"/>
      <c r="AC744" s="4">
        <f t="shared" si="279"/>
        <v>0</v>
      </c>
      <c r="AD744" s="30"/>
      <c r="AE744" s="31"/>
      <c r="AF744" s="32"/>
      <c r="AG744" s="4">
        <f t="shared" si="280"/>
        <v>0</v>
      </c>
      <c r="AH744" s="43"/>
    </row>
    <row r="745" spans="1:34" ht="14.25" thickBot="1">
      <c r="A745" s="6" t="s">
        <v>3</v>
      </c>
      <c r="B745" s="36"/>
      <c r="C745" s="37"/>
      <c r="D745" s="36"/>
      <c r="E745" s="20">
        <f t="shared" si="274"/>
        <v>0</v>
      </c>
      <c r="F745" s="13"/>
      <c r="G745" s="12"/>
      <c r="H745" s="13"/>
      <c r="I745" s="20">
        <f t="shared" si="275"/>
        <v>0</v>
      </c>
      <c r="K745" s="6" t="s">
        <v>3</v>
      </c>
      <c r="L745" s="13"/>
      <c r="M745" s="12"/>
      <c r="N745" s="13"/>
      <c r="O745" s="20">
        <f t="shared" si="276"/>
        <v>0</v>
      </c>
      <c r="P745" s="13"/>
      <c r="Q745" s="12"/>
      <c r="R745" s="13"/>
      <c r="S745" s="20">
        <f t="shared" si="277"/>
        <v>0</v>
      </c>
      <c r="T745" s="93"/>
      <c r="U745" s="6" t="s">
        <v>3</v>
      </c>
      <c r="V745" s="13"/>
      <c r="W745" s="12"/>
      <c r="X745" s="13"/>
      <c r="Y745" s="20">
        <f t="shared" si="278"/>
        <v>0</v>
      </c>
      <c r="Z745" s="13"/>
      <c r="AA745" s="12"/>
      <c r="AB745" s="13"/>
      <c r="AC745" s="20">
        <f t="shared" si="279"/>
        <v>0</v>
      </c>
      <c r="AD745" s="13"/>
      <c r="AE745" s="12"/>
      <c r="AF745" s="13"/>
      <c r="AG745" s="20">
        <f t="shared" si="280"/>
        <v>0</v>
      </c>
    </row>
    <row r="746" spans="1:34" ht="14.25" thickBot="1">
      <c r="A746" s="23" t="s">
        <v>4</v>
      </c>
      <c r="B746" s="24">
        <f>SUM(B735:B745)</f>
        <v>9</v>
      </c>
      <c r="C746" s="24">
        <f>SUM(C735:C745)</f>
        <v>5</v>
      </c>
      <c r="D746" s="25">
        <f>SUM(D735:D745)</f>
        <v>8</v>
      </c>
      <c r="E746" s="26">
        <f t="shared" si="274"/>
        <v>22</v>
      </c>
      <c r="F746" s="24">
        <f>SUM(F735:F745)</f>
        <v>9</v>
      </c>
      <c r="G746" s="24">
        <f>SUM(G735:G745)</f>
        <v>5</v>
      </c>
      <c r="H746" s="25">
        <f>SUM(H735:H745)</f>
        <v>8</v>
      </c>
      <c r="I746" s="26">
        <f t="shared" si="275"/>
        <v>22</v>
      </c>
      <c r="K746" s="23" t="s">
        <v>4</v>
      </c>
      <c r="L746" s="24">
        <f>SUM(L735:L745)</f>
        <v>151</v>
      </c>
      <c r="M746" s="24">
        <f>SUM(M735:M745)</f>
        <v>203</v>
      </c>
      <c r="N746" s="25">
        <f>SUM(N735:N745)</f>
        <v>159</v>
      </c>
      <c r="O746" s="26">
        <f t="shared" si="276"/>
        <v>513</v>
      </c>
      <c r="P746" s="24">
        <f>SUM(P735:P745)</f>
        <v>151</v>
      </c>
      <c r="Q746" s="24">
        <f>SUM(Q735:Q745)</f>
        <v>203</v>
      </c>
      <c r="R746" s="25">
        <f>SUM(R735:R745)</f>
        <v>159</v>
      </c>
      <c r="S746" s="26">
        <f t="shared" si="277"/>
        <v>513</v>
      </c>
      <c r="U746" s="23" t="s">
        <v>4</v>
      </c>
      <c r="V746" s="24">
        <f>SUM(V735:V745)</f>
        <v>16</v>
      </c>
      <c r="W746" s="24">
        <f>SUM(W735:W745)</f>
        <v>54</v>
      </c>
      <c r="X746" s="25">
        <f>SUM(X735:X745)</f>
        <v>24</v>
      </c>
      <c r="Y746" s="26">
        <f t="shared" si="278"/>
        <v>94</v>
      </c>
      <c r="Z746" s="24">
        <f>SUM(Z735:Z745)</f>
        <v>16</v>
      </c>
      <c r="AA746" s="24">
        <f>SUM(AA735:AA745)</f>
        <v>54</v>
      </c>
      <c r="AB746" s="25">
        <f>SUM(AB735:AB745)</f>
        <v>24</v>
      </c>
      <c r="AC746" s="26">
        <f t="shared" si="279"/>
        <v>94</v>
      </c>
      <c r="AD746" s="24">
        <f>SUM(AD735:AD745)</f>
        <v>16</v>
      </c>
      <c r="AE746" s="24">
        <f>SUM(AE735:AE745)</f>
        <v>54</v>
      </c>
      <c r="AF746" s="25">
        <f>SUM(AF735:AF745)</f>
        <v>24</v>
      </c>
      <c r="AG746" s="26">
        <f t="shared" si="280"/>
        <v>94</v>
      </c>
    </row>
    <row r="747" spans="1:34">
      <c r="A747" s="3" t="s">
        <v>362</v>
      </c>
      <c r="B747" s="8"/>
      <c r="C747" s="9">
        <v>1</v>
      </c>
      <c r="D747" s="10"/>
      <c r="E747" s="4">
        <f t="shared" si="274"/>
        <v>1</v>
      </c>
      <c r="F747" s="8"/>
      <c r="G747" s="9">
        <v>1</v>
      </c>
      <c r="H747" s="10"/>
      <c r="I747" s="4">
        <f t="shared" si="275"/>
        <v>1</v>
      </c>
      <c r="J747" s="43">
        <v>44383</v>
      </c>
      <c r="K747" s="3" t="s">
        <v>351</v>
      </c>
      <c r="L747" s="8">
        <v>6</v>
      </c>
      <c r="M747" s="9"/>
      <c r="N747" s="10"/>
      <c r="O747" s="7">
        <f t="shared" si="276"/>
        <v>6</v>
      </c>
      <c r="P747" s="8">
        <v>6</v>
      </c>
      <c r="Q747" s="9"/>
      <c r="R747" s="10"/>
      <c r="S747" s="7">
        <f t="shared" si="277"/>
        <v>6</v>
      </c>
      <c r="T747" s="43">
        <v>44373</v>
      </c>
      <c r="U747" s="3" t="s">
        <v>360</v>
      </c>
      <c r="V747" s="8">
        <v>4</v>
      </c>
      <c r="W747" s="9">
        <v>4</v>
      </c>
      <c r="X747" s="10"/>
      <c r="Y747" s="7">
        <f t="shared" si="278"/>
        <v>8</v>
      </c>
      <c r="Z747" s="8">
        <v>4</v>
      </c>
      <c r="AA747" s="9">
        <v>4</v>
      </c>
      <c r="AB747" s="10"/>
      <c r="AC747" s="7">
        <f t="shared" si="279"/>
        <v>8</v>
      </c>
      <c r="AD747" s="8">
        <v>4</v>
      </c>
      <c r="AE747" s="9">
        <v>4</v>
      </c>
      <c r="AF747" s="10"/>
      <c r="AG747" s="7">
        <f t="shared" si="280"/>
        <v>8</v>
      </c>
      <c r="AH747" s="43">
        <v>44383</v>
      </c>
    </row>
    <row r="748" spans="1:34">
      <c r="A748" s="3" t="s">
        <v>380</v>
      </c>
      <c r="B748" s="8"/>
      <c r="C748" s="9"/>
      <c r="D748" s="10">
        <v>1</v>
      </c>
      <c r="E748" s="4">
        <f t="shared" si="274"/>
        <v>1</v>
      </c>
      <c r="F748" s="8"/>
      <c r="G748" s="9"/>
      <c r="H748" s="10">
        <v>1</v>
      </c>
      <c r="I748" s="4">
        <f t="shared" si="275"/>
        <v>1</v>
      </c>
      <c r="J748" s="43">
        <v>44397</v>
      </c>
      <c r="K748" s="3" t="s">
        <v>352</v>
      </c>
      <c r="L748" s="8">
        <v>2</v>
      </c>
      <c r="M748" s="9">
        <v>5</v>
      </c>
      <c r="N748" s="10"/>
      <c r="O748" s="4">
        <f t="shared" si="276"/>
        <v>7</v>
      </c>
      <c r="P748" s="8">
        <v>2</v>
      </c>
      <c r="Q748" s="9">
        <v>5</v>
      </c>
      <c r="R748" s="10"/>
      <c r="S748" s="4">
        <f t="shared" si="277"/>
        <v>7</v>
      </c>
      <c r="T748" s="43">
        <v>44376</v>
      </c>
      <c r="U748" s="40"/>
      <c r="V748" s="8"/>
      <c r="W748" s="9"/>
      <c r="X748" s="10"/>
      <c r="Y748" s="4">
        <f t="shared" si="278"/>
        <v>0</v>
      </c>
      <c r="Z748" s="8"/>
      <c r="AA748" s="9"/>
      <c r="AB748" s="10"/>
      <c r="AC748" s="4">
        <f t="shared" si="279"/>
        <v>0</v>
      </c>
      <c r="AD748" s="8"/>
      <c r="AE748" s="9"/>
      <c r="AF748" s="10"/>
      <c r="AG748" s="4">
        <f t="shared" si="280"/>
        <v>0</v>
      </c>
      <c r="AH748" s="43"/>
    </row>
    <row r="749" spans="1:34">
      <c r="A749" s="3"/>
      <c r="B749" s="8"/>
      <c r="C749" s="9"/>
      <c r="D749" s="10"/>
      <c r="E749" s="7">
        <f t="shared" si="274"/>
        <v>0</v>
      </c>
      <c r="F749" s="8"/>
      <c r="G749" s="9"/>
      <c r="H749" s="10"/>
      <c r="I749" s="7">
        <f t="shared" si="275"/>
        <v>0</v>
      </c>
      <c r="J749" s="43"/>
      <c r="K749" s="3" t="s">
        <v>355</v>
      </c>
      <c r="L749" s="8">
        <v>4</v>
      </c>
      <c r="M749" s="9">
        <v>2</v>
      </c>
      <c r="N749" s="10">
        <v>6</v>
      </c>
      <c r="O749" s="7">
        <f t="shared" si="276"/>
        <v>12</v>
      </c>
      <c r="P749" s="8">
        <v>4</v>
      </c>
      <c r="Q749" s="9">
        <v>2</v>
      </c>
      <c r="R749" s="10">
        <v>6</v>
      </c>
      <c r="S749" s="7">
        <f t="shared" si="277"/>
        <v>12</v>
      </c>
      <c r="T749" s="43">
        <v>44377</v>
      </c>
      <c r="U749" s="40"/>
      <c r="V749" s="8"/>
      <c r="W749" s="9"/>
      <c r="X749" s="10"/>
      <c r="Y749" s="7">
        <f t="shared" si="278"/>
        <v>0</v>
      </c>
      <c r="Z749" s="8"/>
      <c r="AA749" s="9"/>
      <c r="AB749" s="10"/>
      <c r="AC749" s="7">
        <f t="shared" si="279"/>
        <v>0</v>
      </c>
      <c r="AD749" s="8"/>
      <c r="AE749" s="9"/>
      <c r="AF749" s="10"/>
      <c r="AG749" s="7">
        <f t="shared" si="280"/>
        <v>0</v>
      </c>
      <c r="AH749" s="43"/>
    </row>
    <row r="750" spans="1:34">
      <c r="A750" s="3"/>
      <c r="B750" s="8"/>
      <c r="C750" s="9"/>
      <c r="D750" s="10"/>
      <c r="E750" s="4">
        <f t="shared" si="274"/>
        <v>0</v>
      </c>
      <c r="F750" s="8"/>
      <c r="G750" s="9"/>
      <c r="H750" s="10"/>
      <c r="I750" s="4">
        <f t="shared" si="275"/>
        <v>0</v>
      </c>
      <c r="K750" s="3" t="s">
        <v>356</v>
      </c>
      <c r="L750" s="8">
        <v>5</v>
      </c>
      <c r="M750" s="9">
        <v>11</v>
      </c>
      <c r="N750" s="10">
        <v>2</v>
      </c>
      <c r="O750" s="4">
        <f t="shared" si="276"/>
        <v>18</v>
      </c>
      <c r="P750" s="8">
        <v>5</v>
      </c>
      <c r="Q750" s="9">
        <v>11</v>
      </c>
      <c r="R750" s="10">
        <v>2</v>
      </c>
      <c r="S750" s="4">
        <f t="shared" si="277"/>
        <v>18</v>
      </c>
      <c r="T750" s="43">
        <v>44378</v>
      </c>
      <c r="U750" s="40"/>
      <c r="V750" s="8"/>
      <c r="W750" s="9"/>
      <c r="X750" s="10"/>
      <c r="Y750" s="4">
        <f t="shared" si="278"/>
        <v>0</v>
      </c>
      <c r="Z750" s="8"/>
      <c r="AA750" s="9"/>
      <c r="AB750" s="10"/>
      <c r="AC750" s="4">
        <f t="shared" si="279"/>
        <v>0</v>
      </c>
      <c r="AD750" s="8"/>
      <c r="AE750" s="9"/>
      <c r="AF750" s="10"/>
      <c r="AG750" s="4">
        <f t="shared" si="280"/>
        <v>0</v>
      </c>
      <c r="AH750" s="43"/>
    </row>
    <row r="751" spans="1:34">
      <c r="A751" s="3"/>
      <c r="B751" s="8"/>
      <c r="C751" s="9"/>
      <c r="D751" s="10"/>
      <c r="E751" s="4">
        <f t="shared" si="274"/>
        <v>0</v>
      </c>
      <c r="F751" s="8"/>
      <c r="G751" s="9"/>
      <c r="H751" s="10"/>
      <c r="I751" s="4">
        <f t="shared" si="275"/>
        <v>0</v>
      </c>
      <c r="K751" s="3" t="s">
        <v>357</v>
      </c>
      <c r="L751" s="8">
        <v>4</v>
      </c>
      <c r="M751" s="9">
        <v>2</v>
      </c>
      <c r="N751" s="10">
        <v>3</v>
      </c>
      <c r="O751" s="4">
        <f t="shared" si="276"/>
        <v>9</v>
      </c>
      <c r="P751" s="8">
        <v>4</v>
      </c>
      <c r="Q751" s="9">
        <v>2</v>
      </c>
      <c r="R751" s="10">
        <v>3</v>
      </c>
      <c r="S751" s="4">
        <f t="shared" si="277"/>
        <v>9</v>
      </c>
      <c r="T751" s="43">
        <v>44379</v>
      </c>
      <c r="U751" s="3"/>
      <c r="V751" s="8"/>
      <c r="W751" s="9"/>
      <c r="X751" s="10"/>
      <c r="Y751" s="4">
        <f t="shared" si="278"/>
        <v>0</v>
      </c>
      <c r="Z751" s="8"/>
      <c r="AA751" s="9"/>
      <c r="AB751" s="10"/>
      <c r="AC751" s="4">
        <f t="shared" si="279"/>
        <v>0</v>
      </c>
      <c r="AD751" s="8"/>
      <c r="AE751" s="9"/>
      <c r="AF751" s="10"/>
      <c r="AG751" s="4">
        <f t="shared" si="280"/>
        <v>0</v>
      </c>
      <c r="AH751" s="43"/>
    </row>
    <row r="752" spans="1:34">
      <c r="A752" s="3"/>
      <c r="B752" s="8"/>
      <c r="C752" s="9"/>
      <c r="D752" s="10"/>
      <c r="E752" s="7">
        <f t="shared" si="274"/>
        <v>0</v>
      </c>
      <c r="F752" s="8"/>
      <c r="G752" s="9"/>
      <c r="H752" s="10"/>
      <c r="I752" s="7">
        <f t="shared" si="275"/>
        <v>0</v>
      </c>
      <c r="K752" s="3" t="s">
        <v>358</v>
      </c>
      <c r="L752" s="8"/>
      <c r="M752" s="9">
        <v>2</v>
      </c>
      <c r="N752" s="10"/>
      <c r="O752" s="7">
        <f t="shared" si="276"/>
        <v>2</v>
      </c>
      <c r="P752" s="8"/>
      <c r="Q752" s="9">
        <v>2</v>
      </c>
      <c r="R752" s="10"/>
      <c r="S752" s="7">
        <f t="shared" si="277"/>
        <v>2</v>
      </c>
      <c r="T752" s="43">
        <v>44380</v>
      </c>
      <c r="U752" s="3"/>
      <c r="V752" s="8"/>
      <c r="W752" s="9"/>
      <c r="X752" s="10"/>
      <c r="Y752" s="7">
        <f t="shared" si="278"/>
        <v>0</v>
      </c>
      <c r="Z752" s="8"/>
      <c r="AA752" s="9"/>
      <c r="AB752" s="10"/>
      <c r="AC752" s="7">
        <f t="shared" si="279"/>
        <v>0</v>
      </c>
      <c r="AD752" s="8"/>
      <c r="AE752" s="9"/>
      <c r="AF752" s="10"/>
      <c r="AG752" s="7">
        <f t="shared" si="280"/>
        <v>0</v>
      </c>
      <c r="AH752" s="43"/>
    </row>
    <row r="753" spans="1:34">
      <c r="A753" s="3"/>
      <c r="B753" s="8"/>
      <c r="C753" s="9"/>
      <c r="D753" s="10"/>
      <c r="E753" s="7">
        <f t="shared" si="274"/>
        <v>0</v>
      </c>
      <c r="F753" s="8"/>
      <c r="G753" s="9"/>
      <c r="H753" s="10"/>
      <c r="I753" s="7">
        <f t="shared" si="275"/>
        <v>0</v>
      </c>
      <c r="K753" s="3" t="s">
        <v>361</v>
      </c>
      <c r="L753" s="8"/>
      <c r="M753" s="9">
        <v>10</v>
      </c>
      <c r="N753" s="10">
        <v>3</v>
      </c>
      <c r="O753" s="7">
        <f t="shared" si="276"/>
        <v>13</v>
      </c>
      <c r="P753" s="8"/>
      <c r="Q753" s="9">
        <v>10</v>
      </c>
      <c r="R753" s="10">
        <v>3</v>
      </c>
      <c r="S753" s="7">
        <f t="shared" si="277"/>
        <v>13</v>
      </c>
      <c r="T753" s="43">
        <v>44383</v>
      </c>
      <c r="U753" s="3"/>
      <c r="V753" s="8"/>
      <c r="W753" s="9"/>
      <c r="X753" s="10"/>
      <c r="Y753" s="7">
        <f t="shared" si="278"/>
        <v>0</v>
      </c>
      <c r="Z753" s="8"/>
      <c r="AA753" s="9"/>
      <c r="AB753" s="10"/>
      <c r="AC753" s="7">
        <f t="shared" si="279"/>
        <v>0</v>
      </c>
      <c r="AD753" s="8"/>
      <c r="AE753" s="9"/>
      <c r="AF753" s="10"/>
      <c r="AG753" s="7">
        <f t="shared" si="280"/>
        <v>0</v>
      </c>
      <c r="AH753" s="43"/>
    </row>
    <row r="754" spans="1:34">
      <c r="A754" s="3"/>
      <c r="B754" s="8"/>
      <c r="C754" s="9"/>
      <c r="D754" s="10"/>
      <c r="E754" s="7">
        <f t="shared" si="274"/>
        <v>0</v>
      </c>
      <c r="F754" s="8"/>
      <c r="G754" s="9"/>
      <c r="H754" s="10"/>
      <c r="I754" s="7">
        <f t="shared" si="275"/>
        <v>0</v>
      </c>
      <c r="K754" s="11" t="s">
        <v>363</v>
      </c>
      <c r="L754" s="8">
        <v>10</v>
      </c>
      <c r="M754" s="9">
        <v>14</v>
      </c>
      <c r="N754" s="10"/>
      <c r="O754" s="7">
        <f t="shared" si="276"/>
        <v>24</v>
      </c>
      <c r="P754" s="8">
        <v>10</v>
      </c>
      <c r="Q754" s="9">
        <v>14</v>
      </c>
      <c r="R754" s="10"/>
      <c r="S754" s="7">
        <f t="shared" si="277"/>
        <v>24</v>
      </c>
      <c r="T754" s="43">
        <v>44385</v>
      </c>
      <c r="U754" s="3"/>
      <c r="V754" s="8"/>
      <c r="W754" s="9"/>
      <c r="X754" s="10"/>
      <c r="Y754" s="7">
        <f t="shared" si="278"/>
        <v>0</v>
      </c>
      <c r="Z754" s="8"/>
      <c r="AA754" s="9"/>
      <c r="AB754" s="10"/>
      <c r="AC754" s="7">
        <f t="shared" si="279"/>
        <v>0</v>
      </c>
      <c r="AD754" s="8"/>
      <c r="AE754" s="9"/>
      <c r="AF754" s="10"/>
      <c r="AG754" s="7">
        <f t="shared" si="280"/>
        <v>0</v>
      </c>
      <c r="AH754" s="43"/>
    </row>
    <row r="755" spans="1:34">
      <c r="A755" s="3"/>
      <c r="B755" s="8"/>
      <c r="C755" s="9"/>
      <c r="D755" s="10"/>
      <c r="E755" s="7">
        <f t="shared" si="274"/>
        <v>0</v>
      </c>
      <c r="F755" s="8"/>
      <c r="G755" s="9"/>
      <c r="H755" s="10"/>
      <c r="I755" s="7">
        <f t="shared" si="275"/>
        <v>0</v>
      </c>
      <c r="K755" s="3" t="s">
        <v>364</v>
      </c>
      <c r="L755" s="8">
        <v>7</v>
      </c>
      <c r="M755" s="9">
        <v>4</v>
      </c>
      <c r="N755" s="10">
        <v>2</v>
      </c>
      <c r="O755" s="7">
        <f t="shared" si="276"/>
        <v>13</v>
      </c>
      <c r="P755" s="8">
        <v>7</v>
      </c>
      <c r="Q755" s="9">
        <v>4</v>
      </c>
      <c r="R755" s="10">
        <v>2</v>
      </c>
      <c r="S755" s="7">
        <f t="shared" si="277"/>
        <v>13</v>
      </c>
      <c r="T755" s="43">
        <v>44384</v>
      </c>
      <c r="U755" s="3"/>
      <c r="V755" s="8"/>
      <c r="W755" s="9"/>
      <c r="X755" s="10"/>
      <c r="Y755" s="7">
        <f t="shared" si="278"/>
        <v>0</v>
      </c>
      <c r="Z755" s="8"/>
      <c r="AA755" s="9"/>
      <c r="AB755" s="10"/>
      <c r="AC755" s="7">
        <f t="shared" si="279"/>
        <v>0</v>
      </c>
      <c r="AD755" s="8"/>
      <c r="AE755" s="9"/>
      <c r="AF755" s="10"/>
      <c r="AG755" s="7">
        <f t="shared" si="280"/>
        <v>0</v>
      </c>
      <c r="AH755" s="43"/>
    </row>
    <row r="756" spans="1:34">
      <c r="A756" s="3"/>
      <c r="B756" s="8"/>
      <c r="C756" s="9"/>
      <c r="D756" s="10"/>
      <c r="E756" s="7">
        <f t="shared" si="274"/>
        <v>0</v>
      </c>
      <c r="F756" s="8"/>
      <c r="G756" s="9"/>
      <c r="H756" s="10"/>
      <c r="I756" s="7">
        <f t="shared" si="275"/>
        <v>0</v>
      </c>
      <c r="K756" s="11" t="s">
        <v>365</v>
      </c>
      <c r="L756" s="8">
        <v>4</v>
      </c>
      <c r="M756" s="9"/>
      <c r="N756" s="10"/>
      <c r="O756" s="7">
        <f t="shared" si="276"/>
        <v>4</v>
      </c>
      <c r="P756" s="8">
        <v>4</v>
      </c>
      <c r="Q756" s="9"/>
      <c r="R756" s="10"/>
      <c r="S756" s="7">
        <f t="shared" si="277"/>
        <v>4</v>
      </c>
      <c r="T756" s="43">
        <v>44389</v>
      </c>
      <c r="U756" s="3"/>
      <c r="V756" s="8"/>
      <c r="W756" s="9"/>
      <c r="X756" s="10"/>
      <c r="Y756" s="7">
        <f t="shared" si="278"/>
        <v>0</v>
      </c>
      <c r="Z756" s="8"/>
      <c r="AA756" s="9"/>
      <c r="AB756" s="10"/>
      <c r="AC756" s="7">
        <f t="shared" si="279"/>
        <v>0</v>
      </c>
      <c r="AD756" s="8"/>
      <c r="AE756" s="9"/>
      <c r="AF756" s="10"/>
      <c r="AG756" s="7">
        <f t="shared" si="280"/>
        <v>0</v>
      </c>
      <c r="AH756" s="43"/>
    </row>
    <row r="757" spans="1:34">
      <c r="A757" s="3"/>
      <c r="B757" s="8"/>
      <c r="C757" s="9"/>
      <c r="D757" s="10"/>
      <c r="E757" s="7">
        <f t="shared" si="274"/>
        <v>0</v>
      </c>
      <c r="F757" s="8"/>
      <c r="G757" s="9"/>
      <c r="H757" s="10"/>
      <c r="I757" s="7">
        <f t="shared" si="275"/>
        <v>0</v>
      </c>
      <c r="K757" s="3" t="s">
        <v>366</v>
      </c>
      <c r="L757" s="59">
        <v>2</v>
      </c>
      <c r="M757" s="9">
        <v>2</v>
      </c>
      <c r="N757" s="10">
        <v>5</v>
      </c>
      <c r="O757" s="7">
        <f t="shared" si="276"/>
        <v>9</v>
      </c>
      <c r="P757" s="8">
        <v>2</v>
      </c>
      <c r="Q757" s="9">
        <v>2</v>
      </c>
      <c r="R757" s="10">
        <v>5</v>
      </c>
      <c r="S757" s="7">
        <f t="shared" si="277"/>
        <v>9</v>
      </c>
      <c r="T757" s="43">
        <v>44385</v>
      </c>
      <c r="U757" s="3"/>
      <c r="V757" s="30"/>
      <c r="W757" s="9"/>
      <c r="X757" s="10"/>
      <c r="Y757" s="7">
        <f t="shared" si="278"/>
        <v>0</v>
      </c>
      <c r="Z757" s="8"/>
      <c r="AA757" s="9"/>
      <c r="AB757" s="10"/>
      <c r="AC757" s="7">
        <f t="shared" si="279"/>
        <v>0</v>
      </c>
      <c r="AD757" s="8"/>
      <c r="AE757" s="9"/>
      <c r="AF757" s="10"/>
      <c r="AG757" s="7">
        <f t="shared" si="280"/>
        <v>0</v>
      </c>
      <c r="AH757" s="43"/>
    </row>
    <row r="758" spans="1:34">
      <c r="A758" s="3"/>
      <c r="B758" s="8"/>
      <c r="C758" s="9"/>
      <c r="D758" s="10"/>
      <c r="E758" s="7">
        <f t="shared" si="274"/>
        <v>0</v>
      </c>
      <c r="F758" s="8"/>
      <c r="G758" s="9"/>
      <c r="H758" s="10"/>
      <c r="I758" s="7">
        <f t="shared" si="275"/>
        <v>0</v>
      </c>
      <c r="K758" s="11" t="s">
        <v>367</v>
      </c>
      <c r="L758" s="8">
        <v>2</v>
      </c>
      <c r="M758" s="9"/>
      <c r="N758" s="10">
        <v>6</v>
      </c>
      <c r="O758" s="7">
        <f t="shared" si="276"/>
        <v>8</v>
      </c>
      <c r="P758" s="8">
        <v>2</v>
      </c>
      <c r="Q758" s="9"/>
      <c r="R758" s="10">
        <v>6</v>
      </c>
      <c r="S758" s="7">
        <f t="shared" si="277"/>
        <v>8</v>
      </c>
      <c r="T758" s="43">
        <v>44390</v>
      </c>
      <c r="U758" s="3"/>
      <c r="V758" s="8"/>
      <c r="W758" s="9"/>
      <c r="X758" s="10"/>
      <c r="Y758" s="7">
        <f t="shared" si="278"/>
        <v>0</v>
      </c>
      <c r="Z758" s="8"/>
      <c r="AA758" s="9"/>
      <c r="AB758" s="10"/>
      <c r="AC758" s="7">
        <f t="shared" si="279"/>
        <v>0</v>
      </c>
      <c r="AD758" s="8"/>
      <c r="AE758" s="9"/>
      <c r="AF758" s="10"/>
      <c r="AG758" s="7">
        <f t="shared" si="280"/>
        <v>0</v>
      </c>
      <c r="AH758" s="43"/>
    </row>
    <row r="759" spans="1:34">
      <c r="A759" s="3"/>
      <c r="B759" s="8"/>
      <c r="C759" s="9"/>
      <c r="D759" s="10"/>
      <c r="E759" s="7">
        <f t="shared" si="274"/>
        <v>0</v>
      </c>
      <c r="F759" s="8"/>
      <c r="G759" s="9"/>
      <c r="H759" s="10"/>
      <c r="I759" s="7">
        <f t="shared" si="275"/>
        <v>0</v>
      </c>
      <c r="K759" s="3" t="s">
        <v>368</v>
      </c>
      <c r="L759" s="8">
        <v>4</v>
      </c>
      <c r="M759" s="9">
        <v>5</v>
      </c>
      <c r="N759" s="10">
        <v>2</v>
      </c>
      <c r="O759" s="7">
        <f t="shared" si="276"/>
        <v>11</v>
      </c>
      <c r="P759" s="8">
        <v>4</v>
      </c>
      <c r="Q759" s="9">
        <v>5</v>
      </c>
      <c r="R759" s="10">
        <v>2</v>
      </c>
      <c r="S759" s="7">
        <f t="shared" si="277"/>
        <v>11</v>
      </c>
      <c r="T759" s="43">
        <v>44386</v>
      </c>
      <c r="U759" s="3"/>
      <c r="V759" s="8"/>
      <c r="W759" s="9"/>
      <c r="X759" s="10"/>
      <c r="Y759" s="7">
        <f t="shared" si="278"/>
        <v>0</v>
      </c>
      <c r="Z759" s="8"/>
      <c r="AA759" s="9"/>
      <c r="AB759" s="10"/>
      <c r="AC759" s="7">
        <f t="shared" si="279"/>
        <v>0</v>
      </c>
      <c r="AD759" s="8"/>
      <c r="AE759" s="9"/>
      <c r="AF759" s="10"/>
      <c r="AG759" s="7">
        <f t="shared" si="280"/>
        <v>0</v>
      </c>
      <c r="AH759" s="43"/>
    </row>
    <row r="760" spans="1:34">
      <c r="A760" s="3"/>
      <c r="B760" s="8"/>
      <c r="C760" s="9"/>
      <c r="D760" s="10"/>
      <c r="E760" s="7">
        <f t="shared" si="274"/>
        <v>0</v>
      </c>
      <c r="F760" s="8"/>
      <c r="G760" s="9"/>
      <c r="H760" s="10"/>
      <c r="I760" s="7">
        <f t="shared" si="275"/>
        <v>0</v>
      </c>
      <c r="K760" s="3" t="s">
        <v>371</v>
      </c>
      <c r="L760" s="8">
        <v>1</v>
      </c>
      <c r="M760" s="9">
        <v>4</v>
      </c>
      <c r="N760" s="10">
        <v>2</v>
      </c>
      <c r="O760" s="7">
        <f t="shared" si="276"/>
        <v>7</v>
      </c>
      <c r="P760" s="8">
        <v>1</v>
      </c>
      <c r="Q760" s="9">
        <v>4</v>
      </c>
      <c r="R760" s="10">
        <v>2</v>
      </c>
      <c r="S760" s="7">
        <f t="shared" si="277"/>
        <v>7</v>
      </c>
      <c r="T760" s="43">
        <v>44387</v>
      </c>
      <c r="U760" s="3"/>
      <c r="V760" s="8"/>
      <c r="W760" s="9"/>
      <c r="X760" s="10"/>
      <c r="Y760" s="7">
        <f t="shared" si="278"/>
        <v>0</v>
      </c>
      <c r="Z760" s="8"/>
      <c r="AA760" s="9"/>
      <c r="AB760" s="10"/>
      <c r="AC760" s="7">
        <f t="shared" si="279"/>
        <v>0</v>
      </c>
      <c r="AD760" s="8"/>
      <c r="AE760" s="9"/>
      <c r="AF760" s="10"/>
      <c r="AG760" s="7">
        <f t="shared" si="280"/>
        <v>0</v>
      </c>
      <c r="AH760" s="43"/>
    </row>
    <row r="761" spans="1:34">
      <c r="A761" s="3"/>
      <c r="B761" s="8"/>
      <c r="C761" s="9"/>
      <c r="D761" s="10"/>
      <c r="E761" s="7">
        <f t="shared" si="274"/>
        <v>0</v>
      </c>
      <c r="F761" s="8"/>
      <c r="G761" s="9"/>
      <c r="H761" s="10"/>
      <c r="I761" s="7">
        <f t="shared" si="275"/>
        <v>0</v>
      </c>
      <c r="K761" s="3" t="s">
        <v>372</v>
      </c>
      <c r="L761" s="8">
        <v>4</v>
      </c>
      <c r="M761" s="9">
        <v>6</v>
      </c>
      <c r="N761" s="10">
        <v>3</v>
      </c>
      <c r="O761" s="7">
        <f t="shared" si="276"/>
        <v>13</v>
      </c>
      <c r="P761" s="8">
        <v>4</v>
      </c>
      <c r="Q761" s="9">
        <v>6</v>
      </c>
      <c r="R761" s="10">
        <v>3</v>
      </c>
      <c r="S761" s="7">
        <f t="shared" si="277"/>
        <v>13</v>
      </c>
      <c r="T761" s="43">
        <v>44390</v>
      </c>
      <c r="U761" s="3"/>
      <c r="V761" s="8"/>
      <c r="W761" s="9"/>
      <c r="X761" s="10"/>
      <c r="Y761" s="7">
        <f t="shared" si="278"/>
        <v>0</v>
      </c>
      <c r="Z761" s="8"/>
      <c r="AA761" s="9"/>
      <c r="AB761" s="10"/>
      <c r="AC761" s="7">
        <f t="shared" si="279"/>
        <v>0</v>
      </c>
      <c r="AD761" s="8"/>
      <c r="AE761" s="9"/>
      <c r="AF761" s="10"/>
      <c r="AG761" s="7">
        <f t="shared" si="280"/>
        <v>0</v>
      </c>
      <c r="AH761" s="43"/>
    </row>
    <row r="762" spans="1:34">
      <c r="A762" s="3"/>
      <c r="B762" s="8"/>
      <c r="C762" s="9"/>
      <c r="D762" s="10"/>
      <c r="E762" s="7">
        <f t="shared" si="274"/>
        <v>0</v>
      </c>
      <c r="F762" s="8"/>
      <c r="G762" s="9"/>
      <c r="H762" s="10"/>
      <c r="I762" s="7">
        <f t="shared" si="275"/>
        <v>0</v>
      </c>
      <c r="K762" s="3" t="s">
        <v>373</v>
      </c>
      <c r="L762" s="8">
        <v>2</v>
      </c>
      <c r="M762" s="9">
        <v>2</v>
      </c>
      <c r="N762" s="10">
        <v>4</v>
      </c>
      <c r="O762" s="7">
        <f t="shared" si="276"/>
        <v>8</v>
      </c>
      <c r="P762" s="8">
        <v>2</v>
      </c>
      <c r="Q762" s="9">
        <v>2</v>
      </c>
      <c r="R762" s="10">
        <v>4</v>
      </c>
      <c r="S762" s="7">
        <f t="shared" si="277"/>
        <v>8</v>
      </c>
      <c r="T762" s="43">
        <v>44391</v>
      </c>
      <c r="U762" s="3"/>
      <c r="V762" s="8"/>
      <c r="W762" s="9"/>
      <c r="X762" s="10"/>
      <c r="Y762" s="7">
        <f t="shared" si="278"/>
        <v>0</v>
      </c>
      <c r="Z762" s="8"/>
      <c r="AA762" s="9"/>
      <c r="AB762" s="10"/>
      <c r="AC762" s="7">
        <f t="shared" si="279"/>
        <v>0</v>
      </c>
      <c r="AD762" s="8"/>
      <c r="AE762" s="9"/>
      <c r="AF762" s="10"/>
      <c r="AG762" s="7">
        <f t="shared" si="280"/>
        <v>0</v>
      </c>
      <c r="AH762" s="43"/>
    </row>
    <row r="763" spans="1:34">
      <c r="A763" s="3"/>
      <c r="B763" s="8"/>
      <c r="C763" s="9"/>
      <c r="D763" s="10"/>
      <c r="E763" s="7">
        <f t="shared" si="274"/>
        <v>0</v>
      </c>
      <c r="F763" s="8"/>
      <c r="G763" s="9"/>
      <c r="H763" s="10"/>
      <c r="I763" s="7">
        <f t="shared" si="275"/>
        <v>0</v>
      </c>
      <c r="K763" s="11" t="s">
        <v>374</v>
      </c>
      <c r="L763" s="8"/>
      <c r="M763" s="9">
        <v>26</v>
      </c>
      <c r="N763" s="10">
        <v>10</v>
      </c>
      <c r="O763" s="7">
        <f t="shared" si="276"/>
        <v>36</v>
      </c>
      <c r="P763" s="8"/>
      <c r="Q763" s="9">
        <v>26</v>
      </c>
      <c r="R763" s="10">
        <v>10</v>
      </c>
      <c r="S763" s="7">
        <f t="shared" si="277"/>
        <v>36</v>
      </c>
      <c r="T763" s="43">
        <v>44393</v>
      </c>
      <c r="U763" s="3"/>
      <c r="V763" s="8"/>
      <c r="W763" s="9"/>
      <c r="X763" s="10"/>
      <c r="Y763" s="7">
        <f t="shared" si="278"/>
        <v>0</v>
      </c>
      <c r="Z763" s="8"/>
      <c r="AA763" s="9"/>
      <c r="AB763" s="10"/>
      <c r="AC763" s="7">
        <f t="shared" si="279"/>
        <v>0</v>
      </c>
      <c r="AD763" s="8"/>
      <c r="AE763" s="9"/>
      <c r="AF763" s="10"/>
      <c r="AG763" s="7">
        <f t="shared" si="280"/>
        <v>0</v>
      </c>
      <c r="AH763" s="43"/>
    </row>
    <row r="764" spans="1:34">
      <c r="A764" s="3"/>
      <c r="B764" s="8"/>
      <c r="C764" s="9"/>
      <c r="D764" s="10"/>
      <c r="E764" s="7">
        <f t="shared" si="274"/>
        <v>0</v>
      </c>
      <c r="F764" s="8"/>
      <c r="G764" s="9"/>
      <c r="H764" s="10"/>
      <c r="I764" s="7">
        <f t="shared" si="275"/>
        <v>0</v>
      </c>
      <c r="K764" s="3" t="s">
        <v>375</v>
      </c>
      <c r="L764" s="8"/>
      <c r="M764" s="9">
        <v>6</v>
      </c>
      <c r="N764" s="10">
        <v>1</v>
      </c>
      <c r="O764" s="7">
        <f t="shared" si="276"/>
        <v>7</v>
      </c>
      <c r="P764" s="8"/>
      <c r="Q764" s="9">
        <v>6</v>
      </c>
      <c r="R764" s="10">
        <v>1</v>
      </c>
      <c r="S764" s="7">
        <f t="shared" si="277"/>
        <v>7</v>
      </c>
      <c r="T764" s="43">
        <v>44392</v>
      </c>
      <c r="U764" s="3"/>
      <c r="V764" s="8"/>
      <c r="W764" s="9"/>
      <c r="X764" s="10"/>
      <c r="Y764" s="7">
        <f t="shared" si="278"/>
        <v>0</v>
      </c>
      <c r="Z764" s="8"/>
      <c r="AA764" s="9"/>
      <c r="AB764" s="10"/>
      <c r="AC764" s="7">
        <f t="shared" si="279"/>
        <v>0</v>
      </c>
      <c r="AD764" s="8"/>
      <c r="AE764" s="9"/>
      <c r="AF764" s="10"/>
      <c r="AG764" s="7">
        <f t="shared" si="280"/>
        <v>0</v>
      </c>
      <c r="AH764" s="43"/>
    </row>
    <row r="765" spans="1:34">
      <c r="A765" s="11"/>
      <c r="B765" s="8"/>
      <c r="C765" s="9"/>
      <c r="D765" s="10"/>
      <c r="E765" s="7">
        <f t="shared" si="274"/>
        <v>0</v>
      </c>
      <c r="F765" s="8"/>
      <c r="G765" s="9"/>
      <c r="H765" s="10"/>
      <c r="I765" s="7">
        <f t="shared" si="275"/>
        <v>0</v>
      </c>
      <c r="K765" s="11" t="s">
        <v>376</v>
      </c>
      <c r="L765" s="8">
        <v>20</v>
      </c>
      <c r="M765" s="9"/>
      <c r="N765" s="10"/>
      <c r="O765" s="7">
        <f t="shared" si="276"/>
        <v>20</v>
      </c>
      <c r="P765" s="8">
        <v>20</v>
      </c>
      <c r="Q765" s="9"/>
      <c r="R765" s="10"/>
      <c r="S765" s="7">
        <f t="shared" si="277"/>
        <v>20</v>
      </c>
      <c r="T765" s="43">
        <v>44397</v>
      </c>
      <c r="U765" s="3"/>
      <c r="V765" s="8"/>
      <c r="W765" s="9"/>
      <c r="X765" s="10"/>
      <c r="Y765" s="7">
        <f t="shared" si="278"/>
        <v>0</v>
      </c>
      <c r="Z765" s="8"/>
      <c r="AA765" s="9"/>
      <c r="AB765" s="10"/>
      <c r="AC765" s="7">
        <f t="shared" si="279"/>
        <v>0</v>
      </c>
      <c r="AD765" s="8"/>
      <c r="AE765" s="9"/>
      <c r="AF765" s="10"/>
      <c r="AG765" s="7">
        <f t="shared" si="280"/>
        <v>0</v>
      </c>
      <c r="AH765" s="43"/>
    </row>
    <row r="766" spans="1:34">
      <c r="A766" s="11"/>
      <c r="B766" s="8"/>
      <c r="C766" s="9"/>
      <c r="D766" s="10"/>
      <c r="E766" s="7">
        <f t="shared" si="274"/>
        <v>0</v>
      </c>
      <c r="F766" s="8"/>
      <c r="G766" s="9"/>
      <c r="H766" s="10"/>
      <c r="I766" s="7">
        <f t="shared" si="275"/>
        <v>0</v>
      </c>
      <c r="K766" s="3" t="s">
        <v>377</v>
      </c>
      <c r="L766" s="8"/>
      <c r="M766" s="9">
        <v>4</v>
      </c>
      <c r="N766" s="10">
        <v>1</v>
      </c>
      <c r="O766" s="7">
        <f t="shared" si="276"/>
        <v>5</v>
      </c>
      <c r="P766" s="8"/>
      <c r="Q766" s="9">
        <v>4</v>
      </c>
      <c r="R766" s="10">
        <v>1</v>
      </c>
      <c r="S766" s="7">
        <f t="shared" si="277"/>
        <v>5</v>
      </c>
      <c r="T766" s="43">
        <v>44393</v>
      </c>
      <c r="U766" s="3"/>
      <c r="V766" s="8"/>
      <c r="W766" s="9"/>
      <c r="X766" s="10"/>
      <c r="Y766" s="7">
        <f t="shared" si="278"/>
        <v>0</v>
      </c>
      <c r="Z766" s="8"/>
      <c r="AA766" s="9"/>
      <c r="AB766" s="10"/>
      <c r="AC766" s="7">
        <f t="shared" si="279"/>
        <v>0</v>
      </c>
      <c r="AD766" s="8"/>
      <c r="AE766" s="9"/>
      <c r="AF766" s="10"/>
      <c r="AG766" s="7">
        <f t="shared" si="280"/>
        <v>0</v>
      </c>
      <c r="AH766" s="71"/>
    </row>
    <row r="767" spans="1:34">
      <c r="A767" s="11"/>
      <c r="B767" s="8"/>
      <c r="C767" s="9"/>
      <c r="D767" s="10"/>
      <c r="E767" s="7">
        <f t="shared" si="274"/>
        <v>0</v>
      </c>
      <c r="F767" s="8"/>
      <c r="G767" s="9"/>
      <c r="H767" s="10"/>
      <c r="I767" s="7">
        <f t="shared" si="275"/>
        <v>0</v>
      </c>
      <c r="K767" s="3" t="s">
        <v>378</v>
      </c>
      <c r="L767" s="8"/>
      <c r="M767" s="9">
        <v>3</v>
      </c>
      <c r="N767" s="10">
        <v>1</v>
      </c>
      <c r="O767" s="7">
        <f t="shared" si="276"/>
        <v>4</v>
      </c>
      <c r="P767" s="8"/>
      <c r="Q767" s="9">
        <v>3</v>
      </c>
      <c r="R767" s="10">
        <v>1</v>
      </c>
      <c r="S767" s="7">
        <f t="shared" si="277"/>
        <v>4</v>
      </c>
      <c r="T767" s="43">
        <v>44394</v>
      </c>
      <c r="U767" s="11"/>
      <c r="V767" s="8"/>
      <c r="W767" s="9"/>
      <c r="X767" s="10"/>
      <c r="Y767" s="7">
        <f t="shared" si="278"/>
        <v>0</v>
      </c>
      <c r="Z767" s="8"/>
      <c r="AA767" s="9"/>
      <c r="AB767" s="10"/>
      <c r="AC767" s="7">
        <f t="shared" si="279"/>
        <v>0</v>
      </c>
      <c r="AD767" s="8"/>
      <c r="AE767" s="9"/>
      <c r="AF767" s="10"/>
      <c r="AG767" s="7">
        <f t="shared" si="280"/>
        <v>0</v>
      </c>
      <c r="AH767" s="71"/>
    </row>
    <row r="768" spans="1:34">
      <c r="A768" s="11"/>
      <c r="B768" s="8"/>
      <c r="C768" s="9"/>
      <c r="D768" s="10"/>
      <c r="E768" s="7">
        <f t="shared" si="274"/>
        <v>0</v>
      </c>
      <c r="F768" s="8"/>
      <c r="G768" s="9"/>
      <c r="H768" s="10"/>
      <c r="I768" s="7">
        <f t="shared" si="275"/>
        <v>0</v>
      </c>
      <c r="K768" s="3" t="s">
        <v>379</v>
      </c>
      <c r="L768" s="8">
        <v>9</v>
      </c>
      <c r="M768" s="9">
        <v>13</v>
      </c>
      <c r="N768" s="10">
        <v>13</v>
      </c>
      <c r="O768" s="7">
        <f t="shared" si="276"/>
        <v>35</v>
      </c>
      <c r="P768" s="8">
        <v>9</v>
      </c>
      <c r="Q768" s="9">
        <v>13</v>
      </c>
      <c r="R768" s="10">
        <v>13</v>
      </c>
      <c r="S768" s="7">
        <f t="shared" si="277"/>
        <v>35</v>
      </c>
      <c r="T768" s="43">
        <v>44396</v>
      </c>
      <c r="U768" s="3"/>
      <c r="V768" s="8"/>
      <c r="W768" s="9"/>
      <c r="X768" s="10"/>
      <c r="Y768" s="7">
        <f t="shared" si="278"/>
        <v>0</v>
      </c>
      <c r="Z768" s="8"/>
      <c r="AA768" s="9"/>
      <c r="AB768" s="10"/>
      <c r="AC768" s="7">
        <f t="shared" si="279"/>
        <v>0</v>
      </c>
      <c r="AD768" s="8"/>
      <c r="AE768" s="9"/>
      <c r="AF768" s="10"/>
      <c r="AG768" s="7">
        <f t="shared" si="280"/>
        <v>0</v>
      </c>
      <c r="AH768" s="71"/>
    </row>
    <row r="769" spans="1:34">
      <c r="A769" s="11"/>
      <c r="B769" s="8"/>
      <c r="C769" s="9"/>
      <c r="D769" s="10"/>
      <c r="E769" s="7">
        <f t="shared" si="274"/>
        <v>0</v>
      </c>
      <c r="F769" s="8"/>
      <c r="G769" s="9"/>
      <c r="H769" s="10"/>
      <c r="I769" s="7">
        <f t="shared" si="275"/>
        <v>0</v>
      </c>
      <c r="K769" s="3" t="s">
        <v>381</v>
      </c>
      <c r="L769" s="8">
        <v>2</v>
      </c>
      <c r="M769" s="9">
        <v>9</v>
      </c>
      <c r="N769" s="10">
        <v>2</v>
      </c>
      <c r="O769" s="7">
        <f t="shared" ref="O769" si="284">SUM(L769:N769)</f>
        <v>13</v>
      </c>
      <c r="P769" s="8">
        <v>2</v>
      </c>
      <c r="Q769" s="9">
        <v>9</v>
      </c>
      <c r="R769" s="10">
        <v>2</v>
      </c>
      <c r="S769" s="7">
        <f t="shared" ref="S769" si="285">SUM(P769:R769)</f>
        <v>13</v>
      </c>
      <c r="T769" s="43">
        <v>44397</v>
      </c>
      <c r="U769" s="11"/>
      <c r="V769" s="8"/>
      <c r="W769" s="9"/>
      <c r="X769" s="10"/>
      <c r="Y769" s="7">
        <f t="shared" si="278"/>
        <v>0</v>
      </c>
      <c r="Z769" s="8"/>
      <c r="AA769" s="9"/>
      <c r="AB769" s="10"/>
      <c r="AC769" s="7">
        <f t="shared" si="279"/>
        <v>0</v>
      </c>
      <c r="AD769" s="8"/>
      <c r="AE769" s="9"/>
      <c r="AF769" s="10"/>
      <c r="AG769" s="7">
        <f t="shared" si="280"/>
        <v>0</v>
      </c>
      <c r="AH769" s="71"/>
    </row>
    <row r="770" spans="1:34" ht="14.25" thickBot="1">
      <c r="A770" s="3"/>
      <c r="B770" s="8"/>
      <c r="C770" s="9"/>
      <c r="D770" s="10"/>
      <c r="E770" s="7">
        <f t="shared" si="274"/>
        <v>0</v>
      </c>
      <c r="F770" s="8"/>
      <c r="G770" s="9"/>
      <c r="H770" s="10"/>
      <c r="I770" s="7">
        <f t="shared" si="275"/>
        <v>0</v>
      </c>
      <c r="K770" s="11" t="s">
        <v>293</v>
      </c>
      <c r="L770" s="8"/>
      <c r="M770" s="9"/>
      <c r="N770" s="10"/>
      <c r="O770" s="7">
        <f t="shared" si="276"/>
        <v>0</v>
      </c>
      <c r="P770" s="8"/>
      <c r="Q770" s="9"/>
      <c r="R770" s="10"/>
      <c r="S770" s="7">
        <f t="shared" si="277"/>
        <v>0</v>
      </c>
      <c r="T770" s="71" t="s">
        <v>294</v>
      </c>
      <c r="U770" s="3"/>
      <c r="V770" s="8"/>
      <c r="W770" s="9"/>
      <c r="X770" s="10"/>
      <c r="Y770" s="7">
        <f t="shared" si="278"/>
        <v>0</v>
      </c>
      <c r="Z770" s="8"/>
      <c r="AA770" s="9"/>
      <c r="AB770" s="10"/>
      <c r="AC770" s="7">
        <f t="shared" si="279"/>
        <v>0</v>
      </c>
      <c r="AD770" s="8"/>
      <c r="AE770" s="9"/>
      <c r="AF770" s="10"/>
      <c r="AG770" s="7">
        <f t="shared" si="280"/>
        <v>0</v>
      </c>
      <c r="AH770" s="71"/>
    </row>
    <row r="771" spans="1:34" ht="14.25" thickBot="1">
      <c r="A771" s="2" t="s">
        <v>5</v>
      </c>
      <c r="B771" s="14">
        <f>SUM(B747:B770)</f>
        <v>0</v>
      </c>
      <c r="C771" s="14">
        <f>SUM(C747:C770)</f>
        <v>1</v>
      </c>
      <c r="D771" s="14">
        <f>SUM(D747:D770)</f>
        <v>1</v>
      </c>
      <c r="E771" s="15">
        <f t="shared" si="274"/>
        <v>2</v>
      </c>
      <c r="F771" s="14">
        <f>SUM(F747:F770)</f>
        <v>0</v>
      </c>
      <c r="G771" s="14">
        <f>SUM(G747:G770)</f>
        <v>1</v>
      </c>
      <c r="H771" s="14">
        <f>SUM(H747:H770)</f>
        <v>1</v>
      </c>
      <c r="I771" s="15">
        <f t="shared" si="275"/>
        <v>2</v>
      </c>
      <c r="K771" s="2" t="s">
        <v>5</v>
      </c>
      <c r="L771" s="14">
        <f>SUM(L747:L770)</f>
        <v>88</v>
      </c>
      <c r="M771" s="14">
        <f>SUM(M747:M770)</f>
        <v>130</v>
      </c>
      <c r="N771" s="14">
        <f>SUM(N747:N770)</f>
        <v>66</v>
      </c>
      <c r="O771" s="15">
        <f t="shared" si="276"/>
        <v>284</v>
      </c>
      <c r="P771" s="14">
        <f>SUM(P747:P770)</f>
        <v>88</v>
      </c>
      <c r="Q771" s="14">
        <f>SUM(Q747:Q770)</f>
        <v>130</v>
      </c>
      <c r="R771" s="14">
        <f>SUM(R747:R770)</f>
        <v>66</v>
      </c>
      <c r="S771" s="15">
        <f t="shared" si="277"/>
        <v>284</v>
      </c>
      <c r="U771" s="2" t="s">
        <v>5</v>
      </c>
      <c r="V771" s="14">
        <f>SUM(V747:V770)</f>
        <v>4</v>
      </c>
      <c r="W771" s="14">
        <f>SUM(W747:W770)</f>
        <v>4</v>
      </c>
      <c r="X771" s="14">
        <f>SUM(X747:X770)</f>
        <v>0</v>
      </c>
      <c r="Y771" s="15">
        <f t="shared" si="278"/>
        <v>8</v>
      </c>
      <c r="Z771" s="14">
        <f>SUM(Z747:Z770)</f>
        <v>4</v>
      </c>
      <c r="AA771" s="14">
        <f>SUM(AA747:AA770)</f>
        <v>4</v>
      </c>
      <c r="AB771" s="14">
        <f>SUM(AB747:AB770)</f>
        <v>0</v>
      </c>
      <c r="AC771" s="15">
        <f t="shared" si="279"/>
        <v>8</v>
      </c>
      <c r="AD771" s="14">
        <f>SUM(AD747:AD770)</f>
        <v>4</v>
      </c>
      <c r="AE771" s="14">
        <f>SUM(AE747:AE770)</f>
        <v>4</v>
      </c>
      <c r="AF771" s="14">
        <f>SUM(AF747:AF770)</f>
        <v>0</v>
      </c>
      <c r="AG771" s="15">
        <f t="shared" si="280"/>
        <v>8</v>
      </c>
    </row>
    <row r="772" spans="1:34" ht="14.25" thickBot="1">
      <c r="A772" s="27" t="s">
        <v>6</v>
      </c>
      <c r="B772" s="28">
        <f>B746-B771</f>
        <v>9</v>
      </c>
      <c r="C772" s="28">
        <f t="shared" ref="C772:E772" si="286">C746-C771</f>
        <v>4</v>
      </c>
      <c r="D772" s="28">
        <f t="shared" si="286"/>
        <v>7</v>
      </c>
      <c r="E772" s="28">
        <f t="shared" si="286"/>
        <v>20</v>
      </c>
      <c r="F772" s="28">
        <f>F746-F771</f>
        <v>9</v>
      </c>
      <c r="G772" s="28">
        <f t="shared" ref="G772:I772" si="287">G746-G771</f>
        <v>4</v>
      </c>
      <c r="H772" s="28">
        <f t="shared" si="287"/>
        <v>7</v>
      </c>
      <c r="I772" s="26">
        <f t="shared" si="287"/>
        <v>20</v>
      </c>
      <c r="K772" s="27" t="s">
        <v>6</v>
      </c>
      <c r="L772" s="28">
        <f>L746-L771</f>
        <v>63</v>
      </c>
      <c r="M772" s="28">
        <f t="shared" ref="M772:O772" si="288">M746-M771</f>
        <v>73</v>
      </c>
      <c r="N772" s="28">
        <f t="shared" si="288"/>
        <v>93</v>
      </c>
      <c r="O772" s="28">
        <f t="shared" si="288"/>
        <v>229</v>
      </c>
      <c r="P772" s="28">
        <f>P746-P771</f>
        <v>63</v>
      </c>
      <c r="Q772" s="28">
        <f t="shared" ref="Q772:S772" si="289">Q746-Q771</f>
        <v>73</v>
      </c>
      <c r="R772" s="28">
        <f t="shared" si="289"/>
        <v>93</v>
      </c>
      <c r="S772" s="26">
        <f t="shared" si="289"/>
        <v>229</v>
      </c>
      <c r="U772" s="27" t="s">
        <v>6</v>
      </c>
      <c r="V772" s="28">
        <f>V746-V771</f>
        <v>12</v>
      </c>
      <c r="W772" s="28">
        <f t="shared" ref="W772:Y772" si="290">W746-W771</f>
        <v>50</v>
      </c>
      <c r="X772" s="28">
        <f t="shared" si="290"/>
        <v>24</v>
      </c>
      <c r="Y772" s="28">
        <f t="shared" si="290"/>
        <v>86</v>
      </c>
      <c r="Z772" s="28">
        <f>Z746-Z771</f>
        <v>12</v>
      </c>
      <c r="AA772" s="28">
        <f t="shared" ref="AA772:AC772" si="291">AA746-AA771</f>
        <v>50</v>
      </c>
      <c r="AB772" s="28">
        <f t="shared" si="291"/>
        <v>24</v>
      </c>
      <c r="AC772" s="26">
        <f t="shared" si="291"/>
        <v>86</v>
      </c>
      <c r="AD772" s="28">
        <f>AD746-AD771</f>
        <v>12</v>
      </c>
      <c r="AE772" s="28">
        <f t="shared" ref="AE772:AG772" si="292">AE746-AE771</f>
        <v>50</v>
      </c>
      <c r="AF772" s="28">
        <f t="shared" si="292"/>
        <v>24</v>
      </c>
      <c r="AG772" s="26">
        <f t="shared" si="292"/>
        <v>86</v>
      </c>
    </row>
    <row r="775" spans="1:34" ht="26.25" thickBot="1">
      <c r="A775" s="33" t="s">
        <v>15</v>
      </c>
      <c r="B775" s="34"/>
      <c r="C775" s="34"/>
      <c r="D775" s="34"/>
      <c r="E775" s="34"/>
      <c r="F775" s="35"/>
      <c r="G775" s="35"/>
      <c r="H775" s="35"/>
      <c r="I775" s="35"/>
      <c r="K775" s="33" t="s">
        <v>243</v>
      </c>
      <c r="L775" s="34"/>
      <c r="M775" s="34"/>
      <c r="N775" s="34"/>
      <c r="O775" s="34"/>
      <c r="P775" s="35"/>
      <c r="Q775" s="35"/>
      <c r="R775" s="35"/>
      <c r="S775" s="35"/>
      <c r="U775" s="88" t="s">
        <v>244</v>
      </c>
      <c r="V775" s="89"/>
      <c r="W775" s="89"/>
      <c r="X775" s="89"/>
      <c r="Y775" s="89"/>
      <c r="Z775" s="90"/>
      <c r="AA775" s="90"/>
      <c r="AB775" s="90"/>
      <c r="AC775" s="90"/>
    </row>
    <row r="776" spans="1:34" ht="14.25" thickBot="1">
      <c r="A776" s="1" t="s">
        <v>0</v>
      </c>
      <c r="B776" s="182" t="s">
        <v>17</v>
      </c>
      <c r="C776" s="182"/>
      <c r="D776" s="182"/>
      <c r="E776" s="183"/>
      <c r="F776" s="182" t="s">
        <v>13</v>
      </c>
      <c r="G776" s="182"/>
      <c r="H776" s="182"/>
      <c r="I776" s="183"/>
      <c r="K776" s="1" t="s">
        <v>0</v>
      </c>
      <c r="L776" s="182" t="s">
        <v>17</v>
      </c>
      <c r="M776" s="182"/>
      <c r="N776" s="182"/>
      <c r="O776" s="183"/>
      <c r="P776" s="182" t="s">
        <v>13</v>
      </c>
      <c r="Q776" s="182"/>
      <c r="R776" s="182"/>
      <c r="S776" s="183"/>
      <c r="U776" s="1" t="s">
        <v>0</v>
      </c>
      <c r="V776" s="182" t="s">
        <v>17</v>
      </c>
      <c r="W776" s="182"/>
      <c r="X776" s="182"/>
      <c r="Y776" s="183"/>
      <c r="Z776" s="182" t="s">
        <v>13</v>
      </c>
      <c r="AA776" s="182"/>
      <c r="AB776" s="182"/>
      <c r="AC776" s="183"/>
      <c r="AD776" s="182" t="s">
        <v>242</v>
      </c>
      <c r="AE776" s="182"/>
      <c r="AF776" s="182"/>
      <c r="AG776" s="183"/>
    </row>
    <row r="777" spans="1:34" ht="14.25" thickBot="1">
      <c r="A777" s="1" t="s">
        <v>1</v>
      </c>
      <c r="B777" s="2" t="s">
        <v>8</v>
      </c>
      <c r="C777" s="1" t="s">
        <v>9</v>
      </c>
      <c r="D777" s="19" t="s">
        <v>10</v>
      </c>
      <c r="E777" s="1" t="s">
        <v>2</v>
      </c>
      <c r="F777" s="2" t="s">
        <v>8</v>
      </c>
      <c r="G777" s="1" t="s">
        <v>9</v>
      </c>
      <c r="H777" s="19" t="s">
        <v>10</v>
      </c>
      <c r="I777" s="1" t="s">
        <v>2</v>
      </c>
      <c r="K777" s="1" t="s">
        <v>1</v>
      </c>
      <c r="L777" s="2" t="s">
        <v>8</v>
      </c>
      <c r="M777" s="1" t="s">
        <v>9</v>
      </c>
      <c r="N777" s="19" t="s">
        <v>10</v>
      </c>
      <c r="O777" s="1" t="s">
        <v>2</v>
      </c>
      <c r="P777" s="2" t="s">
        <v>8</v>
      </c>
      <c r="Q777" s="1" t="s">
        <v>9</v>
      </c>
      <c r="R777" s="19" t="s">
        <v>10</v>
      </c>
      <c r="S777" s="1" t="s">
        <v>2</v>
      </c>
      <c r="U777" s="1" t="s">
        <v>1</v>
      </c>
      <c r="V777" s="2" t="s">
        <v>8</v>
      </c>
      <c r="W777" s="1" t="s">
        <v>9</v>
      </c>
      <c r="X777" s="19" t="s">
        <v>10</v>
      </c>
      <c r="Y777" s="1" t="s">
        <v>2</v>
      </c>
      <c r="Z777" s="2" t="s">
        <v>8</v>
      </c>
      <c r="AA777" s="1" t="s">
        <v>9</v>
      </c>
      <c r="AB777" s="19" t="s">
        <v>10</v>
      </c>
      <c r="AC777" s="1" t="s">
        <v>2</v>
      </c>
      <c r="AD777" s="2" t="s">
        <v>8</v>
      </c>
      <c r="AE777" s="1" t="s">
        <v>9</v>
      </c>
      <c r="AF777" s="19" t="s">
        <v>10</v>
      </c>
      <c r="AG777" s="1" t="s">
        <v>2</v>
      </c>
    </row>
    <row r="778" spans="1:34">
      <c r="A778" s="21" t="s">
        <v>7</v>
      </c>
      <c r="B778" s="18">
        <f>B772</f>
        <v>9</v>
      </c>
      <c r="C778" s="22">
        <f>C772</f>
        <v>4</v>
      </c>
      <c r="D778" s="22">
        <f>D772</f>
        <v>7</v>
      </c>
      <c r="E778" s="17">
        <f t="shared" ref="E778:E814" si="293">SUM(B778:D778)</f>
        <v>20</v>
      </c>
      <c r="F778" s="22">
        <f>F772</f>
        <v>9</v>
      </c>
      <c r="G778" s="22">
        <f>G772</f>
        <v>4</v>
      </c>
      <c r="H778" s="22">
        <f>H772</f>
        <v>7</v>
      </c>
      <c r="I778" s="17">
        <f t="shared" ref="I778:I814" si="294">SUM(F778:H778)</f>
        <v>20</v>
      </c>
      <c r="K778" s="21" t="s">
        <v>7</v>
      </c>
      <c r="L778" s="18">
        <f>L772</f>
        <v>63</v>
      </c>
      <c r="M778" s="22">
        <f>M772</f>
        <v>73</v>
      </c>
      <c r="N778" s="22">
        <f>N772</f>
        <v>93</v>
      </c>
      <c r="O778" s="17">
        <f t="shared" ref="O778:O814" si="295">SUM(L778:N778)</f>
        <v>229</v>
      </c>
      <c r="P778" s="22">
        <f>P772</f>
        <v>63</v>
      </c>
      <c r="Q778" s="22">
        <f>Q772</f>
        <v>73</v>
      </c>
      <c r="R778" s="22">
        <f>R772</f>
        <v>93</v>
      </c>
      <c r="S778" s="17">
        <f t="shared" ref="S778:S814" si="296">SUM(P778:R778)</f>
        <v>229</v>
      </c>
      <c r="U778" s="21" t="s">
        <v>7</v>
      </c>
      <c r="V778" s="18">
        <f>V772</f>
        <v>12</v>
      </c>
      <c r="W778" s="22">
        <f>W772</f>
        <v>50</v>
      </c>
      <c r="X778" s="22">
        <f>X772</f>
        <v>24</v>
      </c>
      <c r="Y778" s="17">
        <f t="shared" ref="Y778:Y814" si="297">SUM(V778:X778)</f>
        <v>86</v>
      </c>
      <c r="Z778" s="22">
        <f>Z772</f>
        <v>12</v>
      </c>
      <c r="AA778" s="22">
        <f>AA772</f>
        <v>50</v>
      </c>
      <c r="AB778" s="22">
        <f>AB772</f>
        <v>24</v>
      </c>
      <c r="AC778" s="17">
        <f t="shared" ref="AC778:AC814" si="298">SUM(Z778:AB778)</f>
        <v>86</v>
      </c>
      <c r="AD778" s="22">
        <f>AD772</f>
        <v>12</v>
      </c>
      <c r="AE778" s="22">
        <f>AE772</f>
        <v>50</v>
      </c>
      <c r="AF778" s="22">
        <f>AF772</f>
        <v>24</v>
      </c>
      <c r="AG778" s="17">
        <f t="shared" ref="AG778:AG814" si="299">SUM(AD778:AF778)</f>
        <v>86</v>
      </c>
    </row>
    <row r="779" spans="1:34">
      <c r="A779" s="5" t="s">
        <v>388</v>
      </c>
      <c r="B779" s="30"/>
      <c r="C779" s="31">
        <v>1</v>
      </c>
      <c r="D779" s="32"/>
      <c r="E779" s="4">
        <f t="shared" si="293"/>
        <v>1</v>
      </c>
      <c r="F779" s="30"/>
      <c r="G779" s="31">
        <v>1</v>
      </c>
      <c r="H779" s="32"/>
      <c r="I779" s="4">
        <f t="shared" si="294"/>
        <v>1</v>
      </c>
      <c r="J779" s="43">
        <v>44403</v>
      </c>
      <c r="K779" s="5" t="s">
        <v>3</v>
      </c>
      <c r="L779" s="16"/>
      <c r="M779" s="11"/>
      <c r="N779" s="16"/>
      <c r="O779" s="4">
        <f t="shared" si="295"/>
        <v>0</v>
      </c>
      <c r="P779" s="16"/>
      <c r="Q779" s="11"/>
      <c r="R779" s="16"/>
      <c r="S779" s="4">
        <f t="shared" si="296"/>
        <v>0</v>
      </c>
      <c r="T779" s="43"/>
      <c r="U779" s="5" t="s">
        <v>224</v>
      </c>
      <c r="V779" s="16"/>
      <c r="W779" s="11">
        <v>1</v>
      </c>
      <c r="X779" s="16"/>
      <c r="Y779" s="4">
        <f t="shared" si="297"/>
        <v>1</v>
      </c>
      <c r="Z779" s="16"/>
      <c r="AA779" s="11">
        <v>1</v>
      </c>
      <c r="AB779" s="16"/>
      <c r="AC779" s="4">
        <f t="shared" si="298"/>
        <v>1</v>
      </c>
      <c r="AD779" s="16"/>
      <c r="AE779" s="11">
        <v>1</v>
      </c>
      <c r="AF779" s="16"/>
      <c r="AG779" s="4">
        <f t="shared" si="299"/>
        <v>1</v>
      </c>
      <c r="AH779" s="43">
        <v>44408</v>
      </c>
    </row>
    <row r="780" spans="1:34">
      <c r="A780" s="5" t="s">
        <v>196</v>
      </c>
      <c r="B780" s="30">
        <v>2</v>
      </c>
      <c r="C780" s="31"/>
      <c r="D780" s="32"/>
      <c r="E780" s="4">
        <f t="shared" si="293"/>
        <v>2</v>
      </c>
      <c r="F780" s="30">
        <v>2</v>
      </c>
      <c r="G780" s="31"/>
      <c r="H780" s="32"/>
      <c r="I780" s="4">
        <f t="shared" si="294"/>
        <v>2</v>
      </c>
      <c r="J780" s="43">
        <v>44404</v>
      </c>
      <c r="K780" s="5" t="s">
        <v>3</v>
      </c>
      <c r="L780" s="32"/>
      <c r="M780" s="31"/>
      <c r="N780" s="32"/>
      <c r="O780" s="4">
        <f t="shared" si="295"/>
        <v>0</v>
      </c>
      <c r="P780" s="32"/>
      <c r="Q780" s="31"/>
      <c r="R780" s="32"/>
      <c r="S780" s="4">
        <f t="shared" si="296"/>
        <v>0</v>
      </c>
      <c r="T780" s="43"/>
      <c r="U780" s="5" t="s">
        <v>3</v>
      </c>
      <c r="V780" s="32">
        <v>4</v>
      </c>
      <c r="W780" s="31"/>
      <c r="X780" s="32"/>
      <c r="Y780" s="4">
        <f t="shared" si="297"/>
        <v>4</v>
      </c>
      <c r="Z780" s="32">
        <v>4</v>
      </c>
      <c r="AA780" s="31"/>
      <c r="AB780" s="32"/>
      <c r="AC780" s="4">
        <f t="shared" si="298"/>
        <v>4</v>
      </c>
      <c r="AD780" s="32">
        <v>4</v>
      </c>
      <c r="AE780" s="31"/>
      <c r="AF780" s="32"/>
      <c r="AG780" s="4">
        <f t="shared" si="299"/>
        <v>4</v>
      </c>
      <c r="AH780" s="43">
        <v>44426</v>
      </c>
    </row>
    <row r="781" spans="1:34">
      <c r="A781" s="5" t="s">
        <v>37</v>
      </c>
      <c r="B781" s="30">
        <v>3</v>
      </c>
      <c r="C781" s="31">
        <v>3</v>
      </c>
      <c r="D781" s="32"/>
      <c r="E781" s="4">
        <f t="shared" si="293"/>
        <v>6</v>
      </c>
      <c r="F781" s="30">
        <v>3</v>
      </c>
      <c r="G781" s="31">
        <v>3</v>
      </c>
      <c r="H781" s="32"/>
      <c r="I781" s="4">
        <f t="shared" si="294"/>
        <v>6</v>
      </c>
      <c r="J781" s="49">
        <v>44419</v>
      </c>
      <c r="K781" s="5" t="s">
        <v>369</v>
      </c>
      <c r="L781" s="16">
        <v>100</v>
      </c>
      <c r="M781" s="11">
        <v>100</v>
      </c>
      <c r="N781" s="16">
        <v>50</v>
      </c>
      <c r="O781" s="4">
        <f t="shared" si="295"/>
        <v>250</v>
      </c>
      <c r="P781" s="16">
        <v>100</v>
      </c>
      <c r="Q781" s="11">
        <v>100</v>
      </c>
      <c r="R781" s="16">
        <v>50</v>
      </c>
      <c r="S781" s="4">
        <f t="shared" si="296"/>
        <v>250</v>
      </c>
      <c r="T781" s="43" t="s">
        <v>394</v>
      </c>
      <c r="U781" s="5" t="s">
        <v>3</v>
      </c>
      <c r="V781" s="30">
        <v>6</v>
      </c>
      <c r="W781" s="31"/>
      <c r="X781" s="32"/>
      <c r="Y781" s="4">
        <f t="shared" si="297"/>
        <v>6</v>
      </c>
      <c r="Z781" s="30">
        <v>6</v>
      </c>
      <c r="AA781" s="31"/>
      <c r="AB781" s="32"/>
      <c r="AC781" s="4">
        <f t="shared" si="298"/>
        <v>6</v>
      </c>
      <c r="AD781" s="30">
        <v>6</v>
      </c>
      <c r="AE781" s="31"/>
      <c r="AF781" s="32"/>
      <c r="AG781" s="4">
        <f t="shared" si="299"/>
        <v>6</v>
      </c>
      <c r="AH781" s="43">
        <v>44426</v>
      </c>
    </row>
    <row r="782" spans="1:34">
      <c r="A782" s="5" t="s">
        <v>3</v>
      </c>
      <c r="B782" s="16"/>
      <c r="C782" s="11"/>
      <c r="D782" s="16"/>
      <c r="E782" s="4">
        <f t="shared" ref="E782" si="300">SUM(B782:D782)</f>
        <v>0</v>
      </c>
      <c r="F782" s="16"/>
      <c r="G782" s="11"/>
      <c r="H782" s="16"/>
      <c r="I782" s="4">
        <f t="shared" ref="I782" si="301">SUM(F782:H782)</f>
        <v>0</v>
      </c>
      <c r="K782" s="5" t="s">
        <v>370</v>
      </c>
      <c r="L782" s="16">
        <v>64</v>
      </c>
      <c r="M782" s="11">
        <v>27</v>
      </c>
      <c r="N782" s="16">
        <v>40</v>
      </c>
      <c r="O782" s="4">
        <f t="shared" si="295"/>
        <v>131</v>
      </c>
      <c r="P782" s="16">
        <v>64</v>
      </c>
      <c r="Q782" s="11">
        <v>27</v>
      </c>
      <c r="R782" s="16">
        <v>40</v>
      </c>
      <c r="S782" s="4">
        <f t="shared" si="296"/>
        <v>131</v>
      </c>
      <c r="T782" s="43" t="s">
        <v>394</v>
      </c>
      <c r="U782" s="5" t="s">
        <v>3</v>
      </c>
      <c r="V782" s="16"/>
      <c r="W782" s="11"/>
      <c r="X782" s="16"/>
      <c r="Y782" s="4">
        <f t="shared" si="297"/>
        <v>0</v>
      </c>
      <c r="Z782" s="16"/>
      <c r="AA782" s="11"/>
      <c r="AB782" s="16"/>
      <c r="AC782" s="4">
        <f t="shared" si="298"/>
        <v>0</v>
      </c>
      <c r="AD782" s="16"/>
      <c r="AE782" s="11"/>
      <c r="AF782" s="16"/>
      <c r="AG782" s="4">
        <f t="shared" si="299"/>
        <v>0</v>
      </c>
      <c r="AH782" s="43"/>
    </row>
    <row r="783" spans="1:34">
      <c r="A783" s="5" t="s">
        <v>3</v>
      </c>
      <c r="B783" s="16"/>
      <c r="C783" s="11"/>
      <c r="D783" s="16"/>
      <c r="E783" s="4">
        <f t="shared" si="293"/>
        <v>0</v>
      </c>
      <c r="F783" s="16"/>
      <c r="G783" s="11"/>
      <c r="H783" s="16"/>
      <c r="I783" s="4">
        <f t="shared" si="294"/>
        <v>0</v>
      </c>
      <c r="K783" s="5" t="s">
        <v>3</v>
      </c>
      <c r="L783" s="32"/>
      <c r="M783" s="31"/>
      <c r="N783" s="32"/>
      <c r="O783" s="4">
        <f t="shared" si="295"/>
        <v>0</v>
      </c>
      <c r="P783" s="32"/>
      <c r="Q783" s="31"/>
      <c r="R783" s="32"/>
      <c r="S783" s="4">
        <f t="shared" si="296"/>
        <v>0</v>
      </c>
      <c r="T783" s="43"/>
      <c r="U783" s="5" t="s">
        <v>3</v>
      </c>
      <c r="V783" s="32"/>
      <c r="W783" s="31"/>
      <c r="X783" s="32"/>
      <c r="Y783" s="4">
        <f t="shared" si="297"/>
        <v>0</v>
      </c>
      <c r="Z783" s="32"/>
      <c r="AA783" s="31"/>
      <c r="AB783" s="32"/>
      <c r="AC783" s="4">
        <f t="shared" si="298"/>
        <v>0</v>
      </c>
      <c r="AD783" s="32"/>
      <c r="AE783" s="31"/>
      <c r="AF783" s="32"/>
      <c r="AG783" s="4">
        <f t="shared" si="299"/>
        <v>0</v>
      </c>
      <c r="AH783" s="43"/>
    </row>
    <row r="784" spans="1:34">
      <c r="A784" s="5" t="s">
        <v>3</v>
      </c>
      <c r="B784" s="16"/>
      <c r="C784" s="11"/>
      <c r="D784" s="16"/>
      <c r="E784" s="4">
        <f t="shared" si="293"/>
        <v>0</v>
      </c>
      <c r="F784" s="16"/>
      <c r="G784" s="11"/>
      <c r="H784" s="16"/>
      <c r="I784" s="4">
        <f t="shared" si="294"/>
        <v>0</v>
      </c>
      <c r="K784" s="5" t="s">
        <v>3</v>
      </c>
      <c r="L784" s="16"/>
      <c r="M784" s="11"/>
      <c r="N784" s="16"/>
      <c r="O784" s="4">
        <f t="shared" si="295"/>
        <v>0</v>
      </c>
      <c r="P784" s="16"/>
      <c r="Q784" s="11"/>
      <c r="R784" s="16"/>
      <c r="S784" s="4">
        <f t="shared" si="296"/>
        <v>0</v>
      </c>
      <c r="T784" s="43"/>
      <c r="U784" s="5" t="s">
        <v>3</v>
      </c>
      <c r="V784" s="16"/>
      <c r="W784" s="11"/>
      <c r="X784" s="16"/>
      <c r="Y784" s="4">
        <f t="shared" si="297"/>
        <v>0</v>
      </c>
      <c r="Z784" s="16"/>
      <c r="AA784" s="11"/>
      <c r="AB784" s="16"/>
      <c r="AC784" s="4">
        <f t="shared" si="298"/>
        <v>0</v>
      </c>
      <c r="AD784" s="16"/>
      <c r="AE784" s="11"/>
      <c r="AF784" s="16"/>
      <c r="AG784" s="4">
        <f t="shared" si="299"/>
        <v>0</v>
      </c>
      <c r="AH784" s="43"/>
    </row>
    <row r="785" spans="1:34">
      <c r="A785" s="5" t="s">
        <v>3</v>
      </c>
      <c r="B785" s="32"/>
      <c r="C785" s="31"/>
      <c r="D785" s="32"/>
      <c r="E785" s="4">
        <f t="shared" si="293"/>
        <v>0</v>
      </c>
      <c r="F785" s="32"/>
      <c r="G785" s="31"/>
      <c r="H785" s="32"/>
      <c r="I785" s="4">
        <f t="shared" si="294"/>
        <v>0</v>
      </c>
      <c r="K785" s="5" t="s">
        <v>3</v>
      </c>
      <c r="L785" s="32"/>
      <c r="M785" s="31"/>
      <c r="N785" s="32"/>
      <c r="O785" s="4">
        <f t="shared" si="295"/>
        <v>0</v>
      </c>
      <c r="P785" s="32"/>
      <c r="Q785" s="31"/>
      <c r="R785" s="32"/>
      <c r="S785" s="4">
        <f t="shared" si="296"/>
        <v>0</v>
      </c>
      <c r="T785" s="43"/>
      <c r="U785" s="5" t="s">
        <v>3</v>
      </c>
      <c r="V785" s="32"/>
      <c r="W785" s="31"/>
      <c r="X785" s="32"/>
      <c r="Y785" s="4">
        <f t="shared" si="297"/>
        <v>0</v>
      </c>
      <c r="Z785" s="32"/>
      <c r="AA785" s="31"/>
      <c r="AB785" s="32"/>
      <c r="AC785" s="4">
        <f t="shared" si="298"/>
        <v>0</v>
      </c>
      <c r="AD785" s="32"/>
      <c r="AE785" s="31"/>
      <c r="AF785" s="32"/>
      <c r="AG785" s="4">
        <f t="shared" si="299"/>
        <v>0</v>
      </c>
      <c r="AH785" s="43"/>
    </row>
    <row r="786" spans="1:34">
      <c r="A786" s="5" t="s">
        <v>3</v>
      </c>
      <c r="B786" s="32"/>
      <c r="C786" s="31"/>
      <c r="D786" s="32"/>
      <c r="E786" s="4">
        <f t="shared" si="293"/>
        <v>0</v>
      </c>
      <c r="F786" s="32"/>
      <c r="G786" s="31"/>
      <c r="H786" s="32"/>
      <c r="I786" s="4">
        <f t="shared" si="294"/>
        <v>0</v>
      </c>
      <c r="K786" s="5" t="s">
        <v>3</v>
      </c>
      <c r="L786" s="32"/>
      <c r="M786" s="31"/>
      <c r="N786" s="32"/>
      <c r="O786" s="4">
        <f t="shared" si="295"/>
        <v>0</v>
      </c>
      <c r="P786" s="32"/>
      <c r="Q786" s="31"/>
      <c r="R786" s="32"/>
      <c r="S786" s="4">
        <f t="shared" si="296"/>
        <v>0</v>
      </c>
      <c r="T786" s="43"/>
      <c r="U786" s="5" t="s">
        <v>3</v>
      </c>
      <c r="V786" s="32"/>
      <c r="W786" s="31"/>
      <c r="X786" s="32"/>
      <c r="Y786" s="4">
        <f t="shared" si="297"/>
        <v>0</v>
      </c>
      <c r="Z786" s="32"/>
      <c r="AA786" s="31"/>
      <c r="AB786" s="32"/>
      <c r="AC786" s="4">
        <f t="shared" si="298"/>
        <v>0</v>
      </c>
      <c r="AD786" s="32"/>
      <c r="AE786" s="31"/>
      <c r="AF786" s="32"/>
      <c r="AG786" s="4">
        <f t="shared" si="299"/>
        <v>0</v>
      </c>
      <c r="AH786" s="43"/>
    </row>
    <row r="787" spans="1:34">
      <c r="A787" s="5" t="s">
        <v>3</v>
      </c>
      <c r="B787" s="30"/>
      <c r="C787" s="31"/>
      <c r="D787" s="32"/>
      <c r="E787" s="4">
        <f t="shared" si="293"/>
        <v>0</v>
      </c>
      <c r="F787" s="30"/>
      <c r="G787" s="31"/>
      <c r="H787" s="32"/>
      <c r="I787" s="4">
        <f t="shared" si="294"/>
        <v>0</v>
      </c>
      <c r="K787" s="5" t="s">
        <v>3</v>
      </c>
      <c r="L787" s="32"/>
      <c r="M787" s="31"/>
      <c r="N787" s="32"/>
      <c r="O787" s="4">
        <f t="shared" si="295"/>
        <v>0</v>
      </c>
      <c r="P787" s="32"/>
      <c r="Q787" s="31"/>
      <c r="R787" s="32"/>
      <c r="S787" s="4">
        <f t="shared" si="296"/>
        <v>0</v>
      </c>
      <c r="T787" s="43"/>
      <c r="U787" s="5" t="s">
        <v>3</v>
      </c>
      <c r="V787" s="30"/>
      <c r="W787" s="31"/>
      <c r="X787" s="32"/>
      <c r="Y787" s="4">
        <f t="shared" si="297"/>
        <v>0</v>
      </c>
      <c r="Z787" s="30"/>
      <c r="AA787" s="31"/>
      <c r="AB787" s="32"/>
      <c r="AC787" s="4">
        <f t="shared" si="298"/>
        <v>0</v>
      </c>
      <c r="AD787" s="30"/>
      <c r="AE787" s="31"/>
      <c r="AF787" s="32"/>
      <c r="AG787" s="4">
        <f t="shared" si="299"/>
        <v>0</v>
      </c>
      <c r="AH787" s="43"/>
    </row>
    <row r="788" spans="1:34" ht="14.25" thickBot="1">
      <c r="A788" s="6" t="s">
        <v>3</v>
      </c>
      <c r="B788" s="36"/>
      <c r="C788" s="37"/>
      <c r="D788" s="36"/>
      <c r="E788" s="20">
        <f t="shared" si="293"/>
        <v>0</v>
      </c>
      <c r="F788" s="13"/>
      <c r="G788" s="12"/>
      <c r="H788" s="13"/>
      <c r="I788" s="20">
        <f t="shared" si="294"/>
        <v>0</v>
      </c>
      <c r="K788" s="6" t="s">
        <v>3</v>
      </c>
      <c r="L788" s="13"/>
      <c r="M788" s="12"/>
      <c r="N788" s="13"/>
      <c r="O788" s="20">
        <f t="shared" si="295"/>
        <v>0</v>
      </c>
      <c r="P788" s="13"/>
      <c r="Q788" s="12"/>
      <c r="R788" s="13"/>
      <c r="S788" s="20">
        <f t="shared" si="296"/>
        <v>0</v>
      </c>
      <c r="T788" s="93"/>
      <c r="U788" s="6" t="s">
        <v>3</v>
      </c>
      <c r="V788" s="13"/>
      <c r="W788" s="12"/>
      <c r="X788" s="13"/>
      <c r="Y788" s="20">
        <f t="shared" si="297"/>
        <v>0</v>
      </c>
      <c r="Z788" s="13"/>
      <c r="AA788" s="12"/>
      <c r="AB788" s="13"/>
      <c r="AC788" s="20">
        <f t="shared" si="298"/>
        <v>0</v>
      </c>
      <c r="AD788" s="13"/>
      <c r="AE788" s="12"/>
      <c r="AF788" s="13"/>
      <c r="AG788" s="20">
        <f t="shared" si="299"/>
        <v>0</v>
      </c>
    </row>
    <row r="789" spans="1:34" ht="14.25" thickBot="1">
      <c r="A789" s="23" t="s">
        <v>4</v>
      </c>
      <c r="B789" s="24">
        <f>SUM(B778:B788)</f>
        <v>14</v>
      </c>
      <c r="C789" s="24">
        <f>SUM(C778:C788)</f>
        <v>8</v>
      </c>
      <c r="D789" s="25">
        <f>SUM(D778:D788)</f>
        <v>7</v>
      </c>
      <c r="E789" s="26">
        <f t="shared" si="293"/>
        <v>29</v>
      </c>
      <c r="F789" s="24">
        <f>SUM(F778:F788)</f>
        <v>14</v>
      </c>
      <c r="G789" s="24">
        <f>SUM(G778:G788)</f>
        <v>8</v>
      </c>
      <c r="H789" s="25">
        <f>SUM(H778:H788)</f>
        <v>7</v>
      </c>
      <c r="I789" s="26">
        <f t="shared" si="294"/>
        <v>29</v>
      </c>
      <c r="K789" s="23" t="s">
        <v>4</v>
      </c>
      <c r="L789" s="24">
        <f>SUM(L778:L788)</f>
        <v>227</v>
      </c>
      <c r="M789" s="24">
        <f>SUM(M778:M788)</f>
        <v>200</v>
      </c>
      <c r="N789" s="25">
        <f>SUM(N778:N788)</f>
        <v>183</v>
      </c>
      <c r="O789" s="26">
        <f t="shared" si="295"/>
        <v>610</v>
      </c>
      <c r="P789" s="24">
        <f>SUM(P778:P788)</f>
        <v>227</v>
      </c>
      <c r="Q789" s="24">
        <f>SUM(Q778:Q788)</f>
        <v>200</v>
      </c>
      <c r="R789" s="25">
        <f>SUM(R778:R788)</f>
        <v>183</v>
      </c>
      <c r="S789" s="26">
        <f t="shared" si="296"/>
        <v>610</v>
      </c>
      <c r="U789" s="23" t="s">
        <v>4</v>
      </c>
      <c r="V789" s="24">
        <f>SUM(V778:V788)</f>
        <v>22</v>
      </c>
      <c r="W789" s="24">
        <f>SUM(W778:W788)</f>
        <v>51</v>
      </c>
      <c r="X789" s="25">
        <f>SUM(X778:X788)</f>
        <v>24</v>
      </c>
      <c r="Y789" s="26">
        <f t="shared" si="297"/>
        <v>97</v>
      </c>
      <c r="Z789" s="24">
        <f>SUM(Z778:Z788)</f>
        <v>22</v>
      </c>
      <c r="AA789" s="24">
        <f>SUM(AA778:AA788)</f>
        <v>51</v>
      </c>
      <c r="AB789" s="25">
        <f>SUM(AB778:AB788)</f>
        <v>24</v>
      </c>
      <c r="AC789" s="26">
        <f t="shared" si="298"/>
        <v>97</v>
      </c>
      <c r="AD789" s="24">
        <f>SUM(AD778:AD788)</f>
        <v>22</v>
      </c>
      <c r="AE789" s="24">
        <f>SUM(AE778:AE788)</f>
        <v>51</v>
      </c>
      <c r="AF789" s="25">
        <f>SUM(AF778:AF788)</f>
        <v>24</v>
      </c>
      <c r="AG789" s="26">
        <f t="shared" si="299"/>
        <v>97</v>
      </c>
    </row>
    <row r="790" spans="1:34">
      <c r="A790" s="3" t="s">
        <v>392</v>
      </c>
      <c r="B790" s="8"/>
      <c r="C790" s="9">
        <v>1</v>
      </c>
      <c r="D790" s="10"/>
      <c r="E790" s="4">
        <f t="shared" si="293"/>
        <v>1</v>
      </c>
      <c r="F790" s="8"/>
      <c r="G790" s="9">
        <v>1</v>
      </c>
      <c r="H790" s="10"/>
      <c r="I790" s="4">
        <f t="shared" si="294"/>
        <v>1</v>
      </c>
      <c r="J790" s="43">
        <v>44408</v>
      </c>
      <c r="K790" s="11" t="s">
        <v>310</v>
      </c>
      <c r="L790" s="8">
        <v>25</v>
      </c>
      <c r="M790" s="9">
        <v>25</v>
      </c>
      <c r="N790" s="10">
        <v>25</v>
      </c>
      <c r="O790" s="7">
        <f t="shared" si="295"/>
        <v>75</v>
      </c>
      <c r="P790" s="8">
        <v>25</v>
      </c>
      <c r="Q790" s="9">
        <v>25</v>
      </c>
      <c r="R790" s="10">
        <v>25</v>
      </c>
      <c r="S790" s="7">
        <f t="shared" si="296"/>
        <v>75</v>
      </c>
      <c r="T790" s="43">
        <v>44406</v>
      </c>
      <c r="U790" s="3" t="s">
        <v>384</v>
      </c>
      <c r="V790" s="8">
        <v>12</v>
      </c>
      <c r="W790" s="9">
        <v>18</v>
      </c>
      <c r="X790" s="10">
        <v>9</v>
      </c>
      <c r="Y790" s="7">
        <f t="shared" si="297"/>
        <v>39</v>
      </c>
      <c r="Z790" s="8">
        <v>12</v>
      </c>
      <c r="AA790" s="9">
        <v>18</v>
      </c>
      <c r="AB790" s="10">
        <v>9</v>
      </c>
      <c r="AC790" s="7">
        <f t="shared" si="298"/>
        <v>39</v>
      </c>
      <c r="AD790" s="8">
        <v>12</v>
      </c>
      <c r="AE790" s="9">
        <v>18</v>
      </c>
      <c r="AF790" s="10">
        <v>9</v>
      </c>
      <c r="AG790" s="7">
        <f t="shared" si="299"/>
        <v>39</v>
      </c>
      <c r="AH790" s="43">
        <v>44403</v>
      </c>
    </row>
    <row r="791" spans="1:34">
      <c r="A791" s="3"/>
      <c r="B791" s="8"/>
      <c r="C791" s="9"/>
      <c r="D791" s="10"/>
      <c r="E791" s="4">
        <f t="shared" si="293"/>
        <v>0</v>
      </c>
      <c r="F791" s="8"/>
      <c r="G791" s="9"/>
      <c r="H791" s="10"/>
      <c r="I791" s="4">
        <f t="shared" si="294"/>
        <v>0</v>
      </c>
      <c r="J791" s="43"/>
      <c r="K791" s="3" t="s">
        <v>382</v>
      </c>
      <c r="L791" s="8">
        <v>7</v>
      </c>
      <c r="M791" s="9">
        <v>12</v>
      </c>
      <c r="N791" s="10">
        <v>11</v>
      </c>
      <c r="O791" s="4">
        <f t="shared" si="295"/>
        <v>30</v>
      </c>
      <c r="P791" s="8">
        <v>7</v>
      </c>
      <c r="Q791" s="9">
        <v>12</v>
      </c>
      <c r="R791" s="10">
        <v>11</v>
      </c>
      <c r="S791" s="4">
        <f t="shared" si="296"/>
        <v>30</v>
      </c>
      <c r="T791" s="43">
        <v>44398</v>
      </c>
      <c r="U791" s="3" t="s">
        <v>387</v>
      </c>
      <c r="V791" s="8"/>
      <c r="W791" s="9">
        <v>7</v>
      </c>
      <c r="X791" s="10">
        <v>6</v>
      </c>
      <c r="Y791" s="4">
        <f t="shared" si="297"/>
        <v>13</v>
      </c>
      <c r="Z791" s="8"/>
      <c r="AA791" s="9">
        <v>7</v>
      </c>
      <c r="AB791" s="10">
        <v>6</v>
      </c>
      <c r="AC791" s="4">
        <f t="shared" si="298"/>
        <v>13</v>
      </c>
      <c r="AD791" s="8"/>
      <c r="AE791" s="9">
        <v>7</v>
      </c>
      <c r="AF791" s="10">
        <v>6</v>
      </c>
      <c r="AG791" s="4">
        <f t="shared" si="299"/>
        <v>13</v>
      </c>
      <c r="AH791" s="43">
        <v>44407</v>
      </c>
    </row>
    <row r="792" spans="1:34">
      <c r="A792" s="3"/>
      <c r="B792" s="8"/>
      <c r="C792" s="9"/>
      <c r="D792" s="10"/>
      <c r="E792" s="7">
        <f t="shared" si="293"/>
        <v>0</v>
      </c>
      <c r="F792" s="8"/>
      <c r="G792" s="9"/>
      <c r="H792" s="10"/>
      <c r="I792" s="7">
        <f t="shared" si="294"/>
        <v>0</v>
      </c>
      <c r="J792" s="43"/>
      <c r="K792" s="3" t="s">
        <v>383</v>
      </c>
      <c r="L792" s="8">
        <v>4</v>
      </c>
      <c r="M792" s="9">
        <v>2</v>
      </c>
      <c r="N792" s="10"/>
      <c r="O792" s="7">
        <f t="shared" si="295"/>
        <v>6</v>
      </c>
      <c r="P792" s="8">
        <v>4</v>
      </c>
      <c r="Q792" s="9">
        <v>2</v>
      </c>
      <c r="R792" s="10"/>
      <c r="S792" s="7">
        <f t="shared" si="296"/>
        <v>6</v>
      </c>
      <c r="T792" s="43">
        <v>44399</v>
      </c>
      <c r="U792" s="3" t="s">
        <v>405</v>
      </c>
      <c r="V792" s="8">
        <v>4</v>
      </c>
      <c r="W792" s="9">
        <v>1</v>
      </c>
      <c r="X792" s="10">
        <v>6</v>
      </c>
      <c r="Y792" s="7">
        <f t="shared" si="297"/>
        <v>11</v>
      </c>
      <c r="Z792" s="8">
        <v>4</v>
      </c>
      <c r="AA792" s="9">
        <v>1</v>
      </c>
      <c r="AB792" s="10">
        <v>6</v>
      </c>
      <c r="AC792" s="7">
        <f t="shared" si="298"/>
        <v>11</v>
      </c>
      <c r="AD792" s="8">
        <v>4</v>
      </c>
      <c r="AE792" s="9">
        <v>1</v>
      </c>
      <c r="AF792" s="10">
        <v>6</v>
      </c>
      <c r="AG792" s="7">
        <f t="shared" si="299"/>
        <v>11</v>
      </c>
      <c r="AH792" s="43">
        <v>44431</v>
      </c>
    </row>
    <row r="793" spans="1:34">
      <c r="A793" s="3"/>
      <c r="B793" s="8"/>
      <c r="C793" s="9"/>
      <c r="D793" s="10"/>
      <c r="E793" s="4">
        <f t="shared" si="293"/>
        <v>0</v>
      </c>
      <c r="F793" s="8"/>
      <c r="G793" s="9"/>
      <c r="H793" s="10"/>
      <c r="I793" s="4">
        <f t="shared" si="294"/>
        <v>0</v>
      </c>
      <c r="K793" s="3" t="s">
        <v>385</v>
      </c>
      <c r="L793" s="8">
        <v>8</v>
      </c>
      <c r="M793" s="9">
        <v>14</v>
      </c>
      <c r="N793" s="10">
        <v>9</v>
      </c>
      <c r="O793" s="4">
        <f t="shared" si="295"/>
        <v>31</v>
      </c>
      <c r="P793" s="8">
        <v>8</v>
      </c>
      <c r="Q793" s="9">
        <v>14</v>
      </c>
      <c r="R793" s="10">
        <v>9</v>
      </c>
      <c r="S793" s="4">
        <f t="shared" si="296"/>
        <v>31</v>
      </c>
      <c r="T793" s="43">
        <v>44404</v>
      </c>
      <c r="U793" s="40"/>
      <c r="V793" s="8"/>
      <c r="W793" s="9"/>
      <c r="X793" s="10"/>
      <c r="Y793" s="4">
        <f t="shared" si="297"/>
        <v>0</v>
      </c>
      <c r="Z793" s="8"/>
      <c r="AA793" s="9"/>
      <c r="AB793" s="10"/>
      <c r="AC793" s="4">
        <f t="shared" si="298"/>
        <v>0</v>
      </c>
      <c r="AD793" s="8"/>
      <c r="AE793" s="9"/>
      <c r="AF793" s="10"/>
      <c r="AG793" s="4">
        <f t="shared" si="299"/>
        <v>0</v>
      </c>
      <c r="AH793" s="43"/>
    </row>
    <row r="794" spans="1:34">
      <c r="A794" s="3"/>
      <c r="B794" s="8"/>
      <c r="C794" s="9"/>
      <c r="D794" s="10"/>
      <c r="E794" s="4">
        <f t="shared" si="293"/>
        <v>0</v>
      </c>
      <c r="F794" s="8"/>
      <c r="G794" s="9"/>
      <c r="H794" s="10"/>
      <c r="I794" s="4">
        <f t="shared" si="294"/>
        <v>0</v>
      </c>
      <c r="K794" s="3" t="s">
        <v>386</v>
      </c>
      <c r="L794" s="8"/>
      <c r="M794" s="9">
        <v>4</v>
      </c>
      <c r="N794" s="10">
        <v>16</v>
      </c>
      <c r="O794" s="4">
        <f t="shared" si="295"/>
        <v>20</v>
      </c>
      <c r="P794" s="8"/>
      <c r="Q794" s="9">
        <v>4</v>
      </c>
      <c r="R794" s="10">
        <v>16</v>
      </c>
      <c r="S794" s="4">
        <f t="shared" si="296"/>
        <v>20</v>
      </c>
      <c r="T794" s="43">
        <v>44405</v>
      </c>
      <c r="U794" s="3"/>
      <c r="V794" s="8"/>
      <c r="W794" s="9"/>
      <c r="X794" s="10"/>
      <c r="Y794" s="4">
        <f t="shared" si="297"/>
        <v>0</v>
      </c>
      <c r="Z794" s="8"/>
      <c r="AA794" s="9"/>
      <c r="AB794" s="10"/>
      <c r="AC794" s="4">
        <f t="shared" si="298"/>
        <v>0</v>
      </c>
      <c r="AD794" s="8"/>
      <c r="AE794" s="9"/>
      <c r="AF794" s="10"/>
      <c r="AG794" s="4">
        <f t="shared" si="299"/>
        <v>0</v>
      </c>
      <c r="AH794" s="43"/>
    </row>
    <row r="795" spans="1:34">
      <c r="A795" s="3"/>
      <c r="B795" s="8"/>
      <c r="C795" s="9"/>
      <c r="D795" s="10"/>
      <c r="E795" s="7">
        <f t="shared" si="293"/>
        <v>0</v>
      </c>
      <c r="F795" s="8"/>
      <c r="G795" s="9"/>
      <c r="H795" s="10"/>
      <c r="I795" s="7">
        <f t="shared" si="294"/>
        <v>0</v>
      </c>
      <c r="K795" s="3" t="s">
        <v>389</v>
      </c>
      <c r="L795" s="8">
        <v>6</v>
      </c>
      <c r="M795" s="9">
        <v>7</v>
      </c>
      <c r="N795" s="10">
        <v>2</v>
      </c>
      <c r="O795" s="7">
        <f t="shared" si="295"/>
        <v>15</v>
      </c>
      <c r="P795" s="8">
        <v>6</v>
      </c>
      <c r="Q795" s="9">
        <v>7</v>
      </c>
      <c r="R795" s="10">
        <v>2</v>
      </c>
      <c r="S795" s="7">
        <f t="shared" si="296"/>
        <v>15</v>
      </c>
      <c r="T795" s="43">
        <v>44406</v>
      </c>
      <c r="U795" s="3"/>
      <c r="V795" s="8"/>
      <c r="W795" s="9"/>
      <c r="X795" s="10"/>
      <c r="Y795" s="7">
        <f t="shared" si="297"/>
        <v>0</v>
      </c>
      <c r="Z795" s="8"/>
      <c r="AA795" s="9"/>
      <c r="AB795" s="10"/>
      <c r="AC795" s="7">
        <f t="shared" si="298"/>
        <v>0</v>
      </c>
      <c r="AD795" s="8"/>
      <c r="AE795" s="9"/>
      <c r="AF795" s="10"/>
      <c r="AG795" s="7">
        <f t="shared" si="299"/>
        <v>0</v>
      </c>
      <c r="AH795" s="43"/>
    </row>
    <row r="796" spans="1:34">
      <c r="A796" s="3"/>
      <c r="B796" s="8"/>
      <c r="C796" s="9"/>
      <c r="D796" s="10"/>
      <c r="E796" s="7">
        <f t="shared" si="293"/>
        <v>0</v>
      </c>
      <c r="F796" s="8"/>
      <c r="G796" s="9"/>
      <c r="H796" s="10"/>
      <c r="I796" s="7">
        <f t="shared" si="294"/>
        <v>0</v>
      </c>
      <c r="K796" s="3" t="s">
        <v>390</v>
      </c>
      <c r="L796" s="8">
        <v>1</v>
      </c>
      <c r="M796" s="9">
        <v>7</v>
      </c>
      <c r="N796" s="10">
        <v>6</v>
      </c>
      <c r="O796" s="7">
        <f t="shared" si="295"/>
        <v>14</v>
      </c>
      <c r="P796" s="8">
        <v>1</v>
      </c>
      <c r="Q796" s="9">
        <v>7</v>
      </c>
      <c r="R796" s="10">
        <v>6</v>
      </c>
      <c r="S796" s="7">
        <f t="shared" si="296"/>
        <v>14</v>
      </c>
      <c r="T796" s="43">
        <v>44407</v>
      </c>
      <c r="U796" s="3"/>
      <c r="V796" s="8"/>
      <c r="W796" s="9"/>
      <c r="X796" s="10"/>
      <c r="Y796" s="7">
        <f t="shared" si="297"/>
        <v>0</v>
      </c>
      <c r="Z796" s="8"/>
      <c r="AA796" s="9"/>
      <c r="AB796" s="10"/>
      <c r="AC796" s="7">
        <f t="shared" si="298"/>
        <v>0</v>
      </c>
      <c r="AD796" s="8"/>
      <c r="AE796" s="9"/>
      <c r="AF796" s="10"/>
      <c r="AG796" s="7">
        <f t="shared" si="299"/>
        <v>0</v>
      </c>
      <c r="AH796" s="43"/>
    </row>
    <row r="797" spans="1:34">
      <c r="A797" s="3"/>
      <c r="B797" s="8"/>
      <c r="C797" s="9"/>
      <c r="D797" s="10"/>
      <c r="E797" s="7">
        <f t="shared" si="293"/>
        <v>0</v>
      </c>
      <c r="F797" s="8"/>
      <c r="G797" s="9"/>
      <c r="H797" s="10"/>
      <c r="I797" s="7">
        <f t="shared" si="294"/>
        <v>0</v>
      </c>
      <c r="K797" s="3" t="s">
        <v>391</v>
      </c>
      <c r="L797" s="8">
        <v>4</v>
      </c>
      <c r="M797" s="9"/>
      <c r="N797" s="10"/>
      <c r="O797" s="7">
        <f t="shared" si="295"/>
        <v>4</v>
      </c>
      <c r="P797" s="8">
        <v>4</v>
      </c>
      <c r="Q797" s="9"/>
      <c r="R797" s="10"/>
      <c r="S797" s="7">
        <f t="shared" si="296"/>
        <v>4</v>
      </c>
      <c r="T797" s="43">
        <v>44408</v>
      </c>
      <c r="U797" s="3"/>
      <c r="V797" s="8"/>
      <c r="W797" s="9"/>
      <c r="X797" s="10"/>
      <c r="Y797" s="7">
        <f t="shared" si="297"/>
        <v>0</v>
      </c>
      <c r="Z797" s="8"/>
      <c r="AA797" s="9"/>
      <c r="AB797" s="10"/>
      <c r="AC797" s="7">
        <f t="shared" si="298"/>
        <v>0</v>
      </c>
      <c r="AD797" s="8"/>
      <c r="AE797" s="9"/>
      <c r="AF797" s="10"/>
      <c r="AG797" s="7">
        <f t="shared" si="299"/>
        <v>0</v>
      </c>
      <c r="AH797" s="43"/>
    </row>
    <row r="798" spans="1:34">
      <c r="A798" s="3"/>
      <c r="B798" s="8"/>
      <c r="C798" s="9"/>
      <c r="D798" s="10"/>
      <c r="E798" s="7">
        <f t="shared" si="293"/>
        <v>0</v>
      </c>
      <c r="F798" s="8"/>
      <c r="G798" s="9"/>
      <c r="H798" s="10"/>
      <c r="I798" s="7">
        <f t="shared" si="294"/>
        <v>0</v>
      </c>
      <c r="K798" s="3" t="s">
        <v>393</v>
      </c>
      <c r="L798" s="8">
        <v>12</v>
      </c>
      <c r="M798" s="9">
        <v>18</v>
      </c>
      <c r="N798" s="10">
        <v>1</v>
      </c>
      <c r="O798" s="7">
        <f t="shared" si="295"/>
        <v>31</v>
      </c>
      <c r="P798" s="8">
        <v>12</v>
      </c>
      <c r="Q798" s="9">
        <v>18</v>
      </c>
      <c r="R798" s="10">
        <v>1</v>
      </c>
      <c r="S798" s="7">
        <f t="shared" si="296"/>
        <v>31</v>
      </c>
      <c r="T798" s="43">
        <v>44411</v>
      </c>
      <c r="U798" s="3"/>
      <c r="V798" s="8"/>
      <c r="W798" s="9"/>
      <c r="X798" s="10"/>
      <c r="Y798" s="7">
        <f t="shared" si="297"/>
        <v>0</v>
      </c>
      <c r="Z798" s="8"/>
      <c r="AA798" s="9"/>
      <c r="AB798" s="10"/>
      <c r="AC798" s="7">
        <f t="shared" si="298"/>
        <v>0</v>
      </c>
      <c r="AD798" s="8"/>
      <c r="AE798" s="9"/>
      <c r="AF798" s="10"/>
      <c r="AG798" s="7">
        <f t="shared" si="299"/>
        <v>0</v>
      </c>
      <c r="AH798" s="43"/>
    </row>
    <row r="799" spans="1:34">
      <c r="A799" s="3"/>
      <c r="B799" s="8"/>
      <c r="C799" s="9"/>
      <c r="D799" s="10"/>
      <c r="E799" s="7">
        <f t="shared" si="293"/>
        <v>0</v>
      </c>
      <c r="F799" s="8"/>
      <c r="G799" s="9"/>
      <c r="H799" s="10"/>
      <c r="I799" s="7">
        <f t="shared" si="294"/>
        <v>0</v>
      </c>
      <c r="K799" s="3" t="s">
        <v>395</v>
      </c>
      <c r="L799" s="8"/>
      <c r="M799" s="9"/>
      <c r="N799" s="10">
        <v>4</v>
      </c>
      <c r="O799" s="7">
        <f t="shared" si="295"/>
        <v>4</v>
      </c>
      <c r="P799" s="8"/>
      <c r="Q799" s="9"/>
      <c r="R799" s="10">
        <v>4</v>
      </c>
      <c r="S799" s="7">
        <f t="shared" si="296"/>
        <v>4</v>
      </c>
      <c r="T799" s="43">
        <v>44412</v>
      </c>
      <c r="U799" s="3"/>
      <c r="V799" s="8"/>
      <c r="W799" s="9"/>
      <c r="X799" s="10"/>
      <c r="Y799" s="7">
        <f t="shared" si="297"/>
        <v>0</v>
      </c>
      <c r="Z799" s="8"/>
      <c r="AA799" s="9"/>
      <c r="AB799" s="10"/>
      <c r="AC799" s="7">
        <f t="shared" si="298"/>
        <v>0</v>
      </c>
      <c r="AD799" s="8"/>
      <c r="AE799" s="9"/>
      <c r="AF799" s="10"/>
      <c r="AG799" s="7">
        <f t="shared" si="299"/>
        <v>0</v>
      </c>
      <c r="AH799" s="43"/>
    </row>
    <row r="800" spans="1:34">
      <c r="A800" s="3"/>
      <c r="B800" s="8"/>
      <c r="C800" s="9"/>
      <c r="D800" s="10"/>
      <c r="E800" s="7">
        <f t="shared" si="293"/>
        <v>0</v>
      </c>
      <c r="F800" s="8"/>
      <c r="G800" s="9"/>
      <c r="H800" s="10"/>
      <c r="I800" s="7">
        <f t="shared" si="294"/>
        <v>0</v>
      </c>
      <c r="K800" s="11" t="s">
        <v>396</v>
      </c>
      <c r="L800" s="59">
        <v>25</v>
      </c>
      <c r="M800" s="9">
        <v>38</v>
      </c>
      <c r="N800" s="10">
        <v>25</v>
      </c>
      <c r="O800" s="7">
        <f t="shared" si="295"/>
        <v>88</v>
      </c>
      <c r="P800" s="8">
        <v>25</v>
      </c>
      <c r="Q800" s="9">
        <v>38</v>
      </c>
      <c r="R800" s="10">
        <v>25</v>
      </c>
      <c r="S800" s="7">
        <f t="shared" si="296"/>
        <v>88</v>
      </c>
      <c r="T800" s="43">
        <v>44420</v>
      </c>
      <c r="U800" s="3"/>
      <c r="V800" s="30"/>
      <c r="W800" s="9"/>
      <c r="X800" s="10"/>
      <c r="Y800" s="7">
        <f t="shared" si="297"/>
        <v>0</v>
      </c>
      <c r="Z800" s="8"/>
      <c r="AA800" s="9"/>
      <c r="AB800" s="10"/>
      <c r="AC800" s="7">
        <f t="shared" si="298"/>
        <v>0</v>
      </c>
      <c r="AD800" s="8"/>
      <c r="AE800" s="9"/>
      <c r="AF800" s="10"/>
      <c r="AG800" s="7">
        <f t="shared" si="299"/>
        <v>0</v>
      </c>
      <c r="AH800" s="43"/>
    </row>
    <row r="801" spans="1:34">
      <c r="A801" s="3"/>
      <c r="B801" s="8"/>
      <c r="C801" s="9"/>
      <c r="D801" s="10"/>
      <c r="E801" s="7">
        <f t="shared" si="293"/>
        <v>0</v>
      </c>
      <c r="F801" s="8"/>
      <c r="G801" s="9"/>
      <c r="H801" s="10"/>
      <c r="I801" s="7">
        <f t="shared" si="294"/>
        <v>0</v>
      </c>
      <c r="K801" s="3" t="s">
        <v>397</v>
      </c>
      <c r="L801" s="8">
        <v>1</v>
      </c>
      <c r="M801" s="9">
        <v>6</v>
      </c>
      <c r="N801" s="10">
        <v>5</v>
      </c>
      <c r="O801" s="7">
        <f t="shared" si="295"/>
        <v>12</v>
      </c>
      <c r="P801" s="8">
        <v>1</v>
      </c>
      <c r="Q801" s="9">
        <v>6</v>
      </c>
      <c r="R801" s="10">
        <v>5</v>
      </c>
      <c r="S801" s="7">
        <f t="shared" si="296"/>
        <v>12</v>
      </c>
      <c r="T801" s="43">
        <v>44413</v>
      </c>
      <c r="U801" s="3"/>
      <c r="V801" s="8"/>
      <c r="W801" s="9"/>
      <c r="X801" s="10"/>
      <c r="Y801" s="7">
        <f t="shared" si="297"/>
        <v>0</v>
      </c>
      <c r="Z801" s="8"/>
      <c r="AA801" s="9"/>
      <c r="AB801" s="10"/>
      <c r="AC801" s="7">
        <f t="shared" si="298"/>
        <v>0</v>
      </c>
      <c r="AD801" s="8"/>
      <c r="AE801" s="9"/>
      <c r="AF801" s="10"/>
      <c r="AG801" s="7">
        <f t="shared" si="299"/>
        <v>0</v>
      </c>
      <c r="AH801" s="43"/>
    </row>
    <row r="802" spans="1:34">
      <c r="A802" s="3"/>
      <c r="B802" s="8"/>
      <c r="C802" s="9"/>
      <c r="D802" s="10"/>
      <c r="E802" s="7">
        <f t="shared" si="293"/>
        <v>0</v>
      </c>
      <c r="F802" s="8"/>
      <c r="G802" s="9"/>
      <c r="H802" s="10"/>
      <c r="I802" s="7">
        <f t="shared" si="294"/>
        <v>0</v>
      </c>
      <c r="K802" s="3" t="s">
        <v>398</v>
      </c>
      <c r="L802" s="8">
        <v>6</v>
      </c>
      <c r="M802" s="9">
        <v>2</v>
      </c>
      <c r="N802" s="10">
        <v>4</v>
      </c>
      <c r="O802" s="7">
        <f t="shared" si="295"/>
        <v>12</v>
      </c>
      <c r="P802" s="8">
        <v>6</v>
      </c>
      <c r="Q802" s="9">
        <v>2</v>
      </c>
      <c r="R802" s="10">
        <v>4</v>
      </c>
      <c r="S802" s="7">
        <f t="shared" si="296"/>
        <v>12</v>
      </c>
      <c r="T802" s="43">
        <v>44414</v>
      </c>
      <c r="U802" s="3"/>
      <c r="V802" s="8"/>
      <c r="W802" s="9"/>
      <c r="X802" s="10"/>
      <c r="Y802" s="7">
        <f t="shared" si="297"/>
        <v>0</v>
      </c>
      <c r="Z802" s="8"/>
      <c r="AA802" s="9"/>
      <c r="AB802" s="10"/>
      <c r="AC802" s="7">
        <f t="shared" si="298"/>
        <v>0</v>
      </c>
      <c r="AD802" s="8"/>
      <c r="AE802" s="9"/>
      <c r="AF802" s="10"/>
      <c r="AG802" s="7">
        <f t="shared" si="299"/>
        <v>0</v>
      </c>
      <c r="AH802" s="43"/>
    </row>
    <row r="803" spans="1:34">
      <c r="A803" s="3"/>
      <c r="B803" s="8"/>
      <c r="C803" s="9"/>
      <c r="D803" s="10"/>
      <c r="E803" s="7">
        <f t="shared" si="293"/>
        <v>0</v>
      </c>
      <c r="F803" s="8"/>
      <c r="G803" s="9"/>
      <c r="H803" s="10"/>
      <c r="I803" s="7">
        <f t="shared" si="294"/>
        <v>0</v>
      </c>
      <c r="K803" s="3" t="s">
        <v>399</v>
      </c>
      <c r="L803" s="8">
        <v>2</v>
      </c>
      <c r="M803" s="9">
        <v>3</v>
      </c>
      <c r="N803" s="10">
        <v>2</v>
      </c>
      <c r="O803" s="7">
        <f t="shared" si="295"/>
        <v>7</v>
      </c>
      <c r="P803" s="8">
        <v>2</v>
      </c>
      <c r="Q803" s="9">
        <v>3</v>
      </c>
      <c r="R803" s="10">
        <v>2</v>
      </c>
      <c r="S803" s="7">
        <f t="shared" si="296"/>
        <v>7</v>
      </c>
      <c r="T803" s="43">
        <v>44415</v>
      </c>
      <c r="U803" s="3"/>
      <c r="V803" s="8"/>
      <c r="W803" s="9"/>
      <c r="X803" s="10"/>
      <c r="Y803" s="7">
        <f t="shared" si="297"/>
        <v>0</v>
      </c>
      <c r="Z803" s="8"/>
      <c r="AA803" s="9"/>
      <c r="AB803" s="10"/>
      <c r="AC803" s="7">
        <f t="shared" si="298"/>
        <v>0</v>
      </c>
      <c r="AD803" s="8"/>
      <c r="AE803" s="9"/>
      <c r="AF803" s="10"/>
      <c r="AG803" s="7">
        <f t="shared" si="299"/>
        <v>0</v>
      </c>
      <c r="AH803" s="43"/>
    </row>
    <row r="804" spans="1:34">
      <c r="A804" s="3"/>
      <c r="B804" s="8"/>
      <c r="C804" s="9"/>
      <c r="D804" s="10"/>
      <c r="E804" s="7">
        <f t="shared" si="293"/>
        <v>0</v>
      </c>
      <c r="F804" s="8"/>
      <c r="G804" s="9"/>
      <c r="H804" s="10"/>
      <c r="I804" s="7">
        <f t="shared" si="294"/>
        <v>0</v>
      </c>
      <c r="K804" s="3" t="s">
        <v>400</v>
      </c>
      <c r="L804" s="8">
        <v>8</v>
      </c>
      <c r="M804" s="9">
        <v>1</v>
      </c>
      <c r="N804" s="10">
        <v>8</v>
      </c>
      <c r="O804" s="7">
        <f t="shared" si="295"/>
        <v>17</v>
      </c>
      <c r="P804" s="8">
        <v>8</v>
      </c>
      <c r="Q804" s="9">
        <v>1</v>
      </c>
      <c r="R804" s="10">
        <v>8</v>
      </c>
      <c r="S804" s="7">
        <f t="shared" si="296"/>
        <v>17</v>
      </c>
      <c r="T804" s="43">
        <v>44419</v>
      </c>
      <c r="U804" s="3"/>
      <c r="V804" s="8"/>
      <c r="W804" s="9"/>
      <c r="X804" s="10"/>
      <c r="Y804" s="7">
        <f t="shared" si="297"/>
        <v>0</v>
      </c>
      <c r="Z804" s="8"/>
      <c r="AA804" s="9"/>
      <c r="AB804" s="10"/>
      <c r="AC804" s="7">
        <f t="shared" si="298"/>
        <v>0</v>
      </c>
      <c r="AD804" s="8"/>
      <c r="AE804" s="9"/>
      <c r="AF804" s="10"/>
      <c r="AG804" s="7">
        <f t="shared" si="299"/>
        <v>0</v>
      </c>
      <c r="AH804" s="43"/>
    </row>
    <row r="805" spans="1:34">
      <c r="A805" s="3"/>
      <c r="B805" s="8"/>
      <c r="C805" s="9"/>
      <c r="D805" s="10"/>
      <c r="E805" s="7">
        <f t="shared" si="293"/>
        <v>0</v>
      </c>
      <c r="F805" s="8"/>
      <c r="G805" s="9"/>
      <c r="H805" s="10"/>
      <c r="I805" s="7">
        <f t="shared" si="294"/>
        <v>0</v>
      </c>
      <c r="K805" s="11" t="s">
        <v>401</v>
      </c>
      <c r="L805" s="8">
        <v>10</v>
      </c>
      <c r="M805" s="9">
        <v>10</v>
      </c>
      <c r="N805" s="10">
        <v>10</v>
      </c>
      <c r="O805" s="7">
        <f t="shared" si="295"/>
        <v>30</v>
      </c>
      <c r="P805" s="8">
        <v>10</v>
      </c>
      <c r="Q805" s="9">
        <v>10</v>
      </c>
      <c r="R805" s="10">
        <v>10</v>
      </c>
      <c r="S805" s="7">
        <f t="shared" si="296"/>
        <v>30</v>
      </c>
      <c r="T805" s="43">
        <v>44419</v>
      </c>
      <c r="U805" s="3"/>
      <c r="V805" s="8"/>
      <c r="W805" s="9"/>
      <c r="X805" s="10"/>
      <c r="Y805" s="7">
        <f t="shared" si="297"/>
        <v>0</v>
      </c>
      <c r="Z805" s="8"/>
      <c r="AA805" s="9"/>
      <c r="AB805" s="10"/>
      <c r="AC805" s="7">
        <f t="shared" si="298"/>
        <v>0</v>
      </c>
      <c r="AD805" s="8"/>
      <c r="AE805" s="9"/>
      <c r="AF805" s="10"/>
      <c r="AG805" s="7">
        <f t="shared" si="299"/>
        <v>0</v>
      </c>
      <c r="AH805" s="43"/>
    </row>
    <row r="806" spans="1:34">
      <c r="A806" s="3"/>
      <c r="B806" s="8"/>
      <c r="C806" s="9"/>
      <c r="D806" s="10"/>
      <c r="E806" s="7">
        <f t="shared" si="293"/>
        <v>0</v>
      </c>
      <c r="F806" s="8"/>
      <c r="G806" s="9"/>
      <c r="H806" s="10"/>
      <c r="I806" s="7">
        <f t="shared" si="294"/>
        <v>0</v>
      </c>
      <c r="K806" s="3" t="s">
        <v>402</v>
      </c>
      <c r="L806" s="8">
        <v>2</v>
      </c>
      <c r="M806" s="9">
        <v>3</v>
      </c>
      <c r="N806" s="10">
        <v>2</v>
      </c>
      <c r="O806" s="7">
        <f t="shared" si="295"/>
        <v>7</v>
      </c>
      <c r="P806" s="8">
        <v>2</v>
      </c>
      <c r="Q806" s="9">
        <v>3</v>
      </c>
      <c r="R806" s="10">
        <v>2</v>
      </c>
      <c r="S806" s="7">
        <f t="shared" si="296"/>
        <v>7</v>
      </c>
      <c r="T806" s="43">
        <v>44420</v>
      </c>
      <c r="U806" s="3"/>
      <c r="V806" s="8"/>
      <c r="W806" s="9"/>
      <c r="X806" s="10"/>
      <c r="Y806" s="7">
        <f t="shared" si="297"/>
        <v>0</v>
      </c>
      <c r="Z806" s="8"/>
      <c r="AA806" s="9"/>
      <c r="AB806" s="10"/>
      <c r="AC806" s="7">
        <f t="shared" si="298"/>
        <v>0</v>
      </c>
      <c r="AD806" s="8"/>
      <c r="AE806" s="9"/>
      <c r="AF806" s="10"/>
      <c r="AG806" s="7">
        <f t="shared" si="299"/>
        <v>0</v>
      </c>
      <c r="AH806" s="43"/>
    </row>
    <row r="807" spans="1:34">
      <c r="A807" s="3"/>
      <c r="B807" s="8"/>
      <c r="C807" s="9"/>
      <c r="D807" s="10"/>
      <c r="E807" s="7">
        <f t="shared" si="293"/>
        <v>0</v>
      </c>
      <c r="F807" s="8"/>
      <c r="G807" s="9"/>
      <c r="H807" s="10"/>
      <c r="I807" s="7">
        <f t="shared" si="294"/>
        <v>0</v>
      </c>
      <c r="K807" s="11" t="s">
        <v>403</v>
      </c>
      <c r="L807" s="8">
        <v>5</v>
      </c>
      <c r="M807" s="9">
        <v>5</v>
      </c>
      <c r="N807" s="10">
        <v>10</v>
      </c>
      <c r="O807" s="7">
        <f t="shared" si="295"/>
        <v>20</v>
      </c>
      <c r="P807" s="8">
        <v>5</v>
      </c>
      <c r="Q807" s="9">
        <v>5</v>
      </c>
      <c r="R807" s="10">
        <v>10</v>
      </c>
      <c r="S807" s="7">
        <f t="shared" si="296"/>
        <v>20</v>
      </c>
      <c r="T807" s="43">
        <v>44420</v>
      </c>
      <c r="U807" s="3"/>
      <c r="V807" s="8"/>
      <c r="W807" s="9"/>
      <c r="X807" s="10"/>
      <c r="Y807" s="7">
        <f t="shared" si="297"/>
        <v>0</v>
      </c>
      <c r="Z807" s="8"/>
      <c r="AA807" s="9"/>
      <c r="AB807" s="10"/>
      <c r="AC807" s="7">
        <f t="shared" si="298"/>
        <v>0</v>
      </c>
      <c r="AD807" s="8"/>
      <c r="AE807" s="9"/>
      <c r="AF807" s="10"/>
      <c r="AG807" s="7">
        <f t="shared" si="299"/>
        <v>0</v>
      </c>
      <c r="AH807" s="43"/>
    </row>
    <row r="808" spans="1:34">
      <c r="A808" s="11"/>
      <c r="B808" s="8"/>
      <c r="C808" s="9"/>
      <c r="D808" s="10"/>
      <c r="E808" s="7">
        <f t="shared" si="293"/>
        <v>0</v>
      </c>
      <c r="F808" s="8"/>
      <c r="G808" s="9"/>
      <c r="H808" s="10"/>
      <c r="I808" s="7">
        <f t="shared" si="294"/>
        <v>0</v>
      </c>
      <c r="K808" s="3" t="s">
        <v>404</v>
      </c>
      <c r="L808" s="8">
        <v>1</v>
      </c>
      <c r="M808" s="9">
        <v>5</v>
      </c>
      <c r="N808" s="10"/>
      <c r="O808" s="7">
        <f t="shared" si="295"/>
        <v>6</v>
      </c>
      <c r="P808" s="8">
        <v>1</v>
      </c>
      <c r="Q808" s="9">
        <v>5</v>
      </c>
      <c r="R808" s="10"/>
      <c r="S808" s="7">
        <f t="shared" si="296"/>
        <v>6</v>
      </c>
      <c r="T808" s="43">
        <v>44425</v>
      </c>
      <c r="U808" s="3"/>
      <c r="V808" s="8"/>
      <c r="W808" s="9"/>
      <c r="X808" s="10"/>
      <c r="Y808" s="7">
        <f t="shared" si="297"/>
        <v>0</v>
      </c>
      <c r="Z808" s="8"/>
      <c r="AA808" s="9"/>
      <c r="AB808" s="10"/>
      <c r="AC808" s="7">
        <f t="shared" si="298"/>
        <v>0</v>
      </c>
      <c r="AD808" s="8"/>
      <c r="AE808" s="9"/>
      <c r="AF808" s="10"/>
      <c r="AG808" s="7">
        <f t="shared" si="299"/>
        <v>0</v>
      </c>
      <c r="AH808" s="43"/>
    </row>
    <row r="809" spans="1:34">
      <c r="A809" s="11"/>
      <c r="B809" s="8"/>
      <c r="C809" s="9"/>
      <c r="D809" s="10"/>
      <c r="E809" s="7">
        <f t="shared" si="293"/>
        <v>0</v>
      </c>
      <c r="F809" s="8"/>
      <c r="G809" s="9"/>
      <c r="H809" s="10"/>
      <c r="I809" s="7">
        <f t="shared" si="294"/>
        <v>0</v>
      </c>
      <c r="K809" s="11" t="s">
        <v>406</v>
      </c>
      <c r="L809" s="8">
        <v>4</v>
      </c>
      <c r="M809" s="9"/>
      <c r="N809" s="10"/>
      <c r="O809" s="7">
        <f t="shared" si="295"/>
        <v>4</v>
      </c>
      <c r="P809" s="8">
        <v>4</v>
      </c>
      <c r="Q809" s="9"/>
      <c r="R809" s="10"/>
      <c r="S809" s="7">
        <f t="shared" si="296"/>
        <v>4</v>
      </c>
      <c r="T809" s="43">
        <v>44426</v>
      </c>
      <c r="U809" s="3"/>
      <c r="V809" s="8"/>
      <c r="W809" s="9"/>
      <c r="X809" s="10"/>
      <c r="Y809" s="7">
        <f t="shared" si="297"/>
        <v>0</v>
      </c>
      <c r="Z809" s="8"/>
      <c r="AA809" s="9"/>
      <c r="AB809" s="10"/>
      <c r="AC809" s="7">
        <f t="shared" si="298"/>
        <v>0</v>
      </c>
      <c r="AD809" s="8"/>
      <c r="AE809" s="9"/>
      <c r="AF809" s="10"/>
      <c r="AG809" s="7">
        <f t="shared" si="299"/>
        <v>0</v>
      </c>
      <c r="AH809" s="71"/>
    </row>
    <row r="810" spans="1:34">
      <c r="A810" s="11"/>
      <c r="B810" s="8"/>
      <c r="C810" s="9"/>
      <c r="D810" s="10"/>
      <c r="E810" s="7">
        <f t="shared" si="293"/>
        <v>0</v>
      </c>
      <c r="F810" s="8"/>
      <c r="G810" s="9"/>
      <c r="H810" s="10"/>
      <c r="I810" s="7">
        <f t="shared" si="294"/>
        <v>0</v>
      </c>
      <c r="K810" s="11" t="s">
        <v>406</v>
      </c>
      <c r="L810" s="8">
        <v>6</v>
      </c>
      <c r="M810" s="9"/>
      <c r="N810" s="10"/>
      <c r="O810" s="7">
        <f t="shared" si="295"/>
        <v>6</v>
      </c>
      <c r="P810" s="8">
        <v>6</v>
      </c>
      <c r="Q810" s="9"/>
      <c r="R810" s="10"/>
      <c r="S810" s="7">
        <f t="shared" si="296"/>
        <v>6</v>
      </c>
      <c r="T810" s="43">
        <v>44426</v>
      </c>
      <c r="U810" s="11"/>
      <c r="V810" s="8"/>
      <c r="W810" s="9"/>
      <c r="X810" s="10"/>
      <c r="Y810" s="7">
        <f t="shared" si="297"/>
        <v>0</v>
      </c>
      <c r="Z810" s="8"/>
      <c r="AA810" s="9"/>
      <c r="AB810" s="10"/>
      <c r="AC810" s="7">
        <f t="shared" si="298"/>
        <v>0</v>
      </c>
      <c r="AD810" s="8"/>
      <c r="AE810" s="9"/>
      <c r="AF810" s="10"/>
      <c r="AG810" s="7">
        <f t="shared" si="299"/>
        <v>0</v>
      </c>
      <c r="AH810" s="71"/>
    </row>
    <row r="811" spans="1:34">
      <c r="A811" s="11"/>
      <c r="B811" s="8"/>
      <c r="C811" s="9"/>
      <c r="D811" s="10"/>
      <c r="E811" s="7">
        <f t="shared" si="293"/>
        <v>0</v>
      </c>
      <c r="F811" s="8"/>
      <c r="G811" s="9"/>
      <c r="H811" s="10"/>
      <c r="I811" s="7">
        <f t="shared" si="294"/>
        <v>0</v>
      </c>
      <c r="K811" s="11"/>
      <c r="L811" s="8"/>
      <c r="M811" s="9"/>
      <c r="N811" s="10"/>
      <c r="O811" s="7">
        <f t="shared" si="295"/>
        <v>0</v>
      </c>
      <c r="P811" s="8"/>
      <c r="Q811" s="9"/>
      <c r="R811" s="10"/>
      <c r="S811" s="7">
        <f t="shared" si="296"/>
        <v>0</v>
      </c>
      <c r="T811" s="71"/>
      <c r="U811" s="3"/>
      <c r="V811" s="8"/>
      <c r="W811" s="9"/>
      <c r="X811" s="10"/>
      <c r="Y811" s="7">
        <f t="shared" si="297"/>
        <v>0</v>
      </c>
      <c r="Z811" s="8"/>
      <c r="AA811" s="9"/>
      <c r="AB811" s="10"/>
      <c r="AC811" s="7">
        <f t="shared" si="298"/>
        <v>0</v>
      </c>
      <c r="AD811" s="8"/>
      <c r="AE811" s="9"/>
      <c r="AF811" s="10"/>
      <c r="AG811" s="7">
        <f t="shared" si="299"/>
        <v>0</v>
      </c>
      <c r="AH811" s="71"/>
    </row>
    <row r="812" spans="1:34">
      <c r="A812" s="11"/>
      <c r="B812" s="8"/>
      <c r="C812" s="9"/>
      <c r="D812" s="10"/>
      <c r="E812" s="7">
        <f t="shared" si="293"/>
        <v>0</v>
      </c>
      <c r="F812" s="8"/>
      <c r="G812" s="9"/>
      <c r="H812" s="10"/>
      <c r="I812" s="7">
        <f t="shared" si="294"/>
        <v>0</v>
      </c>
      <c r="K812" s="11" t="s">
        <v>347</v>
      </c>
      <c r="L812" s="8"/>
      <c r="M812" s="9"/>
      <c r="N812" s="10"/>
      <c r="O812" s="7">
        <f t="shared" ref="O812:O813" si="302">SUM(L812:N812)</f>
        <v>0</v>
      </c>
      <c r="P812" s="8"/>
      <c r="Q812" s="9"/>
      <c r="R812" s="10"/>
      <c r="S812" s="7">
        <f t="shared" ref="S812:S813" si="303">SUM(P812:R812)</f>
        <v>0</v>
      </c>
      <c r="T812" s="71" t="s">
        <v>348</v>
      </c>
      <c r="U812" s="11"/>
      <c r="V812" s="8"/>
      <c r="W812" s="9"/>
      <c r="X812" s="10"/>
      <c r="Y812" s="7">
        <f t="shared" si="297"/>
        <v>0</v>
      </c>
      <c r="Z812" s="8"/>
      <c r="AA812" s="9"/>
      <c r="AB812" s="10"/>
      <c r="AC812" s="7">
        <f t="shared" si="298"/>
        <v>0</v>
      </c>
      <c r="AD812" s="8"/>
      <c r="AE812" s="9"/>
      <c r="AF812" s="10"/>
      <c r="AG812" s="7">
        <f t="shared" si="299"/>
        <v>0</v>
      </c>
      <c r="AH812" s="71"/>
    </row>
    <row r="813" spans="1:34" ht="14.25" thickBot="1">
      <c r="A813" s="3"/>
      <c r="B813" s="8"/>
      <c r="C813" s="9"/>
      <c r="D813" s="10"/>
      <c r="E813" s="7">
        <f t="shared" si="293"/>
        <v>0</v>
      </c>
      <c r="F813" s="8"/>
      <c r="G813" s="9"/>
      <c r="H813" s="10"/>
      <c r="I813" s="7">
        <f t="shared" si="294"/>
        <v>0</v>
      </c>
      <c r="K813" s="11" t="s">
        <v>251</v>
      </c>
      <c r="L813" s="8"/>
      <c r="M813" s="9"/>
      <c r="N813" s="10"/>
      <c r="O813" s="7">
        <f t="shared" si="302"/>
        <v>0</v>
      </c>
      <c r="P813" s="8"/>
      <c r="Q813" s="9"/>
      <c r="R813" s="10"/>
      <c r="S813" s="7">
        <f t="shared" si="303"/>
        <v>0</v>
      </c>
      <c r="T813" s="71" t="s">
        <v>253</v>
      </c>
      <c r="U813" s="3" t="s">
        <v>291</v>
      </c>
      <c r="V813" s="8"/>
      <c r="W813" s="9"/>
      <c r="X813" s="10"/>
      <c r="Y813" s="7">
        <f t="shared" si="297"/>
        <v>0</v>
      </c>
      <c r="Z813" s="8"/>
      <c r="AA813" s="9"/>
      <c r="AB813" s="10"/>
      <c r="AC813" s="7">
        <f t="shared" si="298"/>
        <v>0</v>
      </c>
      <c r="AD813" s="8"/>
      <c r="AE813" s="9"/>
      <c r="AF813" s="10"/>
      <c r="AG813" s="7">
        <f t="shared" si="299"/>
        <v>0</v>
      </c>
      <c r="AH813" s="71" t="s">
        <v>109</v>
      </c>
    </row>
    <row r="814" spans="1:34" ht="14.25" thickBot="1">
      <c r="A814" s="2" t="s">
        <v>5</v>
      </c>
      <c r="B814" s="14">
        <f>SUM(B790:B813)</f>
        <v>0</v>
      </c>
      <c r="C814" s="14">
        <f>SUM(C790:C813)</f>
        <v>1</v>
      </c>
      <c r="D814" s="14">
        <f>SUM(D790:D813)</f>
        <v>0</v>
      </c>
      <c r="E814" s="15">
        <f t="shared" si="293"/>
        <v>1</v>
      </c>
      <c r="F814" s="14">
        <f>SUM(F790:F813)</f>
        <v>0</v>
      </c>
      <c r="G814" s="14">
        <f>SUM(G790:G813)</f>
        <v>1</v>
      </c>
      <c r="H814" s="14">
        <f>SUM(H790:H813)</f>
        <v>0</v>
      </c>
      <c r="I814" s="15">
        <f t="shared" si="294"/>
        <v>1</v>
      </c>
      <c r="K814" s="2" t="s">
        <v>5</v>
      </c>
      <c r="L814" s="14">
        <f>SUM(L790:L813)</f>
        <v>137</v>
      </c>
      <c r="M814" s="14">
        <f>SUM(M790:M813)</f>
        <v>162</v>
      </c>
      <c r="N814" s="14">
        <f>SUM(N790:N813)</f>
        <v>140</v>
      </c>
      <c r="O814" s="15">
        <f t="shared" si="295"/>
        <v>439</v>
      </c>
      <c r="P814" s="14">
        <f>SUM(P790:P813)</f>
        <v>137</v>
      </c>
      <c r="Q814" s="14">
        <f>SUM(Q790:Q813)</f>
        <v>162</v>
      </c>
      <c r="R814" s="14">
        <f>SUM(R790:R813)</f>
        <v>140</v>
      </c>
      <c r="S814" s="15">
        <f t="shared" si="296"/>
        <v>439</v>
      </c>
      <c r="U814" s="2" t="s">
        <v>5</v>
      </c>
      <c r="V814" s="14">
        <f>SUM(V790:V813)</f>
        <v>16</v>
      </c>
      <c r="W814" s="14">
        <f>SUM(W790:W813)</f>
        <v>26</v>
      </c>
      <c r="X814" s="14">
        <f>SUM(X790:X813)</f>
        <v>21</v>
      </c>
      <c r="Y814" s="15">
        <f t="shared" si="297"/>
        <v>63</v>
      </c>
      <c r="Z814" s="14">
        <f>SUM(Z790:Z813)</f>
        <v>16</v>
      </c>
      <c r="AA814" s="14">
        <f>SUM(AA790:AA813)</f>
        <v>26</v>
      </c>
      <c r="AB814" s="14">
        <f>SUM(AB790:AB813)</f>
        <v>21</v>
      </c>
      <c r="AC814" s="15">
        <f t="shared" si="298"/>
        <v>63</v>
      </c>
      <c r="AD814" s="14">
        <f>SUM(AD790:AD813)</f>
        <v>16</v>
      </c>
      <c r="AE814" s="14">
        <f>SUM(AE790:AE813)</f>
        <v>26</v>
      </c>
      <c r="AF814" s="14">
        <f>SUM(AF790:AF813)</f>
        <v>21</v>
      </c>
      <c r="AG814" s="15">
        <f t="shared" si="299"/>
        <v>63</v>
      </c>
    </row>
    <row r="815" spans="1:34" ht="14.25" thickBot="1">
      <c r="A815" s="27" t="s">
        <v>6</v>
      </c>
      <c r="B815" s="28">
        <f>B789-B814</f>
        <v>14</v>
      </c>
      <c r="C815" s="28">
        <f t="shared" ref="C815:E815" si="304">C789-C814</f>
        <v>7</v>
      </c>
      <c r="D815" s="28">
        <f t="shared" si="304"/>
        <v>7</v>
      </c>
      <c r="E815" s="28">
        <f t="shared" si="304"/>
        <v>28</v>
      </c>
      <c r="F815" s="28">
        <f>F789-F814</f>
        <v>14</v>
      </c>
      <c r="G815" s="28">
        <f t="shared" ref="G815:I815" si="305">G789-G814</f>
        <v>7</v>
      </c>
      <c r="H815" s="28">
        <f t="shared" si="305"/>
        <v>7</v>
      </c>
      <c r="I815" s="26">
        <f t="shared" si="305"/>
        <v>28</v>
      </c>
      <c r="K815" s="27" t="s">
        <v>6</v>
      </c>
      <c r="L815" s="28">
        <f>L789-L814</f>
        <v>90</v>
      </c>
      <c r="M815" s="28">
        <f t="shared" ref="M815:O815" si="306">M789-M814</f>
        <v>38</v>
      </c>
      <c r="N815" s="28">
        <f t="shared" si="306"/>
        <v>43</v>
      </c>
      <c r="O815" s="28">
        <f t="shared" si="306"/>
        <v>171</v>
      </c>
      <c r="P815" s="28">
        <f>P789-P814</f>
        <v>90</v>
      </c>
      <c r="Q815" s="28">
        <f t="shared" ref="Q815:S815" si="307">Q789-Q814</f>
        <v>38</v>
      </c>
      <c r="R815" s="28">
        <f t="shared" si="307"/>
        <v>43</v>
      </c>
      <c r="S815" s="26">
        <f t="shared" si="307"/>
        <v>171</v>
      </c>
      <c r="U815" s="27" t="s">
        <v>6</v>
      </c>
      <c r="V815" s="28">
        <f>V789-V814</f>
        <v>6</v>
      </c>
      <c r="W815" s="28">
        <f t="shared" ref="W815:Y815" si="308">W789-W814</f>
        <v>25</v>
      </c>
      <c r="X815" s="28">
        <f t="shared" si="308"/>
        <v>3</v>
      </c>
      <c r="Y815" s="28">
        <f t="shared" si="308"/>
        <v>34</v>
      </c>
      <c r="Z815" s="28">
        <f>Z789-Z814</f>
        <v>6</v>
      </c>
      <c r="AA815" s="28">
        <f t="shared" ref="AA815:AC815" si="309">AA789-AA814</f>
        <v>25</v>
      </c>
      <c r="AB815" s="28">
        <f t="shared" si="309"/>
        <v>3</v>
      </c>
      <c r="AC815" s="26">
        <f t="shared" si="309"/>
        <v>34</v>
      </c>
      <c r="AD815" s="28">
        <f>AD789-AD814</f>
        <v>6</v>
      </c>
      <c r="AE815" s="28">
        <f t="shared" ref="AE815:AG815" si="310">AE789-AE814</f>
        <v>25</v>
      </c>
      <c r="AF815" s="28">
        <f t="shared" si="310"/>
        <v>3</v>
      </c>
      <c r="AG815" s="26">
        <f t="shared" si="310"/>
        <v>34</v>
      </c>
    </row>
    <row r="816" spans="1:34">
      <c r="L816">
        <f>L814+L771+L728+L685+L642</f>
        <v>466</v>
      </c>
      <c r="M816">
        <f t="shared" ref="M816:O816" si="311">M814+M771+M728+M685+M642</f>
        <v>610</v>
      </c>
      <c r="N816">
        <f t="shared" si="311"/>
        <v>441</v>
      </c>
      <c r="O816">
        <f t="shared" si="311"/>
        <v>1517</v>
      </c>
    </row>
    <row r="817" spans="1:34">
      <c r="L817" s="86">
        <f>L816/$O$816*100</f>
        <v>30.718523401450231</v>
      </c>
      <c r="M817" s="86">
        <f t="shared" ref="M817:O817" si="312">M816/$O$816*100</f>
        <v>40.210942649967038</v>
      </c>
      <c r="N817" s="86">
        <f t="shared" si="312"/>
        <v>29.070533948582728</v>
      </c>
      <c r="O817" s="86">
        <f t="shared" si="312"/>
        <v>100</v>
      </c>
    </row>
    <row r="818" spans="1:34" ht="26.25" thickBot="1">
      <c r="A818" s="33" t="s">
        <v>15</v>
      </c>
      <c r="B818" s="34"/>
      <c r="C818" s="34"/>
      <c r="D818" s="34"/>
      <c r="E818" s="34"/>
      <c r="F818" s="35"/>
      <c r="G818" s="35"/>
      <c r="H818" s="35"/>
      <c r="I818" s="35"/>
      <c r="K818" s="33" t="s">
        <v>243</v>
      </c>
      <c r="L818" s="34"/>
      <c r="M818" s="34"/>
      <c r="N818" s="34"/>
      <c r="O818" s="34"/>
      <c r="P818" s="35"/>
      <c r="Q818" s="35"/>
      <c r="R818" s="35"/>
      <c r="S818" s="35"/>
      <c r="U818" s="88" t="s">
        <v>244</v>
      </c>
      <c r="V818" s="89"/>
      <c r="W818" s="89"/>
      <c r="X818" s="89"/>
      <c r="Y818" s="89"/>
      <c r="Z818" s="90"/>
      <c r="AA818" s="90"/>
      <c r="AB818" s="90"/>
      <c r="AC818" s="90"/>
    </row>
    <row r="819" spans="1:34" ht="14.25" thickBot="1">
      <c r="A819" s="1" t="s">
        <v>0</v>
      </c>
      <c r="B819" s="182" t="s">
        <v>17</v>
      </c>
      <c r="C819" s="182"/>
      <c r="D819" s="182"/>
      <c r="E819" s="183"/>
      <c r="F819" s="182" t="s">
        <v>13</v>
      </c>
      <c r="G819" s="182"/>
      <c r="H819" s="182"/>
      <c r="I819" s="183"/>
      <c r="K819" s="1" t="s">
        <v>0</v>
      </c>
      <c r="L819" s="182" t="s">
        <v>17</v>
      </c>
      <c r="M819" s="182"/>
      <c r="N819" s="182"/>
      <c r="O819" s="183"/>
      <c r="P819" s="182" t="s">
        <v>13</v>
      </c>
      <c r="Q819" s="182"/>
      <c r="R819" s="182"/>
      <c r="S819" s="183"/>
      <c r="U819" s="1" t="s">
        <v>0</v>
      </c>
      <c r="V819" s="182" t="s">
        <v>17</v>
      </c>
      <c r="W819" s="182"/>
      <c r="X819" s="182"/>
      <c r="Y819" s="183"/>
      <c r="Z819" s="182" t="s">
        <v>13</v>
      </c>
      <c r="AA819" s="182"/>
      <c r="AB819" s="182"/>
      <c r="AC819" s="183"/>
      <c r="AD819" s="182" t="s">
        <v>242</v>
      </c>
      <c r="AE819" s="182"/>
      <c r="AF819" s="182"/>
      <c r="AG819" s="183"/>
    </row>
    <row r="820" spans="1:34" ht="14.25" thickBot="1">
      <c r="A820" s="1" t="s">
        <v>1</v>
      </c>
      <c r="B820" s="2" t="s">
        <v>8</v>
      </c>
      <c r="C820" s="1" t="s">
        <v>9</v>
      </c>
      <c r="D820" s="19" t="s">
        <v>10</v>
      </c>
      <c r="E820" s="1" t="s">
        <v>2</v>
      </c>
      <c r="F820" s="2" t="s">
        <v>8</v>
      </c>
      <c r="G820" s="1" t="s">
        <v>9</v>
      </c>
      <c r="H820" s="19" t="s">
        <v>10</v>
      </c>
      <c r="I820" s="1" t="s">
        <v>2</v>
      </c>
      <c r="K820" s="1" t="s">
        <v>1</v>
      </c>
      <c r="L820" s="2" t="s">
        <v>8</v>
      </c>
      <c r="M820" s="1" t="s">
        <v>9</v>
      </c>
      <c r="N820" s="19" t="s">
        <v>10</v>
      </c>
      <c r="O820" s="1" t="s">
        <v>2</v>
      </c>
      <c r="P820" s="2" t="s">
        <v>8</v>
      </c>
      <c r="Q820" s="1" t="s">
        <v>9</v>
      </c>
      <c r="R820" s="19" t="s">
        <v>10</v>
      </c>
      <c r="S820" s="1" t="s">
        <v>2</v>
      </c>
      <c r="U820" s="1" t="s">
        <v>1</v>
      </c>
      <c r="V820" s="2" t="s">
        <v>8</v>
      </c>
      <c r="W820" s="1" t="s">
        <v>9</v>
      </c>
      <c r="X820" s="19" t="s">
        <v>10</v>
      </c>
      <c r="Y820" s="1" t="s">
        <v>2</v>
      </c>
      <c r="Z820" s="2" t="s">
        <v>8</v>
      </c>
      <c r="AA820" s="1" t="s">
        <v>9</v>
      </c>
      <c r="AB820" s="19" t="s">
        <v>10</v>
      </c>
      <c r="AC820" s="1" t="s">
        <v>2</v>
      </c>
      <c r="AD820" s="2" t="s">
        <v>8</v>
      </c>
      <c r="AE820" s="1" t="s">
        <v>9</v>
      </c>
      <c r="AF820" s="19" t="s">
        <v>10</v>
      </c>
      <c r="AG820" s="1" t="s">
        <v>2</v>
      </c>
    </row>
    <row r="821" spans="1:34">
      <c r="A821" s="21" t="s">
        <v>7</v>
      </c>
      <c r="B821" s="18">
        <f>B815</f>
        <v>14</v>
      </c>
      <c r="C821" s="22">
        <f>C815</f>
        <v>7</v>
      </c>
      <c r="D821" s="22">
        <f>D815</f>
        <v>7</v>
      </c>
      <c r="E821" s="17">
        <f t="shared" ref="E821:E857" si="313">SUM(B821:D821)</f>
        <v>28</v>
      </c>
      <c r="F821" s="22">
        <f>F815</f>
        <v>14</v>
      </c>
      <c r="G821" s="22">
        <f>G815</f>
        <v>7</v>
      </c>
      <c r="H821" s="22">
        <f>H815</f>
        <v>7</v>
      </c>
      <c r="I821" s="17">
        <f t="shared" ref="I821:I857" si="314">SUM(F821:H821)</f>
        <v>28</v>
      </c>
      <c r="K821" s="21" t="s">
        <v>7</v>
      </c>
      <c r="L821" s="18">
        <f>L815</f>
        <v>90</v>
      </c>
      <c r="M821" s="22">
        <f>M815</f>
        <v>38</v>
      </c>
      <c r="N821" s="22">
        <f>N815</f>
        <v>43</v>
      </c>
      <c r="O821" s="17">
        <f t="shared" ref="O821:O857" si="315">SUM(L821:N821)</f>
        <v>171</v>
      </c>
      <c r="P821" s="22">
        <f>P815</f>
        <v>90</v>
      </c>
      <c r="Q821" s="22">
        <f>Q815</f>
        <v>38</v>
      </c>
      <c r="R821" s="22">
        <f>R815</f>
        <v>43</v>
      </c>
      <c r="S821" s="17">
        <f t="shared" ref="S821:S857" si="316">SUM(P821:R821)</f>
        <v>171</v>
      </c>
      <c r="U821" s="21" t="s">
        <v>7</v>
      </c>
      <c r="V821" s="18">
        <f>V815</f>
        <v>6</v>
      </c>
      <c r="W821" s="22">
        <f>W815</f>
        <v>25</v>
      </c>
      <c r="X821" s="22">
        <f>X815</f>
        <v>3</v>
      </c>
      <c r="Y821" s="17">
        <f t="shared" ref="Y821:Y857" si="317">SUM(V821:X821)</f>
        <v>34</v>
      </c>
      <c r="Z821" s="22">
        <f>Z815</f>
        <v>6</v>
      </c>
      <c r="AA821" s="22">
        <f>AA815</f>
        <v>25</v>
      </c>
      <c r="AB821" s="22">
        <f>AB815</f>
        <v>3</v>
      </c>
      <c r="AC821" s="17">
        <f t="shared" ref="AC821:AC857" si="318">SUM(Z821:AB821)</f>
        <v>34</v>
      </c>
      <c r="AD821" s="22">
        <f>AD815</f>
        <v>6</v>
      </c>
      <c r="AE821" s="22">
        <f>AE815</f>
        <v>25</v>
      </c>
      <c r="AF821" s="22">
        <f>AF815</f>
        <v>3</v>
      </c>
      <c r="AG821" s="17">
        <f t="shared" ref="AG821:AG857" si="319">SUM(AD821:AF821)</f>
        <v>34</v>
      </c>
    </row>
    <row r="822" spans="1:34">
      <c r="A822" s="5" t="s">
        <v>196</v>
      </c>
      <c r="B822" s="30">
        <v>2</v>
      </c>
      <c r="C822" s="31">
        <v>4</v>
      </c>
      <c r="D822" s="32"/>
      <c r="E822" s="4">
        <f t="shared" si="313"/>
        <v>6</v>
      </c>
      <c r="F822" s="30">
        <v>2</v>
      </c>
      <c r="G822" s="31">
        <v>4</v>
      </c>
      <c r="H822" s="32"/>
      <c r="I822" s="4">
        <f t="shared" si="314"/>
        <v>6</v>
      </c>
      <c r="J822" s="43">
        <v>44426</v>
      </c>
      <c r="K822" s="5" t="s">
        <v>224</v>
      </c>
      <c r="L822" s="30"/>
      <c r="M822" s="31">
        <v>6</v>
      </c>
      <c r="N822" s="32"/>
      <c r="O822" s="4">
        <f t="shared" si="315"/>
        <v>6</v>
      </c>
      <c r="P822" s="30"/>
      <c r="Q822" s="31">
        <v>6</v>
      </c>
      <c r="R822" s="32"/>
      <c r="S822" s="4">
        <f t="shared" si="316"/>
        <v>6</v>
      </c>
      <c r="T822" s="49">
        <v>44429</v>
      </c>
      <c r="U822" s="5" t="s">
        <v>224</v>
      </c>
      <c r="V822" s="16"/>
      <c r="W822" s="11">
        <v>1</v>
      </c>
      <c r="X822" s="16"/>
      <c r="Y822" s="4">
        <f t="shared" si="317"/>
        <v>1</v>
      </c>
      <c r="Z822" s="16"/>
      <c r="AA822" s="11">
        <v>1</v>
      </c>
      <c r="AB822" s="16"/>
      <c r="AC822" s="4">
        <f t="shared" si="318"/>
        <v>1</v>
      </c>
      <c r="AD822" s="16"/>
      <c r="AE822" s="11">
        <v>1</v>
      </c>
      <c r="AF822" s="16"/>
      <c r="AG822" s="4">
        <f t="shared" si="319"/>
        <v>1</v>
      </c>
      <c r="AH822" s="49">
        <v>44429</v>
      </c>
    </row>
    <row r="823" spans="1:34">
      <c r="A823" s="5" t="s">
        <v>412</v>
      </c>
      <c r="B823" s="30"/>
      <c r="C823" s="31">
        <v>1</v>
      </c>
      <c r="D823" s="32"/>
      <c r="E823" s="4">
        <f t="shared" si="313"/>
        <v>1</v>
      </c>
      <c r="F823" s="30"/>
      <c r="G823" s="31">
        <v>1</v>
      </c>
      <c r="H823" s="32"/>
      <c r="I823" s="4">
        <f t="shared" si="314"/>
        <v>1</v>
      </c>
      <c r="J823" s="43">
        <v>44428</v>
      </c>
      <c r="K823" s="5" t="s">
        <v>3</v>
      </c>
      <c r="L823" s="32"/>
      <c r="M823" s="31"/>
      <c r="N823" s="32"/>
      <c r="O823" s="4">
        <f t="shared" si="315"/>
        <v>0</v>
      </c>
      <c r="P823" s="32"/>
      <c r="Q823" s="31"/>
      <c r="R823" s="32"/>
      <c r="S823" s="4">
        <f t="shared" si="316"/>
        <v>0</v>
      </c>
      <c r="T823" s="43"/>
      <c r="U823" s="5" t="s">
        <v>3</v>
      </c>
      <c r="V823" s="32"/>
      <c r="W823" s="31"/>
      <c r="X823" s="32"/>
      <c r="Y823" s="4">
        <f t="shared" si="317"/>
        <v>0</v>
      </c>
      <c r="Z823" s="32"/>
      <c r="AA823" s="31"/>
      <c r="AB823" s="32"/>
      <c r="AC823" s="4">
        <f t="shared" si="318"/>
        <v>0</v>
      </c>
      <c r="AD823" s="32"/>
      <c r="AE823" s="31"/>
      <c r="AF823" s="32"/>
      <c r="AG823" s="4">
        <f t="shared" si="319"/>
        <v>0</v>
      </c>
    </row>
    <row r="824" spans="1:34">
      <c r="A824" s="5" t="s">
        <v>37</v>
      </c>
      <c r="B824" s="30"/>
      <c r="C824" s="31"/>
      <c r="D824" s="32">
        <v>1</v>
      </c>
      <c r="E824" s="4">
        <f t="shared" si="313"/>
        <v>1</v>
      </c>
      <c r="F824" s="30"/>
      <c r="G824" s="31"/>
      <c r="H824" s="32">
        <v>1</v>
      </c>
      <c r="I824" s="4">
        <f t="shared" si="314"/>
        <v>1</v>
      </c>
      <c r="J824" s="43">
        <v>44434</v>
      </c>
      <c r="K824" s="5" t="s">
        <v>3</v>
      </c>
      <c r="L824" s="16"/>
      <c r="M824" s="11"/>
      <c r="N824" s="16"/>
      <c r="O824" s="4">
        <f t="shared" si="315"/>
        <v>0</v>
      </c>
      <c r="P824" s="16"/>
      <c r="Q824" s="11"/>
      <c r="R824" s="16"/>
      <c r="S824" s="4">
        <f t="shared" si="316"/>
        <v>0</v>
      </c>
      <c r="T824" s="43"/>
      <c r="U824" s="5" t="s">
        <v>3</v>
      </c>
      <c r="V824" s="30"/>
      <c r="W824" s="31"/>
      <c r="X824" s="32"/>
      <c r="Y824" s="4">
        <f t="shared" si="317"/>
        <v>0</v>
      </c>
      <c r="Z824" s="30"/>
      <c r="AA824" s="31"/>
      <c r="AB824" s="32"/>
      <c r="AC824" s="4">
        <f t="shared" si="318"/>
        <v>0</v>
      </c>
      <c r="AD824" s="30"/>
      <c r="AE824" s="31"/>
      <c r="AF824" s="32"/>
      <c r="AG824" s="4">
        <f t="shared" si="319"/>
        <v>0</v>
      </c>
      <c r="AH824" s="43"/>
    </row>
    <row r="825" spans="1:34">
      <c r="A825" s="5" t="s">
        <v>425</v>
      </c>
      <c r="B825" s="16"/>
      <c r="C825" s="11"/>
      <c r="D825" s="16">
        <v>1</v>
      </c>
      <c r="E825" s="4">
        <f t="shared" si="313"/>
        <v>1</v>
      </c>
      <c r="F825" s="16"/>
      <c r="G825" s="11"/>
      <c r="H825" s="16">
        <v>1</v>
      </c>
      <c r="I825" s="4">
        <f t="shared" si="314"/>
        <v>1</v>
      </c>
      <c r="J825" s="43">
        <v>44438</v>
      </c>
      <c r="K825" s="5" t="s">
        <v>3</v>
      </c>
      <c r="L825" s="16"/>
      <c r="M825" s="11"/>
      <c r="N825" s="16"/>
      <c r="O825" s="4">
        <f t="shared" si="315"/>
        <v>0</v>
      </c>
      <c r="P825" s="16"/>
      <c r="Q825" s="11"/>
      <c r="R825" s="16"/>
      <c r="S825" s="4">
        <f t="shared" si="316"/>
        <v>0</v>
      </c>
      <c r="T825" s="43"/>
      <c r="U825" s="5" t="s">
        <v>3</v>
      </c>
      <c r="V825" s="16"/>
      <c r="W825" s="11"/>
      <c r="X825" s="16"/>
      <c r="Y825" s="4">
        <f t="shared" si="317"/>
        <v>0</v>
      </c>
      <c r="Z825" s="16"/>
      <c r="AA825" s="11"/>
      <c r="AB825" s="16"/>
      <c r="AC825" s="4">
        <f t="shared" si="318"/>
        <v>0</v>
      </c>
      <c r="AD825" s="16"/>
      <c r="AE825" s="11"/>
      <c r="AF825" s="16"/>
      <c r="AG825" s="4">
        <f t="shared" si="319"/>
        <v>0</v>
      </c>
      <c r="AH825" s="71"/>
    </row>
    <row r="826" spans="1:34">
      <c r="A826" s="5" t="s">
        <v>3</v>
      </c>
      <c r="B826" s="16"/>
      <c r="C826" s="11"/>
      <c r="D826" s="16"/>
      <c r="E826" s="4">
        <f t="shared" ref="E826" si="320">SUM(B826:D826)</f>
        <v>0</v>
      </c>
      <c r="F826" s="16"/>
      <c r="G826" s="11"/>
      <c r="H826" s="16"/>
      <c r="I826" s="4">
        <f t="shared" si="314"/>
        <v>0</v>
      </c>
      <c r="J826" s="43"/>
      <c r="K826" s="5" t="s">
        <v>3</v>
      </c>
      <c r="L826" s="32"/>
      <c r="M826" s="31"/>
      <c r="N826" s="32"/>
      <c r="O826" s="4">
        <f t="shared" si="315"/>
        <v>0</v>
      </c>
      <c r="P826" s="32"/>
      <c r="Q826" s="31"/>
      <c r="R826" s="32"/>
      <c r="S826" s="4">
        <f t="shared" si="316"/>
        <v>0</v>
      </c>
      <c r="T826" s="43"/>
      <c r="U826" s="5" t="s">
        <v>3</v>
      </c>
      <c r="V826" s="32"/>
      <c r="W826" s="31"/>
      <c r="X826" s="32"/>
      <c r="Y826" s="4">
        <f t="shared" si="317"/>
        <v>0</v>
      </c>
      <c r="Z826" s="32"/>
      <c r="AA826" s="31"/>
      <c r="AB826" s="32"/>
      <c r="AC826" s="4">
        <f t="shared" si="318"/>
        <v>0</v>
      </c>
      <c r="AD826" s="32"/>
      <c r="AE826" s="31"/>
      <c r="AF826" s="32"/>
      <c r="AG826" s="4">
        <f t="shared" si="319"/>
        <v>0</v>
      </c>
      <c r="AH826" s="71"/>
    </row>
    <row r="827" spans="1:34">
      <c r="A827" s="5" t="s">
        <v>3</v>
      </c>
      <c r="B827" s="16"/>
      <c r="C827" s="11"/>
      <c r="D827" s="16"/>
      <c r="E827" s="4">
        <f t="shared" si="313"/>
        <v>0</v>
      </c>
      <c r="F827" s="16"/>
      <c r="G827" s="11"/>
      <c r="H827" s="16"/>
      <c r="I827" s="4">
        <f t="shared" si="314"/>
        <v>0</v>
      </c>
      <c r="K827" s="5" t="s">
        <v>3</v>
      </c>
      <c r="L827" s="16"/>
      <c r="M827" s="11"/>
      <c r="N827" s="16"/>
      <c r="O827" s="4">
        <f t="shared" si="315"/>
        <v>0</v>
      </c>
      <c r="P827" s="16"/>
      <c r="Q827" s="11"/>
      <c r="R827" s="16"/>
      <c r="S827" s="4">
        <f t="shared" si="316"/>
        <v>0</v>
      </c>
      <c r="T827" s="43"/>
      <c r="U827" s="5" t="s">
        <v>3</v>
      </c>
      <c r="V827" s="16"/>
      <c r="W827" s="11"/>
      <c r="X827" s="16"/>
      <c r="Y827" s="4">
        <f t="shared" si="317"/>
        <v>0</v>
      </c>
      <c r="Z827" s="16"/>
      <c r="AA827" s="11"/>
      <c r="AB827" s="16"/>
      <c r="AC827" s="4">
        <f t="shared" si="318"/>
        <v>0</v>
      </c>
      <c r="AD827" s="16"/>
      <c r="AE827" s="11"/>
      <c r="AF827" s="16"/>
      <c r="AG827" s="4">
        <f t="shared" si="319"/>
        <v>0</v>
      </c>
    </row>
    <row r="828" spans="1:34">
      <c r="A828" s="5" t="s">
        <v>3</v>
      </c>
      <c r="B828" s="32"/>
      <c r="C828" s="31"/>
      <c r="D828" s="32"/>
      <c r="E828" s="4">
        <f t="shared" si="313"/>
        <v>0</v>
      </c>
      <c r="F828" s="32"/>
      <c r="G828" s="31"/>
      <c r="H828" s="32"/>
      <c r="I828" s="4">
        <f t="shared" si="314"/>
        <v>0</v>
      </c>
      <c r="K828" s="5" t="s">
        <v>3</v>
      </c>
      <c r="L828" s="32"/>
      <c r="M828" s="31"/>
      <c r="N828" s="32"/>
      <c r="O828" s="4">
        <f t="shared" si="315"/>
        <v>0</v>
      </c>
      <c r="P828" s="32"/>
      <c r="Q828" s="31"/>
      <c r="R828" s="32"/>
      <c r="S828" s="4">
        <f t="shared" si="316"/>
        <v>0</v>
      </c>
      <c r="T828" s="43"/>
      <c r="U828" s="5" t="s">
        <v>3</v>
      </c>
      <c r="V828" s="32"/>
      <c r="W828" s="31"/>
      <c r="X828" s="32"/>
      <c r="Y828" s="4">
        <f t="shared" si="317"/>
        <v>0</v>
      </c>
      <c r="Z828" s="32"/>
      <c r="AA828" s="31"/>
      <c r="AB828" s="32"/>
      <c r="AC828" s="4">
        <f t="shared" si="318"/>
        <v>0</v>
      </c>
      <c r="AD828" s="32"/>
      <c r="AE828" s="31"/>
      <c r="AF828" s="32"/>
      <c r="AG828" s="4">
        <f t="shared" si="319"/>
        <v>0</v>
      </c>
    </row>
    <row r="829" spans="1:34">
      <c r="A829" s="5" t="s">
        <v>3</v>
      </c>
      <c r="B829" s="32"/>
      <c r="C829" s="31"/>
      <c r="D829" s="32"/>
      <c r="E829" s="4">
        <f t="shared" si="313"/>
        <v>0</v>
      </c>
      <c r="F829" s="32"/>
      <c r="G829" s="31"/>
      <c r="H829" s="32"/>
      <c r="I829" s="4">
        <f t="shared" si="314"/>
        <v>0</v>
      </c>
      <c r="K829" s="5" t="s">
        <v>3</v>
      </c>
      <c r="L829" s="32"/>
      <c r="M829" s="31"/>
      <c r="N829" s="32"/>
      <c r="O829" s="4">
        <f t="shared" si="315"/>
        <v>0</v>
      </c>
      <c r="P829" s="32"/>
      <c r="Q829" s="31"/>
      <c r="R829" s="32"/>
      <c r="S829" s="4">
        <f t="shared" si="316"/>
        <v>0</v>
      </c>
      <c r="T829" s="43"/>
      <c r="U829" s="5" t="s">
        <v>3</v>
      </c>
      <c r="V829" s="32"/>
      <c r="W829" s="31"/>
      <c r="X829" s="32"/>
      <c r="Y829" s="4">
        <f t="shared" si="317"/>
        <v>0</v>
      </c>
      <c r="Z829" s="32"/>
      <c r="AA829" s="31"/>
      <c r="AB829" s="32"/>
      <c r="AC829" s="4">
        <f t="shared" si="318"/>
        <v>0</v>
      </c>
      <c r="AD829" s="32"/>
      <c r="AE829" s="31"/>
      <c r="AF829" s="32"/>
      <c r="AG829" s="4">
        <f t="shared" si="319"/>
        <v>0</v>
      </c>
    </row>
    <row r="830" spans="1:34">
      <c r="A830" s="5" t="s">
        <v>3</v>
      </c>
      <c r="B830" s="30"/>
      <c r="C830" s="31"/>
      <c r="D830" s="32"/>
      <c r="E830" s="4">
        <f t="shared" si="313"/>
        <v>0</v>
      </c>
      <c r="F830" s="30"/>
      <c r="G830" s="31"/>
      <c r="H830" s="32"/>
      <c r="I830" s="4">
        <f t="shared" si="314"/>
        <v>0</v>
      </c>
      <c r="K830" s="5" t="s">
        <v>3</v>
      </c>
      <c r="L830" s="32"/>
      <c r="M830" s="31"/>
      <c r="N830" s="32"/>
      <c r="O830" s="4">
        <f t="shared" si="315"/>
        <v>0</v>
      </c>
      <c r="P830" s="32"/>
      <c r="Q830" s="31"/>
      <c r="R830" s="32"/>
      <c r="S830" s="4">
        <f t="shared" si="316"/>
        <v>0</v>
      </c>
      <c r="T830" s="43"/>
      <c r="U830" s="5" t="s">
        <v>3</v>
      </c>
      <c r="V830" s="30"/>
      <c r="W830" s="31"/>
      <c r="X830" s="32"/>
      <c r="Y830" s="4">
        <f t="shared" si="317"/>
        <v>0</v>
      </c>
      <c r="Z830" s="30"/>
      <c r="AA830" s="31"/>
      <c r="AB830" s="32"/>
      <c r="AC830" s="4">
        <f t="shared" si="318"/>
        <v>0</v>
      </c>
      <c r="AD830" s="30"/>
      <c r="AE830" s="31"/>
      <c r="AF830" s="32"/>
      <c r="AG830" s="4">
        <f t="shared" si="319"/>
        <v>0</v>
      </c>
    </row>
    <row r="831" spans="1:34" ht="14.25" thickBot="1">
      <c r="A831" s="6" t="s">
        <v>3</v>
      </c>
      <c r="B831" s="36"/>
      <c r="C831" s="37"/>
      <c r="D831" s="36"/>
      <c r="E831" s="20">
        <f t="shared" si="313"/>
        <v>0</v>
      </c>
      <c r="F831" s="13"/>
      <c r="G831" s="12"/>
      <c r="H831" s="13"/>
      <c r="I831" s="20">
        <f t="shared" si="314"/>
        <v>0</v>
      </c>
      <c r="K831" s="6" t="s">
        <v>3</v>
      </c>
      <c r="L831" s="13"/>
      <c r="M831" s="12"/>
      <c r="N831" s="13"/>
      <c r="O831" s="20">
        <f t="shared" si="315"/>
        <v>0</v>
      </c>
      <c r="P831" s="13"/>
      <c r="Q831" s="12"/>
      <c r="R831" s="13"/>
      <c r="S831" s="20">
        <f t="shared" si="316"/>
        <v>0</v>
      </c>
      <c r="T831" s="43"/>
      <c r="U831" s="6" t="s">
        <v>3</v>
      </c>
      <c r="V831" s="13"/>
      <c r="W831" s="12"/>
      <c r="X831" s="13"/>
      <c r="Y831" s="20">
        <f t="shared" si="317"/>
        <v>0</v>
      </c>
      <c r="Z831" s="13"/>
      <c r="AA831" s="12"/>
      <c r="AB831" s="13"/>
      <c r="AC831" s="20">
        <f t="shared" si="318"/>
        <v>0</v>
      </c>
      <c r="AD831" s="13"/>
      <c r="AE831" s="12"/>
      <c r="AF831" s="13"/>
      <c r="AG831" s="20">
        <f t="shared" si="319"/>
        <v>0</v>
      </c>
    </row>
    <row r="832" spans="1:34" ht="14.25" thickBot="1">
      <c r="A832" s="23" t="s">
        <v>4</v>
      </c>
      <c r="B832" s="24">
        <f>SUM(B821:B831)</f>
        <v>16</v>
      </c>
      <c r="C832" s="24">
        <f>SUM(C821:C831)</f>
        <v>12</v>
      </c>
      <c r="D832" s="25">
        <f>SUM(D821:D831)</f>
        <v>9</v>
      </c>
      <c r="E832" s="26">
        <f t="shared" si="313"/>
        <v>37</v>
      </c>
      <c r="F832" s="24">
        <f>SUM(F821:F831)</f>
        <v>16</v>
      </c>
      <c r="G832" s="24">
        <f>SUM(G821:G831)</f>
        <v>12</v>
      </c>
      <c r="H832" s="25">
        <f>SUM(H821:H831)</f>
        <v>9</v>
      </c>
      <c r="I832" s="26">
        <f t="shared" si="314"/>
        <v>37</v>
      </c>
      <c r="K832" s="23" t="s">
        <v>4</v>
      </c>
      <c r="L832" s="24">
        <f>SUM(L821:L831)</f>
        <v>90</v>
      </c>
      <c r="M832" s="24">
        <f>SUM(M821:M831)</f>
        <v>44</v>
      </c>
      <c r="N832" s="25">
        <f>SUM(N821:N831)</f>
        <v>43</v>
      </c>
      <c r="O832" s="26">
        <f t="shared" si="315"/>
        <v>177</v>
      </c>
      <c r="P832" s="24">
        <f>SUM(P821:P831)</f>
        <v>90</v>
      </c>
      <c r="Q832" s="24">
        <f>SUM(Q821:Q831)</f>
        <v>44</v>
      </c>
      <c r="R832" s="25">
        <f>SUM(R821:R831)</f>
        <v>43</v>
      </c>
      <c r="S832" s="26">
        <f t="shared" si="316"/>
        <v>177</v>
      </c>
      <c r="U832" s="23" t="s">
        <v>4</v>
      </c>
      <c r="V832" s="24">
        <f>SUM(V821:V831)</f>
        <v>6</v>
      </c>
      <c r="W832" s="24">
        <f>SUM(W821:W831)</f>
        <v>26</v>
      </c>
      <c r="X832" s="25">
        <f>SUM(X821:X831)</f>
        <v>3</v>
      </c>
      <c r="Y832" s="26">
        <f t="shared" si="317"/>
        <v>35</v>
      </c>
      <c r="Z832" s="24">
        <f>SUM(Z821:Z831)</f>
        <v>6</v>
      </c>
      <c r="AA832" s="24">
        <f>SUM(AA821:AA831)</f>
        <v>26</v>
      </c>
      <c r="AB832" s="25">
        <f>SUM(AB821:AB831)</f>
        <v>3</v>
      </c>
      <c r="AC832" s="26">
        <f t="shared" si="318"/>
        <v>35</v>
      </c>
      <c r="AD832" s="24">
        <f>SUM(AD821:AD831)</f>
        <v>6</v>
      </c>
      <c r="AE832" s="24">
        <f>SUM(AE821:AE831)</f>
        <v>26</v>
      </c>
      <c r="AF832" s="25">
        <f>SUM(AF821:AF831)</f>
        <v>3</v>
      </c>
      <c r="AG832" s="26">
        <f t="shared" si="319"/>
        <v>35</v>
      </c>
    </row>
    <row r="833" spans="1:34">
      <c r="A833" s="3" t="s">
        <v>407</v>
      </c>
      <c r="B833" s="8"/>
      <c r="C833" s="9">
        <v>1</v>
      </c>
      <c r="D833" s="10"/>
      <c r="E833" s="4">
        <f t="shared" si="313"/>
        <v>1</v>
      </c>
      <c r="F833" s="8"/>
      <c r="G833" s="9">
        <v>1</v>
      </c>
      <c r="H833" s="10"/>
      <c r="I833" s="4">
        <f t="shared" si="314"/>
        <v>1</v>
      </c>
      <c r="J833" s="43">
        <v>44427</v>
      </c>
      <c r="K833" s="3" t="s">
        <v>408</v>
      </c>
      <c r="L833" s="8"/>
      <c r="M833" s="9">
        <v>4</v>
      </c>
      <c r="N833" s="10"/>
      <c r="O833" s="7">
        <f t="shared" si="315"/>
        <v>4</v>
      </c>
      <c r="P833" s="8"/>
      <c r="Q833" s="9">
        <v>4</v>
      </c>
      <c r="R833" s="10"/>
      <c r="S833" s="7">
        <f t="shared" si="316"/>
        <v>4</v>
      </c>
      <c r="T833" s="43">
        <v>44427</v>
      </c>
      <c r="U833" s="3" t="s">
        <v>427</v>
      </c>
      <c r="V833" s="32"/>
      <c r="W833" s="31"/>
      <c r="X833" s="32">
        <v>1</v>
      </c>
      <c r="Y833" s="4">
        <f t="shared" si="317"/>
        <v>1</v>
      </c>
      <c r="Z833" s="32"/>
      <c r="AA833" s="31"/>
      <c r="AB833" s="32">
        <v>1</v>
      </c>
      <c r="AC833" s="4">
        <f t="shared" si="318"/>
        <v>1</v>
      </c>
      <c r="AD833" s="8"/>
      <c r="AE833" s="9"/>
      <c r="AF833" s="10">
        <v>1</v>
      </c>
      <c r="AG833" s="7">
        <f t="shared" si="319"/>
        <v>1</v>
      </c>
      <c r="AH833" s="49">
        <v>44438</v>
      </c>
    </row>
    <row r="834" spans="1:34">
      <c r="A834" s="3" t="s">
        <v>409</v>
      </c>
      <c r="B834" s="8">
        <v>4</v>
      </c>
      <c r="C834" s="9"/>
      <c r="D834" s="10"/>
      <c r="E834" s="4">
        <f t="shared" si="313"/>
        <v>4</v>
      </c>
      <c r="F834" s="8">
        <v>4</v>
      </c>
      <c r="G834" s="9"/>
      <c r="H834" s="10"/>
      <c r="I834" s="4">
        <f t="shared" si="314"/>
        <v>4</v>
      </c>
      <c r="J834" s="43">
        <v>44428</v>
      </c>
      <c r="K834" s="3" t="s">
        <v>415</v>
      </c>
      <c r="L834" s="8">
        <v>2</v>
      </c>
      <c r="M834" s="9">
        <v>7</v>
      </c>
      <c r="N834" s="10">
        <v>6</v>
      </c>
      <c r="O834" s="4">
        <f t="shared" si="315"/>
        <v>15</v>
      </c>
      <c r="P834" s="8">
        <v>2</v>
      </c>
      <c r="Q834" s="9">
        <v>7</v>
      </c>
      <c r="R834" s="10">
        <v>6</v>
      </c>
      <c r="S834" s="4">
        <f t="shared" si="316"/>
        <v>15</v>
      </c>
      <c r="T834" s="43">
        <v>44432</v>
      </c>
      <c r="U834" s="3" t="s">
        <v>438</v>
      </c>
      <c r="V834" s="8">
        <v>1</v>
      </c>
      <c r="W834" s="9"/>
      <c r="X834" s="10"/>
      <c r="Y834" s="4">
        <f t="shared" si="317"/>
        <v>1</v>
      </c>
      <c r="Z834" s="8">
        <v>1</v>
      </c>
      <c r="AA834" s="9"/>
      <c r="AB834" s="10"/>
      <c r="AC834" s="4">
        <f t="shared" si="318"/>
        <v>1</v>
      </c>
      <c r="AD834" s="8">
        <v>1</v>
      </c>
      <c r="AE834" s="9"/>
      <c r="AF834" s="10"/>
      <c r="AG834" s="4">
        <f t="shared" si="319"/>
        <v>1</v>
      </c>
      <c r="AH834" s="43">
        <v>44445</v>
      </c>
    </row>
    <row r="835" spans="1:34">
      <c r="A835" s="3" t="s">
        <v>410</v>
      </c>
      <c r="B835" s="8"/>
      <c r="C835" s="9">
        <v>2</v>
      </c>
      <c r="D835" s="10">
        <v>1</v>
      </c>
      <c r="E835" s="7">
        <f t="shared" si="313"/>
        <v>3</v>
      </c>
      <c r="F835" s="8"/>
      <c r="G835" s="9">
        <v>2</v>
      </c>
      <c r="H835" s="10">
        <v>1</v>
      </c>
      <c r="I835" s="7">
        <f t="shared" si="314"/>
        <v>3</v>
      </c>
      <c r="J835" s="43">
        <v>44429</v>
      </c>
      <c r="K835" s="3" t="s">
        <v>416</v>
      </c>
      <c r="L835" s="8">
        <v>9</v>
      </c>
      <c r="M835" s="9">
        <v>3</v>
      </c>
      <c r="N835" s="10">
        <v>6</v>
      </c>
      <c r="O835" s="7">
        <f t="shared" si="315"/>
        <v>18</v>
      </c>
      <c r="P835" s="8">
        <v>9</v>
      </c>
      <c r="Q835" s="9">
        <v>3</v>
      </c>
      <c r="R835" s="10">
        <v>6</v>
      </c>
      <c r="S835" s="7">
        <f t="shared" si="316"/>
        <v>18</v>
      </c>
      <c r="T835" s="43">
        <v>44433</v>
      </c>
      <c r="U835" s="3" t="s">
        <v>295</v>
      </c>
      <c r="V835" s="8"/>
      <c r="W835" s="9">
        <v>1</v>
      </c>
      <c r="X835" s="10"/>
      <c r="Y835" s="7">
        <f t="shared" si="317"/>
        <v>1</v>
      </c>
      <c r="Z835" s="8"/>
      <c r="AA835" s="9">
        <v>1</v>
      </c>
      <c r="AB835" s="10"/>
      <c r="AC835" s="7">
        <f t="shared" si="318"/>
        <v>1</v>
      </c>
      <c r="AD835" s="8"/>
      <c r="AE835" s="9">
        <v>1</v>
      </c>
      <c r="AF835" s="10"/>
      <c r="AG835" s="7">
        <f t="shared" si="319"/>
        <v>1</v>
      </c>
      <c r="AH835" s="49">
        <v>44443</v>
      </c>
    </row>
    <row r="836" spans="1:34">
      <c r="A836" s="3" t="s">
        <v>411</v>
      </c>
      <c r="B836" s="8"/>
      <c r="C836" s="9"/>
      <c r="D836" s="10">
        <v>1</v>
      </c>
      <c r="E836" s="4">
        <f t="shared" si="313"/>
        <v>1</v>
      </c>
      <c r="F836" s="8"/>
      <c r="G836" s="9"/>
      <c r="H836" s="10">
        <v>1</v>
      </c>
      <c r="I836" s="4">
        <f t="shared" si="314"/>
        <v>1</v>
      </c>
      <c r="J836" s="43">
        <v>44429</v>
      </c>
      <c r="K836" s="3" t="s">
        <v>417</v>
      </c>
      <c r="L836" s="8">
        <v>2</v>
      </c>
      <c r="M836" s="9">
        <v>10</v>
      </c>
      <c r="N836" s="10">
        <v>2</v>
      </c>
      <c r="O836" s="4">
        <f t="shared" si="315"/>
        <v>14</v>
      </c>
      <c r="P836" s="8">
        <v>2</v>
      </c>
      <c r="Q836" s="9">
        <v>10</v>
      </c>
      <c r="R836" s="10">
        <v>2</v>
      </c>
      <c r="S836" s="4">
        <f t="shared" si="316"/>
        <v>14</v>
      </c>
      <c r="T836" s="43">
        <v>44434</v>
      </c>
      <c r="U836" s="40"/>
      <c r="V836" s="8"/>
      <c r="W836" s="9"/>
      <c r="X836" s="10"/>
      <c r="Y836" s="4">
        <f t="shared" si="317"/>
        <v>0</v>
      </c>
      <c r="Z836" s="8"/>
      <c r="AA836" s="9"/>
      <c r="AB836" s="10"/>
      <c r="AC836" s="4">
        <f t="shared" si="318"/>
        <v>0</v>
      </c>
      <c r="AD836" s="8"/>
      <c r="AE836" s="9"/>
      <c r="AF836" s="10"/>
      <c r="AG836" s="4">
        <f t="shared" si="319"/>
        <v>0</v>
      </c>
    </row>
    <row r="837" spans="1:34">
      <c r="A837" s="3" t="s">
        <v>413</v>
      </c>
      <c r="B837" s="8"/>
      <c r="C837" s="9">
        <v>6</v>
      </c>
      <c r="D837" s="10"/>
      <c r="E837" s="4">
        <f t="shared" si="313"/>
        <v>6</v>
      </c>
      <c r="F837" s="8"/>
      <c r="G837" s="9">
        <v>6</v>
      </c>
      <c r="H837" s="10"/>
      <c r="I837" s="4">
        <f t="shared" si="314"/>
        <v>6</v>
      </c>
      <c r="J837" s="49">
        <v>44429</v>
      </c>
      <c r="K837" s="3" t="s">
        <v>418</v>
      </c>
      <c r="L837" s="8"/>
      <c r="M837" s="9">
        <v>10</v>
      </c>
      <c r="N837" s="10">
        <v>5</v>
      </c>
      <c r="O837" s="4">
        <f t="shared" si="315"/>
        <v>15</v>
      </c>
      <c r="P837" s="8"/>
      <c r="Q837" s="9">
        <v>10</v>
      </c>
      <c r="R837" s="10">
        <v>5</v>
      </c>
      <c r="S837" s="4">
        <f t="shared" si="316"/>
        <v>15</v>
      </c>
      <c r="T837" s="43">
        <v>44435</v>
      </c>
      <c r="U837" s="3"/>
      <c r="V837" s="8"/>
      <c r="W837" s="9"/>
      <c r="X837" s="10"/>
      <c r="Y837" s="4">
        <f t="shared" si="317"/>
        <v>0</v>
      </c>
      <c r="Z837" s="8"/>
      <c r="AA837" s="9"/>
      <c r="AB837" s="10"/>
      <c r="AC837" s="4">
        <f t="shared" si="318"/>
        <v>0</v>
      </c>
      <c r="AD837" s="8"/>
      <c r="AE837" s="9"/>
      <c r="AF837" s="10"/>
      <c r="AG837" s="4">
        <f t="shared" si="319"/>
        <v>0</v>
      </c>
    </row>
    <row r="838" spans="1:34">
      <c r="A838" s="3" t="s">
        <v>414</v>
      </c>
      <c r="B838" s="8"/>
      <c r="C838" s="9">
        <v>1</v>
      </c>
      <c r="D838" s="10"/>
      <c r="E838" s="7">
        <f t="shared" si="313"/>
        <v>1</v>
      </c>
      <c r="F838" s="8"/>
      <c r="G838" s="9">
        <v>1</v>
      </c>
      <c r="H838" s="10"/>
      <c r="I838" s="7">
        <f t="shared" si="314"/>
        <v>1</v>
      </c>
      <c r="J838" s="43">
        <v>44429</v>
      </c>
      <c r="K838" s="3" t="s">
        <v>422</v>
      </c>
      <c r="L838" s="8">
        <v>2</v>
      </c>
      <c r="M838" s="9"/>
      <c r="N838" s="10"/>
      <c r="O838" s="7">
        <f t="shared" si="315"/>
        <v>2</v>
      </c>
      <c r="P838" s="8">
        <v>2</v>
      </c>
      <c r="Q838" s="9"/>
      <c r="R838" s="10"/>
      <c r="S838" s="7">
        <f t="shared" si="316"/>
        <v>2</v>
      </c>
      <c r="T838" s="43">
        <v>44436</v>
      </c>
      <c r="U838" s="3"/>
      <c r="V838" s="8"/>
      <c r="W838" s="9"/>
      <c r="X838" s="10"/>
      <c r="Y838" s="7">
        <f t="shared" si="317"/>
        <v>0</v>
      </c>
      <c r="Z838" s="8"/>
      <c r="AA838" s="9"/>
      <c r="AB838" s="10"/>
      <c r="AC838" s="7">
        <f t="shared" si="318"/>
        <v>0</v>
      </c>
      <c r="AD838" s="8"/>
      <c r="AE838" s="9"/>
      <c r="AF838" s="10"/>
      <c r="AG838" s="7">
        <f t="shared" si="319"/>
        <v>0</v>
      </c>
    </row>
    <row r="839" spans="1:34">
      <c r="A839" s="3" t="s">
        <v>424</v>
      </c>
      <c r="B839" s="8"/>
      <c r="C839" s="9">
        <v>-1</v>
      </c>
      <c r="D839" s="10">
        <v>1</v>
      </c>
      <c r="E839" s="7">
        <f t="shared" si="313"/>
        <v>0</v>
      </c>
      <c r="F839" s="8"/>
      <c r="G839" s="9">
        <v>-1</v>
      </c>
      <c r="H839" s="10">
        <v>1</v>
      </c>
      <c r="I839" s="7">
        <f t="shared" si="314"/>
        <v>0</v>
      </c>
      <c r="J839" s="43">
        <v>44439</v>
      </c>
      <c r="K839" s="11" t="s">
        <v>423</v>
      </c>
      <c r="L839" s="8">
        <v>5</v>
      </c>
      <c r="M839" s="9">
        <v>10</v>
      </c>
      <c r="N839" s="10">
        <v>5</v>
      </c>
      <c r="O839" s="7">
        <f t="shared" si="315"/>
        <v>20</v>
      </c>
      <c r="P839" s="8">
        <v>5</v>
      </c>
      <c r="Q839" s="9">
        <v>10</v>
      </c>
      <c r="R839" s="10">
        <v>5</v>
      </c>
      <c r="S839" s="7">
        <f t="shared" si="316"/>
        <v>20</v>
      </c>
      <c r="T839" s="43">
        <v>44436</v>
      </c>
      <c r="U839" s="3"/>
      <c r="V839" s="8"/>
      <c r="W839" s="9"/>
      <c r="X839" s="10"/>
      <c r="Y839" s="7">
        <f t="shared" si="317"/>
        <v>0</v>
      </c>
      <c r="Z839" s="8"/>
      <c r="AA839" s="9"/>
      <c r="AB839" s="10"/>
      <c r="AC839" s="7">
        <f t="shared" si="318"/>
        <v>0</v>
      </c>
      <c r="AD839" s="8"/>
      <c r="AE839" s="9"/>
      <c r="AF839" s="10"/>
      <c r="AG839" s="7">
        <f t="shared" si="319"/>
        <v>0</v>
      </c>
    </row>
    <row r="840" spans="1:34">
      <c r="A840" s="3" t="s">
        <v>414</v>
      </c>
      <c r="B840" s="8"/>
      <c r="C840" s="9">
        <v>1</v>
      </c>
      <c r="D840" s="10"/>
      <c r="E840" s="7">
        <f t="shared" si="313"/>
        <v>1</v>
      </c>
      <c r="F840" s="8"/>
      <c r="G840" s="9">
        <v>1</v>
      </c>
      <c r="H840" s="10"/>
      <c r="I840" s="7">
        <f t="shared" si="314"/>
        <v>1</v>
      </c>
      <c r="J840" s="49">
        <v>44443</v>
      </c>
      <c r="K840" s="3"/>
      <c r="L840" s="8"/>
      <c r="M840" s="9"/>
      <c r="N840" s="10"/>
      <c r="O840" s="7">
        <f t="shared" si="315"/>
        <v>0</v>
      </c>
      <c r="P840" s="8"/>
      <c r="Q840" s="9"/>
      <c r="R840" s="10"/>
      <c r="S840" s="7">
        <f t="shared" si="316"/>
        <v>0</v>
      </c>
      <c r="T840" s="43"/>
      <c r="U840" s="3"/>
      <c r="V840" s="8"/>
      <c r="W840" s="9"/>
      <c r="X840" s="10"/>
      <c r="Y840" s="7">
        <f t="shared" si="317"/>
        <v>0</v>
      </c>
      <c r="Z840" s="8"/>
      <c r="AA840" s="9"/>
      <c r="AB840" s="10"/>
      <c r="AC840" s="7">
        <f t="shared" si="318"/>
        <v>0</v>
      </c>
      <c r="AD840" s="8"/>
      <c r="AE840" s="9"/>
      <c r="AF840" s="10"/>
      <c r="AG840" s="7">
        <f t="shared" si="319"/>
        <v>0</v>
      </c>
    </row>
    <row r="841" spans="1:34">
      <c r="A841" s="3"/>
      <c r="B841" s="8"/>
      <c r="C841" s="9"/>
      <c r="D841" s="10"/>
      <c r="E841" s="7">
        <f t="shared" si="313"/>
        <v>0</v>
      </c>
      <c r="F841" s="8"/>
      <c r="G841" s="9"/>
      <c r="H841" s="10"/>
      <c r="I841" s="7">
        <f t="shared" si="314"/>
        <v>0</v>
      </c>
      <c r="K841" s="3"/>
      <c r="L841" s="8"/>
      <c r="M841" s="9"/>
      <c r="N841" s="10"/>
      <c r="O841" s="7">
        <f t="shared" si="315"/>
        <v>0</v>
      </c>
      <c r="P841" s="8"/>
      <c r="Q841" s="9"/>
      <c r="R841" s="10"/>
      <c r="S841" s="7">
        <f t="shared" si="316"/>
        <v>0</v>
      </c>
      <c r="T841" s="43"/>
      <c r="U841" s="3"/>
      <c r="V841" s="8"/>
      <c r="W841" s="9"/>
      <c r="X841" s="10"/>
      <c r="Y841" s="7">
        <f t="shared" si="317"/>
        <v>0</v>
      </c>
      <c r="Z841" s="8"/>
      <c r="AA841" s="9"/>
      <c r="AB841" s="10"/>
      <c r="AC841" s="7">
        <f t="shared" si="318"/>
        <v>0</v>
      </c>
      <c r="AD841" s="8"/>
      <c r="AE841" s="9"/>
      <c r="AF841" s="10"/>
      <c r="AG841" s="7">
        <f t="shared" si="319"/>
        <v>0</v>
      </c>
    </row>
    <row r="842" spans="1:34">
      <c r="A842" s="3"/>
      <c r="B842" s="8"/>
      <c r="C842" s="9"/>
      <c r="D842" s="10"/>
      <c r="E842" s="7">
        <f t="shared" si="313"/>
        <v>0</v>
      </c>
      <c r="F842" s="8"/>
      <c r="G842" s="9"/>
      <c r="H842" s="10"/>
      <c r="I842" s="7">
        <f t="shared" si="314"/>
        <v>0</v>
      </c>
      <c r="K842" s="3"/>
      <c r="L842" s="8"/>
      <c r="M842" s="9"/>
      <c r="N842" s="10"/>
      <c r="O842" s="7">
        <f t="shared" si="315"/>
        <v>0</v>
      </c>
      <c r="P842" s="8"/>
      <c r="Q842" s="9"/>
      <c r="R842" s="10"/>
      <c r="S842" s="7">
        <f t="shared" si="316"/>
        <v>0</v>
      </c>
      <c r="T842" s="43"/>
      <c r="U842" s="3"/>
      <c r="V842" s="8"/>
      <c r="W842" s="9"/>
      <c r="X842" s="10"/>
      <c r="Y842" s="7">
        <f t="shared" si="317"/>
        <v>0</v>
      </c>
      <c r="Z842" s="8"/>
      <c r="AA842" s="9"/>
      <c r="AB842" s="10"/>
      <c r="AC842" s="7">
        <f t="shared" si="318"/>
        <v>0</v>
      </c>
      <c r="AD842" s="8"/>
      <c r="AE842" s="9"/>
      <c r="AF842" s="10"/>
      <c r="AG842" s="7">
        <f t="shared" si="319"/>
        <v>0</v>
      </c>
    </row>
    <row r="843" spans="1:34">
      <c r="A843" s="3"/>
      <c r="B843" s="8"/>
      <c r="C843" s="9"/>
      <c r="D843" s="10"/>
      <c r="E843" s="7">
        <f t="shared" si="313"/>
        <v>0</v>
      </c>
      <c r="F843" s="8"/>
      <c r="G843" s="9"/>
      <c r="H843" s="10"/>
      <c r="I843" s="7">
        <f t="shared" si="314"/>
        <v>0</v>
      </c>
      <c r="K843" s="3"/>
      <c r="L843" s="30"/>
      <c r="M843" s="9"/>
      <c r="N843" s="10"/>
      <c r="O843" s="7">
        <f t="shared" si="315"/>
        <v>0</v>
      </c>
      <c r="P843" s="8"/>
      <c r="Q843" s="9"/>
      <c r="R843" s="10"/>
      <c r="S843" s="7">
        <f t="shared" si="316"/>
        <v>0</v>
      </c>
      <c r="T843" s="43"/>
      <c r="U843" s="3"/>
      <c r="V843" s="30"/>
      <c r="W843" s="9"/>
      <c r="X843" s="10"/>
      <c r="Y843" s="7">
        <f t="shared" si="317"/>
        <v>0</v>
      </c>
      <c r="Z843" s="8"/>
      <c r="AA843" s="9"/>
      <c r="AB843" s="10"/>
      <c r="AC843" s="7">
        <f t="shared" si="318"/>
        <v>0</v>
      </c>
      <c r="AD843" s="8"/>
      <c r="AE843" s="9"/>
      <c r="AF843" s="10"/>
      <c r="AG843" s="7">
        <f t="shared" si="319"/>
        <v>0</v>
      </c>
    </row>
    <row r="844" spans="1:34">
      <c r="A844" s="3"/>
      <c r="B844" s="8"/>
      <c r="C844" s="9"/>
      <c r="D844" s="10"/>
      <c r="E844" s="7">
        <f t="shared" si="313"/>
        <v>0</v>
      </c>
      <c r="F844" s="8"/>
      <c r="G844" s="9"/>
      <c r="H844" s="10"/>
      <c r="I844" s="7">
        <f t="shared" si="314"/>
        <v>0</v>
      </c>
      <c r="K844" s="3"/>
      <c r="L844" s="8"/>
      <c r="M844" s="9"/>
      <c r="N844" s="10"/>
      <c r="O844" s="7">
        <f t="shared" si="315"/>
        <v>0</v>
      </c>
      <c r="P844" s="8"/>
      <c r="Q844" s="9"/>
      <c r="R844" s="10"/>
      <c r="S844" s="7">
        <f t="shared" si="316"/>
        <v>0</v>
      </c>
      <c r="T844" s="43"/>
      <c r="U844" s="3"/>
      <c r="V844" s="8"/>
      <c r="W844" s="9"/>
      <c r="X844" s="10"/>
      <c r="Y844" s="7">
        <f t="shared" si="317"/>
        <v>0</v>
      </c>
      <c r="Z844" s="8"/>
      <c r="AA844" s="9"/>
      <c r="AB844" s="10"/>
      <c r="AC844" s="7">
        <f t="shared" si="318"/>
        <v>0</v>
      </c>
      <c r="AD844" s="8"/>
      <c r="AE844" s="9"/>
      <c r="AF844" s="10"/>
      <c r="AG844" s="7">
        <f t="shared" si="319"/>
        <v>0</v>
      </c>
    </row>
    <row r="845" spans="1:34">
      <c r="A845" s="3"/>
      <c r="B845" s="8"/>
      <c r="C845" s="9"/>
      <c r="D845" s="10"/>
      <c r="E845" s="7">
        <f t="shared" si="313"/>
        <v>0</v>
      </c>
      <c r="F845" s="8"/>
      <c r="G845" s="9"/>
      <c r="H845" s="10"/>
      <c r="I845" s="7">
        <f t="shared" si="314"/>
        <v>0</v>
      </c>
      <c r="K845" s="3"/>
      <c r="L845" s="8"/>
      <c r="M845" s="9"/>
      <c r="N845" s="10"/>
      <c r="O845" s="7">
        <f t="shared" si="315"/>
        <v>0</v>
      </c>
      <c r="P845" s="8"/>
      <c r="Q845" s="9"/>
      <c r="R845" s="10"/>
      <c r="S845" s="7">
        <f t="shared" si="316"/>
        <v>0</v>
      </c>
      <c r="T845" s="43"/>
      <c r="U845" s="3"/>
      <c r="V845" s="8"/>
      <c r="W845" s="9"/>
      <c r="X845" s="10"/>
      <c r="Y845" s="7">
        <f t="shared" si="317"/>
        <v>0</v>
      </c>
      <c r="Z845" s="8"/>
      <c r="AA845" s="9"/>
      <c r="AB845" s="10"/>
      <c r="AC845" s="7">
        <f t="shared" si="318"/>
        <v>0</v>
      </c>
      <c r="AD845" s="8"/>
      <c r="AE845" s="9"/>
      <c r="AF845" s="10"/>
      <c r="AG845" s="7">
        <f t="shared" si="319"/>
        <v>0</v>
      </c>
    </row>
    <row r="846" spans="1:34">
      <c r="A846" s="3"/>
      <c r="B846" s="8"/>
      <c r="C846" s="9"/>
      <c r="D846" s="10"/>
      <c r="E846" s="7">
        <f t="shared" si="313"/>
        <v>0</v>
      </c>
      <c r="F846" s="8"/>
      <c r="G846" s="9"/>
      <c r="H846" s="10"/>
      <c r="I846" s="7">
        <f t="shared" si="314"/>
        <v>0</v>
      </c>
      <c r="K846" s="3"/>
      <c r="L846" s="8"/>
      <c r="M846" s="9"/>
      <c r="N846" s="10"/>
      <c r="O846" s="7">
        <f t="shared" si="315"/>
        <v>0</v>
      </c>
      <c r="P846" s="8"/>
      <c r="Q846" s="9"/>
      <c r="R846" s="10"/>
      <c r="S846" s="7">
        <f t="shared" si="316"/>
        <v>0</v>
      </c>
      <c r="T846" s="43"/>
      <c r="U846" s="3"/>
      <c r="V846" s="8"/>
      <c r="W846" s="9"/>
      <c r="X846" s="10"/>
      <c r="Y846" s="7">
        <f t="shared" si="317"/>
        <v>0</v>
      </c>
      <c r="Z846" s="8"/>
      <c r="AA846" s="9"/>
      <c r="AB846" s="10"/>
      <c r="AC846" s="7">
        <f t="shared" si="318"/>
        <v>0</v>
      </c>
      <c r="AD846" s="8"/>
      <c r="AE846" s="9"/>
      <c r="AF846" s="10"/>
      <c r="AG846" s="7">
        <f t="shared" si="319"/>
        <v>0</v>
      </c>
    </row>
    <row r="847" spans="1:34">
      <c r="A847" s="3"/>
      <c r="B847" s="8"/>
      <c r="C847" s="9"/>
      <c r="D847" s="10"/>
      <c r="E847" s="7">
        <f t="shared" si="313"/>
        <v>0</v>
      </c>
      <c r="F847" s="8"/>
      <c r="G847" s="9"/>
      <c r="H847" s="10"/>
      <c r="I847" s="7">
        <f t="shared" si="314"/>
        <v>0</v>
      </c>
      <c r="K847" s="3"/>
      <c r="L847" s="8"/>
      <c r="M847" s="9"/>
      <c r="N847" s="10"/>
      <c r="O847" s="7">
        <f t="shared" si="315"/>
        <v>0</v>
      </c>
      <c r="P847" s="8"/>
      <c r="Q847" s="9"/>
      <c r="R847" s="10"/>
      <c r="S847" s="7">
        <f t="shared" si="316"/>
        <v>0</v>
      </c>
      <c r="T847" s="43"/>
      <c r="U847" s="3"/>
      <c r="V847" s="8"/>
      <c r="W847" s="9"/>
      <c r="X847" s="10"/>
      <c r="Y847" s="7">
        <f t="shared" si="317"/>
        <v>0</v>
      </c>
      <c r="Z847" s="8"/>
      <c r="AA847" s="9"/>
      <c r="AB847" s="10"/>
      <c r="AC847" s="7">
        <f t="shared" si="318"/>
        <v>0</v>
      </c>
      <c r="AD847" s="8"/>
      <c r="AE847" s="9"/>
      <c r="AF847" s="10"/>
      <c r="AG847" s="7">
        <f t="shared" si="319"/>
        <v>0</v>
      </c>
    </row>
    <row r="848" spans="1:34">
      <c r="A848" s="3"/>
      <c r="B848" s="8"/>
      <c r="C848" s="9"/>
      <c r="D848" s="10"/>
      <c r="E848" s="7">
        <f t="shared" si="313"/>
        <v>0</v>
      </c>
      <c r="F848" s="8"/>
      <c r="G848" s="9"/>
      <c r="H848" s="10"/>
      <c r="I848" s="7">
        <f t="shared" si="314"/>
        <v>0</v>
      </c>
      <c r="K848" s="3"/>
      <c r="L848" s="8"/>
      <c r="M848" s="9"/>
      <c r="N848" s="10"/>
      <c r="O848" s="7">
        <f t="shared" si="315"/>
        <v>0</v>
      </c>
      <c r="P848" s="8"/>
      <c r="Q848" s="9"/>
      <c r="R848" s="10"/>
      <c r="S848" s="7">
        <f t="shared" si="316"/>
        <v>0</v>
      </c>
      <c r="T848" s="43"/>
      <c r="U848" s="3"/>
      <c r="V848" s="8"/>
      <c r="W848" s="9"/>
      <c r="X848" s="10"/>
      <c r="Y848" s="7">
        <f t="shared" si="317"/>
        <v>0</v>
      </c>
      <c r="Z848" s="8"/>
      <c r="AA848" s="9"/>
      <c r="AB848" s="10"/>
      <c r="AC848" s="7">
        <f t="shared" si="318"/>
        <v>0</v>
      </c>
      <c r="AD848" s="8"/>
      <c r="AE848" s="9"/>
      <c r="AF848" s="10"/>
      <c r="AG848" s="7">
        <f t="shared" si="319"/>
        <v>0</v>
      </c>
    </row>
    <row r="849" spans="1:33">
      <c r="A849" s="3"/>
      <c r="B849" s="8"/>
      <c r="C849" s="9"/>
      <c r="D849" s="10"/>
      <c r="E849" s="7">
        <f t="shared" si="313"/>
        <v>0</v>
      </c>
      <c r="F849" s="8"/>
      <c r="G849" s="9"/>
      <c r="H849" s="10"/>
      <c r="I849" s="7">
        <f t="shared" si="314"/>
        <v>0</v>
      </c>
      <c r="K849" s="3"/>
      <c r="L849" s="8"/>
      <c r="M849" s="9"/>
      <c r="N849" s="10"/>
      <c r="O849" s="7">
        <f t="shared" si="315"/>
        <v>0</v>
      </c>
      <c r="P849" s="8"/>
      <c r="Q849" s="9"/>
      <c r="R849" s="10"/>
      <c r="S849" s="7">
        <f t="shared" si="316"/>
        <v>0</v>
      </c>
      <c r="T849" s="43"/>
      <c r="U849" s="3"/>
      <c r="V849" s="8"/>
      <c r="W849" s="9"/>
      <c r="X849" s="10"/>
      <c r="Y849" s="7">
        <f t="shared" si="317"/>
        <v>0</v>
      </c>
      <c r="Z849" s="8"/>
      <c r="AA849" s="9"/>
      <c r="AB849" s="10"/>
      <c r="AC849" s="7">
        <f t="shared" si="318"/>
        <v>0</v>
      </c>
      <c r="AD849" s="8"/>
      <c r="AE849" s="9"/>
      <c r="AF849" s="10"/>
      <c r="AG849" s="7">
        <f t="shared" si="319"/>
        <v>0</v>
      </c>
    </row>
    <row r="850" spans="1:33">
      <c r="A850" s="3"/>
      <c r="B850" s="8"/>
      <c r="C850" s="9"/>
      <c r="D850" s="10"/>
      <c r="E850" s="7">
        <f t="shared" si="313"/>
        <v>0</v>
      </c>
      <c r="F850" s="8"/>
      <c r="G850" s="9"/>
      <c r="H850" s="10"/>
      <c r="I850" s="7">
        <f t="shared" si="314"/>
        <v>0</v>
      </c>
      <c r="K850" s="3"/>
      <c r="L850" s="8"/>
      <c r="M850" s="9"/>
      <c r="N850" s="10"/>
      <c r="O850" s="7">
        <f t="shared" si="315"/>
        <v>0</v>
      </c>
      <c r="P850" s="8"/>
      <c r="Q850" s="9"/>
      <c r="R850" s="10"/>
      <c r="S850" s="7">
        <f t="shared" si="316"/>
        <v>0</v>
      </c>
      <c r="T850" s="43"/>
      <c r="U850" s="3"/>
      <c r="V850" s="8"/>
      <c r="W850" s="9"/>
      <c r="X850" s="10"/>
      <c r="Y850" s="7">
        <f t="shared" si="317"/>
        <v>0</v>
      </c>
      <c r="Z850" s="8"/>
      <c r="AA850" s="9"/>
      <c r="AB850" s="10"/>
      <c r="AC850" s="7">
        <f t="shared" si="318"/>
        <v>0</v>
      </c>
      <c r="AD850" s="8"/>
      <c r="AE850" s="9"/>
      <c r="AF850" s="10"/>
      <c r="AG850" s="7">
        <f t="shared" si="319"/>
        <v>0</v>
      </c>
    </row>
    <row r="851" spans="1:33">
      <c r="A851" s="11"/>
      <c r="B851" s="8"/>
      <c r="C851" s="9"/>
      <c r="D851" s="10"/>
      <c r="E851" s="7">
        <f t="shared" si="313"/>
        <v>0</v>
      </c>
      <c r="F851" s="8"/>
      <c r="G851" s="9"/>
      <c r="H851" s="10"/>
      <c r="I851" s="7">
        <f t="shared" si="314"/>
        <v>0</v>
      </c>
      <c r="K851" s="3"/>
      <c r="L851" s="8"/>
      <c r="M851" s="9"/>
      <c r="N851" s="10"/>
      <c r="O851" s="7">
        <f t="shared" si="315"/>
        <v>0</v>
      </c>
      <c r="P851" s="8"/>
      <c r="Q851" s="9"/>
      <c r="R851" s="10"/>
      <c r="S851" s="7">
        <f t="shared" si="316"/>
        <v>0</v>
      </c>
      <c r="T851" s="43"/>
      <c r="U851" s="3"/>
      <c r="V851" s="8"/>
      <c r="W851" s="9"/>
      <c r="X851" s="10"/>
      <c r="Y851" s="7">
        <f t="shared" si="317"/>
        <v>0</v>
      </c>
      <c r="Z851" s="8"/>
      <c r="AA851" s="9"/>
      <c r="AB851" s="10"/>
      <c r="AC851" s="7">
        <f t="shared" si="318"/>
        <v>0</v>
      </c>
      <c r="AD851" s="8"/>
      <c r="AE851" s="9"/>
      <c r="AF851" s="10"/>
      <c r="AG851" s="7">
        <f t="shared" si="319"/>
        <v>0</v>
      </c>
    </row>
    <row r="852" spans="1:33">
      <c r="A852" s="11"/>
      <c r="B852" s="8"/>
      <c r="C852" s="9"/>
      <c r="D852" s="10"/>
      <c r="E852" s="7">
        <f t="shared" si="313"/>
        <v>0</v>
      </c>
      <c r="F852" s="8"/>
      <c r="G852" s="9"/>
      <c r="H852" s="10"/>
      <c r="I852" s="7">
        <f t="shared" si="314"/>
        <v>0</v>
      </c>
      <c r="K852" s="11"/>
      <c r="L852" s="8"/>
      <c r="M852" s="9"/>
      <c r="N852" s="10"/>
      <c r="O852" s="7">
        <f t="shared" si="315"/>
        <v>0</v>
      </c>
      <c r="P852" s="8"/>
      <c r="Q852" s="9"/>
      <c r="R852" s="10"/>
      <c r="S852" s="7">
        <f t="shared" si="316"/>
        <v>0</v>
      </c>
      <c r="T852" s="71"/>
      <c r="U852" s="3"/>
      <c r="V852" s="8"/>
      <c r="W852" s="9"/>
      <c r="X852" s="10"/>
      <c r="Y852" s="7">
        <f t="shared" si="317"/>
        <v>0</v>
      </c>
      <c r="Z852" s="8"/>
      <c r="AA852" s="9"/>
      <c r="AB852" s="10"/>
      <c r="AC852" s="7">
        <f t="shared" si="318"/>
        <v>0</v>
      </c>
      <c r="AD852" s="8"/>
      <c r="AE852" s="9"/>
      <c r="AF852" s="10"/>
      <c r="AG852" s="7">
        <f t="shared" si="319"/>
        <v>0</v>
      </c>
    </row>
    <row r="853" spans="1:33">
      <c r="A853" s="11"/>
      <c r="B853" s="8"/>
      <c r="C853" s="9"/>
      <c r="D853" s="10"/>
      <c r="E853" s="7">
        <f t="shared" si="313"/>
        <v>0</v>
      </c>
      <c r="F853" s="8"/>
      <c r="G853" s="9"/>
      <c r="H853" s="10"/>
      <c r="I853" s="7">
        <f t="shared" si="314"/>
        <v>0</v>
      </c>
      <c r="K853" s="11"/>
      <c r="L853" s="8"/>
      <c r="M853" s="9"/>
      <c r="N853" s="10"/>
      <c r="O853" s="7">
        <f t="shared" si="315"/>
        <v>0</v>
      </c>
      <c r="P853" s="8"/>
      <c r="Q853" s="9"/>
      <c r="R853" s="10"/>
      <c r="S853" s="7">
        <f t="shared" si="316"/>
        <v>0</v>
      </c>
      <c r="T853" s="71"/>
      <c r="U853" s="11"/>
      <c r="V853" s="8"/>
      <c r="W853" s="9"/>
      <c r="X853" s="10"/>
      <c r="Y853" s="7">
        <f t="shared" si="317"/>
        <v>0</v>
      </c>
      <c r="Z853" s="8"/>
      <c r="AA853" s="9"/>
      <c r="AB853" s="10"/>
      <c r="AC853" s="7">
        <f t="shared" si="318"/>
        <v>0</v>
      </c>
      <c r="AD853" s="8"/>
      <c r="AE853" s="9"/>
      <c r="AF853" s="10"/>
      <c r="AG853" s="7">
        <f t="shared" si="319"/>
        <v>0</v>
      </c>
    </row>
    <row r="854" spans="1:33">
      <c r="A854" s="11"/>
      <c r="B854" s="8"/>
      <c r="C854" s="9"/>
      <c r="D854" s="10"/>
      <c r="E854" s="7">
        <f t="shared" si="313"/>
        <v>0</v>
      </c>
      <c r="F854" s="8"/>
      <c r="G854" s="9"/>
      <c r="H854" s="10"/>
      <c r="I854" s="7">
        <f t="shared" si="314"/>
        <v>0</v>
      </c>
      <c r="K854" s="11"/>
      <c r="L854" s="8"/>
      <c r="M854" s="9"/>
      <c r="N854" s="10"/>
      <c r="O854" s="7">
        <f t="shared" si="315"/>
        <v>0</v>
      </c>
      <c r="P854" s="8"/>
      <c r="Q854" s="9"/>
      <c r="R854" s="10"/>
      <c r="S854" s="7">
        <f t="shared" si="316"/>
        <v>0</v>
      </c>
      <c r="T854" s="71"/>
      <c r="U854" s="3"/>
      <c r="V854" s="8"/>
      <c r="W854" s="9"/>
      <c r="X854" s="10"/>
      <c r="Y854" s="7">
        <f t="shared" si="317"/>
        <v>0</v>
      </c>
      <c r="Z854" s="8"/>
      <c r="AA854" s="9"/>
      <c r="AB854" s="10"/>
      <c r="AC854" s="7">
        <f t="shared" si="318"/>
        <v>0</v>
      </c>
      <c r="AD854" s="8"/>
      <c r="AE854" s="9"/>
      <c r="AF854" s="10"/>
      <c r="AG854" s="7">
        <f t="shared" si="319"/>
        <v>0</v>
      </c>
    </row>
    <row r="855" spans="1:33">
      <c r="A855" s="11"/>
      <c r="B855" s="8"/>
      <c r="C855" s="9"/>
      <c r="D855" s="10"/>
      <c r="E855" s="7">
        <f t="shared" si="313"/>
        <v>0</v>
      </c>
      <c r="F855" s="8"/>
      <c r="G855" s="9"/>
      <c r="H855" s="10"/>
      <c r="I855" s="7">
        <f t="shared" si="314"/>
        <v>0</v>
      </c>
      <c r="K855" s="11"/>
      <c r="L855" s="8"/>
      <c r="M855" s="9"/>
      <c r="N855" s="10"/>
      <c r="O855" s="7">
        <f t="shared" si="315"/>
        <v>0</v>
      </c>
      <c r="P855" s="8"/>
      <c r="Q855" s="9"/>
      <c r="R855" s="10"/>
      <c r="S855" s="7">
        <f t="shared" si="316"/>
        <v>0</v>
      </c>
      <c r="T855" s="71"/>
      <c r="U855" s="11"/>
      <c r="V855" s="8"/>
      <c r="W855" s="9"/>
      <c r="X855" s="10"/>
      <c r="Y855" s="7">
        <f t="shared" si="317"/>
        <v>0</v>
      </c>
      <c r="Z855" s="8"/>
      <c r="AA855" s="9"/>
      <c r="AB855" s="10"/>
      <c r="AC855" s="7">
        <f t="shared" si="318"/>
        <v>0</v>
      </c>
      <c r="AD855" s="8"/>
      <c r="AE855" s="9"/>
      <c r="AF855" s="10"/>
      <c r="AG855" s="7">
        <f t="shared" si="319"/>
        <v>0</v>
      </c>
    </row>
    <row r="856" spans="1:33" ht="14.25" thickBot="1">
      <c r="A856" s="3"/>
      <c r="B856" s="8"/>
      <c r="C856" s="9"/>
      <c r="D856" s="10"/>
      <c r="E856" s="7">
        <f t="shared" si="313"/>
        <v>0</v>
      </c>
      <c r="F856" s="8"/>
      <c r="G856" s="9"/>
      <c r="H856" s="10"/>
      <c r="I856" s="7">
        <f t="shared" si="314"/>
        <v>0</v>
      </c>
      <c r="K856" s="11" t="s">
        <v>353</v>
      </c>
      <c r="L856" s="8"/>
      <c r="M856" s="9"/>
      <c r="N856" s="10"/>
      <c r="O856" s="7">
        <f t="shared" ref="O856" si="321">SUM(L856:N856)</f>
        <v>0</v>
      </c>
      <c r="P856" s="8"/>
      <c r="Q856" s="9"/>
      <c r="R856" s="10"/>
      <c r="S856" s="7">
        <f t="shared" ref="S856" si="322">SUM(P856:R856)</f>
        <v>0</v>
      </c>
      <c r="T856" s="71" t="s">
        <v>354</v>
      </c>
      <c r="U856" s="3"/>
      <c r="V856" s="8"/>
      <c r="W856" s="9"/>
      <c r="X856" s="10"/>
      <c r="Y856" s="7">
        <f t="shared" si="317"/>
        <v>0</v>
      </c>
      <c r="Z856" s="8"/>
      <c r="AA856" s="9"/>
      <c r="AB856" s="10"/>
      <c r="AC856" s="7">
        <f t="shared" si="318"/>
        <v>0</v>
      </c>
      <c r="AD856" s="8"/>
      <c r="AE856" s="9"/>
      <c r="AF856" s="10"/>
      <c r="AG856" s="7">
        <f t="shared" si="319"/>
        <v>0</v>
      </c>
    </row>
    <row r="857" spans="1:33" ht="14.25" thickBot="1">
      <c r="A857" s="2" t="s">
        <v>5</v>
      </c>
      <c r="B857" s="14">
        <f>SUM(B833:B856)</f>
        <v>4</v>
      </c>
      <c r="C857" s="14">
        <f>SUM(C833:C856)</f>
        <v>10</v>
      </c>
      <c r="D857" s="14">
        <f>SUM(D833:D856)</f>
        <v>3</v>
      </c>
      <c r="E857" s="15">
        <f t="shared" si="313"/>
        <v>17</v>
      </c>
      <c r="F857" s="14">
        <f>SUM(F833:F856)</f>
        <v>4</v>
      </c>
      <c r="G857" s="14">
        <f>SUM(G833:G856)</f>
        <v>10</v>
      </c>
      <c r="H857" s="14">
        <f>SUM(H833:H856)</f>
        <v>3</v>
      </c>
      <c r="I857" s="15">
        <f t="shared" si="314"/>
        <v>17</v>
      </c>
      <c r="K857" s="2" t="s">
        <v>5</v>
      </c>
      <c r="L857" s="14">
        <f>SUM(L833:L856)</f>
        <v>20</v>
      </c>
      <c r="M857" s="14">
        <f>SUM(M833:M856)</f>
        <v>44</v>
      </c>
      <c r="N857" s="14">
        <f>SUM(N833:N856)</f>
        <v>24</v>
      </c>
      <c r="O857" s="15">
        <f t="shared" si="315"/>
        <v>88</v>
      </c>
      <c r="P857" s="14">
        <f>SUM(P833:P856)</f>
        <v>20</v>
      </c>
      <c r="Q857" s="14">
        <f>SUM(Q833:Q856)</f>
        <v>44</v>
      </c>
      <c r="R857" s="14">
        <f>SUM(R833:R856)</f>
        <v>24</v>
      </c>
      <c r="S857" s="15">
        <f t="shared" si="316"/>
        <v>88</v>
      </c>
      <c r="U857" s="2" t="s">
        <v>5</v>
      </c>
      <c r="V857" s="14">
        <f>SUM(V833:V856)</f>
        <v>1</v>
      </c>
      <c r="W857" s="14">
        <f>SUM(W833:W856)</f>
        <v>1</v>
      </c>
      <c r="X857" s="14">
        <f>SUM(X833:X856)</f>
        <v>1</v>
      </c>
      <c r="Y857" s="15">
        <f t="shared" si="317"/>
        <v>3</v>
      </c>
      <c r="Z857" s="14">
        <f>SUM(Z833:Z856)</f>
        <v>1</v>
      </c>
      <c r="AA857" s="14">
        <f>SUM(AA833:AA856)</f>
        <v>1</v>
      </c>
      <c r="AB857" s="14">
        <f>SUM(AB833:AB856)</f>
        <v>1</v>
      </c>
      <c r="AC857" s="15">
        <f t="shared" si="318"/>
        <v>3</v>
      </c>
      <c r="AD857" s="14">
        <f>SUM(AD833:AD856)</f>
        <v>1</v>
      </c>
      <c r="AE857" s="14">
        <f>SUM(AE833:AE856)</f>
        <v>1</v>
      </c>
      <c r="AF857" s="14">
        <f>SUM(AF833:AF856)</f>
        <v>1</v>
      </c>
      <c r="AG857" s="15">
        <f t="shared" si="319"/>
        <v>3</v>
      </c>
    </row>
    <row r="858" spans="1:33" ht="14.25" thickBot="1">
      <c r="A858" s="27" t="s">
        <v>6</v>
      </c>
      <c r="B858" s="28">
        <f>B832-B857</f>
        <v>12</v>
      </c>
      <c r="C858" s="28">
        <f t="shared" ref="C858:E858" si="323">C832-C857</f>
        <v>2</v>
      </c>
      <c r="D858" s="28">
        <f t="shared" si="323"/>
        <v>6</v>
      </c>
      <c r="E858" s="28">
        <f t="shared" si="323"/>
        <v>20</v>
      </c>
      <c r="F858" s="28">
        <f>F832-F857</f>
        <v>12</v>
      </c>
      <c r="G858" s="28">
        <f t="shared" ref="G858:I858" si="324">G832-G857</f>
        <v>2</v>
      </c>
      <c r="H858" s="28">
        <f t="shared" si="324"/>
        <v>6</v>
      </c>
      <c r="I858" s="26">
        <f t="shared" si="324"/>
        <v>20</v>
      </c>
      <c r="K858" s="27" t="s">
        <v>6</v>
      </c>
      <c r="L858" s="28">
        <f>L832-L857</f>
        <v>70</v>
      </c>
      <c r="M858" s="28">
        <f t="shared" ref="M858:O858" si="325">M832-M857</f>
        <v>0</v>
      </c>
      <c r="N858" s="28">
        <f t="shared" si="325"/>
        <v>19</v>
      </c>
      <c r="O858" s="28">
        <f t="shared" si="325"/>
        <v>89</v>
      </c>
      <c r="P858" s="28">
        <f>P832-P857</f>
        <v>70</v>
      </c>
      <c r="Q858" s="28">
        <f t="shared" ref="Q858:S858" si="326">Q832-Q857</f>
        <v>0</v>
      </c>
      <c r="R858" s="28">
        <f t="shared" si="326"/>
        <v>19</v>
      </c>
      <c r="S858" s="26">
        <f t="shared" si="326"/>
        <v>89</v>
      </c>
      <c r="U858" s="27" t="s">
        <v>6</v>
      </c>
      <c r="V858" s="28">
        <f>V832-V857</f>
        <v>5</v>
      </c>
      <c r="W858" s="28">
        <f t="shared" ref="W858:Y858" si="327">W832-W857</f>
        <v>25</v>
      </c>
      <c r="X858" s="28">
        <f t="shared" si="327"/>
        <v>2</v>
      </c>
      <c r="Y858" s="28">
        <f t="shared" si="327"/>
        <v>32</v>
      </c>
      <c r="Z858" s="28">
        <f>Z832-Z857</f>
        <v>5</v>
      </c>
      <c r="AA858" s="28">
        <f t="shared" ref="AA858:AC858" si="328">AA832-AA857</f>
        <v>25</v>
      </c>
      <c r="AB858" s="28">
        <f t="shared" si="328"/>
        <v>2</v>
      </c>
      <c r="AC858" s="26">
        <f t="shared" si="328"/>
        <v>32</v>
      </c>
      <c r="AD858" s="28">
        <f>AD832-AD857</f>
        <v>5</v>
      </c>
      <c r="AE858" s="28">
        <f t="shared" ref="AE858:AG858" si="329">AE832-AE857</f>
        <v>25</v>
      </c>
      <c r="AF858" s="28">
        <f t="shared" si="329"/>
        <v>2</v>
      </c>
      <c r="AG858" s="26">
        <f t="shared" si="329"/>
        <v>32</v>
      </c>
    </row>
    <row r="859" spans="1:33">
      <c r="K859" s="94"/>
    </row>
    <row r="860" spans="1:33">
      <c r="K860" s="94"/>
    </row>
    <row r="861" spans="1:33" ht="26.25" thickBot="1">
      <c r="A861" s="33" t="s">
        <v>420</v>
      </c>
      <c r="B861" s="34"/>
      <c r="C861" s="34"/>
      <c r="D861" s="34"/>
      <c r="E861" s="34"/>
      <c r="F861" s="35"/>
      <c r="G861" s="35"/>
      <c r="H861" s="35"/>
      <c r="I861" s="35"/>
      <c r="K861" s="33" t="s">
        <v>419</v>
      </c>
      <c r="L861" s="34"/>
      <c r="M861" s="34"/>
      <c r="N861" s="34"/>
      <c r="O861" s="34"/>
      <c r="P861" s="35"/>
      <c r="Q861" s="35"/>
      <c r="R861" s="35"/>
      <c r="S861" s="35"/>
      <c r="U861" s="88" t="s">
        <v>244</v>
      </c>
      <c r="V861" s="89"/>
      <c r="W861" s="89"/>
      <c r="X861" s="89"/>
      <c r="Y861" s="89"/>
      <c r="Z861" s="90"/>
      <c r="AA861" s="90"/>
      <c r="AB861" s="90"/>
      <c r="AC861" s="90"/>
    </row>
    <row r="862" spans="1:33" ht="14.25" thickBot="1">
      <c r="A862" s="1" t="s">
        <v>0</v>
      </c>
      <c r="B862" s="182" t="s">
        <v>17</v>
      </c>
      <c r="C862" s="182"/>
      <c r="D862" s="182"/>
      <c r="E862" s="183"/>
      <c r="F862" s="182" t="s">
        <v>13</v>
      </c>
      <c r="G862" s="182"/>
      <c r="H862" s="182"/>
      <c r="I862" s="183"/>
      <c r="K862" s="1" t="s">
        <v>0</v>
      </c>
      <c r="L862" s="182" t="s">
        <v>17</v>
      </c>
      <c r="M862" s="182"/>
      <c r="N862" s="182"/>
      <c r="O862" s="183"/>
      <c r="P862" s="182" t="s">
        <v>13</v>
      </c>
      <c r="Q862" s="182"/>
      <c r="R862" s="182"/>
      <c r="S862" s="183"/>
      <c r="U862" s="1" t="s">
        <v>0</v>
      </c>
      <c r="V862" s="182" t="s">
        <v>17</v>
      </c>
      <c r="W862" s="182"/>
      <c r="X862" s="182"/>
      <c r="Y862" s="183"/>
      <c r="Z862" s="182" t="s">
        <v>13</v>
      </c>
      <c r="AA862" s="182"/>
      <c r="AB862" s="182"/>
      <c r="AC862" s="183"/>
      <c r="AD862" s="182" t="s">
        <v>242</v>
      </c>
      <c r="AE862" s="182"/>
      <c r="AF862" s="182"/>
      <c r="AG862" s="183"/>
    </row>
    <row r="863" spans="1:33" ht="14.25" thickBot="1">
      <c r="A863" s="1" t="s">
        <v>1</v>
      </c>
      <c r="B863" s="2" t="s">
        <v>8</v>
      </c>
      <c r="C863" s="1" t="s">
        <v>9</v>
      </c>
      <c r="D863" s="19" t="s">
        <v>10</v>
      </c>
      <c r="E863" s="1" t="s">
        <v>2</v>
      </c>
      <c r="F863" s="2" t="s">
        <v>8</v>
      </c>
      <c r="G863" s="1" t="s">
        <v>9</v>
      </c>
      <c r="H863" s="19" t="s">
        <v>10</v>
      </c>
      <c r="I863" s="1" t="s">
        <v>2</v>
      </c>
      <c r="K863" s="1" t="s">
        <v>1</v>
      </c>
      <c r="L863" s="2" t="s">
        <v>8</v>
      </c>
      <c r="M863" s="1" t="s">
        <v>9</v>
      </c>
      <c r="N863" s="19" t="s">
        <v>10</v>
      </c>
      <c r="O863" s="1" t="s">
        <v>2</v>
      </c>
      <c r="P863" s="2" t="s">
        <v>8</v>
      </c>
      <c r="Q863" s="1" t="s">
        <v>9</v>
      </c>
      <c r="R863" s="19" t="s">
        <v>10</v>
      </c>
      <c r="S863" s="1" t="s">
        <v>2</v>
      </c>
      <c r="U863" s="1" t="s">
        <v>1</v>
      </c>
      <c r="V863" s="2" t="s">
        <v>8</v>
      </c>
      <c r="W863" s="1" t="s">
        <v>9</v>
      </c>
      <c r="X863" s="19" t="s">
        <v>10</v>
      </c>
      <c r="Y863" s="1" t="s">
        <v>2</v>
      </c>
      <c r="Z863" s="2" t="s">
        <v>8</v>
      </c>
      <c r="AA863" s="1" t="s">
        <v>9</v>
      </c>
      <c r="AB863" s="19" t="s">
        <v>10</v>
      </c>
      <c r="AC863" s="1" t="s">
        <v>2</v>
      </c>
      <c r="AD863" s="2" t="s">
        <v>8</v>
      </c>
      <c r="AE863" s="1" t="s">
        <v>9</v>
      </c>
      <c r="AF863" s="19" t="s">
        <v>10</v>
      </c>
      <c r="AG863" s="1" t="s">
        <v>2</v>
      </c>
    </row>
    <row r="864" spans="1:33">
      <c r="A864" s="21" t="s">
        <v>7</v>
      </c>
      <c r="B864" s="18">
        <f>B858</f>
        <v>12</v>
      </c>
      <c r="C864" s="22">
        <f>C858</f>
        <v>2</v>
      </c>
      <c r="D864" s="22">
        <f>D858</f>
        <v>6</v>
      </c>
      <c r="E864" s="17">
        <f t="shared" ref="E864:E900" si="330">SUM(B864:D864)</f>
        <v>20</v>
      </c>
      <c r="F864" s="22">
        <f>F858</f>
        <v>12</v>
      </c>
      <c r="G864" s="22">
        <f>G858</f>
        <v>2</v>
      </c>
      <c r="H864" s="22">
        <f>H858</f>
        <v>6</v>
      </c>
      <c r="I864" s="17">
        <f t="shared" ref="I864:I900" si="331">SUM(F864:H864)</f>
        <v>20</v>
      </c>
      <c r="K864" s="21" t="s">
        <v>7</v>
      </c>
      <c r="L864" s="18">
        <f>L858</f>
        <v>70</v>
      </c>
      <c r="M864" s="22">
        <f>M858</f>
        <v>0</v>
      </c>
      <c r="N864" s="22">
        <f>N858</f>
        <v>19</v>
      </c>
      <c r="O864" s="17">
        <f t="shared" ref="O864:O900" si="332">SUM(L864:N864)</f>
        <v>89</v>
      </c>
      <c r="P864" s="22">
        <f>P858</f>
        <v>70</v>
      </c>
      <c r="Q864" s="22">
        <f>Q858</f>
        <v>0</v>
      </c>
      <c r="R864" s="22">
        <f>R858</f>
        <v>19</v>
      </c>
      <c r="S864" s="17">
        <f t="shared" ref="S864:S900" si="333">SUM(P864:R864)</f>
        <v>89</v>
      </c>
      <c r="U864" s="21" t="s">
        <v>7</v>
      </c>
      <c r="V864" s="18">
        <f>V858</f>
        <v>5</v>
      </c>
      <c r="W864" s="22">
        <f>W858</f>
        <v>25</v>
      </c>
      <c r="X864" s="22">
        <f>X858</f>
        <v>2</v>
      </c>
      <c r="Y864" s="17">
        <f t="shared" ref="Y864:Y900" si="334">SUM(V864:X864)</f>
        <v>32</v>
      </c>
      <c r="Z864" s="22">
        <f>Z858</f>
        <v>5</v>
      </c>
      <c r="AA864" s="22">
        <f>AA858</f>
        <v>25</v>
      </c>
      <c r="AB864" s="22">
        <f>AB858</f>
        <v>2</v>
      </c>
      <c r="AC864" s="17">
        <f t="shared" ref="AC864:AC900" si="335">SUM(Z864:AB864)</f>
        <v>32</v>
      </c>
      <c r="AD864" s="22">
        <f>AD858</f>
        <v>5</v>
      </c>
      <c r="AE864" s="22">
        <f>AE858</f>
        <v>25</v>
      </c>
      <c r="AF864" s="22">
        <f>AF858</f>
        <v>2</v>
      </c>
      <c r="AG864" s="17">
        <f t="shared" ref="AG864:AG900" si="336">SUM(AD864:AF864)</f>
        <v>32</v>
      </c>
    </row>
    <row r="865" spans="1:34">
      <c r="A865" s="5" t="s">
        <v>3</v>
      </c>
      <c r="B865" s="30">
        <v>1</v>
      </c>
      <c r="C865" s="31"/>
      <c r="D865" s="32"/>
      <c r="E865" s="4">
        <f t="shared" si="330"/>
        <v>1</v>
      </c>
      <c r="F865" s="30">
        <v>1</v>
      </c>
      <c r="G865" s="31"/>
      <c r="H865" s="32"/>
      <c r="I865" s="4">
        <f t="shared" si="331"/>
        <v>1</v>
      </c>
      <c r="J865" s="43">
        <v>44449</v>
      </c>
      <c r="K865" s="5" t="s">
        <v>3</v>
      </c>
      <c r="L865" s="16"/>
      <c r="M865" s="11"/>
      <c r="N865" s="16"/>
      <c r="O865" s="4">
        <f t="shared" si="332"/>
        <v>0</v>
      </c>
      <c r="P865" s="16"/>
      <c r="Q865" s="11"/>
      <c r="R865" s="16"/>
      <c r="S865" s="4">
        <f t="shared" si="333"/>
        <v>0</v>
      </c>
      <c r="T865" s="43"/>
      <c r="U865" s="5" t="s">
        <v>441</v>
      </c>
      <c r="V865" s="16"/>
      <c r="W865" s="11"/>
      <c r="X865" s="16">
        <v>1</v>
      </c>
      <c r="Y865" s="4">
        <f t="shared" si="334"/>
        <v>1</v>
      </c>
      <c r="Z865" s="16"/>
      <c r="AA865" s="11"/>
      <c r="AB865" s="16">
        <v>1</v>
      </c>
      <c r="AC865" s="4">
        <f t="shared" si="335"/>
        <v>1</v>
      </c>
      <c r="AD865" s="16"/>
      <c r="AE865" s="11"/>
      <c r="AF865" s="16">
        <v>1</v>
      </c>
      <c r="AG865" s="4">
        <f t="shared" si="336"/>
        <v>1</v>
      </c>
      <c r="AH865" s="43">
        <v>44450</v>
      </c>
    </row>
    <row r="866" spans="1:34">
      <c r="A866" s="5" t="s">
        <v>196</v>
      </c>
      <c r="B866" s="30"/>
      <c r="C866" s="31"/>
      <c r="D866" s="32">
        <v>1</v>
      </c>
      <c r="E866" s="4">
        <f t="shared" si="330"/>
        <v>1</v>
      </c>
      <c r="F866" s="30"/>
      <c r="G866" s="31"/>
      <c r="H866" s="32">
        <v>1</v>
      </c>
      <c r="I866" s="4">
        <f t="shared" si="331"/>
        <v>1</v>
      </c>
      <c r="J866" s="43">
        <v>44461</v>
      </c>
      <c r="K866" s="5" t="s">
        <v>3</v>
      </c>
      <c r="L866" s="32"/>
      <c r="M866" s="31"/>
      <c r="N866" s="32"/>
      <c r="O866" s="4">
        <f t="shared" si="332"/>
        <v>0</v>
      </c>
      <c r="P866" s="32"/>
      <c r="Q866" s="31"/>
      <c r="R866" s="32"/>
      <c r="S866" s="4">
        <f t="shared" si="333"/>
        <v>0</v>
      </c>
      <c r="T866" s="43"/>
      <c r="U866" s="5" t="s">
        <v>3</v>
      </c>
      <c r="V866" s="32"/>
      <c r="W866" s="31"/>
      <c r="X866" s="32"/>
      <c r="Y866" s="4">
        <f t="shared" si="334"/>
        <v>0</v>
      </c>
      <c r="Z866" s="32"/>
      <c r="AA866" s="31"/>
      <c r="AB866" s="32"/>
      <c r="AC866" s="4">
        <f t="shared" si="335"/>
        <v>0</v>
      </c>
      <c r="AD866" s="32"/>
      <c r="AE866" s="31"/>
      <c r="AF866" s="32"/>
      <c r="AG866" s="4">
        <f t="shared" si="336"/>
        <v>0</v>
      </c>
    </row>
    <row r="867" spans="1:34">
      <c r="A867" s="5" t="s">
        <v>3</v>
      </c>
      <c r="B867" s="30"/>
      <c r="C867" s="31"/>
      <c r="D867" s="32"/>
      <c r="E867" s="4">
        <f t="shared" si="330"/>
        <v>0</v>
      </c>
      <c r="F867" s="30"/>
      <c r="G867" s="31"/>
      <c r="H867" s="32"/>
      <c r="I867" s="4">
        <f t="shared" si="331"/>
        <v>0</v>
      </c>
      <c r="J867" s="49"/>
      <c r="K867" s="6" t="s">
        <v>3</v>
      </c>
      <c r="L867" s="30">
        <v>40</v>
      </c>
      <c r="M867" s="31">
        <v>130</v>
      </c>
      <c r="N867" s="32">
        <v>80</v>
      </c>
      <c r="O867" s="7">
        <f t="shared" ref="O867" si="337">SUM(L867:N867)</f>
        <v>250</v>
      </c>
      <c r="P867" s="32">
        <v>40</v>
      </c>
      <c r="Q867" s="31">
        <v>130</v>
      </c>
      <c r="R867" s="32">
        <v>80</v>
      </c>
      <c r="S867" s="7">
        <f t="shared" ref="S867" si="338">SUM(P867:R867)</f>
        <v>250</v>
      </c>
      <c r="T867" s="43" t="s">
        <v>421</v>
      </c>
      <c r="U867" s="5" t="s">
        <v>446</v>
      </c>
      <c r="V867" s="30"/>
      <c r="W867" s="31">
        <v>1</v>
      </c>
      <c r="X867" s="32"/>
      <c r="Y867" s="4">
        <f t="shared" si="334"/>
        <v>1</v>
      </c>
      <c r="Z867" s="30"/>
      <c r="AA867" s="31">
        <v>1</v>
      </c>
      <c r="AB867" s="32"/>
      <c r="AC867" s="4">
        <f t="shared" si="335"/>
        <v>1</v>
      </c>
      <c r="AD867" s="30"/>
      <c r="AE867" s="31">
        <v>1</v>
      </c>
      <c r="AF867" s="32"/>
      <c r="AG867" s="4">
        <f t="shared" si="336"/>
        <v>1</v>
      </c>
      <c r="AH867" s="43">
        <v>44457</v>
      </c>
    </row>
    <row r="868" spans="1:34">
      <c r="A868" s="5" t="s">
        <v>3</v>
      </c>
      <c r="B868" s="16"/>
      <c r="C868" s="11"/>
      <c r="D868" s="16"/>
      <c r="E868" s="4">
        <f t="shared" si="330"/>
        <v>0</v>
      </c>
      <c r="F868" s="16"/>
      <c r="G868" s="11"/>
      <c r="H868" s="16"/>
      <c r="I868" s="4">
        <f t="shared" si="331"/>
        <v>0</v>
      </c>
      <c r="J868" s="49"/>
      <c r="K868" s="5" t="s">
        <v>3</v>
      </c>
      <c r="L868" s="51"/>
      <c r="M868" s="3"/>
      <c r="N868" s="51"/>
      <c r="O868" s="4">
        <f t="shared" si="332"/>
        <v>0</v>
      </c>
      <c r="P868" s="51"/>
      <c r="Q868" s="3"/>
      <c r="R868" s="51"/>
      <c r="S868" s="4">
        <f t="shared" si="333"/>
        <v>0</v>
      </c>
      <c r="T868" s="43"/>
      <c r="U868" s="5" t="s">
        <v>3</v>
      </c>
      <c r="V868" s="16"/>
      <c r="W868" s="11"/>
      <c r="X868" s="16"/>
      <c r="Y868" s="4">
        <f t="shared" si="334"/>
        <v>0</v>
      </c>
      <c r="Z868" s="16"/>
      <c r="AA868" s="11"/>
      <c r="AB868" s="16"/>
      <c r="AC868" s="4">
        <f t="shared" si="335"/>
        <v>0</v>
      </c>
      <c r="AD868" s="16"/>
      <c r="AE868" s="11"/>
      <c r="AF868" s="16"/>
      <c r="AG868" s="4">
        <f t="shared" si="336"/>
        <v>0</v>
      </c>
      <c r="AH868" s="71"/>
    </row>
    <row r="869" spans="1:34">
      <c r="A869" s="5" t="s">
        <v>3</v>
      </c>
      <c r="B869" s="16"/>
      <c r="C869" s="11"/>
      <c r="D869" s="16"/>
      <c r="E869" s="4">
        <f t="shared" si="330"/>
        <v>0</v>
      </c>
      <c r="F869" s="16"/>
      <c r="G869" s="11"/>
      <c r="H869" s="16"/>
      <c r="I869" s="4">
        <f t="shared" si="331"/>
        <v>0</v>
      </c>
      <c r="K869" s="5" t="s">
        <v>3</v>
      </c>
      <c r="L869" s="32"/>
      <c r="M869" s="31"/>
      <c r="N869" s="32"/>
      <c r="O869" s="4">
        <f t="shared" si="332"/>
        <v>0</v>
      </c>
      <c r="P869" s="32"/>
      <c r="Q869" s="31"/>
      <c r="R869" s="32"/>
      <c r="S869" s="4">
        <f t="shared" si="333"/>
        <v>0</v>
      </c>
      <c r="T869" s="43"/>
      <c r="U869" s="5" t="s">
        <v>3</v>
      </c>
      <c r="V869" s="32"/>
      <c r="W869" s="31"/>
      <c r="X869" s="32"/>
      <c r="Y869" s="4">
        <f t="shared" si="334"/>
        <v>0</v>
      </c>
      <c r="Z869" s="32"/>
      <c r="AA869" s="31"/>
      <c r="AB869" s="32"/>
      <c r="AC869" s="4">
        <f t="shared" si="335"/>
        <v>0</v>
      </c>
      <c r="AD869" s="32"/>
      <c r="AE869" s="31"/>
      <c r="AF869" s="32"/>
      <c r="AG869" s="4">
        <f t="shared" si="336"/>
        <v>0</v>
      </c>
      <c r="AH869" s="71"/>
    </row>
    <row r="870" spans="1:34">
      <c r="A870" s="5" t="s">
        <v>3</v>
      </c>
      <c r="B870" s="16"/>
      <c r="C870" s="11"/>
      <c r="D870" s="16"/>
      <c r="E870" s="4">
        <f t="shared" si="330"/>
        <v>0</v>
      </c>
      <c r="F870" s="16"/>
      <c r="G870" s="11"/>
      <c r="H870" s="16"/>
      <c r="I870" s="4">
        <f t="shared" si="331"/>
        <v>0</v>
      </c>
      <c r="K870" s="5" t="s">
        <v>3</v>
      </c>
      <c r="L870" s="16"/>
      <c r="M870" s="11"/>
      <c r="N870" s="16"/>
      <c r="O870" s="4">
        <f t="shared" si="332"/>
        <v>0</v>
      </c>
      <c r="P870" s="16"/>
      <c r="Q870" s="11"/>
      <c r="R870" s="16"/>
      <c r="S870" s="4">
        <f t="shared" si="333"/>
        <v>0</v>
      </c>
      <c r="T870" s="43"/>
      <c r="U870" s="5" t="s">
        <v>3</v>
      </c>
      <c r="V870" s="16"/>
      <c r="W870" s="11"/>
      <c r="X870" s="16"/>
      <c r="Y870" s="4">
        <f t="shared" si="334"/>
        <v>0</v>
      </c>
      <c r="Z870" s="16"/>
      <c r="AA870" s="11"/>
      <c r="AB870" s="16"/>
      <c r="AC870" s="4">
        <f t="shared" si="335"/>
        <v>0</v>
      </c>
      <c r="AD870" s="16"/>
      <c r="AE870" s="11"/>
      <c r="AF870" s="16"/>
      <c r="AG870" s="4">
        <f t="shared" si="336"/>
        <v>0</v>
      </c>
    </row>
    <row r="871" spans="1:34">
      <c r="A871" s="5" t="s">
        <v>3</v>
      </c>
      <c r="B871" s="32"/>
      <c r="C871" s="31"/>
      <c r="D871" s="32"/>
      <c r="E871" s="4">
        <f t="shared" si="330"/>
        <v>0</v>
      </c>
      <c r="F871" s="32"/>
      <c r="G871" s="31"/>
      <c r="H871" s="32"/>
      <c r="I871" s="4">
        <f t="shared" si="331"/>
        <v>0</v>
      </c>
      <c r="K871" s="5" t="s">
        <v>3</v>
      </c>
      <c r="L871" s="32"/>
      <c r="M871" s="31"/>
      <c r="N871" s="32"/>
      <c r="O871" s="4">
        <f t="shared" si="332"/>
        <v>0</v>
      </c>
      <c r="P871" s="32"/>
      <c r="Q871" s="31"/>
      <c r="R871" s="32"/>
      <c r="S871" s="4">
        <f t="shared" si="333"/>
        <v>0</v>
      </c>
      <c r="T871" s="43"/>
      <c r="U871" s="5" t="s">
        <v>3</v>
      </c>
      <c r="V871" s="32"/>
      <c r="W871" s="31"/>
      <c r="X871" s="32"/>
      <c r="Y871" s="4">
        <f t="shared" si="334"/>
        <v>0</v>
      </c>
      <c r="Z871" s="32"/>
      <c r="AA871" s="31"/>
      <c r="AB871" s="32"/>
      <c r="AC871" s="4">
        <f t="shared" si="335"/>
        <v>0</v>
      </c>
      <c r="AD871" s="32"/>
      <c r="AE871" s="31"/>
      <c r="AF871" s="32"/>
      <c r="AG871" s="4">
        <f t="shared" si="336"/>
        <v>0</v>
      </c>
    </row>
    <row r="872" spans="1:34">
      <c r="A872" s="5" t="s">
        <v>3</v>
      </c>
      <c r="B872" s="32"/>
      <c r="C872" s="31"/>
      <c r="D872" s="32"/>
      <c r="E872" s="4">
        <f t="shared" si="330"/>
        <v>0</v>
      </c>
      <c r="F872" s="32"/>
      <c r="G872" s="31"/>
      <c r="H872" s="32"/>
      <c r="I872" s="4">
        <f t="shared" si="331"/>
        <v>0</v>
      </c>
      <c r="K872" s="5" t="s">
        <v>3</v>
      </c>
      <c r="L872" s="32"/>
      <c r="M872" s="31"/>
      <c r="N872" s="32"/>
      <c r="O872" s="4">
        <f t="shared" si="332"/>
        <v>0</v>
      </c>
      <c r="P872" s="32"/>
      <c r="Q872" s="31"/>
      <c r="R872" s="32"/>
      <c r="S872" s="4">
        <f t="shared" si="333"/>
        <v>0</v>
      </c>
      <c r="T872" s="43"/>
      <c r="U872" s="5" t="s">
        <v>3</v>
      </c>
      <c r="V872" s="32"/>
      <c r="W872" s="31"/>
      <c r="X872" s="32"/>
      <c r="Y872" s="4">
        <f t="shared" si="334"/>
        <v>0</v>
      </c>
      <c r="Z872" s="32"/>
      <c r="AA872" s="31"/>
      <c r="AB872" s="32"/>
      <c r="AC872" s="4">
        <f t="shared" si="335"/>
        <v>0</v>
      </c>
      <c r="AD872" s="32"/>
      <c r="AE872" s="31"/>
      <c r="AF872" s="32"/>
      <c r="AG872" s="4">
        <f t="shared" si="336"/>
        <v>0</v>
      </c>
    </row>
    <row r="873" spans="1:34">
      <c r="A873" s="5" t="s">
        <v>3</v>
      </c>
      <c r="B873" s="30"/>
      <c r="C873" s="31"/>
      <c r="D873" s="32"/>
      <c r="E873" s="4">
        <f t="shared" si="330"/>
        <v>0</v>
      </c>
      <c r="F873" s="30"/>
      <c r="G873" s="31"/>
      <c r="H873" s="32"/>
      <c r="I873" s="4">
        <f t="shared" si="331"/>
        <v>0</v>
      </c>
      <c r="K873" s="5" t="s">
        <v>3</v>
      </c>
      <c r="L873" s="32"/>
      <c r="M873" s="31"/>
      <c r="N873" s="32"/>
      <c r="O873" s="4">
        <f t="shared" si="332"/>
        <v>0</v>
      </c>
      <c r="P873" s="32"/>
      <c r="Q873" s="31"/>
      <c r="R873" s="32"/>
      <c r="S873" s="4">
        <f t="shared" si="333"/>
        <v>0</v>
      </c>
      <c r="T873" s="43"/>
      <c r="U873" s="5" t="s">
        <v>3</v>
      </c>
      <c r="V873" s="30"/>
      <c r="W873" s="31"/>
      <c r="X873" s="32"/>
      <c r="Y873" s="4">
        <f t="shared" si="334"/>
        <v>0</v>
      </c>
      <c r="Z873" s="30"/>
      <c r="AA873" s="31"/>
      <c r="AB873" s="32"/>
      <c r="AC873" s="4">
        <f t="shared" si="335"/>
        <v>0</v>
      </c>
      <c r="AD873" s="30"/>
      <c r="AE873" s="31"/>
      <c r="AF873" s="32"/>
      <c r="AG873" s="4">
        <f t="shared" si="336"/>
        <v>0</v>
      </c>
    </row>
    <row r="874" spans="1:34" ht="14.25" thickBot="1">
      <c r="A874" s="6" t="s">
        <v>3</v>
      </c>
      <c r="B874" s="36"/>
      <c r="C874" s="37"/>
      <c r="D874" s="36"/>
      <c r="E874" s="20">
        <f t="shared" si="330"/>
        <v>0</v>
      </c>
      <c r="F874" s="13"/>
      <c r="G874" s="12"/>
      <c r="H874" s="13"/>
      <c r="I874" s="20">
        <f t="shared" si="331"/>
        <v>0</v>
      </c>
      <c r="K874" s="6" t="s">
        <v>3</v>
      </c>
      <c r="L874" s="36"/>
      <c r="M874" s="37"/>
      <c r="N874" s="36"/>
      <c r="O874" s="20">
        <f t="shared" si="332"/>
        <v>0</v>
      </c>
      <c r="P874" s="13"/>
      <c r="Q874" s="12"/>
      <c r="R874" s="13"/>
      <c r="S874" s="20">
        <f t="shared" si="333"/>
        <v>0</v>
      </c>
      <c r="T874" s="43"/>
      <c r="U874" s="6" t="s">
        <v>3</v>
      </c>
      <c r="V874" s="13"/>
      <c r="W874" s="12"/>
      <c r="X874" s="13"/>
      <c r="Y874" s="20">
        <f t="shared" si="334"/>
        <v>0</v>
      </c>
      <c r="Z874" s="13"/>
      <c r="AA874" s="12"/>
      <c r="AB874" s="13"/>
      <c r="AC874" s="20">
        <f t="shared" si="335"/>
        <v>0</v>
      </c>
      <c r="AD874" s="13"/>
      <c r="AE874" s="12"/>
      <c r="AF874" s="13"/>
      <c r="AG874" s="20">
        <f t="shared" si="336"/>
        <v>0</v>
      </c>
    </row>
    <row r="875" spans="1:34" ht="14.25" thickBot="1">
      <c r="A875" s="23" t="s">
        <v>4</v>
      </c>
      <c r="B875" s="24">
        <f>SUM(B864:B874)</f>
        <v>13</v>
      </c>
      <c r="C875" s="24">
        <f>SUM(C864:C874)</f>
        <v>2</v>
      </c>
      <c r="D875" s="25">
        <f>SUM(D864:D874)</f>
        <v>7</v>
      </c>
      <c r="E875" s="26">
        <f t="shared" si="330"/>
        <v>22</v>
      </c>
      <c r="F875" s="24">
        <f>SUM(F864:F874)</f>
        <v>13</v>
      </c>
      <c r="G875" s="24">
        <f>SUM(G864:G874)</f>
        <v>2</v>
      </c>
      <c r="H875" s="25">
        <f>SUM(H864:H874)</f>
        <v>7</v>
      </c>
      <c r="I875" s="26">
        <f t="shared" si="331"/>
        <v>22</v>
      </c>
      <c r="K875" s="23" t="s">
        <v>4</v>
      </c>
      <c r="L875" s="24">
        <f>SUM(L864:L874)</f>
        <v>110</v>
      </c>
      <c r="M875" s="24">
        <f>SUM(M864:M874)</f>
        <v>130</v>
      </c>
      <c r="N875" s="25">
        <f>SUM(N864:N874)</f>
        <v>99</v>
      </c>
      <c r="O875" s="26">
        <f t="shared" si="332"/>
        <v>339</v>
      </c>
      <c r="P875" s="24">
        <f>SUM(P864:P874)</f>
        <v>110</v>
      </c>
      <c r="Q875" s="24">
        <f>SUM(Q864:Q874)</f>
        <v>130</v>
      </c>
      <c r="R875" s="25">
        <f>SUM(R864:R874)</f>
        <v>99</v>
      </c>
      <c r="S875" s="26">
        <f t="shared" si="333"/>
        <v>339</v>
      </c>
      <c r="U875" s="23" t="s">
        <v>4</v>
      </c>
      <c r="V875" s="24">
        <f>SUM(V864:V874)</f>
        <v>5</v>
      </c>
      <c r="W875" s="24">
        <f>SUM(W864:W874)</f>
        <v>26</v>
      </c>
      <c r="X875" s="25">
        <f>SUM(X864:X874)</f>
        <v>3</v>
      </c>
      <c r="Y875" s="26">
        <f t="shared" si="334"/>
        <v>34</v>
      </c>
      <c r="Z875" s="24">
        <f>SUM(Z864:Z874)</f>
        <v>5</v>
      </c>
      <c r="AA875" s="24">
        <f>SUM(AA864:AA874)</f>
        <v>26</v>
      </c>
      <c r="AB875" s="25">
        <f>SUM(AB864:AB874)</f>
        <v>3</v>
      </c>
      <c r="AC875" s="26">
        <f t="shared" si="335"/>
        <v>34</v>
      </c>
      <c r="AD875" s="24">
        <f>SUM(AD864:AD874)</f>
        <v>5</v>
      </c>
      <c r="AE875" s="24">
        <f>SUM(AE864:AE874)</f>
        <v>26</v>
      </c>
      <c r="AF875" s="25">
        <f>SUM(AF864:AF874)</f>
        <v>3</v>
      </c>
      <c r="AG875" s="26">
        <f t="shared" si="336"/>
        <v>34</v>
      </c>
    </row>
    <row r="876" spans="1:34">
      <c r="A876" s="11" t="s">
        <v>431</v>
      </c>
      <c r="B876" s="8"/>
      <c r="C876" s="9">
        <v>1</v>
      </c>
      <c r="D876" s="10"/>
      <c r="E876" s="4">
        <f t="shared" si="330"/>
        <v>1</v>
      </c>
      <c r="F876" s="8"/>
      <c r="G876" s="9">
        <v>1</v>
      </c>
      <c r="H876" s="10"/>
      <c r="I876" s="4">
        <f t="shared" si="331"/>
        <v>1</v>
      </c>
      <c r="J876" s="43">
        <v>44443</v>
      </c>
      <c r="K876" s="11" t="s">
        <v>426</v>
      </c>
      <c r="L876" s="8">
        <v>2</v>
      </c>
      <c r="M876" s="9">
        <v>14</v>
      </c>
      <c r="N876" s="10">
        <v>4</v>
      </c>
      <c r="O876" s="7">
        <f t="shared" si="332"/>
        <v>20</v>
      </c>
      <c r="P876" s="8">
        <v>2</v>
      </c>
      <c r="Q876" s="9">
        <v>14</v>
      </c>
      <c r="R876" s="10">
        <v>4</v>
      </c>
      <c r="S876" s="7">
        <f t="shared" si="333"/>
        <v>20</v>
      </c>
      <c r="T876" s="43">
        <v>44439</v>
      </c>
      <c r="U876" s="3" t="s">
        <v>439</v>
      </c>
      <c r="V876" s="61">
        <v>3</v>
      </c>
      <c r="W876" s="60">
        <v>5</v>
      </c>
      <c r="X876" s="61">
        <v>3</v>
      </c>
      <c r="Y876" s="4">
        <f t="shared" si="334"/>
        <v>11</v>
      </c>
      <c r="Z876" s="61">
        <v>3</v>
      </c>
      <c r="AA876" s="60">
        <v>5</v>
      </c>
      <c r="AB876" s="61">
        <v>3</v>
      </c>
      <c r="AC876" s="4">
        <f t="shared" si="335"/>
        <v>11</v>
      </c>
      <c r="AD876" s="59">
        <v>3</v>
      </c>
      <c r="AE876" s="60">
        <v>5</v>
      </c>
      <c r="AF876" s="61">
        <v>3</v>
      </c>
      <c r="AG876" s="7">
        <f t="shared" si="336"/>
        <v>11</v>
      </c>
      <c r="AH876" s="43">
        <v>44453</v>
      </c>
    </row>
    <row r="877" spans="1:34">
      <c r="A877" s="3" t="s">
        <v>435</v>
      </c>
      <c r="B877" s="8">
        <v>1</v>
      </c>
      <c r="C877" s="9"/>
      <c r="D877" s="10"/>
      <c r="E877" s="4">
        <f t="shared" si="330"/>
        <v>1</v>
      </c>
      <c r="F877" s="8">
        <v>1</v>
      </c>
      <c r="G877" s="9"/>
      <c r="H877" s="10"/>
      <c r="I877" s="4">
        <f t="shared" si="331"/>
        <v>1</v>
      </c>
      <c r="J877" s="43">
        <v>44446</v>
      </c>
      <c r="K877" s="11" t="s">
        <v>428</v>
      </c>
      <c r="L877" s="8">
        <v>4</v>
      </c>
      <c r="M877" s="9">
        <v>2</v>
      </c>
      <c r="N877" s="10"/>
      <c r="O877" s="4">
        <f t="shared" si="332"/>
        <v>6</v>
      </c>
      <c r="P877" s="8">
        <v>4</v>
      </c>
      <c r="Q877" s="9">
        <v>2</v>
      </c>
      <c r="R877" s="10"/>
      <c r="S877" s="4">
        <f t="shared" si="333"/>
        <v>6</v>
      </c>
      <c r="T877" s="43">
        <v>44440</v>
      </c>
      <c r="U877" s="40" t="s">
        <v>442</v>
      </c>
      <c r="V877" s="59">
        <v>1</v>
      </c>
      <c r="W877" s="60"/>
      <c r="X877" s="61"/>
      <c r="Y877" s="4">
        <f t="shared" si="334"/>
        <v>1</v>
      </c>
      <c r="Z877" s="59">
        <v>1</v>
      </c>
      <c r="AA877" s="60"/>
      <c r="AB877" s="61"/>
      <c r="AC877" s="4">
        <f t="shared" si="335"/>
        <v>1</v>
      </c>
      <c r="AD877" s="59">
        <v>1</v>
      </c>
      <c r="AE877" s="60"/>
      <c r="AF877" s="61"/>
      <c r="AG877" s="4">
        <f t="shared" si="336"/>
        <v>1</v>
      </c>
      <c r="AH877" s="43">
        <v>44449</v>
      </c>
    </row>
    <row r="878" spans="1:34">
      <c r="A878" s="3" t="s">
        <v>444</v>
      </c>
      <c r="B878" s="8">
        <v>1</v>
      </c>
      <c r="C878" s="9">
        <v>-1</v>
      </c>
      <c r="D878" s="10"/>
      <c r="E878" s="7">
        <f t="shared" si="330"/>
        <v>0</v>
      </c>
      <c r="F878" s="8">
        <v>1</v>
      </c>
      <c r="G878" s="9">
        <v>-1</v>
      </c>
      <c r="H878" s="10"/>
      <c r="I878" s="7">
        <f t="shared" si="331"/>
        <v>0</v>
      </c>
      <c r="J878" s="43">
        <v>44452</v>
      </c>
      <c r="K878" s="11" t="s">
        <v>429</v>
      </c>
      <c r="L878" s="8">
        <v>3</v>
      </c>
      <c r="M878" s="9">
        <v>7</v>
      </c>
      <c r="N878" s="10">
        <v>3</v>
      </c>
      <c r="O878" s="7">
        <f t="shared" si="332"/>
        <v>13</v>
      </c>
      <c r="P878" s="8">
        <v>3</v>
      </c>
      <c r="Q878" s="9">
        <v>7</v>
      </c>
      <c r="R878" s="10">
        <v>3</v>
      </c>
      <c r="S878" s="7">
        <f t="shared" si="333"/>
        <v>13</v>
      </c>
      <c r="T878" s="43">
        <v>44441</v>
      </c>
      <c r="U878" s="40"/>
      <c r="V878" s="59"/>
      <c r="W878" s="60"/>
      <c r="X878" s="61"/>
      <c r="Y878" s="7">
        <f t="shared" si="334"/>
        <v>0</v>
      </c>
      <c r="Z878" s="59"/>
      <c r="AA878" s="60"/>
      <c r="AB878" s="61"/>
      <c r="AC878" s="7">
        <f t="shared" si="335"/>
        <v>0</v>
      </c>
      <c r="AD878" s="59"/>
      <c r="AE878" s="60"/>
      <c r="AF878" s="61"/>
      <c r="AG878" s="7">
        <f t="shared" si="336"/>
        <v>0</v>
      </c>
    </row>
    <row r="879" spans="1:34">
      <c r="A879" s="3" t="s">
        <v>445</v>
      </c>
      <c r="B879" s="8"/>
      <c r="C879" s="9">
        <v>1</v>
      </c>
      <c r="D879" s="10"/>
      <c r="E879" s="4">
        <f t="shared" si="330"/>
        <v>1</v>
      </c>
      <c r="F879" s="8"/>
      <c r="G879" s="9">
        <v>1</v>
      </c>
      <c r="H879" s="10"/>
      <c r="I879" s="4">
        <f t="shared" si="331"/>
        <v>1</v>
      </c>
      <c r="J879" s="43">
        <v>44457</v>
      </c>
      <c r="K879" s="11" t="s">
        <v>430</v>
      </c>
      <c r="L879" s="8">
        <v>2</v>
      </c>
      <c r="M879" s="9">
        <v>4</v>
      </c>
      <c r="N879" s="10">
        <v>3</v>
      </c>
      <c r="O879" s="4">
        <f t="shared" si="332"/>
        <v>9</v>
      </c>
      <c r="P879" s="8">
        <v>2</v>
      </c>
      <c r="Q879" s="9">
        <v>4</v>
      </c>
      <c r="R879" s="10">
        <v>3</v>
      </c>
      <c r="S879" s="4">
        <f t="shared" si="333"/>
        <v>9</v>
      </c>
      <c r="T879" s="43">
        <v>44442</v>
      </c>
      <c r="U879" s="40"/>
      <c r="V879" s="59"/>
      <c r="W879" s="60"/>
      <c r="X879" s="61"/>
      <c r="Y879" s="4">
        <f t="shared" si="334"/>
        <v>0</v>
      </c>
      <c r="Z879" s="59"/>
      <c r="AA879" s="60"/>
      <c r="AB879" s="61"/>
      <c r="AC879" s="4">
        <f t="shared" si="335"/>
        <v>0</v>
      </c>
      <c r="AD879" s="59"/>
      <c r="AE879" s="60"/>
      <c r="AF879" s="61"/>
      <c r="AG879" s="4">
        <f t="shared" si="336"/>
        <v>0</v>
      </c>
    </row>
    <row r="880" spans="1:34">
      <c r="A880" s="11" t="s">
        <v>457</v>
      </c>
      <c r="B880" s="8">
        <v>1</v>
      </c>
      <c r="C880" s="9"/>
      <c r="D880" s="10"/>
      <c r="E880" s="4">
        <f t="shared" si="330"/>
        <v>1</v>
      </c>
      <c r="F880" s="8">
        <v>1</v>
      </c>
      <c r="G880" s="9"/>
      <c r="H880" s="10"/>
      <c r="I880" s="4">
        <f t="shared" si="331"/>
        <v>1</v>
      </c>
      <c r="J880" s="43">
        <v>44480</v>
      </c>
      <c r="K880" s="11" t="s">
        <v>432</v>
      </c>
      <c r="L880" s="8">
        <v>1</v>
      </c>
      <c r="M880" s="9">
        <v>2</v>
      </c>
      <c r="N880" s="10"/>
      <c r="O880" s="4">
        <f t="shared" si="332"/>
        <v>3</v>
      </c>
      <c r="P880" s="8">
        <v>1</v>
      </c>
      <c r="Q880" s="9">
        <v>2</v>
      </c>
      <c r="R880" s="10"/>
      <c r="S880" s="4">
        <f t="shared" si="333"/>
        <v>3</v>
      </c>
      <c r="T880" s="43">
        <v>44443</v>
      </c>
      <c r="U880" s="3"/>
      <c r="V880" s="59"/>
      <c r="W880" s="60"/>
      <c r="X880" s="61"/>
      <c r="Y880" s="4">
        <f t="shared" si="334"/>
        <v>0</v>
      </c>
      <c r="Z880" s="59"/>
      <c r="AA880" s="60"/>
      <c r="AB880" s="61"/>
      <c r="AC880" s="4">
        <f t="shared" si="335"/>
        <v>0</v>
      </c>
      <c r="AD880" s="59"/>
      <c r="AE880" s="60"/>
      <c r="AF880" s="61"/>
      <c r="AG880" s="4">
        <f t="shared" si="336"/>
        <v>0</v>
      </c>
    </row>
    <row r="881" spans="1:33">
      <c r="A881" s="3"/>
      <c r="B881" s="8"/>
      <c r="C881" s="9"/>
      <c r="D881" s="10"/>
      <c r="E881" s="7">
        <f t="shared" si="330"/>
        <v>0</v>
      </c>
      <c r="F881" s="8"/>
      <c r="G881" s="9"/>
      <c r="H881" s="10"/>
      <c r="I881" s="7">
        <f t="shared" si="331"/>
        <v>0</v>
      </c>
      <c r="K881" s="11" t="s">
        <v>433</v>
      </c>
      <c r="L881" s="8">
        <v>1</v>
      </c>
      <c r="M881" s="9">
        <v>6</v>
      </c>
      <c r="N881" s="10">
        <v>3</v>
      </c>
      <c r="O881" s="7">
        <f t="shared" si="332"/>
        <v>10</v>
      </c>
      <c r="P881" s="8">
        <v>1</v>
      </c>
      <c r="Q881" s="9">
        <v>6</v>
      </c>
      <c r="R881" s="10">
        <v>3</v>
      </c>
      <c r="S881" s="7">
        <f t="shared" si="333"/>
        <v>10</v>
      </c>
      <c r="T881" s="43">
        <v>44446</v>
      </c>
      <c r="U881" s="3"/>
      <c r="V881" s="59"/>
      <c r="W881" s="60"/>
      <c r="X881" s="61"/>
      <c r="Y881" s="7">
        <f t="shared" si="334"/>
        <v>0</v>
      </c>
      <c r="Z881" s="59"/>
      <c r="AA881" s="60"/>
      <c r="AB881" s="61"/>
      <c r="AC881" s="7">
        <f t="shared" si="335"/>
        <v>0</v>
      </c>
      <c r="AD881" s="59"/>
      <c r="AE881" s="60"/>
      <c r="AF881" s="61"/>
      <c r="AG881" s="7">
        <f t="shared" si="336"/>
        <v>0</v>
      </c>
    </row>
    <row r="882" spans="1:33">
      <c r="A882" s="3"/>
      <c r="B882" s="8"/>
      <c r="C882" s="9"/>
      <c r="D882" s="10"/>
      <c r="E882" s="7">
        <f t="shared" si="330"/>
        <v>0</v>
      </c>
      <c r="F882" s="8"/>
      <c r="G882" s="9"/>
      <c r="H882" s="10"/>
      <c r="I882" s="7">
        <f t="shared" si="331"/>
        <v>0</v>
      </c>
      <c r="K882" s="11" t="s">
        <v>434</v>
      </c>
      <c r="L882" s="8">
        <v>2</v>
      </c>
      <c r="M882" s="9"/>
      <c r="N882" s="10"/>
      <c r="O882" s="7">
        <f t="shared" si="332"/>
        <v>2</v>
      </c>
      <c r="P882" s="8">
        <v>2</v>
      </c>
      <c r="Q882" s="9"/>
      <c r="R882" s="10"/>
      <c r="S882" s="7">
        <f t="shared" si="333"/>
        <v>2</v>
      </c>
      <c r="T882" s="43">
        <v>44447</v>
      </c>
      <c r="U882" s="3"/>
      <c r="V882" s="59"/>
      <c r="W882" s="60"/>
      <c r="X882" s="61"/>
      <c r="Y882" s="7">
        <f t="shared" si="334"/>
        <v>0</v>
      </c>
      <c r="Z882" s="59"/>
      <c r="AA882" s="60"/>
      <c r="AB882" s="61"/>
      <c r="AC882" s="7">
        <f t="shared" si="335"/>
        <v>0</v>
      </c>
      <c r="AD882" s="59"/>
      <c r="AE882" s="60"/>
      <c r="AF882" s="61"/>
      <c r="AG882" s="7">
        <f t="shared" si="336"/>
        <v>0</v>
      </c>
    </row>
    <row r="883" spans="1:33">
      <c r="A883" s="3"/>
      <c r="B883" s="8"/>
      <c r="C883" s="9"/>
      <c r="D883" s="10"/>
      <c r="E883" s="7">
        <f t="shared" si="330"/>
        <v>0</v>
      </c>
      <c r="F883" s="8"/>
      <c r="G883" s="9"/>
      <c r="H883" s="10"/>
      <c r="I883" s="7">
        <f t="shared" si="331"/>
        <v>0</v>
      </c>
      <c r="K883" s="11" t="s">
        <v>436</v>
      </c>
      <c r="L883" s="8">
        <v>1</v>
      </c>
      <c r="M883" s="9">
        <v>1</v>
      </c>
      <c r="N883" s="10">
        <v>5</v>
      </c>
      <c r="O883" s="7">
        <f t="shared" si="332"/>
        <v>7</v>
      </c>
      <c r="P883" s="8">
        <v>1</v>
      </c>
      <c r="Q883" s="9">
        <v>1</v>
      </c>
      <c r="R883" s="10">
        <v>5</v>
      </c>
      <c r="S883" s="7">
        <f t="shared" si="333"/>
        <v>7</v>
      </c>
      <c r="T883" s="43">
        <v>44448</v>
      </c>
      <c r="U883" s="3"/>
      <c r="V883" s="59"/>
      <c r="W883" s="60"/>
      <c r="X883" s="61"/>
      <c r="Y883" s="7">
        <f t="shared" si="334"/>
        <v>0</v>
      </c>
      <c r="Z883" s="59"/>
      <c r="AA883" s="60"/>
      <c r="AB883" s="61"/>
      <c r="AC883" s="7">
        <f t="shared" si="335"/>
        <v>0</v>
      </c>
      <c r="AD883" s="59"/>
      <c r="AE883" s="60"/>
      <c r="AF883" s="61"/>
      <c r="AG883" s="7">
        <f t="shared" si="336"/>
        <v>0</v>
      </c>
    </row>
    <row r="884" spans="1:33">
      <c r="A884" s="3"/>
      <c r="B884" s="8"/>
      <c r="C884" s="9"/>
      <c r="D884" s="10"/>
      <c r="E884" s="7">
        <f t="shared" si="330"/>
        <v>0</v>
      </c>
      <c r="F884" s="8"/>
      <c r="G884" s="9"/>
      <c r="H884" s="10"/>
      <c r="I884" s="7">
        <f t="shared" si="331"/>
        <v>0</v>
      </c>
      <c r="K884" s="11" t="s">
        <v>437</v>
      </c>
      <c r="L884" s="8">
        <v>1</v>
      </c>
      <c r="M884" s="9">
        <v>3</v>
      </c>
      <c r="N884" s="10">
        <v>1</v>
      </c>
      <c r="O884" s="7">
        <f t="shared" si="332"/>
        <v>5</v>
      </c>
      <c r="P884" s="8">
        <v>1</v>
      </c>
      <c r="Q884" s="9">
        <v>3</v>
      </c>
      <c r="R884" s="10">
        <v>1</v>
      </c>
      <c r="S884" s="7">
        <f t="shared" si="333"/>
        <v>5</v>
      </c>
      <c r="T884" s="43">
        <v>44449</v>
      </c>
      <c r="U884" s="3"/>
      <c r="V884" s="59"/>
      <c r="W884" s="60"/>
      <c r="X884" s="61"/>
      <c r="Y884" s="7">
        <f t="shared" si="334"/>
        <v>0</v>
      </c>
      <c r="Z884" s="59"/>
      <c r="AA884" s="60"/>
      <c r="AB884" s="61"/>
      <c r="AC884" s="7">
        <f t="shared" si="335"/>
        <v>0</v>
      </c>
      <c r="AD884" s="59"/>
      <c r="AE884" s="60"/>
      <c r="AF884" s="61"/>
      <c r="AG884" s="7">
        <f t="shared" si="336"/>
        <v>0</v>
      </c>
    </row>
    <row r="885" spans="1:33">
      <c r="A885" s="3"/>
      <c r="B885" s="8"/>
      <c r="C885" s="9"/>
      <c r="D885" s="10"/>
      <c r="E885" s="7">
        <f t="shared" si="330"/>
        <v>0</v>
      </c>
      <c r="F885" s="8"/>
      <c r="G885" s="9"/>
      <c r="H885" s="10"/>
      <c r="I885" s="7">
        <f t="shared" si="331"/>
        <v>0</v>
      </c>
      <c r="K885" s="3" t="s">
        <v>440</v>
      </c>
      <c r="L885" s="8"/>
      <c r="M885" s="9"/>
      <c r="N885" s="10">
        <v>1</v>
      </c>
      <c r="O885" s="7">
        <f t="shared" si="332"/>
        <v>1</v>
      </c>
      <c r="P885" s="8"/>
      <c r="Q885" s="9"/>
      <c r="R885" s="10">
        <v>1</v>
      </c>
      <c r="S885" s="7">
        <f t="shared" si="333"/>
        <v>1</v>
      </c>
      <c r="T885" s="43">
        <v>44450</v>
      </c>
      <c r="U885" s="3"/>
      <c r="V885" s="59"/>
      <c r="W885" s="60"/>
      <c r="X885" s="61"/>
      <c r="Y885" s="7">
        <f t="shared" si="334"/>
        <v>0</v>
      </c>
      <c r="Z885" s="59"/>
      <c r="AA885" s="60"/>
      <c r="AB885" s="61"/>
      <c r="AC885" s="7">
        <f t="shared" si="335"/>
        <v>0</v>
      </c>
      <c r="AD885" s="59"/>
      <c r="AE885" s="60"/>
      <c r="AF885" s="61"/>
      <c r="AG885" s="7">
        <f t="shared" si="336"/>
        <v>0</v>
      </c>
    </row>
    <row r="886" spans="1:33">
      <c r="A886" s="3"/>
      <c r="B886" s="8"/>
      <c r="C886" s="9"/>
      <c r="D886" s="10"/>
      <c r="E886" s="7">
        <f t="shared" si="330"/>
        <v>0</v>
      </c>
      <c r="F886" s="8"/>
      <c r="G886" s="9"/>
      <c r="H886" s="10"/>
      <c r="I886" s="7">
        <f t="shared" si="331"/>
        <v>0</v>
      </c>
      <c r="K886" s="11" t="s">
        <v>443</v>
      </c>
      <c r="L886" s="30"/>
      <c r="M886" s="9">
        <v>5</v>
      </c>
      <c r="N886" s="10"/>
      <c r="O886" s="7">
        <f t="shared" si="332"/>
        <v>5</v>
      </c>
      <c r="P886" s="8"/>
      <c r="Q886" s="9">
        <v>5</v>
      </c>
      <c r="R886" s="10"/>
      <c r="S886" s="7">
        <f t="shared" si="333"/>
        <v>5</v>
      </c>
      <c r="T886" s="43">
        <v>44453</v>
      </c>
      <c r="U886" s="3"/>
      <c r="V886" s="59"/>
      <c r="W886" s="60"/>
      <c r="X886" s="61"/>
      <c r="Y886" s="7">
        <f t="shared" si="334"/>
        <v>0</v>
      </c>
      <c r="Z886" s="59"/>
      <c r="AA886" s="60"/>
      <c r="AB886" s="61"/>
      <c r="AC886" s="7">
        <f t="shared" si="335"/>
        <v>0</v>
      </c>
      <c r="AD886" s="59"/>
      <c r="AE886" s="60"/>
      <c r="AF886" s="61"/>
      <c r="AG886" s="7">
        <f t="shared" si="336"/>
        <v>0</v>
      </c>
    </row>
    <row r="887" spans="1:33">
      <c r="A887" s="3"/>
      <c r="B887" s="8"/>
      <c r="C887" s="9"/>
      <c r="D887" s="10"/>
      <c r="E887" s="7">
        <f t="shared" si="330"/>
        <v>0</v>
      </c>
      <c r="F887" s="8"/>
      <c r="G887" s="9"/>
      <c r="H887" s="10"/>
      <c r="I887" s="7">
        <f t="shared" si="331"/>
        <v>0</v>
      </c>
      <c r="K887" s="11" t="s">
        <v>447</v>
      </c>
      <c r="L887" s="8">
        <v>2</v>
      </c>
      <c r="M887" s="9"/>
      <c r="N887" s="10"/>
      <c r="O887" s="7">
        <f t="shared" si="332"/>
        <v>2</v>
      </c>
      <c r="P887" s="8">
        <v>2</v>
      </c>
      <c r="Q887" s="9"/>
      <c r="R887" s="10"/>
      <c r="S887" s="7">
        <f t="shared" si="333"/>
        <v>2</v>
      </c>
      <c r="T887" s="43">
        <v>44453</v>
      </c>
      <c r="U887" s="3"/>
      <c r="V887" s="59"/>
      <c r="W887" s="60"/>
      <c r="X887" s="61"/>
      <c r="Y887" s="7">
        <f t="shared" si="334"/>
        <v>0</v>
      </c>
      <c r="Z887" s="59"/>
      <c r="AA887" s="60"/>
      <c r="AB887" s="61"/>
      <c r="AC887" s="7">
        <f t="shared" si="335"/>
        <v>0</v>
      </c>
      <c r="AD887" s="59"/>
      <c r="AE887" s="60"/>
      <c r="AF887" s="61"/>
      <c r="AG887" s="7">
        <f t="shared" si="336"/>
        <v>0</v>
      </c>
    </row>
    <row r="888" spans="1:33">
      <c r="A888" s="3"/>
      <c r="B888" s="8"/>
      <c r="C888" s="9"/>
      <c r="D888" s="10"/>
      <c r="E888" s="7">
        <f t="shared" si="330"/>
        <v>0</v>
      </c>
      <c r="F888" s="8"/>
      <c r="G888" s="9"/>
      <c r="H888" s="10"/>
      <c r="I888" s="7">
        <f t="shared" si="331"/>
        <v>0</v>
      </c>
      <c r="K888" s="11" t="s">
        <v>448</v>
      </c>
      <c r="L888" s="8"/>
      <c r="M888" s="9"/>
      <c r="N888" s="10">
        <v>1</v>
      </c>
      <c r="O888" s="7">
        <f t="shared" si="332"/>
        <v>1</v>
      </c>
      <c r="P888" s="8"/>
      <c r="Q888" s="9"/>
      <c r="R888" s="10">
        <v>1</v>
      </c>
      <c r="S888" s="7">
        <f t="shared" si="333"/>
        <v>1</v>
      </c>
      <c r="T888" s="43">
        <v>44456</v>
      </c>
      <c r="U888" s="3"/>
      <c r="V888" s="59"/>
      <c r="W888" s="60"/>
      <c r="X888" s="61"/>
      <c r="Y888" s="7">
        <f t="shared" si="334"/>
        <v>0</v>
      </c>
      <c r="Z888" s="59"/>
      <c r="AA888" s="60"/>
      <c r="AB888" s="61"/>
      <c r="AC888" s="7">
        <f t="shared" si="335"/>
        <v>0</v>
      </c>
      <c r="AD888" s="59"/>
      <c r="AE888" s="60"/>
      <c r="AF888" s="61"/>
      <c r="AG888" s="7">
        <f t="shared" si="336"/>
        <v>0</v>
      </c>
    </row>
    <row r="889" spans="1:33">
      <c r="A889" s="3"/>
      <c r="B889" s="8"/>
      <c r="C889" s="9"/>
      <c r="D889" s="10"/>
      <c r="E889" s="7">
        <f t="shared" si="330"/>
        <v>0</v>
      </c>
      <c r="F889" s="8"/>
      <c r="G889" s="9"/>
      <c r="H889" s="10"/>
      <c r="I889" s="7">
        <f t="shared" si="331"/>
        <v>0</v>
      </c>
      <c r="K889" s="11" t="s">
        <v>449</v>
      </c>
      <c r="L889" s="8">
        <v>2</v>
      </c>
      <c r="M889" s="9"/>
      <c r="N889" s="10"/>
      <c r="O889" s="7">
        <f t="shared" si="332"/>
        <v>2</v>
      </c>
      <c r="P889" s="8">
        <v>2</v>
      </c>
      <c r="Q889" s="9"/>
      <c r="R889" s="10"/>
      <c r="S889" s="7">
        <f t="shared" si="333"/>
        <v>2</v>
      </c>
      <c r="T889" s="43">
        <v>44457</v>
      </c>
      <c r="U889" s="3"/>
      <c r="V889" s="59"/>
      <c r="W889" s="60"/>
      <c r="X889" s="61"/>
      <c r="Y889" s="7">
        <f t="shared" si="334"/>
        <v>0</v>
      </c>
      <c r="Z889" s="59"/>
      <c r="AA889" s="60"/>
      <c r="AB889" s="61"/>
      <c r="AC889" s="7">
        <f t="shared" si="335"/>
        <v>0</v>
      </c>
      <c r="AD889" s="59"/>
      <c r="AE889" s="60"/>
      <c r="AF889" s="61"/>
      <c r="AG889" s="7">
        <f t="shared" si="336"/>
        <v>0</v>
      </c>
    </row>
    <row r="890" spans="1:33">
      <c r="A890" s="3"/>
      <c r="B890" s="8"/>
      <c r="C890" s="9"/>
      <c r="D890" s="10"/>
      <c r="E890" s="7">
        <f t="shared" si="330"/>
        <v>0</v>
      </c>
      <c r="F890" s="8"/>
      <c r="G890" s="9"/>
      <c r="H890" s="10"/>
      <c r="I890" s="7">
        <f t="shared" si="331"/>
        <v>0</v>
      </c>
      <c r="K890" s="11" t="s">
        <v>450</v>
      </c>
      <c r="L890" s="8">
        <v>2</v>
      </c>
      <c r="M890" s="9"/>
      <c r="N890" s="10">
        <v>1</v>
      </c>
      <c r="O890" s="7">
        <f t="shared" si="332"/>
        <v>3</v>
      </c>
      <c r="P890" s="8">
        <v>2</v>
      </c>
      <c r="Q890" s="9"/>
      <c r="R890" s="10">
        <v>1</v>
      </c>
      <c r="S890" s="7">
        <f t="shared" si="333"/>
        <v>3</v>
      </c>
      <c r="T890" s="43">
        <v>44461</v>
      </c>
      <c r="U890" s="3"/>
      <c r="V890" s="59"/>
      <c r="W890" s="60"/>
      <c r="X890" s="61"/>
      <c r="Y890" s="7">
        <f t="shared" si="334"/>
        <v>0</v>
      </c>
      <c r="Z890" s="59"/>
      <c r="AA890" s="60"/>
      <c r="AB890" s="61"/>
      <c r="AC890" s="7">
        <f t="shared" si="335"/>
        <v>0</v>
      </c>
      <c r="AD890" s="59"/>
      <c r="AE890" s="60"/>
      <c r="AF890" s="61"/>
      <c r="AG890" s="7">
        <f t="shared" si="336"/>
        <v>0</v>
      </c>
    </row>
    <row r="891" spans="1:33">
      <c r="A891" s="3"/>
      <c r="B891" s="8"/>
      <c r="C891" s="9"/>
      <c r="D891" s="10"/>
      <c r="E891" s="7">
        <f t="shared" si="330"/>
        <v>0</v>
      </c>
      <c r="F891" s="8"/>
      <c r="G891" s="9"/>
      <c r="H891" s="10"/>
      <c r="I891" s="7">
        <f t="shared" si="331"/>
        <v>0</v>
      </c>
      <c r="K891" s="11" t="s">
        <v>451</v>
      </c>
      <c r="L891" s="8"/>
      <c r="M891" s="9">
        <v>3</v>
      </c>
      <c r="N891" s="10">
        <v>1</v>
      </c>
      <c r="O891" s="7">
        <f t="shared" si="332"/>
        <v>4</v>
      </c>
      <c r="P891" s="8"/>
      <c r="Q891" s="9">
        <v>3</v>
      </c>
      <c r="R891" s="10">
        <v>1</v>
      </c>
      <c r="S891" s="7">
        <f t="shared" si="333"/>
        <v>4</v>
      </c>
      <c r="T891" s="43">
        <v>44464</v>
      </c>
      <c r="U891" s="3"/>
      <c r="V891" s="59"/>
      <c r="W891" s="60"/>
      <c r="X891" s="61"/>
      <c r="Y891" s="7">
        <f t="shared" si="334"/>
        <v>0</v>
      </c>
      <c r="Z891" s="59"/>
      <c r="AA891" s="60"/>
      <c r="AB891" s="61"/>
      <c r="AC891" s="7">
        <f t="shared" si="335"/>
        <v>0</v>
      </c>
      <c r="AD891" s="59"/>
      <c r="AE891" s="60"/>
      <c r="AF891" s="61"/>
      <c r="AG891" s="7">
        <f t="shared" si="336"/>
        <v>0</v>
      </c>
    </row>
    <row r="892" spans="1:33">
      <c r="A892" s="3"/>
      <c r="B892" s="8"/>
      <c r="C892" s="9"/>
      <c r="D892" s="10"/>
      <c r="E892" s="7">
        <f t="shared" si="330"/>
        <v>0</v>
      </c>
      <c r="F892" s="8"/>
      <c r="G892" s="9"/>
      <c r="H892" s="10"/>
      <c r="I892" s="7">
        <f t="shared" si="331"/>
        <v>0</v>
      </c>
      <c r="K892" s="11" t="s">
        <v>452</v>
      </c>
      <c r="L892" s="8"/>
      <c r="M892" s="9">
        <v>2</v>
      </c>
      <c r="N892" s="10">
        <v>2</v>
      </c>
      <c r="O892" s="7">
        <f t="shared" si="332"/>
        <v>4</v>
      </c>
      <c r="P892" s="8"/>
      <c r="Q892" s="9">
        <v>2</v>
      </c>
      <c r="R892" s="10">
        <v>2</v>
      </c>
      <c r="S892" s="7">
        <f t="shared" si="333"/>
        <v>4</v>
      </c>
      <c r="T892" s="43">
        <v>44467</v>
      </c>
      <c r="U892" s="3"/>
      <c r="V892" s="59"/>
      <c r="W892" s="60"/>
      <c r="X892" s="61"/>
      <c r="Y892" s="7">
        <f t="shared" si="334"/>
        <v>0</v>
      </c>
      <c r="Z892" s="59"/>
      <c r="AA892" s="60"/>
      <c r="AB892" s="61"/>
      <c r="AC892" s="7">
        <f t="shared" si="335"/>
        <v>0</v>
      </c>
      <c r="AD892" s="59"/>
      <c r="AE892" s="60"/>
      <c r="AF892" s="61"/>
      <c r="AG892" s="7">
        <f t="shared" si="336"/>
        <v>0</v>
      </c>
    </row>
    <row r="893" spans="1:33">
      <c r="A893" s="3"/>
      <c r="B893" s="8"/>
      <c r="C893" s="9"/>
      <c r="D893" s="10"/>
      <c r="E893" s="7">
        <f t="shared" si="330"/>
        <v>0</v>
      </c>
      <c r="F893" s="8"/>
      <c r="G893" s="9"/>
      <c r="H893" s="10"/>
      <c r="I893" s="7">
        <f t="shared" si="331"/>
        <v>0</v>
      </c>
      <c r="K893" s="11" t="s">
        <v>453</v>
      </c>
      <c r="L893" s="8"/>
      <c r="M893" s="9">
        <v>1</v>
      </c>
      <c r="N893" s="10"/>
      <c r="O893" s="7">
        <f t="shared" si="332"/>
        <v>1</v>
      </c>
      <c r="P893" s="8"/>
      <c r="Q893" s="9">
        <v>1</v>
      </c>
      <c r="R893" s="10"/>
      <c r="S893" s="7">
        <f t="shared" si="333"/>
        <v>1</v>
      </c>
      <c r="T893" s="43">
        <v>44471</v>
      </c>
      <c r="U893" s="3"/>
      <c r="V893" s="59"/>
      <c r="W893" s="60"/>
      <c r="X893" s="61"/>
      <c r="Y893" s="7">
        <f t="shared" si="334"/>
        <v>0</v>
      </c>
      <c r="Z893" s="59"/>
      <c r="AA893" s="60"/>
      <c r="AB893" s="61"/>
      <c r="AC893" s="7">
        <f t="shared" si="335"/>
        <v>0</v>
      </c>
      <c r="AD893" s="59"/>
      <c r="AE893" s="60"/>
      <c r="AF893" s="61"/>
      <c r="AG893" s="7">
        <f t="shared" si="336"/>
        <v>0</v>
      </c>
    </row>
    <row r="894" spans="1:33">
      <c r="A894" s="11"/>
      <c r="B894" s="8"/>
      <c r="C894" s="9"/>
      <c r="D894" s="10"/>
      <c r="E894" s="7">
        <f t="shared" si="330"/>
        <v>0</v>
      </c>
      <c r="F894" s="8"/>
      <c r="G894" s="9"/>
      <c r="H894" s="10"/>
      <c r="I894" s="7">
        <f t="shared" si="331"/>
        <v>0</v>
      </c>
      <c r="K894" s="11" t="s">
        <v>454</v>
      </c>
      <c r="L894" s="8"/>
      <c r="M894" s="9">
        <v>1</v>
      </c>
      <c r="N894" s="10"/>
      <c r="O894" s="7">
        <f t="shared" si="332"/>
        <v>1</v>
      </c>
      <c r="P894" s="8"/>
      <c r="Q894" s="9">
        <v>1</v>
      </c>
      <c r="R894" s="10"/>
      <c r="S894" s="7">
        <f t="shared" si="333"/>
        <v>1</v>
      </c>
      <c r="T894" s="43">
        <v>44474</v>
      </c>
      <c r="U894" s="3"/>
      <c r="V894" s="59"/>
      <c r="W894" s="60"/>
      <c r="X894" s="61"/>
      <c r="Y894" s="7">
        <f t="shared" si="334"/>
        <v>0</v>
      </c>
      <c r="Z894" s="59"/>
      <c r="AA894" s="60"/>
      <c r="AB894" s="61"/>
      <c r="AC894" s="7">
        <f t="shared" si="335"/>
        <v>0</v>
      </c>
      <c r="AD894" s="59"/>
      <c r="AE894" s="60"/>
      <c r="AF894" s="61"/>
      <c r="AG894" s="7">
        <f t="shared" si="336"/>
        <v>0</v>
      </c>
    </row>
    <row r="895" spans="1:33">
      <c r="A895" s="11"/>
      <c r="B895" s="8"/>
      <c r="C895" s="9"/>
      <c r="D895" s="10"/>
      <c r="E895" s="7">
        <f t="shared" si="330"/>
        <v>0</v>
      </c>
      <c r="F895" s="8"/>
      <c r="G895" s="9"/>
      <c r="H895" s="10"/>
      <c r="I895" s="7">
        <f t="shared" si="331"/>
        <v>0</v>
      </c>
      <c r="K895" s="11" t="s">
        <v>455</v>
      </c>
      <c r="L895" s="8"/>
      <c r="M895" s="9">
        <v>3</v>
      </c>
      <c r="N895" s="10">
        <v>1</v>
      </c>
      <c r="O895" s="7">
        <f t="shared" si="332"/>
        <v>4</v>
      </c>
      <c r="P895" s="8"/>
      <c r="Q895" s="9">
        <v>3</v>
      </c>
      <c r="R895" s="10">
        <v>1</v>
      </c>
      <c r="S895" s="7">
        <f t="shared" si="333"/>
        <v>4</v>
      </c>
      <c r="T895" s="43">
        <v>44475</v>
      </c>
      <c r="U895" s="3"/>
      <c r="V895" s="59"/>
      <c r="W895" s="60"/>
      <c r="X895" s="61"/>
      <c r="Y895" s="7">
        <f t="shared" si="334"/>
        <v>0</v>
      </c>
      <c r="Z895" s="59"/>
      <c r="AA895" s="60"/>
      <c r="AB895" s="61"/>
      <c r="AC895" s="7">
        <f t="shared" si="335"/>
        <v>0</v>
      </c>
      <c r="AD895" s="59"/>
      <c r="AE895" s="60"/>
      <c r="AF895" s="61"/>
      <c r="AG895" s="7">
        <f t="shared" si="336"/>
        <v>0</v>
      </c>
    </row>
    <row r="896" spans="1:33">
      <c r="A896" s="11"/>
      <c r="B896" s="8"/>
      <c r="C896" s="9"/>
      <c r="D896" s="10"/>
      <c r="E896" s="7">
        <f t="shared" si="330"/>
        <v>0</v>
      </c>
      <c r="F896" s="8"/>
      <c r="G896" s="9"/>
      <c r="H896" s="10"/>
      <c r="I896" s="7">
        <f t="shared" si="331"/>
        <v>0</v>
      </c>
      <c r="K896" s="11" t="s">
        <v>456</v>
      </c>
      <c r="L896" s="8"/>
      <c r="M896" s="9"/>
      <c r="N896" s="10">
        <v>1</v>
      </c>
      <c r="O896" s="7">
        <f t="shared" si="332"/>
        <v>1</v>
      </c>
      <c r="P896" s="8"/>
      <c r="Q896" s="9"/>
      <c r="R896" s="10">
        <v>1</v>
      </c>
      <c r="S896" s="7">
        <f t="shared" si="333"/>
        <v>1</v>
      </c>
      <c r="T896" s="43">
        <v>44477</v>
      </c>
      <c r="U896" s="11"/>
      <c r="V896" s="59"/>
      <c r="W896" s="60"/>
      <c r="X896" s="61"/>
      <c r="Y896" s="7">
        <f t="shared" si="334"/>
        <v>0</v>
      </c>
      <c r="Z896" s="59"/>
      <c r="AA896" s="60"/>
      <c r="AB896" s="61"/>
      <c r="AC896" s="7">
        <f t="shared" si="335"/>
        <v>0</v>
      </c>
      <c r="AD896" s="59"/>
      <c r="AE896" s="60"/>
      <c r="AF896" s="61"/>
      <c r="AG896" s="7">
        <f t="shared" si="336"/>
        <v>0</v>
      </c>
    </row>
    <row r="897" spans="1:34">
      <c r="A897" s="11"/>
      <c r="B897" s="8"/>
      <c r="C897" s="9"/>
      <c r="D897" s="10"/>
      <c r="E897" s="7">
        <f t="shared" si="330"/>
        <v>0</v>
      </c>
      <c r="F897" s="8"/>
      <c r="G897" s="9"/>
      <c r="H897" s="10"/>
      <c r="I897" s="7">
        <f t="shared" si="331"/>
        <v>0</v>
      </c>
      <c r="K897" s="11"/>
      <c r="L897" s="8"/>
      <c r="M897" s="9"/>
      <c r="N897" s="10"/>
      <c r="O897" s="7">
        <f t="shared" si="332"/>
        <v>0</v>
      </c>
      <c r="P897" s="8"/>
      <c r="Q897" s="9"/>
      <c r="R897" s="10"/>
      <c r="S897" s="7">
        <f t="shared" si="333"/>
        <v>0</v>
      </c>
      <c r="T897" s="71"/>
      <c r="U897" s="3"/>
      <c r="V897" s="59"/>
      <c r="W897" s="60"/>
      <c r="X897" s="61"/>
      <c r="Y897" s="7">
        <f t="shared" si="334"/>
        <v>0</v>
      </c>
      <c r="Z897" s="59"/>
      <c r="AA897" s="60"/>
      <c r="AB897" s="61"/>
      <c r="AC897" s="7">
        <f t="shared" si="335"/>
        <v>0</v>
      </c>
      <c r="AD897" s="59"/>
      <c r="AE897" s="60"/>
      <c r="AF897" s="61"/>
      <c r="AG897" s="7">
        <f t="shared" si="336"/>
        <v>0</v>
      </c>
    </row>
    <row r="898" spans="1:34">
      <c r="A898" s="11"/>
      <c r="B898" s="8"/>
      <c r="C898" s="9"/>
      <c r="D898" s="10"/>
      <c r="E898" s="7">
        <f t="shared" si="330"/>
        <v>0</v>
      </c>
      <c r="F898" s="8"/>
      <c r="G898" s="9"/>
      <c r="H898" s="10"/>
      <c r="I898" s="7">
        <f t="shared" si="331"/>
        <v>0</v>
      </c>
      <c r="K898" s="11" t="s">
        <v>252</v>
      </c>
      <c r="L898" s="8"/>
      <c r="M898" s="9"/>
      <c r="N898" s="10"/>
      <c r="O898" s="7">
        <f t="shared" si="332"/>
        <v>0</v>
      </c>
      <c r="P898" s="8"/>
      <c r="Q898" s="9"/>
      <c r="R898" s="10"/>
      <c r="S898" s="7">
        <f t="shared" si="333"/>
        <v>0</v>
      </c>
      <c r="T898" s="71" t="s">
        <v>309</v>
      </c>
      <c r="U898" s="11"/>
      <c r="V898" s="59"/>
      <c r="W898" s="60"/>
      <c r="X898" s="61"/>
      <c r="Y898" s="7">
        <f t="shared" si="334"/>
        <v>0</v>
      </c>
      <c r="Z898" s="59"/>
      <c r="AA898" s="60"/>
      <c r="AB898" s="61"/>
      <c r="AC898" s="7">
        <f t="shared" si="335"/>
        <v>0</v>
      </c>
      <c r="AD898" s="59"/>
      <c r="AE898" s="60"/>
      <c r="AF898" s="61"/>
      <c r="AG898" s="7">
        <f t="shared" si="336"/>
        <v>0</v>
      </c>
    </row>
    <row r="899" spans="1:34" ht="14.25" thickBot="1">
      <c r="A899" s="3"/>
      <c r="B899" s="8"/>
      <c r="C899" s="9"/>
      <c r="D899" s="10"/>
      <c r="E899" s="7">
        <f t="shared" si="330"/>
        <v>0</v>
      </c>
      <c r="F899" s="8"/>
      <c r="G899" s="9"/>
      <c r="H899" s="10"/>
      <c r="I899" s="7">
        <f t="shared" si="331"/>
        <v>0</v>
      </c>
      <c r="K899" s="91" t="s">
        <v>324</v>
      </c>
      <c r="L899" s="8"/>
      <c r="M899" s="9"/>
      <c r="N899" s="10"/>
      <c r="O899" s="7">
        <f t="shared" si="332"/>
        <v>0</v>
      </c>
      <c r="P899" s="8"/>
      <c r="Q899" s="9"/>
      <c r="R899" s="10"/>
      <c r="S899" s="7">
        <f t="shared" si="333"/>
        <v>0</v>
      </c>
      <c r="T899" s="71" t="s">
        <v>325</v>
      </c>
      <c r="U899" s="91"/>
      <c r="V899" s="59"/>
      <c r="W899" s="60"/>
      <c r="X899" s="61"/>
      <c r="Y899" s="7">
        <f t="shared" si="334"/>
        <v>0</v>
      </c>
      <c r="Z899" s="59"/>
      <c r="AA899" s="60"/>
      <c r="AB899" s="61"/>
      <c r="AC899" s="7">
        <f t="shared" si="335"/>
        <v>0</v>
      </c>
      <c r="AD899" s="99"/>
      <c r="AE899" s="60"/>
      <c r="AF899" s="61"/>
      <c r="AG899" s="7">
        <f t="shared" si="336"/>
        <v>0</v>
      </c>
      <c r="AH899" s="71"/>
    </row>
    <row r="900" spans="1:34" ht="14.25" thickBot="1">
      <c r="A900" s="2" t="s">
        <v>5</v>
      </c>
      <c r="B900" s="14">
        <f>SUM(B876:B899)</f>
        <v>3</v>
      </c>
      <c r="C900" s="14">
        <f>SUM(C876:C899)</f>
        <v>1</v>
      </c>
      <c r="D900" s="14">
        <f>SUM(D876:D899)</f>
        <v>0</v>
      </c>
      <c r="E900" s="15">
        <f t="shared" si="330"/>
        <v>4</v>
      </c>
      <c r="F900" s="14">
        <f>SUM(F876:F899)</f>
        <v>3</v>
      </c>
      <c r="G900" s="14">
        <f>SUM(G876:G899)</f>
        <v>1</v>
      </c>
      <c r="H900" s="14">
        <f>SUM(H876:H899)</f>
        <v>0</v>
      </c>
      <c r="I900" s="15">
        <f t="shared" si="331"/>
        <v>4</v>
      </c>
      <c r="K900" s="2" t="s">
        <v>5</v>
      </c>
      <c r="L900" s="14">
        <f>SUM(L876:L899)</f>
        <v>23</v>
      </c>
      <c r="M900" s="14">
        <f>SUM(M876:M899)</f>
        <v>54</v>
      </c>
      <c r="N900" s="14">
        <f>SUM(N876:N899)</f>
        <v>27</v>
      </c>
      <c r="O900" s="15">
        <f t="shared" si="332"/>
        <v>104</v>
      </c>
      <c r="P900" s="14">
        <f>SUM(P876:P899)</f>
        <v>23</v>
      </c>
      <c r="Q900" s="14">
        <f>SUM(Q876:Q899)</f>
        <v>54</v>
      </c>
      <c r="R900" s="14">
        <f>SUM(R876:R899)</f>
        <v>27</v>
      </c>
      <c r="S900" s="15">
        <f t="shared" si="333"/>
        <v>104</v>
      </c>
      <c r="U900" s="2" t="s">
        <v>5</v>
      </c>
      <c r="V900" s="14">
        <f>SUM(V876:V899)</f>
        <v>4</v>
      </c>
      <c r="W900" s="14">
        <f>SUM(W876:W899)</f>
        <v>5</v>
      </c>
      <c r="X900" s="14">
        <f>SUM(X876:X899)</f>
        <v>3</v>
      </c>
      <c r="Y900" s="15">
        <f t="shared" si="334"/>
        <v>12</v>
      </c>
      <c r="Z900" s="14">
        <f>SUM(Z876:Z899)</f>
        <v>4</v>
      </c>
      <c r="AA900" s="14">
        <f>SUM(AA876:AA899)</f>
        <v>5</v>
      </c>
      <c r="AB900" s="14">
        <f>SUM(AB876:AB899)</f>
        <v>3</v>
      </c>
      <c r="AC900" s="15">
        <f t="shared" si="335"/>
        <v>12</v>
      </c>
      <c r="AD900" s="14">
        <f>SUM(AD876:AD899)</f>
        <v>4</v>
      </c>
      <c r="AE900" s="14">
        <f>SUM(AE876:AE899)</f>
        <v>5</v>
      </c>
      <c r="AF900" s="14">
        <f>SUM(AF876:AF899)</f>
        <v>3</v>
      </c>
      <c r="AG900" s="15">
        <f t="shared" si="336"/>
        <v>12</v>
      </c>
    </row>
    <row r="901" spans="1:34" ht="14.25" thickBot="1">
      <c r="A901" s="27" t="s">
        <v>6</v>
      </c>
      <c r="B901" s="28">
        <f>B875-B900</f>
        <v>10</v>
      </c>
      <c r="C901" s="28">
        <f t="shared" ref="C901:E901" si="339">C875-C900</f>
        <v>1</v>
      </c>
      <c r="D901" s="28">
        <f t="shared" si="339"/>
        <v>7</v>
      </c>
      <c r="E901" s="28">
        <f t="shared" si="339"/>
        <v>18</v>
      </c>
      <c r="F901" s="28">
        <f>F875-F900</f>
        <v>10</v>
      </c>
      <c r="G901" s="28">
        <f t="shared" ref="G901:I901" si="340">G875-G900</f>
        <v>1</v>
      </c>
      <c r="H901" s="28">
        <f t="shared" si="340"/>
        <v>7</v>
      </c>
      <c r="I901" s="26">
        <f t="shared" si="340"/>
        <v>18</v>
      </c>
      <c r="K901" s="27" t="s">
        <v>6</v>
      </c>
      <c r="L901" s="28">
        <f>L875-L900</f>
        <v>87</v>
      </c>
      <c r="M901" s="28">
        <f t="shared" ref="M901:O901" si="341">M875-M900</f>
        <v>76</v>
      </c>
      <c r="N901" s="28">
        <f t="shared" si="341"/>
        <v>72</v>
      </c>
      <c r="O901" s="28">
        <f t="shared" si="341"/>
        <v>235</v>
      </c>
      <c r="P901" s="28">
        <f>P875-P900</f>
        <v>87</v>
      </c>
      <c r="Q901" s="28">
        <f t="shared" ref="Q901:S901" si="342">Q875-Q900</f>
        <v>76</v>
      </c>
      <c r="R901" s="28">
        <f t="shared" si="342"/>
        <v>72</v>
      </c>
      <c r="S901" s="26">
        <f t="shared" si="342"/>
        <v>235</v>
      </c>
      <c r="U901" s="27" t="s">
        <v>6</v>
      </c>
      <c r="V901" s="28">
        <f>V875-V900</f>
        <v>1</v>
      </c>
      <c r="W901" s="28">
        <f t="shared" ref="W901:Y901" si="343">W875-W900</f>
        <v>21</v>
      </c>
      <c r="X901" s="28">
        <f t="shared" si="343"/>
        <v>0</v>
      </c>
      <c r="Y901" s="28">
        <f t="shared" si="343"/>
        <v>22</v>
      </c>
      <c r="Z901" s="28">
        <f>Z875-Z900</f>
        <v>1</v>
      </c>
      <c r="AA901" s="28">
        <f t="shared" ref="AA901:AC901" si="344">AA875-AA900</f>
        <v>21</v>
      </c>
      <c r="AB901" s="28">
        <f t="shared" si="344"/>
        <v>0</v>
      </c>
      <c r="AC901" s="26">
        <f t="shared" si="344"/>
        <v>22</v>
      </c>
      <c r="AD901" s="28">
        <f>AD875-AD900</f>
        <v>1</v>
      </c>
      <c r="AE901" s="28">
        <f t="shared" ref="AE901:AG901" si="345">AE875-AE900</f>
        <v>21</v>
      </c>
      <c r="AF901" s="28">
        <f t="shared" si="345"/>
        <v>0</v>
      </c>
      <c r="AG901" s="26">
        <f t="shared" si="345"/>
        <v>22</v>
      </c>
    </row>
    <row r="904" spans="1:34" ht="26.25" thickBot="1">
      <c r="A904" s="33" t="s">
        <v>15</v>
      </c>
      <c r="B904" s="34"/>
      <c r="C904" s="34"/>
      <c r="D904" s="34"/>
      <c r="E904" s="34"/>
      <c r="F904" s="35"/>
      <c r="G904" s="35"/>
      <c r="H904" s="35"/>
      <c r="I904" s="35"/>
      <c r="K904" s="33" t="s">
        <v>243</v>
      </c>
      <c r="L904" s="34"/>
      <c r="M904" s="34"/>
      <c r="N904" s="34"/>
      <c r="O904" s="34"/>
      <c r="P904" s="35"/>
      <c r="Q904" s="35"/>
      <c r="R904" s="35"/>
      <c r="S904" s="35"/>
      <c r="U904" s="88" t="s">
        <v>244</v>
      </c>
      <c r="V904" s="89"/>
      <c r="W904" s="89"/>
      <c r="X904" s="89"/>
      <c r="Y904" s="89"/>
      <c r="Z904" s="90"/>
      <c r="AA904" s="90"/>
      <c r="AB904" s="90"/>
      <c r="AC904" s="90"/>
    </row>
    <row r="905" spans="1:34" ht="14.25" thickBot="1">
      <c r="A905" s="1" t="s">
        <v>0</v>
      </c>
      <c r="B905" s="182" t="s">
        <v>17</v>
      </c>
      <c r="C905" s="182"/>
      <c r="D905" s="182"/>
      <c r="E905" s="183"/>
      <c r="F905" s="182" t="s">
        <v>13</v>
      </c>
      <c r="G905" s="182"/>
      <c r="H905" s="182"/>
      <c r="I905" s="183"/>
      <c r="K905" s="1" t="s">
        <v>0</v>
      </c>
      <c r="L905" s="182" t="s">
        <v>17</v>
      </c>
      <c r="M905" s="182"/>
      <c r="N905" s="182"/>
      <c r="O905" s="183"/>
      <c r="P905" s="182" t="s">
        <v>13</v>
      </c>
      <c r="Q905" s="182"/>
      <c r="R905" s="182"/>
      <c r="S905" s="183"/>
      <c r="U905" s="1" t="s">
        <v>0</v>
      </c>
      <c r="V905" s="182" t="s">
        <v>17</v>
      </c>
      <c r="W905" s="182"/>
      <c r="X905" s="182"/>
      <c r="Y905" s="183"/>
      <c r="Z905" s="182" t="s">
        <v>13</v>
      </c>
      <c r="AA905" s="182"/>
      <c r="AB905" s="182"/>
      <c r="AC905" s="183"/>
      <c r="AD905" s="182" t="s">
        <v>242</v>
      </c>
      <c r="AE905" s="182"/>
      <c r="AF905" s="182"/>
      <c r="AG905" s="183"/>
    </row>
    <row r="906" spans="1:34" ht="14.25" thickBot="1">
      <c r="A906" s="1" t="s">
        <v>1</v>
      </c>
      <c r="B906" s="2" t="s">
        <v>8</v>
      </c>
      <c r="C906" s="1" t="s">
        <v>9</v>
      </c>
      <c r="D906" s="19" t="s">
        <v>10</v>
      </c>
      <c r="E906" s="1" t="s">
        <v>2</v>
      </c>
      <c r="F906" s="2" t="s">
        <v>8</v>
      </c>
      <c r="G906" s="1" t="s">
        <v>9</v>
      </c>
      <c r="H906" s="19" t="s">
        <v>10</v>
      </c>
      <c r="I906" s="1" t="s">
        <v>2</v>
      </c>
      <c r="K906" s="1" t="s">
        <v>1</v>
      </c>
      <c r="L906" s="2" t="s">
        <v>8</v>
      </c>
      <c r="M906" s="1" t="s">
        <v>9</v>
      </c>
      <c r="N906" s="19" t="s">
        <v>10</v>
      </c>
      <c r="O906" s="1" t="s">
        <v>2</v>
      </c>
      <c r="P906" s="2" t="s">
        <v>8</v>
      </c>
      <c r="Q906" s="1" t="s">
        <v>9</v>
      </c>
      <c r="R906" s="19" t="s">
        <v>10</v>
      </c>
      <c r="S906" s="1" t="s">
        <v>2</v>
      </c>
      <c r="U906" s="1" t="s">
        <v>1</v>
      </c>
      <c r="V906" s="2" t="s">
        <v>8</v>
      </c>
      <c r="W906" s="1" t="s">
        <v>9</v>
      </c>
      <c r="X906" s="19" t="s">
        <v>10</v>
      </c>
      <c r="Y906" s="1" t="s">
        <v>2</v>
      </c>
      <c r="Z906" s="2" t="s">
        <v>8</v>
      </c>
      <c r="AA906" s="1" t="s">
        <v>9</v>
      </c>
      <c r="AB906" s="19" t="s">
        <v>10</v>
      </c>
      <c r="AC906" s="1" t="s">
        <v>2</v>
      </c>
      <c r="AD906" s="2" t="s">
        <v>8</v>
      </c>
      <c r="AE906" s="1" t="s">
        <v>9</v>
      </c>
      <c r="AF906" s="19" t="s">
        <v>10</v>
      </c>
      <c r="AG906" s="1" t="s">
        <v>2</v>
      </c>
    </row>
    <row r="907" spans="1:34">
      <c r="A907" s="21" t="s">
        <v>7</v>
      </c>
      <c r="B907" s="18">
        <f>B901</f>
        <v>10</v>
      </c>
      <c r="C907" s="22">
        <f>C901</f>
        <v>1</v>
      </c>
      <c r="D907" s="22">
        <f>D901</f>
        <v>7</v>
      </c>
      <c r="E907" s="17">
        <f t="shared" ref="E907:E943" si="346">SUM(B907:D907)</f>
        <v>18</v>
      </c>
      <c r="F907" s="22">
        <f>F901</f>
        <v>10</v>
      </c>
      <c r="G907" s="22">
        <f>G901</f>
        <v>1</v>
      </c>
      <c r="H907" s="22">
        <f>H901</f>
        <v>7</v>
      </c>
      <c r="I907" s="17">
        <f t="shared" ref="I907:I943" si="347">SUM(F907:H907)</f>
        <v>18</v>
      </c>
      <c r="K907" s="21" t="s">
        <v>7</v>
      </c>
      <c r="L907" s="18">
        <f>L901</f>
        <v>87</v>
      </c>
      <c r="M907" s="22">
        <f>M901</f>
        <v>76</v>
      </c>
      <c r="N907" s="22">
        <f>N901</f>
        <v>72</v>
      </c>
      <c r="O907" s="17">
        <f t="shared" ref="O907:O943" si="348">SUM(L907:N907)</f>
        <v>235</v>
      </c>
      <c r="P907" s="22">
        <f>P901</f>
        <v>87</v>
      </c>
      <c r="Q907" s="22">
        <f>Q901</f>
        <v>76</v>
      </c>
      <c r="R907" s="22">
        <f>R901</f>
        <v>72</v>
      </c>
      <c r="S907" s="17">
        <f t="shared" ref="S907:S943" si="349">SUM(P907:R907)</f>
        <v>235</v>
      </c>
      <c r="U907" s="21" t="s">
        <v>7</v>
      </c>
      <c r="V907" s="18">
        <f>V901</f>
        <v>1</v>
      </c>
      <c r="W907" s="22">
        <f>W901</f>
        <v>21</v>
      </c>
      <c r="X907" s="22">
        <f>X901</f>
        <v>0</v>
      </c>
      <c r="Y907" s="17">
        <f t="shared" ref="Y907:Y943" si="350">SUM(V907:X907)</f>
        <v>22</v>
      </c>
      <c r="Z907" s="22">
        <f>Z901</f>
        <v>1</v>
      </c>
      <c r="AA907" s="22">
        <f>AA901</f>
        <v>21</v>
      </c>
      <c r="AB907" s="22">
        <f>AB901</f>
        <v>0</v>
      </c>
      <c r="AC907" s="17">
        <f t="shared" ref="AC907:AC943" si="351">SUM(Z907:AB907)</f>
        <v>22</v>
      </c>
      <c r="AD907" s="22">
        <f>AD901</f>
        <v>1</v>
      </c>
      <c r="AE907" s="22">
        <f>AE901</f>
        <v>21</v>
      </c>
      <c r="AF907" s="22">
        <f>AF901</f>
        <v>0</v>
      </c>
      <c r="AG907" s="17">
        <f t="shared" ref="AG907:AG943" si="352">SUM(AD907:AF907)</f>
        <v>22</v>
      </c>
    </row>
    <row r="908" spans="1:34">
      <c r="A908" s="5" t="s">
        <v>37</v>
      </c>
      <c r="B908" s="30"/>
      <c r="C908" s="31">
        <v>1</v>
      </c>
      <c r="D908" s="32"/>
      <c r="E908" s="4">
        <f t="shared" si="346"/>
        <v>1</v>
      </c>
      <c r="F908" s="30"/>
      <c r="G908" s="31">
        <v>1</v>
      </c>
      <c r="H908" s="32"/>
      <c r="I908" s="4">
        <f t="shared" si="347"/>
        <v>1</v>
      </c>
      <c r="J908" s="43">
        <v>44482</v>
      </c>
      <c r="K908" s="5" t="s">
        <v>466</v>
      </c>
      <c r="L908" s="16">
        <v>16</v>
      </c>
      <c r="M908" s="11">
        <v>4</v>
      </c>
      <c r="N908" s="16">
        <v>16</v>
      </c>
      <c r="O908" s="4">
        <f t="shared" si="348"/>
        <v>36</v>
      </c>
      <c r="P908" s="16">
        <v>16</v>
      </c>
      <c r="Q908" s="11">
        <v>4</v>
      </c>
      <c r="R908" s="16">
        <v>16</v>
      </c>
      <c r="S908" s="4">
        <f t="shared" si="349"/>
        <v>36</v>
      </c>
      <c r="T908" s="43">
        <v>44499</v>
      </c>
      <c r="U908" s="5" t="s">
        <v>224</v>
      </c>
      <c r="V908" s="100">
        <v>4</v>
      </c>
      <c r="W908" s="101">
        <v>1</v>
      </c>
      <c r="X908" s="100">
        <v>2</v>
      </c>
      <c r="Y908" s="4">
        <f t="shared" si="350"/>
        <v>7</v>
      </c>
      <c r="Z908" s="100">
        <v>4</v>
      </c>
      <c r="AA908" s="101">
        <v>1</v>
      </c>
      <c r="AB908" s="100">
        <v>2</v>
      </c>
      <c r="AC908" s="4">
        <f t="shared" si="351"/>
        <v>7</v>
      </c>
      <c r="AD908" s="100">
        <v>4</v>
      </c>
      <c r="AE908" s="101">
        <v>1</v>
      </c>
      <c r="AF908" s="100">
        <v>2</v>
      </c>
      <c r="AG908" s="4">
        <f t="shared" si="352"/>
        <v>7</v>
      </c>
      <c r="AH908" s="49">
        <v>44499</v>
      </c>
    </row>
    <row r="909" spans="1:34">
      <c r="A909" s="5" t="s">
        <v>79</v>
      </c>
      <c r="B909" s="30">
        <v>10</v>
      </c>
      <c r="C909" s="31">
        <v>6</v>
      </c>
      <c r="D909" s="32">
        <v>12</v>
      </c>
      <c r="E909" s="4">
        <f t="shared" si="346"/>
        <v>28</v>
      </c>
      <c r="F909" s="30">
        <v>10</v>
      </c>
      <c r="G909" s="31">
        <v>6</v>
      </c>
      <c r="H909" s="32">
        <v>12</v>
      </c>
      <c r="I909" s="4">
        <f t="shared" si="347"/>
        <v>28</v>
      </c>
      <c r="J909" s="43">
        <v>44491</v>
      </c>
      <c r="K909" s="5" t="s">
        <v>3</v>
      </c>
      <c r="L909" s="32"/>
      <c r="M909" s="31"/>
      <c r="N909" s="32"/>
      <c r="O909" s="4">
        <f t="shared" si="348"/>
        <v>0</v>
      </c>
      <c r="P909" s="32"/>
      <c r="Q909" s="31"/>
      <c r="R909" s="32"/>
      <c r="S909" s="4">
        <f t="shared" si="349"/>
        <v>0</v>
      </c>
      <c r="T909" s="43"/>
      <c r="U909" s="5" t="s">
        <v>3</v>
      </c>
      <c r="V909" s="32"/>
      <c r="W909" s="31"/>
      <c r="X909" s="32"/>
      <c r="Y909" s="4">
        <f t="shared" si="350"/>
        <v>0</v>
      </c>
      <c r="Z909" s="32"/>
      <c r="AA909" s="31"/>
      <c r="AB909" s="32"/>
      <c r="AC909" s="4">
        <f t="shared" si="351"/>
        <v>0</v>
      </c>
      <c r="AD909" s="32"/>
      <c r="AE909" s="31"/>
      <c r="AF909" s="32"/>
      <c r="AG909" s="4">
        <f t="shared" si="352"/>
        <v>0</v>
      </c>
    </row>
    <row r="910" spans="1:34">
      <c r="A910" s="5" t="s">
        <v>462</v>
      </c>
      <c r="B910" s="30"/>
      <c r="C910" s="31">
        <v>1</v>
      </c>
      <c r="D910" s="32">
        <v>2</v>
      </c>
      <c r="E910" s="4">
        <f t="shared" si="346"/>
        <v>3</v>
      </c>
      <c r="F910" s="30"/>
      <c r="G910" s="31">
        <v>1</v>
      </c>
      <c r="H910" s="32">
        <v>2</v>
      </c>
      <c r="I910" s="4">
        <f t="shared" si="347"/>
        <v>3</v>
      </c>
      <c r="J910" s="49">
        <v>44491</v>
      </c>
      <c r="K910" s="5" t="s">
        <v>3</v>
      </c>
      <c r="L910" s="30"/>
      <c r="M910" s="31"/>
      <c r="N910" s="32"/>
      <c r="O910" s="7">
        <f t="shared" si="348"/>
        <v>0</v>
      </c>
      <c r="P910" s="30"/>
      <c r="Q910" s="31"/>
      <c r="R910" s="32"/>
      <c r="S910" s="7">
        <f t="shared" si="349"/>
        <v>0</v>
      </c>
      <c r="T910" s="43"/>
      <c r="U910" s="5" t="s">
        <v>3</v>
      </c>
      <c r="V910" s="30"/>
      <c r="W910" s="31"/>
      <c r="X910" s="32"/>
      <c r="Y910" s="4">
        <f t="shared" si="350"/>
        <v>0</v>
      </c>
      <c r="Z910" s="30"/>
      <c r="AA910" s="31"/>
      <c r="AB910" s="32"/>
      <c r="AC910" s="4">
        <f t="shared" si="351"/>
        <v>0</v>
      </c>
      <c r="AD910" s="30"/>
      <c r="AE910" s="31"/>
      <c r="AF910" s="32"/>
      <c r="AG910" s="4">
        <f t="shared" si="352"/>
        <v>0</v>
      </c>
    </row>
    <row r="911" spans="1:34">
      <c r="A911" s="5" t="s">
        <v>463</v>
      </c>
      <c r="B911" s="16">
        <v>3</v>
      </c>
      <c r="C911" s="11">
        <v>1</v>
      </c>
      <c r="D911" s="16">
        <v>2</v>
      </c>
      <c r="E911" s="4">
        <f t="shared" si="346"/>
        <v>6</v>
      </c>
      <c r="F911" s="16">
        <v>3</v>
      </c>
      <c r="G911" s="11">
        <v>1</v>
      </c>
      <c r="H911" s="16">
        <v>2</v>
      </c>
      <c r="I911" s="4">
        <f t="shared" si="347"/>
        <v>6</v>
      </c>
      <c r="J911" s="49">
        <v>44499</v>
      </c>
      <c r="K911" s="5" t="s">
        <v>3</v>
      </c>
      <c r="L911" s="51"/>
      <c r="M911" s="3"/>
      <c r="N911" s="51"/>
      <c r="O911" s="4">
        <f t="shared" si="348"/>
        <v>0</v>
      </c>
      <c r="P911" s="51"/>
      <c r="Q911" s="3"/>
      <c r="R911" s="51"/>
      <c r="S911" s="4">
        <f t="shared" si="349"/>
        <v>0</v>
      </c>
      <c r="T911" s="43"/>
      <c r="U911" s="5" t="s">
        <v>3</v>
      </c>
      <c r="V911" s="16"/>
      <c r="W911" s="11"/>
      <c r="X911" s="16"/>
      <c r="Y911" s="4">
        <f t="shared" si="350"/>
        <v>0</v>
      </c>
      <c r="Z911" s="16"/>
      <c r="AA911" s="11"/>
      <c r="AB911" s="16"/>
      <c r="AC911" s="4">
        <f t="shared" si="351"/>
        <v>0</v>
      </c>
      <c r="AD911" s="16"/>
      <c r="AE911" s="11"/>
      <c r="AF911" s="16"/>
      <c r="AG911" s="4">
        <f t="shared" si="352"/>
        <v>0</v>
      </c>
    </row>
    <row r="912" spans="1:34">
      <c r="A912" s="5" t="s">
        <v>468</v>
      </c>
      <c r="B912" s="16">
        <v>1</v>
      </c>
      <c r="C912" s="11"/>
      <c r="D912" s="16"/>
      <c r="E912" s="4">
        <f t="shared" si="346"/>
        <v>1</v>
      </c>
      <c r="F912" s="16">
        <v>1</v>
      </c>
      <c r="G912" s="11"/>
      <c r="H912" s="16"/>
      <c r="I912" s="4">
        <f t="shared" si="347"/>
        <v>1</v>
      </c>
      <c r="J912" s="49">
        <v>44498</v>
      </c>
      <c r="K912" s="5" t="s">
        <v>3</v>
      </c>
      <c r="L912" s="32"/>
      <c r="M912" s="31"/>
      <c r="N912" s="32"/>
      <c r="O912" s="4">
        <f t="shared" si="348"/>
        <v>0</v>
      </c>
      <c r="P912" s="32"/>
      <c r="Q912" s="31"/>
      <c r="R912" s="32"/>
      <c r="S912" s="4">
        <f t="shared" si="349"/>
        <v>0</v>
      </c>
      <c r="T912" s="43"/>
      <c r="U912" s="5" t="s">
        <v>3</v>
      </c>
      <c r="V912" s="32"/>
      <c r="W912" s="31"/>
      <c r="X912" s="32"/>
      <c r="Y912" s="4">
        <f t="shared" si="350"/>
        <v>0</v>
      </c>
      <c r="Z912" s="32"/>
      <c r="AA912" s="31"/>
      <c r="AB912" s="32"/>
      <c r="AC912" s="4">
        <f t="shared" si="351"/>
        <v>0</v>
      </c>
      <c r="AD912" s="32"/>
      <c r="AE912" s="31"/>
      <c r="AF912" s="32"/>
      <c r="AG912" s="4">
        <f t="shared" si="352"/>
        <v>0</v>
      </c>
    </row>
    <row r="913" spans="1:33">
      <c r="A913" s="5" t="s">
        <v>467</v>
      </c>
      <c r="B913" s="16">
        <v>1</v>
      </c>
      <c r="C913" s="11"/>
      <c r="D913" s="16"/>
      <c r="E913" s="4">
        <f t="shared" si="346"/>
        <v>1</v>
      </c>
      <c r="F913" s="16">
        <v>1</v>
      </c>
      <c r="G913" s="11"/>
      <c r="H913" s="16"/>
      <c r="I913" s="4">
        <f t="shared" si="347"/>
        <v>1</v>
      </c>
      <c r="J913" s="49">
        <v>44498</v>
      </c>
      <c r="K913" s="5" t="s">
        <v>3</v>
      </c>
      <c r="L913" s="16"/>
      <c r="M913" s="11"/>
      <c r="N913" s="16"/>
      <c r="O913" s="4">
        <f t="shared" si="348"/>
        <v>0</v>
      </c>
      <c r="P913" s="16"/>
      <c r="Q913" s="11"/>
      <c r="R913" s="16"/>
      <c r="S913" s="4">
        <f t="shared" si="349"/>
        <v>0</v>
      </c>
      <c r="T913" s="43"/>
      <c r="U913" s="5" t="s">
        <v>3</v>
      </c>
      <c r="V913" s="16"/>
      <c r="W913" s="11"/>
      <c r="X913" s="16"/>
      <c r="Y913" s="4">
        <f t="shared" si="350"/>
        <v>0</v>
      </c>
      <c r="Z913" s="16"/>
      <c r="AA913" s="11"/>
      <c r="AB913" s="16"/>
      <c r="AC913" s="4">
        <f t="shared" si="351"/>
        <v>0</v>
      </c>
      <c r="AD913" s="16"/>
      <c r="AE913" s="11"/>
      <c r="AF913" s="16"/>
      <c r="AG913" s="4">
        <f t="shared" si="352"/>
        <v>0</v>
      </c>
    </row>
    <row r="914" spans="1:33">
      <c r="A914" s="5" t="s">
        <v>37</v>
      </c>
      <c r="B914" s="32"/>
      <c r="C914" s="31">
        <v>1</v>
      </c>
      <c r="D914" s="32"/>
      <c r="E914" s="4">
        <f t="shared" si="346"/>
        <v>1</v>
      </c>
      <c r="F914" s="32"/>
      <c r="G914" s="31">
        <v>1</v>
      </c>
      <c r="H914" s="32"/>
      <c r="I914" s="4">
        <f t="shared" si="347"/>
        <v>1</v>
      </c>
      <c r="J914" s="49">
        <v>44509</v>
      </c>
      <c r="K914" s="5" t="s">
        <v>3</v>
      </c>
      <c r="L914" s="32"/>
      <c r="M914" s="31"/>
      <c r="N914" s="32"/>
      <c r="O914" s="4">
        <f t="shared" si="348"/>
        <v>0</v>
      </c>
      <c r="P914" s="32"/>
      <c r="Q914" s="31"/>
      <c r="R914" s="32"/>
      <c r="S914" s="4">
        <f t="shared" si="349"/>
        <v>0</v>
      </c>
      <c r="T914" s="43"/>
      <c r="U914" s="5" t="s">
        <v>3</v>
      </c>
      <c r="V914" s="32"/>
      <c r="W914" s="31"/>
      <c r="X914" s="32"/>
      <c r="Y914" s="4">
        <f t="shared" si="350"/>
        <v>0</v>
      </c>
      <c r="Z914" s="32"/>
      <c r="AA914" s="31"/>
      <c r="AB914" s="32"/>
      <c r="AC914" s="4">
        <f t="shared" si="351"/>
        <v>0</v>
      </c>
      <c r="AD914" s="32"/>
      <c r="AE914" s="31"/>
      <c r="AF914" s="32"/>
      <c r="AG914" s="4">
        <f t="shared" si="352"/>
        <v>0</v>
      </c>
    </row>
    <row r="915" spans="1:33">
      <c r="A915" s="5" t="s">
        <v>37</v>
      </c>
      <c r="B915" s="32"/>
      <c r="C915" s="31">
        <v>1</v>
      </c>
      <c r="D915" s="32"/>
      <c r="E915" s="4">
        <f t="shared" si="346"/>
        <v>1</v>
      </c>
      <c r="F915" s="32"/>
      <c r="G915" s="31">
        <v>1</v>
      </c>
      <c r="H915" s="32"/>
      <c r="I915" s="4">
        <f t="shared" si="347"/>
        <v>1</v>
      </c>
      <c r="J915" s="49">
        <v>44526</v>
      </c>
      <c r="K915" s="5" t="s">
        <v>3</v>
      </c>
      <c r="L915" s="32"/>
      <c r="M915" s="31"/>
      <c r="N915" s="32"/>
      <c r="O915" s="4">
        <f t="shared" si="348"/>
        <v>0</v>
      </c>
      <c r="P915" s="32"/>
      <c r="Q915" s="31"/>
      <c r="R915" s="32"/>
      <c r="S915" s="4">
        <f t="shared" si="349"/>
        <v>0</v>
      </c>
      <c r="T915" s="43"/>
      <c r="U915" s="5" t="s">
        <v>3</v>
      </c>
      <c r="V915" s="32"/>
      <c r="W915" s="31"/>
      <c r="X915" s="32"/>
      <c r="Y915" s="4">
        <f t="shared" si="350"/>
        <v>0</v>
      </c>
      <c r="Z915" s="32"/>
      <c r="AA915" s="31"/>
      <c r="AB915" s="32"/>
      <c r="AC915" s="4">
        <f t="shared" si="351"/>
        <v>0</v>
      </c>
      <c r="AD915" s="32"/>
      <c r="AE915" s="31"/>
      <c r="AF915" s="32"/>
      <c r="AG915" s="4">
        <f t="shared" si="352"/>
        <v>0</v>
      </c>
    </row>
    <row r="916" spans="1:33">
      <c r="A916" s="3" t="s">
        <v>483</v>
      </c>
      <c r="B916" s="30">
        <v>1</v>
      </c>
      <c r="C916" s="31"/>
      <c r="D916" s="32"/>
      <c r="E916" s="4">
        <f t="shared" si="346"/>
        <v>1</v>
      </c>
      <c r="F916" s="30">
        <v>1</v>
      </c>
      <c r="G916" s="31"/>
      <c r="H916" s="32"/>
      <c r="I916" s="4">
        <f t="shared" si="347"/>
        <v>1</v>
      </c>
      <c r="J916" s="49">
        <v>44614</v>
      </c>
      <c r="K916" s="5" t="s">
        <v>3</v>
      </c>
      <c r="L916" s="32"/>
      <c r="M916" s="31"/>
      <c r="N916" s="32"/>
      <c r="O916" s="4">
        <f t="shared" si="348"/>
        <v>0</v>
      </c>
      <c r="P916" s="32"/>
      <c r="Q916" s="31"/>
      <c r="R916" s="32"/>
      <c r="S916" s="4">
        <f t="shared" si="349"/>
        <v>0</v>
      </c>
      <c r="T916" s="43"/>
      <c r="U916" s="5" t="s">
        <v>3</v>
      </c>
      <c r="V916" s="30"/>
      <c r="W916" s="31"/>
      <c r="X916" s="32"/>
      <c r="Y916" s="4">
        <f t="shared" si="350"/>
        <v>0</v>
      </c>
      <c r="Z916" s="30"/>
      <c r="AA916" s="31"/>
      <c r="AB916" s="32"/>
      <c r="AC916" s="4">
        <f t="shared" si="351"/>
        <v>0</v>
      </c>
      <c r="AD916" s="30"/>
      <c r="AE916" s="31"/>
      <c r="AF916" s="32"/>
      <c r="AG916" s="4">
        <f t="shared" si="352"/>
        <v>0</v>
      </c>
    </row>
    <row r="917" spans="1:33" ht="14.25" thickBot="1">
      <c r="A917" s="6" t="s">
        <v>3</v>
      </c>
      <c r="B917" s="36"/>
      <c r="C917" s="37"/>
      <c r="D917" s="36"/>
      <c r="E917" s="20">
        <f t="shared" si="346"/>
        <v>0</v>
      </c>
      <c r="F917" s="13"/>
      <c r="G917" s="12"/>
      <c r="H917" s="13"/>
      <c r="I917" s="20">
        <f t="shared" si="347"/>
        <v>0</v>
      </c>
      <c r="K917" s="6" t="s">
        <v>3</v>
      </c>
      <c r="L917" s="36"/>
      <c r="M917" s="37"/>
      <c r="N917" s="36"/>
      <c r="O917" s="20">
        <f t="shared" si="348"/>
        <v>0</v>
      </c>
      <c r="P917" s="13"/>
      <c r="Q917" s="12"/>
      <c r="R917" s="13"/>
      <c r="S917" s="20">
        <f t="shared" si="349"/>
        <v>0</v>
      </c>
      <c r="T917" s="43"/>
      <c r="U917" s="6" t="s">
        <v>3</v>
      </c>
      <c r="V917" s="13"/>
      <c r="W917" s="12"/>
      <c r="X917" s="13"/>
      <c r="Y917" s="20">
        <f t="shared" si="350"/>
        <v>0</v>
      </c>
      <c r="Z917" s="13"/>
      <c r="AA917" s="12"/>
      <c r="AB917" s="13"/>
      <c r="AC917" s="20">
        <f t="shared" si="351"/>
        <v>0</v>
      </c>
      <c r="AD917" s="13"/>
      <c r="AE917" s="12"/>
      <c r="AF917" s="13"/>
      <c r="AG917" s="20">
        <f t="shared" si="352"/>
        <v>0</v>
      </c>
    </row>
    <row r="918" spans="1:33" ht="14.25" thickBot="1">
      <c r="A918" s="23" t="s">
        <v>4</v>
      </c>
      <c r="B918" s="24">
        <f>SUM(B907:B917)</f>
        <v>26</v>
      </c>
      <c r="C918" s="24">
        <f>SUM(C907:C917)</f>
        <v>12</v>
      </c>
      <c r="D918" s="25">
        <f>SUM(D907:D917)</f>
        <v>23</v>
      </c>
      <c r="E918" s="26">
        <f t="shared" si="346"/>
        <v>61</v>
      </c>
      <c r="F918" s="24">
        <f>SUM(F907:F917)</f>
        <v>26</v>
      </c>
      <c r="G918" s="24">
        <f>SUM(G907:G917)</f>
        <v>12</v>
      </c>
      <c r="H918" s="25">
        <f>SUM(H907:H917)</f>
        <v>23</v>
      </c>
      <c r="I918" s="26">
        <f t="shared" si="347"/>
        <v>61</v>
      </c>
      <c r="K918" s="23" t="s">
        <v>4</v>
      </c>
      <c r="L918" s="24">
        <f>SUM(L907:L917)</f>
        <v>103</v>
      </c>
      <c r="M918" s="24">
        <f>SUM(M907:M917)</f>
        <v>80</v>
      </c>
      <c r="N918" s="25">
        <f>SUM(N907:N917)</f>
        <v>88</v>
      </c>
      <c r="O918" s="26">
        <f t="shared" si="348"/>
        <v>271</v>
      </c>
      <c r="P918" s="24">
        <f>SUM(P907:P917)</f>
        <v>103</v>
      </c>
      <c r="Q918" s="24">
        <f>SUM(Q907:Q917)</f>
        <v>80</v>
      </c>
      <c r="R918" s="25">
        <f>SUM(R907:R917)</f>
        <v>88</v>
      </c>
      <c r="S918" s="26">
        <f t="shared" si="349"/>
        <v>271</v>
      </c>
      <c r="U918" s="23" t="s">
        <v>4</v>
      </c>
      <c r="V918" s="24">
        <f>SUM(V907:V917)</f>
        <v>5</v>
      </c>
      <c r="W918" s="24">
        <f>SUM(W907:W917)</f>
        <v>22</v>
      </c>
      <c r="X918" s="25">
        <f>SUM(X907:X917)</f>
        <v>2</v>
      </c>
      <c r="Y918" s="26">
        <f t="shared" si="350"/>
        <v>29</v>
      </c>
      <c r="Z918" s="24">
        <f>SUM(Z907:Z917)</f>
        <v>5</v>
      </c>
      <c r="AA918" s="24">
        <f>SUM(AA907:AA917)</f>
        <v>22</v>
      </c>
      <c r="AB918" s="25">
        <f>SUM(AB907:AB917)</f>
        <v>2</v>
      </c>
      <c r="AC918" s="26">
        <f t="shared" si="351"/>
        <v>29</v>
      </c>
      <c r="AD918" s="24">
        <f>SUM(AD907:AD917)</f>
        <v>5</v>
      </c>
      <c r="AE918" s="24">
        <f>SUM(AE907:AE917)</f>
        <v>22</v>
      </c>
      <c r="AF918" s="25">
        <f>SUM(AF907:AF917)</f>
        <v>2</v>
      </c>
      <c r="AG918" s="26">
        <f t="shared" si="352"/>
        <v>29</v>
      </c>
    </row>
    <row r="919" spans="1:33">
      <c r="A919" s="3" t="s">
        <v>464</v>
      </c>
      <c r="B919" s="8">
        <v>16</v>
      </c>
      <c r="C919" s="9">
        <v>4</v>
      </c>
      <c r="D919" s="10">
        <v>16</v>
      </c>
      <c r="E919" s="4">
        <f t="shared" si="346"/>
        <v>36</v>
      </c>
      <c r="F919" s="8">
        <v>16</v>
      </c>
      <c r="G919" s="9">
        <v>4</v>
      </c>
      <c r="H919" s="10">
        <v>16</v>
      </c>
      <c r="I919" s="4">
        <f t="shared" si="347"/>
        <v>36</v>
      </c>
      <c r="J919" s="43">
        <v>44499</v>
      </c>
      <c r="K919" s="11" t="s">
        <v>458</v>
      </c>
      <c r="L919" s="8">
        <v>1</v>
      </c>
      <c r="M919" s="9"/>
      <c r="N919" s="10">
        <v>1</v>
      </c>
      <c r="O919" s="7">
        <f t="shared" si="348"/>
        <v>2</v>
      </c>
      <c r="P919" s="8">
        <v>1</v>
      </c>
      <c r="Q919" s="9"/>
      <c r="R919" s="10">
        <v>1</v>
      </c>
      <c r="S919" s="7">
        <f t="shared" si="349"/>
        <v>2</v>
      </c>
      <c r="T919" s="43">
        <v>44481</v>
      </c>
      <c r="U919" s="40"/>
      <c r="V919" s="32"/>
      <c r="W919" s="31"/>
      <c r="X919" s="32"/>
      <c r="Y919" s="4">
        <f t="shared" si="350"/>
        <v>0</v>
      </c>
      <c r="Z919" s="32"/>
      <c r="AA919" s="31"/>
      <c r="AB919" s="32"/>
      <c r="AC919" s="4">
        <f t="shared" si="351"/>
        <v>0</v>
      </c>
      <c r="AD919" s="8"/>
      <c r="AE919" s="9"/>
      <c r="AF919" s="10"/>
      <c r="AG919" s="7">
        <f t="shared" si="352"/>
        <v>0</v>
      </c>
    </row>
    <row r="920" spans="1:33">
      <c r="A920" s="3" t="s">
        <v>465</v>
      </c>
      <c r="B920" s="100">
        <v>4</v>
      </c>
      <c r="C920" s="101">
        <v>1</v>
      </c>
      <c r="D920" s="100">
        <v>2</v>
      </c>
      <c r="E920" s="4">
        <f t="shared" si="346"/>
        <v>7</v>
      </c>
      <c r="F920" s="8">
        <v>4</v>
      </c>
      <c r="G920" s="9">
        <v>1</v>
      </c>
      <c r="H920" s="10">
        <v>2</v>
      </c>
      <c r="I920" s="4">
        <f t="shared" si="347"/>
        <v>7</v>
      </c>
      <c r="J920" s="43">
        <v>44499</v>
      </c>
      <c r="K920" s="11" t="s">
        <v>459</v>
      </c>
      <c r="L920" s="8"/>
      <c r="M920" s="9"/>
      <c r="N920" s="10">
        <v>2</v>
      </c>
      <c r="O920" s="4">
        <f t="shared" si="348"/>
        <v>2</v>
      </c>
      <c r="P920" s="8"/>
      <c r="Q920" s="9"/>
      <c r="R920" s="10">
        <v>2</v>
      </c>
      <c r="S920" s="4">
        <f t="shared" si="349"/>
        <v>2</v>
      </c>
      <c r="T920" s="43">
        <v>44482</v>
      </c>
      <c r="U920" s="40"/>
      <c r="V920" s="8"/>
      <c r="W920" s="9"/>
      <c r="X920" s="10"/>
      <c r="Y920" s="4">
        <f t="shared" si="350"/>
        <v>0</v>
      </c>
      <c r="Z920" s="8"/>
      <c r="AA920" s="9"/>
      <c r="AB920" s="10"/>
      <c r="AC920" s="4">
        <f t="shared" si="351"/>
        <v>0</v>
      </c>
      <c r="AD920" s="8"/>
      <c r="AE920" s="9"/>
      <c r="AF920" s="10"/>
      <c r="AG920" s="4">
        <f t="shared" si="352"/>
        <v>0</v>
      </c>
    </row>
    <row r="921" spans="1:33">
      <c r="A921" s="11" t="s">
        <v>470</v>
      </c>
      <c r="B921" s="8">
        <v>1</v>
      </c>
      <c r="C921" s="9"/>
      <c r="D921" s="10"/>
      <c r="E921" s="7">
        <f t="shared" si="346"/>
        <v>1</v>
      </c>
      <c r="F921" s="8">
        <v>1</v>
      </c>
      <c r="G921" s="9"/>
      <c r="H921" s="10"/>
      <c r="I921" s="7">
        <f t="shared" si="347"/>
        <v>1</v>
      </c>
      <c r="J921" s="43">
        <v>44527</v>
      </c>
      <c r="K921" s="11" t="s">
        <v>460</v>
      </c>
      <c r="L921" s="8"/>
      <c r="M921" s="9"/>
      <c r="N921" s="10">
        <v>2</v>
      </c>
      <c r="O921" s="7">
        <f t="shared" si="348"/>
        <v>2</v>
      </c>
      <c r="P921" s="8"/>
      <c r="Q921" s="9"/>
      <c r="R921" s="10">
        <v>2</v>
      </c>
      <c r="S921" s="7">
        <f t="shared" si="349"/>
        <v>2</v>
      </c>
      <c r="T921" s="43">
        <v>44489</v>
      </c>
      <c r="U921" s="40"/>
      <c r="V921" s="8"/>
      <c r="W921" s="9"/>
      <c r="X921" s="10"/>
      <c r="Y921" s="7">
        <f t="shared" si="350"/>
        <v>0</v>
      </c>
      <c r="Z921" s="8"/>
      <c r="AA921" s="9"/>
      <c r="AB921" s="10"/>
      <c r="AC921" s="7">
        <f t="shared" si="351"/>
        <v>0</v>
      </c>
      <c r="AD921" s="8"/>
      <c r="AE921" s="9"/>
      <c r="AF921" s="10"/>
      <c r="AG921" s="7">
        <f t="shared" si="352"/>
        <v>0</v>
      </c>
    </row>
    <row r="922" spans="1:33">
      <c r="A922" s="11" t="s">
        <v>471</v>
      </c>
      <c r="B922" s="8">
        <v>1</v>
      </c>
      <c r="C922" s="9"/>
      <c r="D922" s="10"/>
      <c r="E922" s="4">
        <f t="shared" si="346"/>
        <v>1</v>
      </c>
      <c r="F922" s="8">
        <v>1</v>
      </c>
      <c r="G922" s="9"/>
      <c r="H922" s="10"/>
      <c r="I922" s="4">
        <f t="shared" si="347"/>
        <v>1</v>
      </c>
      <c r="J922" s="43">
        <v>44531</v>
      </c>
      <c r="K922" s="11" t="s">
        <v>461</v>
      </c>
      <c r="L922" s="8"/>
      <c r="M922" s="9"/>
      <c r="N922" s="10">
        <v>1</v>
      </c>
      <c r="O922" s="4">
        <f t="shared" si="348"/>
        <v>1</v>
      </c>
      <c r="P922" s="8"/>
      <c r="Q922" s="9"/>
      <c r="R922" s="10">
        <v>1</v>
      </c>
      <c r="S922" s="4">
        <f t="shared" si="349"/>
        <v>1</v>
      </c>
      <c r="T922" s="43">
        <v>44490</v>
      </c>
      <c r="U922" s="40"/>
      <c r="V922" s="8"/>
      <c r="W922" s="9"/>
      <c r="X922" s="10"/>
      <c r="Y922" s="4">
        <f t="shared" si="350"/>
        <v>0</v>
      </c>
      <c r="Z922" s="8"/>
      <c r="AA922" s="9"/>
      <c r="AB922" s="10"/>
      <c r="AC922" s="4">
        <f t="shared" si="351"/>
        <v>0</v>
      </c>
      <c r="AD922" s="8"/>
      <c r="AE922" s="9"/>
      <c r="AF922" s="10"/>
      <c r="AG922" s="4">
        <f t="shared" si="352"/>
        <v>0</v>
      </c>
    </row>
    <row r="923" spans="1:33">
      <c r="A923" s="11" t="s">
        <v>473</v>
      </c>
      <c r="B923" s="8"/>
      <c r="C923" s="9">
        <v>1</v>
      </c>
      <c r="D923" s="10"/>
      <c r="E923" s="4">
        <f t="shared" si="346"/>
        <v>1</v>
      </c>
      <c r="F923" s="8"/>
      <c r="G923" s="9">
        <v>1</v>
      </c>
      <c r="H923" s="10"/>
      <c r="I923" s="4">
        <f t="shared" si="347"/>
        <v>1</v>
      </c>
      <c r="J923" s="43">
        <v>44539</v>
      </c>
      <c r="K923" s="11" t="s">
        <v>469</v>
      </c>
      <c r="L923" s="8">
        <v>1</v>
      </c>
      <c r="M923" s="9"/>
      <c r="N923" s="10"/>
      <c r="O923" s="4">
        <f t="shared" si="348"/>
        <v>1</v>
      </c>
      <c r="P923" s="8">
        <v>1</v>
      </c>
      <c r="Q923" s="9"/>
      <c r="R923" s="10"/>
      <c r="S923" s="4">
        <f t="shared" si="349"/>
        <v>1</v>
      </c>
      <c r="T923" s="43">
        <v>44515</v>
      </c>
      <c r="U923" s="3"/>
      <c r="V923" s="8"/>
      <c r="W923" s="9"/>
      <c r="X923" s="10"/>
      <c r="Y923" s="4">
        <f t="shared" si="350"/>
        <v>0</v>
      </c>
      <c r="Z923" s="8"/>
      <c r="AA923" s="9"/>
      <c r="AB923" s="10"/>
      <c r="AC923" s="4">
        <f t="shared" si="351"/>
        <v>0</v>
      </c>
      <c r="AD923" s="8"/>
      <c r="AE923" s="9"/>
      <c r="AF923" s="10"/>
      <c r="AG923" s="4">
        <f t="shared" si="352"/>
        <v>0</v>
      </c>
    </row>
    <row r="924" spans="1:33">
      <c r="A924" s="3" t="s">
        <v>474</v>
      </c>
      <c r="B924" s="8"/>
      <c r="C924" s="9">
        <v>1</v>
      </c>
      <c r="D924" s="10"/>
      <c r="E924" s="7">
        <f t="shared" si="346"/>
        <v>1</v>
      </c>
      <c r="F924" s="8"/>
      <c r="G924" s="9">
        <v>1</v>
      </c>
      <c r="H924" s="10"/>
      <c r="I924" s="7">
        <f t="shared" si="347"/>
        <v>1</v>
      </c>
      <c r="J924" s="49">
        <v>44540</v>
      </c>
      <c r="K924" s="11" t="s">
        <v>472</v>
      </c>
      <c r="L924" s="8"/>
      <c r="M924" s="9">
        <v>1</v>
      </c>
      <c r="N924" s="10"/>
      <c r="O924" s="7">
        <f t="shared" si="348"/>
        <v>1</v>
      </c>
      <c r="P924" s="8"/>
      <c r="Q924" s="9">
        <v>1</v>
      </c>
      <c r="R924" s="10"/>
      <c r="S924" s="7">
        <f t="shared" si="349"/>
        <v>1</v>
      </c>
      <c r="T924" s="43">
        <v>44533</v>
      </c>
      <c r="U924" s="3"/>
      <c r="V924" s="8"/>
      <c r="W924" s="9"/>
      <c r="X924" s="10"/>
      <c r="Y924" s="7">
        <f t="shared" si="350"/>
        <v>0</v>
      </c>
      <c r="Z924" s="8"/>
      <c r="AA924" s="9"/>
      <c r="AB924" s="10"/>
      <c r="AC924" s="7">
        <f t="shared" si="351"/>
        <v>0</v>
      </c>
      <c r="AD924" s="8"/>
      <c r="AE924" s="9"/>
      <c r="AF924" s="10"/>
      <c r="AG924" s="7">
        <f t="shared" si="352"/>
        <v>0</v>
      </c>
    </row>
    <row r="925" spans="1:33">
      <c r="A925" s="3" t="s">
        <v>478</v>
      </c>
      <c r="B925" s="8">
        <v>1</v>
      </c>
      <c r="C925" s="9"/>
      <c r="D925" s="10"/>
      <c r="E925" s="7">
        <f t="shared" si="346"/>
        <v>1</v>
      </c>
      <c r="F925" s="8">
        <v>1</v>
      </c>
      <c r="G925" s="9"/>
      <c r="H925" s="10"/>
      <c r="I925" s="7">
        <f t="shared" si="347"/>
        <v>1</v>
      </c>
      <c r="J925" s="49">
        <v>44575</v>
      </c>
      <c r="K925" s="11" t="s">
        <v>477</v>
      </c>
      <c r="L925" s="8"/>
      <c r="M925" s="9">
        <v>1</v>
      </c>
      <c r="N925" s="10"/>
      <c r="O925" s="7">
        <f t="shared" si="348"/>
        <v>1</v>
      </c>
      <c r="P925" s="8"/>
      <c r="Q925" s="9">
        <v>1</v>
      </c>
      <c r="R925" s="10"/>
      <c r="S925" s="7">
        <f t="shared" si="349"/>
        <v>1</v>
      </c>
      <c r="T925" s="43">
        <v>44607</v>
      </c>
      <c r="U925" s="3"/>
      <c r="V925" s="8"/>
      <c r="W925" s="9"/>
      <c r="X925" s="10"/>
      <c r="Y925" s="7">
        <f t="shared" si="350"/>
        <v>0</v>
      </c>
      <c r="Z925" s="8"/>
      <c r="AA925" s="9"/>
      <c r="AB925" s="10"/>
      <c r="AC925" s="7">
        <f t="shared" si="351"/>
        <v>0</v>
      </c>
      <c r="AD925" s="8"/>
      <c r="AE925" s="9"/>
      <c r="AF925" s="10"/>
      <c r="AG925" s="7">
        <f t="shared" si="352"/>
        <v>0</v>
      </c>
    </row>
    <row r="926" spans="1:33">
      <c r="A926" s="3" t="s">
        <v>476</v>
      </c>
      <c r="B926" s="8">
        <v>1</v>
      </c>
      <c r="C926" s="9"/>
      <c r="D926" s="10"/>
      <c r="E926" s="7">
        <f t="shared" si="346"/>
        <v>1</v>
      </c>
      <c r="F926" s="8">
        <v>1</v>
      </c>
      <c r="G926" s="9"/>
      <c r="H926" s="10"/>
      <c r="I926" s="7">
        <f t="shared" si="347"/>
        <v>1</v>
      </c>
      <c r="J926" s="49">
        <v>44606</v>
      </c>
      <c r="K926" s="11" t="s">
        <v>479</v>
      </c>
      <c r="L926" s="8">
        <v>5</v>
      </c>
      <c r="M926" s="9"/>
      <c r="N926" s="10"/>
      <c r="O926" s="7">
        <f t="shared" si="348"/>
        <v>5</v>
      </c>
      <c r="P926" s="8">
        <v>5</v>
      </c>
      <c r="Q926" s="9"/>
      <c r="R926" s="10"/>
      <c r="S926" s="7">
        <f t="shared" si="349"/>
        <v>5</v>
      </c>
      <c r="T926" s="43">
        <v>44635</v>
      </c>
      <c r="U926" s="3"/>
      <c r="V926" s="8"/>
      <c r="W926" s="9"/>
      <c r="X926" s="10"/>
      <c r="Y926" s="7">
        <f t="shared" si="350"/>
        <v>0</v>
      </c>
      <c r="Z926" s="8"/>
      <c r="AA926" s="9"/>
      <c r="AB926" s="10"/>
      <c r="AC926" s="7">
        <f t="shared" si="351"/>
        <v>0</v>
      </c>
      <c r="AD926" s="8"/>
      <c r="AE926" s="9"/>
      <c r="AF926" s="10"/>
      <c r="AG926" s="7">
        <f t="shared" si="352"/>
        <v>0</v>
      </c>
    </row>
    <row r="927" spans="1:33">
      <c r="A927" s="3" t="s">
        <v>131</v>
      </c>
      <c r="B927" s="8"/>
      <c r="C927" s="9">
        <v>1</v>
      </c>
      <c r="D927" s="10"/>
      <c r="E927" s="7">
        <f t="shared" si="346"/>
        <v>1</v>
      </c>
      <c r="F927" s="8"/>
      <c r="G927" s="9">
        <v>1</v>
      </c>
      <c r="H927" s="10"/>
      <c r="I927" s="7">
        <f t="shared" si="347"/>
        <v>1</v>
      </c>
      <c r="J927" s="49">
        <v>44608</v>
      </c>
      <c r="K927" s="3"/>
      <c r="L927" s="8"/>
      <c r="M927" s="9"/>
      <c r="N927" s="10"/>
      <c r="O927" s="7">
        <f t="shared" si="348"/>
        <v>0</v>
      </c>
      <c r="P927" s="8"/>
      <c r="Q927" s="9"/>
      <c r="R927" s="10"/>
      <c r="S927" s="7">
        <f t="shared" si="349"/>
        <v>0</v>
      </c>
      <c r="T927" s="43"/>
      <c r="U927" s="3"/>
      <c r="V927" s="8"/>
      <c r="W927" s="9"/>
      <c r="X927" s="10"/>
      <c r="Y927" s="7">
        <f t="shared" si="350"/>
        <v>0</v>
      </c>
      <c r="Z927" s="8"/>
      <c r="AA927" s="9"/>
      <c r="AB927" s="10"/>
      <c r="AC927" s="7">
        <f t="shared" si="351"/>
        <v>0</v>
      </c>
      <c r="AD927" s="8"/>
      <c r="AE927" s="9"/>
      <c r="AF927" s="10"/>
      <c r="AG927" s="7">
        <f t="shared" si="352"/>
        <v>0</v>
      </c>
    </row>
    <row r="928" spans="1:33">
      <c r="A928" s="3" t="s">
        <v>484</v>
      </c>
      <c r="B928" s="8">
        <v>1</v>
      </c>
      <c r="C928" s="9"/>
      <c r="D928" s="10"/>
      <c r="E928" s="7">
        <f t="shared" si="346"/>
        <v>1</v>
      </c>
      <c r="F928" s="8">
        <v>1</v>
      </c>
      <c r="G928" s="9"/>
      <c r="H928" s="10"/>
      <c r="I928" s="7">
        <f t="shared" si="347"/>
        <v>1</v>
      </c>
      <c r="J928" s="49">
        <v>44634</v>
      </c>
      <c r="K928" s="3"/>
      <c r="L928" s="8"/>
      <c r="M928" s="9"/>
      <c r="N928" s="10"/>
      <c r="O928" s="7">
        <f t="shared" si="348"/>
        <v>0</v>
      </c>
      <c r="P928" s="8"/>
      <c r="Q928" s="9"/>
      <c r="R928" s="10"/>
      <c r="S928" s="7">
        <f t="shared" si="349"/>
        <v>0</v>
      </c>
      <c r="T928" s="43"/>
      <c r="U928" s="3"/>
      <c r="V928" s="8"/>
      <c r="W928" s="9"/>
      <c r="X928" s="10"/>
      <c r="Y928" s="7">
        <f t="shared" si="350"/>
        <v>0</v>
      </c>
      <c r="Z928" s="8"/>
      <c r="AA928" s="9"/>
      <c r="AB928" s="10"/>
      <c r="AC928" s="7">
        <f t="shared" si="351"/>
        <v>0</v>
      </c>
      <c r="AD928" s="8"/>
      <c r="AE928" s="9"/>
      <c r="AF928" s="10"/>
      <c r="AG928" s="7">
        <f t="shared" si="352"/>
        <v>0</v>
      </c>
    </row>
    <row r="929" spans="1:33">
      <c r="A929" s="3"/>
      <c r="B929" s="8"/>
      <c r="C929" s="9"/>
      <c r="D929" s="10"/>
      <c r="E929" s="7">
        <f t="shared" si="346"/>
        <v>0</v>
      </c>
      <c r="F929" s="8"/>
      <c r="G929" s="9"/>
      <c r="H929" s="10"/>
      <c r="I929" s="7">
        <f t="shared" si="347"/>
        <v>0</v>
      </c>
      <c r="K929" s="3"/>
      <c r="L929" s="30"/>
      <c r="M929" s="9"/>
      <c r="N929" s="10"/>
      <c r="O929" s="7">
        <f t="shared" si="348"/>
        <v>0</v>
      </c>
      <c r="P929" s="8"/>
      <c r="Q929" s="9"/>
      <c r="R929" s="10"/>
      <c r="S929" s="7">
        <f t="shared" si="349"/>
        <v>0</v>
      </c>
      <c r="T929" s="43"/>
      <c r="U929" s="3"/>
      <c r="V929" s="30"/>
      <c r="W929" s="9"/>
      <c r="X929" s="10"/>
      <c r="Y929" s="7">
        <f t="shared" si="350"/>
        <v>0</v>
      </c>
      <c r="Z929" s="8"/>
      <c r="AA929" s="9"/>
      <c r="AB929" s="10"/>
      <c r="AC929" s="7">
        <f t="shared" si="351"/>
        <v>0</v>
      </c>
      <c r="AD929" s="8"/>
      <c r="AE929" s="9"/>
      <c r="AF929" s="10"/>
      <c r="AG929" s="7">
        <f t="shared" si="352"/>
        <v>0</v>
      </c>
    </row>
    <row r="930" spans="1:33">
      <c r="A930" s="3"/>
      <c r="B930" s="8"/>
      <c r="C930" s="9"/>
      <c r="D930" s="10"/>
      <c r="E930" s="7">
        <f t="shared" si="346"/>
        <v>0</v>
      </c>
      <c r="F930" s="8"/>
      <c r="G930" s="9"/>
      <c r="H930" s="10"/>
      <c r="I930" s="7">
        <f t="shared" si="347"/>
        <v>0</v>
      </c>
      <c r="K930" s="3"/>
      <c r="L930" s="8"/>
      <c r="M930" s="9"/>
      <c r="N930" s="10"/>
      <c r="O930" s="7">
        <f t="shared" si="348"/>
        <v>0</v>
      </c>
      <c r="P930" s="8"/>
      <c r="Q930" s="9"/>
      <c r="R930" s="10"/>
      <c r="S930" s="7">
        <f t="shared" si="349"/>
        <v>0</v>
      </c>
      <c r="T930" s="43"/>
      <c r="U930" s="3"/>
      <c r="V930" s="8"/>
      <c r="W930" s="9"/>
      <c r="X930" s="10"/>
      <c r="Y930" s="7">
        <f t="shared" si="350"/>
        <v>0</v>
      </c>
      <c r="Z930" s="8"/>
      <c r="AA930" s="9"/>
      <c r="AB930" s="10"/>
      <c r="AC930" s="7">
        <f t="shared" si="351"/>
        <v>0</v>
      </c>
      <c r="AD930" s="8"/>
      <c r="AE930" s="9"/>
      <c r="AF930" s="10"/>
      <c r="AG930" s="7">
        <f t="shared" si="352"/>
        <v>0</v>
      </c>
    </row>
    <row r="931" spans="1:33">
      <c r="A931" s="3"/>
      <c r="B931" s="8"/>
      <c r="C931" s="9"/>
      <c r="D931" s="10"/>
      <c r="E931" s="7">
        <f t="shared" si="346"/>
        <v>0</v>
      </c>
      <c r="F931" s="8"/>
      <c r="G931" s="9"/>
      <c r="H931" s="10"/>
      <c r="I931" s="7">
        <f t="shared" si="347"/>
        <v>0</v>
      </c>
      <c r="K931" s="3"/>
      <c r="L931" s="8"/>
      <c r="M931" s="9"/>
      <c r="N931" s="10"/>
      <c r="O931" s="7">
        <f t="shared" si="348"/>
        <v>0</v>
      </c>
      <c r="P931" s="8"/>
      <c r="Q931" s="9"/>
      <c r="R931" s="10"/>
      <c r="S931" s="7">
        <f t="shared" si="349"/>
        <v>0</v>
      </c>
      <c r="T931" s="43"/>
      <c r="U931" s="3"/>
      <c r="V931" s="8"/>
      <c r="W931" s="9"/>
      <c r="X931" s="10"/>
      <c r="Y931" s="7">
        <f t="shared" si="350"/>
        <v>0</v>
      </c>
      <c r="Z931" s="8"/>
      <c r="AA931" s="9"/>
      <c r="AB931" s="10"/>
      <c r="AC931" s="7">
        <f t="shared" si="351"/>
        <v>0</v>
      </c>
      <c r="AD931" s="8"/>
      <c r="AE931" s="9"/>
      <c r="AF931" s="10"/>
      <c r="AG931" s="7">
        <f t="shared" si="352"/>
        <v>0</v>
      </c>
    </row>
    <row r="932" spans="1:33">
      <c r="A932" s="3"/>
      <c r="B932" s="8"/>
      <c r="C932" s="9"/>
      <c r="D932" s="10"/>
      <c r="E932" s="7">
        <f t="shared" si="346"/>
        <v>0</v>
      </c>
      <c r="F932" s="8"/>
      <c r="G932" s="9"/>
      <c r="H932" s="10"/>
      <c r="I932" s="7">
        <f t="shared" si="347"/>
        <v>0</v>
      </c>
      <c r="K932" s="3"/>
      <c r="L932" s="8"/>
      <c r="M932" s="9"/>
      <c r="N932" s="10"/>
      <c r="O932" s="7">
        <f t="shared" si="348"/>
        <v>0</v>
      </c>
      <c r="P932" s="8"/>
      <c r="Q932" s="9"/>
      <c r="R932" s="10"/>
      <c r="S932" s="7">
        <f t="shared" si="349"/>
        <v>0</v>
      </c>
      <c r="T932" s="43"/>
      <c r="U932" s="3"/>
      <c r="V932" s="8"/>
      <c r="W932" s="9"/>
      <c r="X932" s="10"/>
      <c r="Y932" s="7">
        <f t="shared" si="350"/>
        <v>0</v>
      </c>
      <c r="Z932" s="8"/>
      <c r="AA932" s="9"/>
      <c r="AB932" s="10"/>
      <c r="AC932" s="7">
        <f t="shared" si="351"/>
        <v>0</v>
      </c>
      <c r="AD932" s="8"/>
      <c r="AE932" s="9"/>
      <c r="AF932" s="10"/>
      <c r="AG932" s="7">
        <f t="shared" si="352"/>
        <v>0</v>
      </c>
    </row>
    <row r="933" spans="1:33">
      <c r="A933" s="3"/>
      <c r="B933" s="8"/>
      <c r="C933" s="9"/>
      <c r="D933" s="10"/>
      <c r="E933" s="7">
        <f t="shared" si="346"/>
        <v>0</v>
      </c>
      <c r="F933" s="8"/>
      <c r="G933" s="9"/>
      <c r="H933" s="10"/>
      <c r="I933" s="7">
        <f t="shared" si="347"/>
        <v>0</v>
      </c>
      <c r="K933" s="3"/>
      <c r="L933" s="8"/>
      <c r="M933" s="9"/>
      <c r="N933" s="10"/>
      <c r="O933" s="7">
        <f t="shared" si="348"/>
        <v>0</v>
      </c>
      <c r="P933" s="8"/>
      <c r="Q933" s="9"/>
      <c r="R933" s="10"/>
      <c r="S933" s="7">
        <f t="shared" si="349"/>
        <v>0</v>
      </c>
      <c r="T933" s="43"/>
      <c r="U933" s="3"/>
      <c r="V933" s="8"/>
      <c r="W933" s="9"/>
      <c r="X933" s="10"/>
      <c r="Y933" s="7">
        <f t="shared" si="350"/>
        <v>0</v>
      </c>
      <c r="Z933" s="8"/>
      <c r="AA933" s="9"/>
      <c r="AB933" s="10"/>
      <c r="AC933" s="7">
        <f t="shared" si="351"/>
        <v>0</v>
      </c>
      <c r="AD933" s="8"/>
      <c r="AE933" s="9"/>
      <c r="AF933" s="10"/>
      <c r="AG933" s="7">
        <f t="shared" si="352"/>
        <v>0</v>
      </c>
    </row>
    <row r="934" spans="1:33">
      <c r="A934" s="3"/>
      <c r="B934" s="8"/>
      <c r="C934" s="9"/>
      <c r="D934" s="10"/>
      <c r="E934" s="7">
        <f t="shared" si="346"/>
        <v>0</v>
      </c>
      <c r="F934" s="8"/>
      <c r="G934" s="9"/>
      <c r="H934" s="10"/>
      <c r="I934" s="7">
        <f t="shared" si="347"/>
        <v>0</v>
      </c>
      <c r="K934" s="3"/>
      <c r="L934" s="8"/>
      <c r="M934" s="9"/>
      <c r="N934" s="10"/>
      <c r="O934" s="7">
        <f t="shared" si="348"/>
        <v>0</v>
      </c>
      <c r="P934" s="8"/>
      <c r="Q934" s="9"/>
      <c r="R934" s="10"/>
      <c r="S934" s="7">
        <f t="shared" si="349"/>
        <v>0</v>
      </c>
      <c r="T934" s="43"/>
      <c r="U934" s="3"/>
      <c r="V934" s="8"/>
      <c r="W934" s="9"/>
      <c r="X934" s="10"/>
      <c r="Y934" s="7">
        <f t="shared" si="350"/>
        <v>0</v>
      </c>
      <c r="Z934" s="8"/>
      <c r="AA934" s="9"/>
      <c r="AB934" s="10"/>
      <c r="AC934" s="7">
        <f t="shared" si="351"/>
        <v>0</v>
      </c>
      <c r="AD934" s="8"/>
      <c r="AE934" s="9"/>
      <c r="AF934" s="10"/>
      <c r="AG934" s="7">
        <f t="shared" si="352"/>
        <v>0</v>
      </c>
    </row>
    <row r="935" spans="1:33">
      <c r="A935" s="3"/>
      <c r="B935" s="8"/>
      <c r="C935" s="9"/>
      <c r="D935" s="10"/>
      <c r="E935" s="7">
        <f t="shared" si="346"/>
        <v>0</v>
      </c>
      <c r="F935" s="8"/>
      <c r="G935" s="9"/>
      <c r="H935" s="10"/>
      <c r="I935" s="7">
        <f t="shared" si="347"/>
        <v>0</v>
      </c>
      <c r="K935" s="3"/>
      <c r="L935" s="8"/>
      <c r="M935" s="9"/>
      <c r="N935" s="10"/>
      <c r="O935" s="7">
        <f t="shared" si="348"/>
        <v>0</v>
      </c>
      <c r="P935" s="8"/>
      <c r="Q935" s="9"/>
      <c r="R935" s="10"/>
      <c r="S935" s="7">
        <f t="shared" si="349"/>
        <v>0</v>
      </c>
      <c r="T935" s="43"/>
      <c r="U935" s="3"/>
      <c r="V935" s="8"/>
      <c r="W935" s="9"/>
      <c r="X935" s="10"/>
      <c r="Y935" s="7">
        <f t="shared" si="350"/>
        <v>0</v>
      </c>
      <c r="Z935" s="8"/>
      <c r="AA935" s="9"/>
      <c r="AB935" s="10"/>
      <c r="AC935" s="7">
        <f t="shared" si="351"/>
        <v>0</v>
      </c>
      <c r="AD935" s="8"/>
      <c r="AE935" s="9"/>
      <c r="AF935" s="10"/>
      <c r="AG935" s="7">
        <f t="shared" si="352"/>
        <v>0</v>
      </c>
    </row>
    <row r="936" spans="1:33">
      <c r="A936" s="3"/>
      <c r="B936" s="8"/>
      <c r="C936" s="9"/>
      <c r="D936" s="10"/>
      <c r="E936" s="7">
        <f t="shared" si="346"/>
        <v>0</v>
      </c>
      <c r="F936" s="8"/>
      <c r="G936" s="9"/>
      <c r="H936" s="10"/>
      <c r="I936" s="7">
        <f t="shared" si="347"/>
        <v>0</v>
      </c>
      <c r="K936" s="3"/>
      <c r="L936" s="8"/>
      <c r="M936" s="9"/>
      <c r="N936" s="10"/>
      <c r="O936" s="7">
        <f t="shared" si="348"/>
        <v>0</v>
      </c>
      <c r="P936" s="8"/>
      <c r="Q936" s="9"/>
      <c r="R936" s="10"/>
      <c r="S936" s="7">
        <f t="shared" si="349"/>
        <v>0</v>
      </c>
      <c r="T936" s="43"/>
      <c r="U936" s="3"/>
      <c r="V936" s="8"/>
      <c r="W936" s="9"/>
      <c r="X936" s="10"/>
      <c r="Y936" s="7">
        <f t="shared" si="350"/>
        <v>0</v>
      </c>
      <c r="Z936" s="8"/>
      <c r="AA936" s="9"/>
      <c r="AB936" s="10"/>
      <c r="AC936" s="7">
        <f t="shared" si="351"/>
        <v>0</v>
      </c>
      <c r="AD936" s="8"/>
      <c r="AE936" s="9"/>
      <c r="AF936" s="10"/>
      <c r="AG936" s="7">
        <f t="shared" si="352"/>
        <v>0</v>
      </c>
    </row>
    <row r="937" spans="1:33">
      <c r="A937" s="11"/>
      <c r="B937" s="8"/>
      <c r="C937" s="9"/>
      <c r="D937" s="10"/>
      <c r="E937" s="7">
        <f t="shared" si="346"/>
        <v>0</v>
      </c>
      <c r="F937" s="8"/>
      <c r="G937" s="9"/>
      <c r="H937" s="10"/>
      <c r="I937" s="7">
        <f t="shared" si="347"/>
        <v>0</v>
      </c>
      <c r="K937" s="3"/>
      <c r="L937" s="8"/>
      <c r="M937" s="9"/>
      <c r="N937" s="10"/>
      <c r="O937" s="7">
        <f t="shared" si="348"/>
        <v>0</v>
      </c>
      <c r="P937" s="8"/>
      <c r="Q937" s="9"/>
      <c r="R937" s="10"/>
      <c r="S937" s="7">
        <f t="shared" si="349"/>
        <v>0</v>
      </c>
      <c r="T937" s="43"/>
      <c r="U937" s="3"/>
      <c r="V937" s="8"/>
      <c r="W937" s="9"/>
      <c r="X937" s="10"/>
      <c r="Y937" s="7">
        <f t="shared" si="350"/>
        <v>0</v>
      </c>
      <c r="Z937" s="8"/>
      <c r="AA937" s="9"/>
      <c r="AB937" s="10"/>
      <c r="AC937" s="7">
        <f t="shared" si="351"/>
        <v>0</v>
      </c>
      <c r="AD937" s="8"/>
      <c r="AE937" s="9"/>
      <c r="AF937" s="10"/>
      <c r="AG937" s="7">
        <f t="shared" si="352"/>
        <v>0</v>
      </c>
    </row>
    <row r="938" spans="1:33">
      <c r="A938" s="11"/>
      <c r="B938" s="8"/>
      <c r="C938" s="9"/>
      <c r="D938" s="10"/>
      <c r="E938" s="7">
        <f t="shared" si="346"/>
        <v>0</v>
      </c>
      <c r="F938" s="8"/>
      <c r="G938" s="9"/>
      <c r="H938" s="10"/>
      <c r="I938" s="7">
        <f t="shared" si="347"/>
        <v>0</v>
      </c>
      <c r="K938" s="11"/>
      <c r="L938" s="8"/>
      <c r="M938" s="9"/>
      <c r="N938" s="10"/>
      <c r="O938" s="7">
        <f t="shared" si="348"/>
        <v>0</v>
      </c>
      <c r="P938" s="8"/>
      <c r="Q938" s="9"/>
      <c r="R938" s="10"/>
      <c r="S938" s="7">
        <f t="shared" si="349"/>
        <v>0</v>
      </c>
      <c r="T938" s="71"/>
      <c r="U938" s="3"/>
      <c r="V938" s="8"/>
      <c r="W938" s="9"/>
      <c r="X938" s="10"/>
      <c r="Y938" s="7">
        <f t="shared" si="350"/>
        <v>0</v>
      </c>
      <c r="Z938" s="8"/>
      <c r="AA938" s="9"/>
      <c r="AB938" s="10"/>
      <c r="AC938" s="7">
        <f t="shared" si="351"/>
        <v>0</v>
      </c>
      <c r="AD938" s="8"/>
      <c r="AE938" s="9"/>
      <c r="AF938" s="10"/>
      <c r="AG938" s="7">
        <f t="shared" si="352"/>
        <v>0</v>
      </c>
    </row>
    <row r="939" spans="1:33">
      <c r="A939" s="11"/>
      <c r="B939" s="8"/>
      <c r="C939" s="9"/>
      <c r="D939" s="10"/>
      <c r="E939" s="7">
        <f t="shared" si="346"/>
        <v>0</v>
      </c>
      <c r="F939" s="8"/>
      <c r="G939" s="9"/>
      <c r="H939" s="10"/>
      <c r="I939" s="7">
        <f t="shared" si="347"/>
        <v>0</v>
      </c>
      <c r="K939" s="11"/>
      <c r="L939" s="8"/>
      <c r="M939" s="9"/>
      <c r="N939" s="10"/>
      <c r="O939" s="7">
        <f t="shared" si="348"/>
        <v>0</v>
      </c>
      <c r="P939" s="8"/>
      <c r="Q939" s="9"/>
      <c r="R939" s="10"/>
      <c r="S939" s="7">
        <f t="shared" si="349"/>
        <v>0</v>
      </c>
      <c r="T939" s="71"/>
      <c r="U939" s="11"/>
      <c r="V939" s="8"/>
      <c r="W939" s="9"/>
      <c r="X939" s="10"/>
      <c r="Y939" s="7">
        <f t="shared" si="350"/>
        <v>0</v>
      </c>
      <c r="Z939" s="8"/>
      <c r="AA939" s="9"/>
      <c r="AB939" s="10"/>
      <c r="AC939" s="7">
        <f t="shared" si="351"/>
        <v>0</v>
      </c>
      <c r="AD939" s="8"/>
      <c r="AE939" s="9"/>
      <c r="AF939" s="10"/>
      <c r="AG939" s="7">
        <f t="shared" si="352"/>
        <v>0</v>
      </c>
    </row>
    <row r="940" spans="1:33">
      <c r="A940" s="11"/>
      <c r="B940" s="8"/>
      <c r="C940" s="9"/>
      <c r="D940" s="10"/>
      <c r="E940" s="7">
        <f t="shared" si="346"/>
        <v>0</v>
      </c>
      <c r="F940" s="8"/>
      <c r="G940" s="9"/>
      <c r="H940" s="10"/>
      <c r="I940" s="7">
        <f t="shared" si="347"/>
        <v>0</v>
      </c>
      <c r="K940" s="11"/>
      <c r="L940" s="8"/>
      <c r="M940" s="9"/>
      <c r="N940" s="10"/>
      <c r="O940" s="7">
        <f t="shared" si="348"/>
        <v>0</v>
      </c>
      <c r="P940" s="8"/>
      <c r="Q940" s="9"/>
      <c r="R940" s="10"/>
      <c r="S940" s="7">
        <f t="shared" si="349"/>
        <v>0</v>
      </c>
      <c r="T940" s="71"/>
      <c r="U940" s="3"/>
      <c r="V940" s="8"/>
      <c r="W940" s="9"/>
      <c r="X940" s="10"/>
      <c r="Y940" s="7">
        <f t="shared" si="350"/>
        <v>0</v>
      </c>
      <c r="Z940" s="8"/>
      <c r="AA940" s="9"/>
      <c r="AB940" s="10"/>
      <c r="AC940" s="7">
        <f t="shared" si="351"/>
        <v>0</v>
      </c>
      <c r="AD940" s="8"/>
      <c r="AE940" s="9"/>
      <c r="AF940" s="10"/>
      <c r="AG940" s="7">
        <f t="shared" si="352"/>
        <v>0</v>
      </c>
    </row>
    <row r="941" spans="1:33">
      <c r="A941" s="11"/>
      <c r="B941" s="8"/>
      <c r="C941" s="9"/>
      <c r="D941" s="10"/>
      <c r="E941" s="7">
        <f t="shared" si="346"/>
        <v>0</v>
      </c>
      <c r="F941" s="8"/>
      <c r="G941" s="9"/>
      <c r="H941" s="10"/>
      <c r="I941" s="7">
        <f t="shared" si="347"/>
        <v>0</v>
      </c>
      <c r="K941" s="11"/>
      <c r="L941" s="8"/>
      <c r="M941" s="9"/>
      <c r="N941" s="10"/>
      <c r="O941" s="7">
        <f t="shared" si="348"/>
        <v>0</v>
      </c>
      <c r="P941" s="8"/>
      <c r="Q941" s="9"/>
      <c r="R941" s="10"/>
      <c r="S941" s="7">
        <f t="shared" si="349"/>
        <v>0</v>
      </c>
      <c r="T941" s="71"/>
      <c r="U941" s="11"/>
      <c r="V941" s="8"/>
      <c r="W941" s="9"/>
      <c r="X941" s="10"/>
      <c r="Y941" s="7">
        <f t="shared" si="350"/>
        <v>0</v>
      </c>
      <c r="Z941" s="8"/>
      <c r="AA941" s="9"/>
      <c r="AB941" s="10"/>
      <c r="AC941" s="7">
        <f t="shared" si="351"/>
        <v>0</v>
      </c>
      <c r="AD941" s="8"/>
      <c r="AE941" s="9"/>
      <c r="AF941" s="10"/>
      <c r="AG941" s="7">
        <f t="shared" si="352"/>
        <v>0</v>
      </c>
    </row>
    <row r="942" spans="1:33" ht="14.25" thickBot="1">
      <c r="A942" s="3"/>
      <c r="B942" s="8"/>
      <c r="C942" s="9"/>
      <c r="D942" s="10"/>
      <c r="E942" s="7">
        <f t="shared" si="346"/>
        <v>0</v>
      </c>
      <c r="F942" s="8"/>
      <c r="G942" s="9"/>
      <c r="H942" s="10"/>
      <c r="I942" s="7">
        <f t="shared" si="347"/>
        <v>0</v>
      </c>
      <c r="K942" s="91"/>
      <c r="L942" s="8"/>
      <c r="M942" s="9"/>
      <c r="N942" s="10"/>
      <c r="O942" s="7">
        <f t="shared" si="348"/>
        <v>0</v>
      </c>
      <c r="P942" s="8"/>
      <c r="Q942" s="9"/>
      <c r="R942" s="10"/>
      <c r="S942" s="7">
        <f t="shared" si="349"/>
        <v>0</v>
      </c>
      <c r="T942" s="71"/>
      <c r="U942" s="3"/>
      <c r="V942" s="8"/>
      <c r="W942" s="9"/>
      <c r="X942" s="10"/>
      <c r="Y942" s="7">
        <f t="shared" si="350"/>
        <v>0</v>
      </c>
      <c r="Z942" s="8"/>
      <c r="AA942" s="9"/>
      <c r="AB942" s="10"/>
      <c r="AC942" s="7">
        <f t="shared" si="351"/>
        <v>0</v>
      </c>
      <c r="AD942" s="8"/>
      <c r="AE942" s="9"/>
      <c r="AF942" s="10"/>
      <c r="AG942" s="7">
        <f t="shared" si="352"/>
        <v>0</v>
      </c>
    </row>
    <row r="943" spans="1:33" ht="14.25" thickBot="1">
      <c r="A943" s="2" t="s">
        <v>5</v>
      </c>
      <c r="B943" s="14">
        <f>SUM(B919:B942)</f>
        <v>25</v>
      </c>
      <c r="C943" s="14">
        <f>SUM(C919:C942)</f>
        <v>8</v>
      </c>
      <c r="D943" s="14">
        <f>SUM(D919:D942)</f>
        <v>18</v>
      </c>
      <c r="E943" s="15">
        <f t="shared" si="346"/>
        <v>51</v>
      </c>
      <c r="F943" s="14">
        <f>SUM(F919:F942)</f>
        <v>25</v>
      </c>
      <c r="G943" s="14">
        <f>SUM(G919:G942)</f>
        <v>8</v>
      </c>
      <c r="H943" s="14">
        <f>SUM(H919:H942)</f>
        <v>18</v>
      </c>
      <c r="I943" s="15">
        <f t="shared" si="347"/>
        <v>51</v>
      </c>
      <c r="K943" s="2" t="s">
        <v>5</v>
      </c>
      <c r="L943" s="14">
        <f>SUM(L919:L942)</f>
        <v>7</v>
      </c>
      <c r="M943" s="14">
        <f>SUM(M919:M942)</f>
        <v>2</v>
      </c>
      <c r="N943" s="14">
        <f>SUM(N919:N942)</f>
        <v>6</v>
      </c>
      <c r="O943" s="15">
        <f t="shared" si="348"/>
        <v>15</v>
      </c>
      <c r="P943" s="14">
        <f>SUM(P919:P942)</f>
        <v>7</v>
      </c>
      <c r="Q943" s="14">
        <f>SUM(Q919:Q942)</f>
        <v>2</v>
      </c>
      <c r="R943" s="14">
        <f>SUM(R919:R942)</f>
        <v>6</v>
      </c>
      <c r="S943" s="15">
        <f t="shared" si="349"/>
        <v>15</v>
      </c>
      <c r="U943" s="2" t="s">
        <v>5</v>
      </c>
      <c r="V943" s="14">
        <f>SUM(V919:V942)</f>
        <v>0</v>
      </c>
      <c r="W943" s="14">
        <f>SUM(W919:W942)</f>
        <v>0</v>
      </c>
      <c r="X943" s="14">
        <f>SUM(X919:X942)</f>
        <v>0</v>
      </c>
      <c r="Y943" s="15">
        <f t="shared" si="350"/>
        <v>0</v>
      </c>
      <c r="Z943" s="14">
        <f>SUM(Z919:Z942)</f>
        <v>0</v>
      </c>
      <c r="AA943" s="14">
        <f>SUM(AA919:AA942)</f>
        <v>0</v>
      </c>
      <c r="AB943" s="14">
        <f>SUM(AB919:AB942)</f>
        <v>0</v>
      </c>
      <c r="AC943" s="15">
        <f t="shared" si="351"/>
        <v>0</v>
      </c>
      <c r="AD943" s="14">
        <f>SUM(AD919:AD942)</f>
        <v>0</v>
      </c>
      <c r="AE943" s="14">
        <f>SUM(AE919:AE942)</f>
        <v>0</v>
      </c>
      <c r="AF943" s="14">
        <f>SUM(AF919:AF942)</f>
        <v>0</v>
      </c>
      <c r="AG943" s="15">
        <f t="shared" si="352"/>
        <v>0</v>
      </c>
    </row>
    <row r="944" spans="1:33" ht="14.25" thickBot="1">
      <c r="A944" s="27" t="s">
        <v>6</v>
      </c>
      <c r="B944" s="28">
        <f>B918-B943</f>
        <v>1</v>
      </c>
      <c r="C944" s="28">
        <f t="shared" ref="C944:E944" si="353">C918-C943</f>
        <v>4</v>
      </c>
      <c r="D944" s="28">
        <f t="shared" si="353"/>
        <v>5</v>
      </c>
      <c r="E944" s="28">
        <f t="shared" si="353"/>
        <v>10</v>
      </c>
      <c r="F944" s="28">
        <f>F918-F943</f>
        <v>1</v>
      </c>
      <c r="G944" s="28">
        <f t="shared" ref="G944:I944" si="354">G918-G943</f>
        <v>4</v>
      </c>
      <c r="H944" s="28">
        <f t="shared" si="354"/>
        <v>5</v>
      </c>
      <c r="I944" s="26">
        <f t="shared" si="354"/>
        <v>10</v>
      </c>
      <c r="K944" s="27" t="s">
        <v>6</v>
      </c>
      <c r="L944" s="28">
        <f>L918-L943</f>
        <v>96</v>
      </c>
      <c r="M944" s="28">
        <f t="shared" ref="M944:O944" si="355">M918-M943</f>
        <v>78</v>
      </c>
      <c r="N944" s="28">
        <f t="shared" si="355"/>
        <v>82</v>
      </c>
      <c r="O944" s="28">
        <f t="shared" si="355"/>
        <v>256</v>
      </c>
      <c r="P944" s="28">
        <f>P918-P943</f>
        <v>96</v>
      </c>
      <c r="Q944" s="28">
        <f t="shared" ref="Q944:S944" si="356">Q918-Q943</f>
        <v>78</v>
      </c>
      <c r="R944" s="28">
        <f t="shared" si="356"/>
        <v>82</v>
      </c>
      <c r="S944" s="26">
        <f t="shared" si="356"/>
        <v>256</v>
      </c>
      <c r="U944" s="27" t="s">
        <v>6</v>
      </c>
      <c r="V944" s="28">
        <f>V918-V943</f>
        <v>5</v>
      </c>
      <c r="W944" s="28">
        <f t="shared" ref="W944:Y944" si="357">W918-W943</f>
        <v>22</v>
      </c>
      <c r="X944" s="28">
        <f t="shared" si="357"/>
        <v>2</v>
      </c>
      <c r="Y944" s="28">
        <f t="shared" si="357"/>
        <v>29</v>
      </c>
      <c r="Z944" s="28">
        <f>Z918-Z943</f>
        <v>5</v>
      </c>
      <c r="AA944" s="28">
        <f t="shared" ref="AA944:AC944" si="358">AA918-AA943</f>
        <v>22</v>
      </c>
      <c r="AB944" s="28">
        <f t="shared" si="358"/>
        <v>2</v>
      </c>
      <c r="AC944" s="26">
        <f t="shared" si="358"/>
        <v>29</v>
      </c>
      <c r="AD944" s="28">
        <f>AD918-AD943</f>
        <v>5</v>
      </c>
      <c r="AE944" s="28">
        <f t="shared" ref="AE944:AG944" si="359">AE918-AE943</f>
        <v>22</v>
      </c>
      <c r="AF944" s="28">
        <f t="shared" si="359"/>
        <v>2</v>
      </c>
      <c r="AG944" s="26">
        <f t="shared" si="359"/>
        <v>29</v>
      </c>
    </row>
    <row r="945" spans="1:34">
      <c r="L945" s="86"/>
      <c r="M945" s="86"/>
      <c r="N945" s="86"/>
      <c r="O945" s="86"/>
    </row>
    <row r="947" spans="1:34" ht="26.25" thickBot="1">
      <c r="A947" s="33" t="s">
        <v>15</v>
      </c>
      <c r="B947" s="34"/>
      <c r="C947" s="34"/>
      <c r="D947" s="34"/>
      <c r="E947" s="34"/>
      <c r="F947" s="35"/>
      <c r="G947" s="35"/>
      <c r="H947" s="35"/>
      <c r="I947" s="35"/>
      <c r="K947" s="33" t="s">
        <v>243</v>
      </c>
      <c r="L947" s="34"/>
      <c r="M947" s="34"/>
      <c r="N947" s="34"/>
      <c r="O947" s="34"/>
      <c r="P947" s="35"/>
      <c r="Q947" s="35"/>
      <c r="R947" s="35"/>
      <c r="S947" s="35"/>
      <c r="U947" s="88" t="s">
        <v>244</v>
      </c>
      <c r="V947" s="89"/>
      <c r="W947" s="89"/>
      <c r="X947" s="89"/>
      <c r="Y947" s="89"/>
      <c r="Z947" s="90"/>
      <c r="AA947" s="90"/>
      <c r="AB947" s="90"/>
      <c r="AC947" s="90"/>
    </row>
    <row r="948" spans="1:34" ht="14.25" thickBot="1">
      <c r="A948" s="1" t="s">
        <v>0</v>
      </c>
      <c r="B948" s="182" t="s">
        <v>17</v>
      </c>
      <c r="C948" s="182"/>
      <c r="D948" s="182"/>
      <c r="E948" s="183"/>
      <c r="F948" s="182" t="s">
        <v>13</v>
      </c>
      <c r="G948" s="182"/>
      <c r="H948" s="182"/>
      <c r="I948" s="183"/>
      <c r="K948" s="1" t="s">
        <v>0</v>
      </c>
      <c r="L948" s="182" t="s">
        <v>17</v>
      </c>
      <c r="M948" s="182"/>
      <c r="N948" s="182"/>
      <c r="O948" s="183"/>
      <c r="P948" s="182" t="s">
        <v>13</v>
      </c>
      <c r="Q948" s="182"/>
      <c r="R948" s="182"/>
      <c r="S948" s="183"/>
      <c r="U948" s="1" t="s">
        <v>0</v>
      </c>
      <c r="V948" s="182" t="s">
        <v>17</v>
      </c>
      <c r="W948" s="182"/>
      <c r="X948" s="182"/>
      <c r="Y948" s="183"/>
      <c r="Z948" s="182" t="s">
        <v>13</v>
      </c>
      <c r="AA948" s="182"/>
      <c r="AB948" s="182"/>
      <c r="AC948" s="183"/>
      <c r="AD948" s="182" t="s">
        <v>242</v>
      </c>
      <c r="AE948" s="182"/>
      <c r="AF948" s="182"/>
      <c r="AG948" s="183"/>
    </row>
    <row r="949" spans="1:34" ht="14.25" thickBot="1">
      <c r="A949" s="1" t="s">
        <v>1</v>
      </c>
      <c r="B949" s="2" t="s">
        <v>8</v>
      </c>
      <c r="C949" s="1" t="s">
        <v>9</v>
      </c>
      <c r="D949" s="19" t="s">
        <v>10</v>
      </c>
      <c r="E949" s="1" t="s">
        <v>2</v>
      </c>
      <c r="F949" s="2" t="s">
        <v>8</v>
      </c>
      <c r="G949" s="1" t="s">
        <v>9</v>
      </c>
      <c r="H949" s="19" t="s">
        <v>10</v>
      </c>
      <c r="I949" s="1" t="s">
        <v>2</v>
      </c>
      <c r="K949" s="1" t="s">
        <v>1</v>
      </c>
      <c r="L949" s="2" t="s">
        <v>8</v>
      </c>
      <c r="M949" s="1" t="s">
        <v>9</v>
      </c>
      <c r="N949" s="19" t="s">
        <v>10</v>
      </c>
      <c r="O949" s="1" t="s">
        <v>2</v>
      </c>
      <c r="P949" s="2" t="s">
        <v>8</v>
      </c>
      <c r="Q949" s="1" t="s">
        <v>9</v>
      </c>
      <c r="R949" s="19" t="s">
        <v>10</v>
      </c>
      <c r="S949" s="1" t="s">
        <v>2</v>
      </c>
      <c r="U949" s="1" t="s">
        <v>1</v>
      </c>
      <c r="V949" s="2" t="s">
        <v>8</v>
      </c>
      <c r="W949" s="1" t="s">
        <v>9</v>
      </c>
      <c r="X949" s="19" t="s">
        <v>10</v>
      </c>
      <c r="Y949" s="1" t="s">
        <v>2</v>
      </c>
      <c r="Z949" s="2" t="s">
        <v>8</v>
      </c>
      <c r="AA949" s="1" t="s">
        <v>9</v>
      </c>
      <c r="AB949" s="19" t="s">
        <v>10</v>
      </c>
      <c r="AC949" s="1" t="s">
        <v>2</v>
      </c>
      <c r="AD949" s="2" t="s">
        <v>8</v>
      </c>
      <c r="AE949" s="1" t="s">
        <v>9</v>
      </c>
      <c r="AF949" s="19" t="s">
        <v>10</v>
      </c>
      <c r="AG949" s="1" t="s">
        <v>2</v>
      </c>
    </row>
    <row r="950" spans="1:34">
      <c r="A950" s="21" t="s">
        <v>7</v>
      </c>
      <c r="B950" s="18">
        <f>B944</f>
        <v>1</v>
      </c>
      <c r="C950" s="22">
        <f>C944</f>
        <v>4</v>
      </c>
      <c r="D950" s="22">
        <f>D944</f>
        <v>5</v>
      </c>
      <c r="E950" s="17">
        <f t="shared" ref="E950:E986" si="360">SUM(B950:D950)</f>
        <v>10</v>
      </c>
      <c r="F950" s="22">
        <f>F944</f>
        <v>1</v>
      </c>
      <c r="G950" s="22">
        <f>G944</f>
        <v>4</v>
      </c>
      <c r="H950" s="22">
        <f>H944</f>
        <v>5</v>
      </c>
      <c r="I950" s="17">
        <f t="shared" ref="I950:I986" si="361">SUM(F950:H950)</f>
        <v>10</v>
      </c>
      <c r="K950" s="21" t="s">
        <v>7</v>
      </c>
      <c r="L950" s="18">
        <f>L944</f>
        <v>96</v>
      </c>
      <c r="M950" s="22">
        <f>M944</f>
        <v>78</v>
      </c>
      <c r="N950" s="22">
        <f>N944</f>
        <v>82</v>
      </c>
      <c r="O950" s="17">
        <f t="shared" ref="O950:O986" si="362">SUM(L950:N950)</f>
        <v>256</v>
      </c>
      <c r="P950" s="22">
        <f>P944</f>
        <v>96</v>
      </c>
      <c r="Q950" s="22">
        <f>Q944</f>
        <v>78</v>
      </c>
      <c r="R950" s="22">
        <f>R944</f>
        <v>82</v>
      </c>
      <c r="S950" s="17">
        <f t="shared" ref="S950:S986" si="363">SUM(P950:R950)</f>
        <v>256</v>
      </c>
      <c r="U950" s="21" t="s">
        <v>7</v>
      </c>
      <c r="V950" s="18">
        <f>V944</f>
        <v>5</v>
      </c>
      <c r="W950" s="22">
        <f>W944</f>
        <v>22</v>
      </c>
      <c r="X950" s="22">
        <f>X944</f>
        <v>2</v>
      </c>
      <c r="Y950" s="17">
        <f t="shared" ref="Y950:Y986" si="364">SUM(V950:X950)</f>
        <v>29</v>
      </c>
      <c r="Z950" s="22">
        <f>Z944</f>
        <v>5</v>
      </c>
      <c r="AA950" s="22">
        <f>AA944</f>
        <v>22</v>
      </c>
      <c r="AB950" s="22">
        <f>AB944</f>
        <v>2</v>
      </c>
      <c r="AC950" s="17">
        <f t="shared" ref="AC950:AC986" si="365">SUM(Z950:AB950)</f>
        <v>29</v>
      </c>
      <c r="AD950" s="22">
        <f>AD944</f>
        <v>5</v>
      </c>
      <c r="AE950" s="22">
        <f>AE944</f>
        <v>22</v>
      </c>
      <c r="AF950" s="22">
        <f>AF944</f>
        <v>2</v>
      </c>
      <c r="AG950" s="17">
        <f t="shared" ref="AG950:AG986" si="366">SUM(AD950:AF950)</f>
        <v>29</v>
      </c>
    </row>
    <row r="951" spans="1:34">
      <c r="A951" s="41" t="s">
        <v>495</v>
      </c>
      <c r="B951" s="8"/>
      <c r="C951" s="9">
        <v>1</v>
      </c>
      <c r="D951" s="10"/>
      <c r="E951" s="7">
        <f t="shared" ref="E951" si="367">SUM(B951:D951)</f>
        <v>1</v>
      </c>
      <c r="F951" s="8"/>
      <c r="G951" s="9">
        <v>1</v>
      </c>
      <c r="H951" s="10"/>
      <c r="I951" s="7">
        <f t="shared" si="361"/>
        <v>1</v>
      </c>
      <c r="J951" s="49">
        <v>44670</v>
      </c>
      <c r="K951" s="5" t="s">
        <v>3</v>
      </c>
      <c r="L951" s="16"/>
      <c r="M951" s="11"/>
      <c r="N951" s="16"/>
      <c r="O951" s="4">
        <f t="shared" si="362"/>
        <v>0</v>
      </c>
      <c r="P951" s="16"/>
      <c r="Q951" s="11"/>
      <c r="R951" s="16"/>
      <c r="S951" s="4">
        <f t="shared" si="363"/>
        <v>0</v>
      </c>
      <c r="T951" s="43"/>
      <c r="U951" s="5" t="s">
        <v>3</v>
      </c>
      <c r="V951" s="16"/>
      <c r="W951" s="11"/>
      <c r="X951" s="16"/>
      <c r="Y951" s="4">
        <f t="shared" si="364"/>
        <v>0</v>
      </c>
      <c r="Z951" s="16"/>
      <c r="AA951" s="11"/>
      <c r="AB951" s="16"/>
      <c r="AC951" s="4">
        <f t="shared" si="365"/>
        <v>0</v>
      </c>
      <c r="AD951" s="16"/>
      <c r="AE951" s="11"/>
      <c r="AF951" s="16"/>
      <c r="AG951" s="4">
        <f t="shared" si="366"/>
        <v>0</v>
      </c>
    </row>
    <row r="952" spans="1:34">
      <c r="A952" s="84" t="s">
        <v>500</v>
      </c>
      <c r="B952" s="30">
        <v>1</v>
      </c>
      <c r="C952" s="31"/>
      <c r="D952" s="32"/>
      <c r="E952" s="4">
        <f t="shared" si="360"/>
        <v>1</v>
      </c>
      <c r="F952" s="30">
        <v>1</v>
      </c>
      <c r="G952" s="31"/>
      <c r="H952" s="32"/>
      <c r="I952" s="4">
        <f t="shared" si="361"/>
        <v>1</v>
      </c>
      <c r="J952" s="43">
        <v>44673</v>
      </c>
      <c r="K952" s="5" t="s">
        <v>265</v>
      </c>
      <c r="L952" s="32">
        <v>150</v>
      </c>
      <c r="M952" s="31">
        <v>220</v>
      </c>
      <c r="N952" s="32">
        <v>170</v>
      </c>
      <c r="O952" s="4">
        <f t="shared" si="362"/>
        <v>540</v>
      </c>
      <c r="P952" s="32">
        <v>150</v>
      </c>
      <c r="Q952" s="31">
        <v>220</v>
      </c>
      <c r="R952" s="32">
        <v>170</v>
      </c>
      <c r="S952" s="4">
        <f t="shared" si="363"/>
        <v>540</v>
      </c>
      <c r="T952" s="43" t="s">
        <v>529</v>
      </c>
      <c r="U952" s="5" t="s">
        <v>480</v>
      </c>
      <c r="V952" s="32">
        <v>60</v>
      </c>
      <c r="W952" s="31">
        <v>80</v>
      </c>
      <c r="X952" s="32">
        <v>50</v>
      </c>
      <c r="Y952" s="4">
        <f t="shared" si="364"/>
        <v>190</v>
      </c>
      <c r="Z952" s="32">
        <v>60</v>
      </c>
      <c r="AA952" s="31">
        <v>80</v>
      </c>
      <c r="AB952" s="32">
        <v>50</v>
      </c>
      <c r="AC952" s="4">
        <f t="shared" si="365"/>
        <v>190</v>
      </c>
      <c r="AD952" s="32">
        <v>60</v>
      </c>
      <c r="AE952" s="31">
        <v>80</v>
      </c>
      <c r="AF952" s="32">
        <v>50</v>
      </c>
      <c r="AG952" s="4">
        <f t="shared" si="366"/>
        <v>190</v>
      </c>
      <c r="AH952" s="71" t="s">
        <v>491</v>
      </c>
    </row>
    <row r="953" spans="1:34">
      <c r="A953" s="5" t="s">
        <v>79</v>
      </c>
      <c r="B953" s="30">
        <v>1</v>
      </c>
      <c r="C953" s="31"/>
      <c r="D953" s="32"/>
      <c r="E953" s="4">
        <f t="shared" si="360"/>
        <v>1</v>
      </c>
      <c r="F953" s="30">
        <v>1</v>
      </c>
      <c r="G953" s="31"/>
      <c r="H953" s="32"/>
      <c r="I953" s="4">
        <f t="shared" si="361"/>
        <v>1</v>
      </c>
      <c r="J953" s="49">
        <v>44690</v>
      </c>
      <c r="K953" s="102" t="s">
        <v>481</v>
      </c>
      <c r="L953" s="103"/>
      <c r="M953" s="97"/>
      <c r="N953" s="98"/>
      <c r="O953" s="65">
        <f t="shared" si="362"/>
        <v>0</v>
      </c>
      <c r="P953" s="103"/>
      <c r="Q953" s="97"/>
      <c r="R953" s="98"/>
      <c r="S953" s="65">
        <f t="shared" si="363"/>
        <v>0</v>
      </c>
      <c r="T953" s="95" t="s">
        <v>482</v>
      </c>
      <c r="U953" s="5" t="s">
        <v>3</v>
      </c>
      <c r="V953" s="30"/>
      <c r="W953" s="31"/>
      <c r="X953" s="32"/>
      <c r="Y953" s="4">
        <f t="shared" si="364"/>
        <v>0</v>
      </c>
      <c r="Z953" s="30"/>
      <c r="AA953" s="31"/>
      <c r="AB953" s="32"/>
      <c r="AC953" s="4">
        <f t="shared" si="365"/>
        <v>0</v>
      </c>
      <c r="AD953" s="30"/>
      <c r="AE953" s="31"/>
      <c r="AF953" s="32"/>
      <c r="AG953" s="4">
        <f t="shared" si="366"/>
        <v>0</v>
      </c>
    </row>
    <row r="954" spans="1:34">
      <c r="A954" s="5" t="s">
        <v>196</v>
      </c>
      <c r="B954" s="16">
        <v>5</v>
      </c>
      <c r="C954" s="11">
        <v>5</v>
      </c>
      <c r="D954" s="16">
        <v>11</v>
      </c>
      <c r="E954" s="4">
        <f t="shared" si="360"/>
        <v>21</v>
      </c>
      <c r="F954" s="16">
        <v>5</v>
      </c>
      <c r="G954" s="11">
        <v>5</v>
      </c>
      <c r="H954" s="16">
        <v>11</v>
      </c>
      <c r="I954" s="4">
        <f t="shared" si="361"/>
        <v>21</v>
      </c>
      <c r="J954" s="49">
        <v>44702</v>
      </c>
      <c r="K954" s="5" t="s">
        <v>3</v>
      </c>
      <c r="L954" s="51"/>
      <c r="M954" s="3"/>
      <c r="N954" s="51"/>
      <c r="O954" s="4">
        <f t="shared" si="362"/>
        <v>0</v>
      </c>
      <c r="P954" s="51"/>
      <c r="Q954" s="3"/>
      <c r="R954" s="51"/>
      <c r="S954" s="4">
        <f t="shared" si="363"/>
        <v>0</v>
      </c>
      <c r="T954" s="43"/>
      <c r="U954" s="5" t="s">
        <v>224</v>
      </c>
      <c r="V954" s="16">
        <v>1</v>
      </c>
      <c r="W954" s="11"/>
      <c r="X954" s="16"/>
      <c r="Y954" s="4">
        <f t="shared" si="364"/>
        <v>1</v>
      </c>
      <c r="Z954" s="16">
        <v>1</v>
      </c>
      <c r="AA954" s="11"/>
      <c r="AB954" s="16"/>
      <c r="AC954" s="4">
        <f t="shared" si="365"/>
        <v>1</v>
      </c>
      <c r="AD954" s="16">
        <v>1</v>
      </c>
      <c r="AE954" s="11"/>
      <c r="AF954" s="16"/>
      <c r="AG954" s="4">
        <f t="shared" si="366"/>
        <v>1</v>
      </c>
      <c r="AH954" s="49">
        <v>44716</v>
      </c>
    </row>
    <row r="955" spans="1:34">
      <c r="A955" s="5" t="s">
        <v>463</v>
      </c>
      <c r="B955" s="16">
        <v>1</v>
      </c>
      <c r="C955" s="11"/>
      <c r="D955" s="16"/>
      <c r="E955" s="4">
        <f t="shared" si="360"/>
        <v>1</v>
      </c>
      <c r="F955" s="16">
        <v>1</v>
      </c>
      <c r="G955" s="11"/>
      <c r="H955" s="16"/>
      <c r="I955" s="4">
        <f t="shared" si="361"/>
        <v>1</v>
      </c>
      <c r="J955" s="49">
        <v>44715</v>
      </c>
      <c r="K955" s="5" t="s">
        <v>224</v>
      </c>
      <c r="L955" s="8"/>
      <c r="M955" s="9"/>
      <c r="N955" s="10">
        <v>10</v>
      </c>
      <c r="O955" s="4">
        <f t="shared" si="362"/>
        <v>10</v>
      </c>
      <c r="P955" s="8"/>
      <c r="Q955" s="9"/>
      <c r="R955" s="10">
        <v>10</v>
      </c>
      <c r="S955" s="7">
        <f t="shared" si="363"/>
        <v>10</v>
      </c>
      <c r="T955" s="43">
        <v>44716</v>
      </c>
      <c r="U955" s="5" t="s">
        <v>3</v>
      </c>
      <c r="V955" s="32"/>
      <c r="W955" s="31"/>
      <c r="X955" s="32"/>
      <c r="Y955" s="4">
        <f t="shared" si="364"/>
        <v>0</v>
      </c>
      <c r="Z955" s="32"/>
      <c r="AA955" s="31"/>
      <c r="AB955" s="32"/>
      <c r="AC955" s="4">
        <f t="shared" si="365"/>
        <v>0</v>
      </c>
      <c r="AD955" s="32"/>
      <c r="AE955" s="31"/>
      <c r="AF955" s="32"/>
      <c r="AG955" s="4">
        <f t="shared" si="366"/>
        <v>0</v>
      </c>
    </row>
    <row r="956" spans="1:34">
      <c r="A956" s="5" t="s">
        <v>3</v>
      </c>
      <c r="B956" s="16">
        <v>5</v>
      </c>
      <c r="C956" s="11"/>
      <c r="D956" s="16"/>
      <c r="E956" s="4">
        <f t="shared" si="360"/>
        <v>5</v>
      </c>
      <c r="F956" s="16">
        <v>5</v>
      </c>
      <c r="G956" s="11"/>
      <c r="H956" s="16"/>
      <c r="I956" s="4">
        <f t="shared" si="361"/>
        <v>5</v>
      </c>
      <c r="J956" s="49">
        <v>44716</v>
      </c>
      <c r="K956" s="5" t="s">
        <v>3</v>
      </c>
      <c r="L956" s="16"/>
      <c r="M956" s="11"/>
      <c r="N956" s="16"/>
      <c r="O956" s="4">
        <f t="shared" si="362"/>
        <v>0</v>
      </c>
      <c r="P956" s="16"/>
      <c r="Q956" s="11"/>
      <c r="R956" s="16"/>
      <c r="S956" s="4">
        <f t="shared" si="363"/>
        <v>0</v>
      </c>
      <c r="T956" s="43"/>
      <c r="U956" s="5" t="s">
        <v>3</v>
      </c>
      <c r="V956" s="16"/>
      <c r="W956" s="11"/>
      <c r="X956" s="16"/>
      <c r="Y956" s="4">
        <f t="shared" si="364"/>
        <v>0</v>
      </c>
      <c r="Z956" s="16"/>
      <c r="AA956" s="11"/>
      <c r="AB956" s="16"/>
      <c r="AC956" s="4">
        <f t="shared" si="365"/>
        <v>0</v>
      </c>
      <c r="AD956" s="16"/>
      <c r="AE956" s="11"/>
      <c r="AF956" s="16"/>
      <c r="AG956" s="4">
        <f t="shared" si="366"/>
        <v>0</v>
      </c>
    </row>
    <row r="957" spans="1:34">
      <c r="A957" s="41" t="s">
        <v>544</v>
      </c>
      <c r="B957" s="8">
        <v>1</v>
      </c>
      <c r="C957" s="9">
        <v>1</v>
      </c>
      <c r="D957" s="10">
        <v>1</v>
      </c>
      <c r="E957" s="4">
        <f t="shared" ref="E957" si="368">SUM(B957:D957)</f>
        <v>3</v>
      </c>
      <c r="F957" s="8">
        <v>1</v>
      </c>
      <c r="G957" s="9">
        <v>1</v>
      </c>
      <c r="H957" s="10">
        <v>1</v>
      </c>
      <c r="I957" s="4">
        <f t="shared" ref="I957" si="369">SUM(F957:H957)</f>
        <v>3</v>
      </c>
      <c r="J957" s="49">
        <v>44732</v>
      </c>
      <c r="K957" s="5" t="s">
        <v>3</v>
      </c>
      <c r="L957" s="32"/>
      <c r="M957" s="31"/>
      <c r="N957" s="32"/>
      <c r="O957" s="4">
        <f t="shared" si="362"/>
        <v>0</v>
      </c>
      <c r="P957" s="32"/>
      <c r="Q957" s="31"/>
      <c r="R957" s="32"/>
      <c r="S957" s="4">
        <f t="shared" si="363"/>
        <v>0</v>
      </c>
      <c r="T957" s="43"/>
      <c r="U957" s="5" t="s">
        <v>3</v>
      </c>
      <c r="V957" s="32"/>
      <c r="W957" s="31"/>
      <c r="X957" s="32"/>
      <c r="Y957" s="4">
        <f t="shared" si="364"/>
        <v>0</v>
      </c>
      <c r="Z957" s="32"/>
      <c r="AA957" s="31"/>
      <c r="AB957" s="32"/>
      <c r="AC957" s="4">
        <f t="shared" si="365"/>
        <v>0</v>
      </c>
      <c r="AD957" s="32"/>
      <c r="AE957" s="31"/>
      <c r="AF957" s="32"/>
      <c r="AG957" s="4">
        <f t="shared" si="366"/>
        <v>0</v>
      </c>
    </row>
    <row r="958" spans="1:34">
      <c r="A958" s="5" t="s">
        <v>3</v>
      </c>
      <c r="B958" s="32"/>
      <c r="C958" s="31"/>
      <c r="D958" s="32"/>
      <c r="E958" s="4">
        <f t="shared" si="360"/>
        <v>0</v>
      </c>
      <c r="F958" s="32"/>
      <c r="G958" s="31"/>
      <c r="H958" s="32"/>
      <c r="I958" s="4">
        <f t="shared" si="361"/>
        <v>0</v>
      </c>
      <c r="K958" s="5" t="s">
        <v>3</v>
      </c>
      <c r="L958" s="32"/>
      <c r="M958" s="31"/>
      <c r="N958" s="32"/>
      <c r="O958" s="4">
        <f t="shared" si="362"/>
        <v>0</v>
      </c>
      <c r="P958" s="32"/>
      <c r="Q958" s="31"/>
      <c r="R958" s="32"/>
      <c r="S958" s="4">
        <f t="shared" si="363"/>
        <v>0</v>
      </c>
      <c r="T958" s="43"/>
      <c r="U958" s="5" t="s">
        <v>3</v>
      </c>
      <c r="V958" s="32"/>
      <c r="W958" s="31"/>
      <c r="X958" s="32"/>
      <c r="Y958" s="4">
        <f t="shared" si="364"/>
        <v>0</v>
      </c>
      <c r="Z958" s="32"/>
      <c r="AA958" s="31"/>
      <c r="AB958" s="32"/>
      <c r="AC958" s="4">
        <f t="shared" si="365"/>
        <v>0</v>
      </c>
      <c r="AD958" s="32"/>
      <c r="AE958" s="31"/>
      <c r="AF958" s="32"/>
      <c r="AG958" s="4">
        <f t="shared" si="366"/>
        <v>0</v>
      </c>
    </row>
    <row r="959" spans="1:34">
      <c r="A959" s="5" t="s">
        <v>3</v>
      </c>
      <c r="B959" s="30"/>
      <c r="C959" s="31"/>
      <c r="D959" s="32"/>
      <c r="E959" s="4">
        <f t="shared" si="360"/>
        <v>0</v>
      </c>
      <c r="F959" s="30"/>
      <c r="G959" s="31"/>
      <c r="H959" s="32"/>
      <c r="I959" s="4">
        <f t="shared" si="361"/>
        <v>0</v>
      </c>
      <c r="K959" s="5" t="s">
        <v>3</v>
      </c>
      <c r="L959" s="32"/>
      <c r="M959" s="31"/>
      <c r="N959" s="32"/>
      <c r="O959" s="4">
        <f t="shared" si="362"/>
        <v>0</v>
      </c>
      <c r="P959" s="32"/>
      <c r="Q959" s="31"/>
      <c r="R959" s="32"/>
      <c r="S959" s="4">
        <f t="shared" si="363"/>
        <v>0</v>
      </c>
      <c r="T959" s="43"/>
      <c r="U959" s="5" t="s">
        <v>3</v>
      </c>
      <c r="V959" s="30"/>
      <c r="W959" s="31"/>
      <c r="X959" s="32"/>
      <c r="Y959" s="4">
        <f t="shared" si="364"/>
        <v>0</v>
      </c>
      <c r="Z959" s="30"/>
      <c r="AA959" s="31"/>
      <c r="AB959" s="32"/>
      <c r="AC959" s="4">
        <f t="shared" si="365"/>
        <v>0</v>
      </c>
      <c r="AD959" s="30"/>
      <c r="AE959" s="31"/>
      <c r="AF959" s="32"/>
      <c r="AG959" s="4">
        <f t="shared" si="366"/>
        <v>0</v>
      </c>
    </row>
    <row r="960" spans="1:34" ht="14.25" thickBot="1">
      <c r="A960" s="6" t="s">
        <v>3</v>
      </c>
      <c r="B960" s="36"/>
      <c r="C960" s="37"/>
      <c r="D960" s="36"/>
      <c r="E960" s="20">
        <f t="shared" si="360"/>
        <v>0</v>
      </c>
      <c r="F960" s="13"/>
      <c r="G960" s="12"/>
      <c r="H960" s="13"/>
      <c r="I960" s="20">
        <f t="shared" si="361"/>
        <v>0</v>
      </c>
      <c r="K960" s="6" t="s">
        <v>3</v>
      </c>
      <c r="L960" s="36"/>
      <c r="M960" s="37"/>
      <c r="N960" s="36"/>
      <c r="O960" s="20">
        <f t="shared" si="362"/>
        <v>0</v>
      </c>
      <c r="P960" s="13"/>
      <c r="Q960" s="12"/>
      <c r="R960" s="13"/>
      <c r="S960" s="20">
        <f t="shared" si="363"/>
        <v>0</v>
      </c>
      <c r="T960" s="43"/>
      <c r="U960" s="6" t="s">
        <v>3</v>
      </c>
      <c r="V960" s="13"/>
      <c r="W960" s="12"/>
      <c r="X960" s="13"/>
      <c r="Y960" s="20">
        <f t="shared" si="364"/>
        <v>0</v>
      </c>
      <c r="Z960" s="13"/>
      <c r="AA960" s="12"/>
      <c r="AB960" s="13"/>
      <c r="AC960" s="20">
        <f t="shared" si="365"/>
        <v>0</v>
      </c>
      <c r="AD960" s="13"/>
      <c r="AE960" s="12"/>
      <c r="AF960" s="13"/>
      <c r="AG960" s="20">
        <f t="shared" si="366"/>
        <v>0</v>
      </c>
    </row>
    <row r="961" spans="1:34" ht="14.25" thickBot="1">
      <c r="A961" s="23" t="s">
        <v>4</v>
      </c>
      <c r="B961" s="24">
        <f>SUM(B950:B960)</f>
        <v>15</v>
      </c>
      <c r="C961" s="24">
        <f>SUM(C950:C960)</f>
        <v>11</v>
      </c>
      <c r="D961" s="25">
        <f>SUM(D950:D960)</f>
        <v>17</v>
      </c>
      <c r="E961" s="26">
        <f t="shared" si="360"/>
        <v>43</v>
      </c>
      <c r="F961" s="24">
        <f>SUM(F950:F960)</f>
        <v>15</v>
      </c>
      <c r="G961" s="24">
        <f>SUM(G950:G960)</f>
        <v>11</v>
      </c>
      <c r="H961" s="25">
        <f>SUM(H950:H960)</f>
        <v>17</v>
      </c>
      <c r="I961" s="26">
        <f t="shared" si="361"/>
        <v>43</v>
      </c>
      <c r="K961" s="23" t="s">
        <v>4</v>
      </c>
      <c r="L961" s="24">
        <f>SUM(L950:L960)</f>
        <v>246</v>
      </c>
      <c r="M961" s="24">
        <f>SUM(M950:M960)</f>
        <v>298</v>
      </c>
      <c r="N961" s="25">
        <f>SUM(N950:N960)</f>
        <v>262</v>
      </c>
      <c r="O961" s="26">
        <f t="shared" si="362"/>
        <v>806</v>
      </c>
      <c r="P961" s="24">
        <f>SUM(P950:P960)</f>
        <v>246</v>
      </c>
      <c r="Q961" s="24">
        <f>SUM(Q950:Q960)</f>
        <v>298</v>
      </c>
      <c r="R961" s="25">
        <f>SUM(R950:R960)</f>
        <v>262</v>
      </c>
      <c r="S961" s="26">
        <f t="shared" si="363"/>
        <v>806</v>
      </c>
      <c r="U961" s="23" t="s">
        <v>4</v>
      </c>
      <c r="V961" s="24">
        <f>SUM(V950:V960)</f>
        <v>66</v>
      </c>
      <c r="W961" s="24">
        <f>SUM(W950:W960)</f>
        <v>102</v>
      </c>
      <c r="X961" s="25">
        <f>SUM(X950:X960)</f>
        <v>52</v>
      </c>
      <c r="Y961" s="26">
        <f t="shared" si="364"/>
        <v>220</v>
      </c>
      <c r="Z961" s="24">
        <f>SUM(Z950:Z960)</f>
        <v>66</v>
      </c>
      <c r="AA961" s="24">
        <f>SUM(AA950:AA960)</f>
        <v>102</v>
      </c>
      <c r="AB961" s="25">
        <f>SUM(AB950:AB960)</f>
        <v>52</v>
      </c>
      <c r="AC961" s="26">
        <f t="shared" si="365"/>
        <v>220</v>
      </c>
      <c r="AD961" s="24">
        <f>SUM(AD950:AD960)</f>
        <v>66</v>
      </c>
      <c r="AE961" s="24">
        <f>SUM(AE950:AE960)</f>
        <v>102</v>
      </c>
      <c r="AF961" s="25">
        <f>SUM(AF950:AF960)</f>
        <v>52</v>
      </c>
      <c r="AG961" s="26">
        <f t="shared" si="366"/>
        <v>220</v>
      </c>
    </row>
    <row r="962" spans="1:34">
      <c r="A962" s="3" t="s">
        <v>496</v>
      </c>
      <c r="B962" s="8"/>
      <c r="C962" s="9">
        <v>1</v>
      </c>
      <c r="D962" s="10"/>
      <c r="E962" s="4">
        <f t="shared" si="360"/>
        <v>1</v>
      </c>
      <c r="F962" s="8"/>
      <c r="G962" s="9">
        <v>1</v>
      </c>
      <c r="H962" s="10"/>
      <c r="I962" s="4">
        <f t="shared" si="361"/>
        <v>1</v>
      </c>
      <c r="J962" s="43">
        <v>44671</v>
      </c>
      <c r="K962" s="11" t="s">
        <v>503</v>
      </c>
      <c r="L962" s="8">
        <v>1</v>
      </c>
      <c r="M962" s="9"/>
      <c r="N962" s="10"/>
      <c r="O962" s="7">
        <f t="shared" si="362"/>
        <v>1</v>
      </c>
      <c r="P962" s="8">
        <v>1</v>
      </c>
      <c r="Q962" s="9"/>
      <c r="R962" s="10"/>
      <c r="S962" s="7">
        <f t="shared" si="363"/>
        <v>1</v>
      </c>
      <c r="T962" s="43">
        <v>44691</v>
      </c>
      <c r="U962" s="3" t="s">
        <v>490</v>
      </c>
      <c r="V962" s="61">
        <v>14</v>
      </c>
      <c r="W962" s="60">
        <v>18</v>
      </c>
      <c r="X962" s="61">
        <v>11</v>
      </c>
      <c r="Y962" s="4">
        <f t="shared" si="364"/>
        <v>43</v>
      </c>
      <c r="Z962" s="61">
        <v>14</v>
      </c>
      <c r="AA962" s="60">
        <v>18</v>
      </c>
      <c r="AB962" s="61">
        <v>11</v>
      </c>
      <c r="AC962" s="4">
        <f t="shared" si="365"/>
        <v>43</v>
      </c>
      <c r="AD962" s="8">
        <v>14</v>
      </c>
      <c r="AE962" s="9">
        <v>18</v>
      </c>
      <c r="AF962" s="10">
        <v>11</v>
      </c>
      <c r="AG962" s="7">
        <f t="shared" si="366"/>
        <v>43</v>
      </c>
      <c r="AH962" s="43">
        <v>44659</v>
      </c>
    </row>
    <row r="963" spans="1:34">
      <c r="A963" s="3" t="s">
        <v>499</v>
      </c>
      <c r="B963" s="8">
        <v>1</v>
      </c>
      <c r="C963" s="9"/>
      <c r="D963" s="10"/>
      <c r="E963" s="4">
        <f t="shared" si="360"/>
        <v>1</v>
      </c>
      <c r="F963" s="8">
        <v>1</v>
      </c>
      <c r="G963" s="9"/>
      <c r="H963" s="10"/>
      <c r="I963" s="4">
        <f t="shared" si="361"/>
        <v>1</v>
      </c>
      <c r="J963" s="43">
        <v>44676</v>
      </c>
      <c r="K963" s="11" t="s">
        <v>505</v>
      </c>
      <c r="L963" s="8">
        <v>1</v>
      </c>
      <c r="M963" s="9">
        <v>2</v>
      </c>
      <c r="N963" s="10"/>
      <c r="O963" s="4">
        <f t="shared" si="362"/>
        <v>3</v>
      </c>
      <c r="P963" s="8">
        <v>1</v>
      </c>
      <c r="Q963" s="9">
        <v>2</v>
      </c>
      <c r="R963" s="10"/>
      <c r="S963" s="4">
        <f t="shared" si="363"/>
        <v>3</v>
      </c>
      <c r="T963" s="43">
        <v>44694</v>
      </c>
      <c r="U963" s="3" t="s">
        <v>498</v>
      </c>
      <c r="V963" s="8">
        <v>8</v>
      </c>
      <c r="W963" s="9"/>
      <c r="X963" s="10">
        <v>4</v>
      </c>
      <c r="Y963" s="4">
        <f t="shared" si="364"/>
        <v>12</v>
      </c>
      <c r="Z963" s="8">
        <v>8</v>
      </c>
      <c r="AA963" s="9"/>
      <c r="AB963" s="10">
        <v>4</v>
      </c>
      <c r="AC963" s="4">
        <f t="shared" si="365"/>
        <v>12</v>
      </c>
      <c r="AD963" s="8">
        <v>8</v>
      </c>
      <c r="AE963" s="9"/>
      <c r="AF963" s="10">
        <v>4</v>
      </c>
      <c r="AG963" s="4">
        <f t="shared" si="366"/>
        <v>12</v>
      </c>
      <c r="AH963" s="43">
        <v>44676</v>
      </c>
    </row>
    <row r="964" spans="1:34">
      <c r="A964" s="3" t="s">
        <v>504</v>
      </c>
      <c r="B964" s="8">
        <v>1</v>
      </c>
      <c r="C964" s="9"/>
      <c r="D964" s="10"/>
      <c r="E964" s="7">
        <f t="shared" si="360"/>
        <v>1</v>
      </c>
      <c r="F964" s="8">
        <v>1</v>
      </c>
      <c r="G964" s="9"/>
      <c r="H964" s="10"/>
      <c r="I964" s="7">
        <f t="shared" si="361"/>
        <v>1</v>
      </c>
      <c r="J964" s="43">
        <v>44690</v>
      </c>
      <c r="K964" s="11" t="s">
        <v>506</v>
      </c>
      <c r="L964" s="8">
        <v>7</v>
      </c>
      <c r="M964" s="9"/>
      <c r="N964" s="10">
        <v>7</v>
      </c>
      <c r="O964" s="7">
        <f t="shared" si="362"/>
        <v>14</v>
      </c>
      <c r="P964" s="8">
        <v>7</v>
      </c>
      <c r="Q964" s="9"/>
      <c r="R964" s="10">
        <v>7</v>
      </c>
      <c r="S964" s="7">
        <f t="shared" si="363"/>
        <v>14</v>
      </c>
      <c r="T964" s="43">
        <v>44694</v>
      </c>
      <c r="U964" s="3" t="s">
        <v>501</v>
      </c>
      <c r="V964" s="8">
        <v>26</v>
      </c>
      <c r="W964" s="9">
        <v>18</v>
      </c>
      <c r="X964" s="10">
        <v>16</v>
      </c>
      <c r="Y964" s="4">
        <f t="shared" ref="Y964" si="370">SUM(V964:X964)</f>
        <v>60</v>
      </c>
      <c r="Z964" s="8">
        <v>26</v>
      </c>
      <c r="AA964" s="9">
        <v>18</v>
      </c>
      <c r="AB964" s="10">
        <v>16</v>
      </c>
      <c r="AC964" s="4">
        <f t="shared" ref="AC964" si="371">SUM(Z964:AB964)</f>
        <v>60</v>
      </c>
      <c r="AD964" s="8">
        <v>26</v>
      </c>
      <c r="AE964" s="9">
        <v>18</v>
      </c>
      <c r="AF964" s="10">
        <v>16</v>
      </c>
      <c r="AG964" s="4">
        <f t="shared" ref="AG964" si="372">SUM(AD964:AF964)</f>
        <v>60</v>
      </c>
      <c r="AH964" s="43">
        <v>44683</v>
      </c>
    </row>
    <row r="965" spans="1:34">
      <c r="A965" s="11" t="s">
        <v>509</v>
      </c>
      <c r="B965" s="8"/>
      <c r="C965" s="9">
        <v>1</v>
      </c>
      <c r="D965" s="10"/>
      <c r="E965" s="4">
        <f t="shared" si="360"/>
        <v>1</v>
      </c>
      <c r="F965" s="8"/>
      <c r="G965" s="9">
        <v>1</v>
      </c>
      <c r="H965" s="10"/>
      <c r="I965" s="4">
        <f t="shared" si="361"/>
        <v>1</v>
      </c>
      <c r="J965" s="43">
        <v>44698</v>
      </c>
      <c r="K965" s="11" t="s">
        <v>507</v>
      </c>
      <c r="L965" s="8">
        <v>1</v>
      </c>
      <c r="M965" s="9">
        <v>5</v>
      </c>
      <c r="N965" s="10">
        <v>3</v>
      </c>
      <c r="O965" s="4">
        <f t="shared" si="362"/>
        <v>9</v>
      </c>
      <c r="P965" s="8">
        <v>1</v>
      </c>
      <c r="Q965" s="9">
        <v>5</v>
      </c>
      <c r="R965" s="10">
        <v>3</v>
      </c>
      <c r="S965" s="4">
        <f t="shared" si="363"/>
        <v>9</v>
      </c>
      <c r="T965" s="43">
        <v>44694</v>
      </c>
      <c r="U965" s="40"/>
      <c r="V965" s="8"/>
      <c r="W965" s="9"/>
      <c r="X965" s="10"/>
      <c r="Y965" s="4">
        <f t="shared" si="364"/>
        <v>0</v>
      </c>
      <c r="Z965" s="8"/>
      <c r="AA965" s="9"/>
      <c r="AB965" s="10"/>
      <c r="AC965" s="4">
        <f t="shared" si="365"/>
        <v>0</v>
      </c>
      <c r="AD965" s="8"/>
      <c r="AE965" s="9"/>
      <c r="AF965" s="10"/>
      <c r="AG965" s="4">
        <f t="shared" si="366"/>
        <v>0</v>
      </c>
    </row>
    <row r="966" spans="1:34">
      <c r="A966" s="3" t="s">
        <v>521</v>
      </c>
      <c r="B966" s="8">
        <v>1</v>
      </c>
      <c r="C966" s="9">
        <v>1</v>
      </c>
      <c r="D966" s="10">
        <v>1</v>
      </c>
      <c r="E966" s="4">
        <f t="shared" si="360"/>
        <v>3</v>
      </c>
      <c r="F966" s="8">
        <v>1</v>
      </c>
      <c r="G966" s="9">
        <v>1</v>
      </c>
      <c r="H966" s="10">
        <v>1</v>
      </c>
      <c r="I966" s="4">
        <f t="shared" si="361"/>
        <v>3</v>
      </c>
      <c r="J966" s="49">
        <v>44711</v>
      </c>
      <c r="K966" s="11" t="s">
        <v>508</v>
      </c>
      <c r="L966" s="8">
        <v>3</v>
      </c>
      <c r="M966" s="9">
        <v>4</v>
      </c>
      <c r="N966" s="10">
        <v>1</v>
      </c>
      <c r="O966" s="4">
        <f t="shared" si="362"/>
        <v>8</v>
      </c>
      <c r="P966" s="8">
        <v>3</v>
      </c>
      <c r="Q966" s="9">
        <v>4</v>
      </c>
      <c r="R966" s="10">
        <v>1</v>
      </c>
      <c r="S966" s="4">
        <f t="shared" si="363"/>
        <v>8</v>
      </c>
      <c r="T966" s="43">
        <v>44697</v>
      </c>
      <c r="U966" s="3"/>
      <c r="V966" s="8"/>
      <c r="W966" s="9"/>
      <c r="X966" s="10"/>
      <c r="Y966" s="4">
        <f t="shared" si="364"/>
        <v>0</v>
      </c>
      <c r="Z966" s="8"/>
      <c r="AA966" s="9"/>
      <c r="AB966" s="10"/>
      <c r="AC966" s="4">
        <f t="shared" si="365"/>
        <v>0</v>
      </c>
      <c r="AD966" s="8"/>
      <c r="AE966" s="9"/>
      <c r="AF966" s="10"/>
      <c r="AG966" s="4">
        <f t="shared" si="366"/>
        <v>0</v>
      </c>
    </row>
    <row r="967" spans="1:34">
      <c r="A967" s="3" t="s">
        <v>526</v>
      </c>
      <c r="B967" s="8">
        <v>1</v>
      </c>
      <c r="C967" s="9"/>
      <c r="D967" s="10">
        <v>10</v>
      </c>
      <c r="E967" s="7">
        <f t="shared" si="360"/>
        <v>11</v>
      </c>
      <c r="F967" s="8">
        <v>1</v>
      </c>
      <c r="G967" s="9"/>
      <c r="H967" s="10">
        <v>10</v>
      </c>
      <c r="I967" s="7">
        <f t="shared" si="361"/>
        <v>11</v>
      </c>
      <c r="J967" s="43">
        <v>44716</v>
      </c>
      <c r="K967" s="11" t="s">
        <v>510</v>
      </c>
      <c r="L967" s="8">
        <v>1</v>
      </c>
      <c r="M967" s="9">
        <v>6</v>
      </c>
      <c r="N967" s="10">
        <v>10</v>
      </c>
      <c r="O967" s="7">
        <f t="shared" si="362"/>
        <v>17</v>
      </c>
      <c r="P967" s="8">
        <v>1</v>
      </c>
      <c r="Q967" s="9">
        <v>6</v>
      </c>
      <c r="R967" s="10">
        <v>10</v>
      </c>
      <c r="S967" s="7">
        <f t="shared" si="363"/>
        <v>17</v>
      </c>
      <c r="T967" s="43">
        <v>44698</v>
      </c>
      <c r="U967" s="3"/>
      <c r="V967" s="8"/>
      <c r="W967" s="9"/>
      <c r="X967" s="10"/>
      <c r="Y967" s="7">
        <f t="shared" si="364"/>
        <v>0</v>
      </c>
      <c r="Z967" s="8"/>
      <c r="AA967" s="9"/>
      <c r="AB967" s="10"/>
      <c r="AC967" s="7">
        <f t="shared" si="365"/>
        <v>0</v>
      </c>
      <c r="AD967" s="8"/>
      <c r="AE967" s="9"/>
      <c r="AF967" s="10"/>
      <c r="AG967" s="7">
        <f t="shared" si="366"/>
        <v>0</v>
      </c>
    </row>
    <row r="968" spans="1:34">
      <c r="A968" s="3" t="s">
        <v>530</v>
      </c>
      <c r="B968" s="8">
        <v>1</v>
      </c>
      <c r="C968" s="9">
        <v>1</v>
      </c>
      <c r="D968" s="10"/>
      <c r="E968" s="7">
        <f t="shared" si="360"/>
        <v>2</v>
      </c>
      <c r="F968" s="8">
        <v>1</v>
      </c>
      <c r="G968" s="9">
        <v>1</v>
      </c>
      <c r="H968" s="10"/>
      <c r="I968" s="7">
        <f t="shared" si="361"/>
        <v>2</v>
      </c>
      <c r="J968" s="49">
        <v>44715</v>
      </c>
      <c r="K968" s="11" t="s">
        <v>511</v>
      </c>
      <c r="L968" s="8">
        <v>4</v>
      </c>
      <c r="M968" s="9">
        <v>4</v>
      </c>
      <c r="N968" s="10">
        <v>3</v>
      </c>
      <c r="O968" s="7">
        <f t="shared" si="362"/>
        <v>11</v>
      </c>
      <c r="P968" s="8">
        <v>4</v>
      </c>
      <c r="Q968" s="9">
        <v>4</v>
      </c>
      <c r="R968" s="10">
        <v>3</v>
      </c>
      <c r="S968" s="7">
        <f t="shared" si="363"/>
        <v>11</v>
      </c>
      <c r="T968" s="43">
        <v>44699</v>
      </c>
      <c r="U968" s="3"/>
      <c r="V968" s="8"/>
      <c r="W968" s="9"/>
      <c r="X968" s="10"/>
      <c r="Y968" s="7">
        <f t="shared" si="364"/>
        <v>0</v>
      </c>
      <c r="Z968" s="8"/>
      <c r="AA968" s="9"/>
      <c r="AB968" s="10"/>
      <c r="AC968" s="7">
        <f t="shared" si="365"/>
        <v>0</v>
      </c>
      <c r="AD968" s="8"/>
      <c r="AE968" s="9"/>
      <c r="AF968" s="10"/>
      <c r="AG968" s="7">
        <f t="shared" si="366"/>
        <v>0</v>
      </c>
    </row>
    <row r="969" spans="1:34">
      <c r="A969" s="3" t="s">
        <v>530</v>
      </c>
      <c r="B969" s="8">
        <v>2</v>
      </c>
      <c r="C969" s="9"/>
      <c r="D969" s="10"/>
      <c r="E969" s="7">
        <f t="shared" si="360"/>
        <v>2</v>
      </c>
      <c r="F969" s="8">
        <v>2</v>
      </c>
      <c r="G969" s="9"/>
      <c r="H969" s="10"/>
      <c r="I969" s="7">
        <f t="shared" si="361"/>
        <v>2</v>
      </c>
      <c r="J969" s="49">
        <v>44715</v>
      </c>
      <c r="K969" s="11" t="s">
        <v>516</v>
      </c>
      <c r="L969" s="8">
        <v>1</v>
      </c>
      <c r="M969" s="9">
        <v>3</v>
      </c>
      <c r="N969" s="10"/>
      <c r="O969" s="7">
        <f t="shared" si="362"/>
        <v>4</v>
      </c>
      <c r="P969" s="8">
        <v>1</v>
      </c>
      <c r="Q969" s="9">
        <v>3</v>
      </c>
      <c r="R969" s="10"/>
      <c r="S969" s="7">
        <f t="shared" si="363"/>
        <v>4</v>
      </c>
      <c r="T969" s="43">
        <v>44704</v>
      </c>
      <c r="U969" s="3"/>
      <c r="V969" s="8"/>
      <c r="W969" s="9"/>
      <c r="X969" s="10"/>
      <c r="Y969" s="7">
        <f t="shared" si="364"/>
        <v>0</v>
      </c>
      <c r="Z969" s="8"/>
      <c r="AA969" s="9"/>
      <c r="AB969" s="10"/>
      <c r="AC969" s="7">
        <f t="shared" si="365"/>
        <v>0</v>
      </c>
      <c r="AD969" s="8"/>
      <c r="AE969" s="9"/>
      <c r="AF969" s="10"/>
      <c r="AG969" s="7">
        <f t="shared" si="366"/>
        <v>0</v>
      </c>
    </row>
    <row r="970" spans="1:34">
      <c r="A970" s="3"/>
      <c r="B970" s="8"/>
      <c r="C970" s="9"/>
      <c r="D970" s="10"/>
      <c r="E970" s="7">
        <f t="shared" si="360"/>
        <v>0</v>
      </c>
      <c r="F970" s="8"/>
      <c r="G970" s="9"/>
      <c r="H970" s="10"/>
      <c r="I970" s="7">
        <f t="shared" si="361"/>
        <v>0</v>
      </c>
      <c r="K970" s="11" t="s">
        <v>517</v>
      </c>
      <c r="L970" s="8"/>
      <c r="M970" s="9">
        <v>4</v>
      </c>
      <c r="N970" s="10"/>
      <c r="O970" s="7">
        <f t="shared" si="362"/>
        <v>4</v>
      </c>
      <c r="P970" s="8"/>
      <c r="Q970" s="9">
        <v>4</v>
      </c>
      <c r="R970" s="10"/>
      <c r="S970" s="7">
        <f t="shared" si="363"/>
        <v>4</v>
      </c>
      <c r="T970" s="43">
        <v>44705</v>
      </c>
      <c r="U970" s="3"/>
      <c r="V970" s="8"/>
      <c r="W970" s="9"/>
      <c r="X970" s="10"/>
      <c r="Y970" s="7">
        <f t="shared" si="364"/>
        <v>0</v>
      </c>
      <c r="Z970" s="8"/>
      <c r="AA970" s="9"/>
      <c r="AB970" s="10"/>
      <c r="AC970" s="7">
        <f t="shared" si="365"/>
        <v>0</v>
      </c>
      <c r="AD970" s="8"/>
      <c r="AE970" s="9"/>
      <c r="AF970" s="10"/>
      <c r="AG970" s="7">
        <f t="shared" si="366"/>
        <v>0</v>
      </c>
    </row>
    <row r="971" spans="1:34">
      <c r="A971" s="3"/>
      <c r="B971" s="8"/>
      <c r="C971" s="9"/>
      <c r="D971" s="10"/>
      <c r="E971" s="7">
        <f t="shared" si="360"/>
        <v>0</v>
      </c>
      <c r="F971" s="8"/>
      <c r="G971" s="9"/>
      <c r="H971" s="10"/>
      <c r="I971" s="7">
        <f t="shared" si="361"/>
        <v>0</v>
      </c>
      <c r="K971" s="11" t="s">
        <v>518</v>
      </c>
      <c r="L971" s="8"/>
      <c r="M971" s="9">
        <v>3</v>
      </c>
      <c r="N971" s="10"/>
      <c r="O971" s="7">
        <f t="shared" si="362"/>
        <v>3</v>
      </c>
      <c r="P971" s="8"/>
      <c r="Q971" s="9">
        <v>3</v>
      </c>
      <c r="R971" s="10"/>
      <c r="S971" s="7">
        <f t="shared" si="363"/>
        <v>3</v>
      </c>
      <c r="T971" s="43">
        <v>44706</v>
      </c>
      <c r="U971" s="3"/>
      <c r="V971" s="8"/>
      <c r="W971" s="9"/>
      <c r="X971" s="10"/>
      <c r="Y971" s="7">
        <f t="shared" si="364"/>
        <v>0</v>
      </c>
      <c r="Z971" s="8"/>
      <c r="AA971" s="9"/>
      <c r="AB971" s="10"/>
      <c r="AC971" s="7">
        <f t="shared" si="365"/>
        <v>0</v>
      </c>
      <c r="AD971" s="8"/>
      <c r="AE971" s="9"/>
      <c r="AF971" s="10"/>
      <c r="AG971" s="7">
        <f t="shared" si="366"/>
        <v>0</v>
      </c>
    </row>
    <row r="972" spans="1:34">
      <c r="A972" s="3"/>
      <c r="B972" s="8"/>
      <c r="C972" s="9"/>
      <c r="D972" s="10"/>
      <c r="E972" s="7">
        <f t="shared" si="360"/>
        <v>0</v>
      </c>
      <c r="F972" s="8"/>
      <c r="G972" s="9"/>
      <c r="H972" s="10"/>
      <c r="I972" s="7">
        <f t="shared" si="361"/>
        <v>0</v>
      </c>
      <c r="K972" s="11" t="s">
        <v>519</v>
      </c>
      <c r="L972" s="30"/>
      <c r="M972" s="9">
        <v>3</v>
      </c>
      <c r="N972" s="10">
        <v>1</v>
      </c>
      <c r="O972" s="7">
        <f t="shared" si="362"/>
        <v>4</v>
      </c>
      <c r="P972" s="8"/>
      <c r="Q972" s="9">
        <v>3</v>
      </c>
      <c r="R972" s="10">
        <v>1</v>
      </c>
      <c r="S972" s="7">
        <f t="shared" si="363"/>
        <v>4</v>
      </c>
      <c r="T972" s="43">
        <v>44707</v>
      </c>
      <c r="U972" s="3"/>
      <c r="V972" s="30"/>
      <c r="W972" s="9"/>
      <c r="X972" s="10"/>
      <c r="Y972" s="7">
        <f t="shared" si="364"/>
        <v>0</v>
      </c>
      <c r="Z972" s="8"/>
      <c r="AA972" s="9"/>
      <c r="AB972" s="10"/>
      <c r="AC972" s="7">
        <f t="shared" si="365"/>
        <v>0</v>
      </c>
      <c r="AD972" s="8"/>
      <c r="AE972" s="9"/>
      <c r="AF972" s="10"/>
      <c r="AG972" s="7">
        <f t="shared" si="366"/>
        <v>0</v>
      </c>
    </row>
    <row r="973" spans="1:34">
      <c r="A973" s="3"/>
      <c r="B973" s="8"/>
      <c r="C973" s="9"/>
      <c r="D973" s="10"/>
      <c r="E973" s="7">
        <f t="shared" si="360"/>
        <v>0</v>
      </c>
      <c r="F973" s="8"/>
      <c r="G973" s="9"/>
      <c r="H973" s="10"/>
      <c r="I973" s="7">
        <f t="shared" si="361"/>
        <v>0</v>
      </c>
      <c r="K973" s="11" t="s">
        <v>520</v>
      </c>
      <c r="L973" s="8">
        <v>5</v>
      </c>
      <c r="M973" s="9">
        <v>9</v>
      </c>
      <c r="N973" s="10">
        <v>5</v>
      </c>
      <c r="O973" s="7">
        <f t="shared" si="362"/>
        <v>19</v>
      </c>
      <c r="P973" s="8">
        <v>5</v>
      </c>
      <c r="Q973" s="9">
        <v>9</v>
      </c>
      <c r="R973" s="10">
        <v>5</v>
      </c>
      <c r="S973" s="7">
        <f t="shared" si="363"/>
        <v>19</v>
      </c>
      <c r="T973" s="43">
        <v>44708</v>
      </c>
      <c r="U973" s="3"/>
      <c r="V973" s="8"/>
      <c r="W973" s="9"/>
      <c r="X973" s="10"/>
      <c r="Y973" s="7">
        <f t="shared" si="364"/>
        <v>0</v>
      </c>
      <c r="Z973" s="8"/>
      <c r="AA973" s="9"/>
      <c r="AB973" s="10"/>
      <c r="AC973" s="7">
        <f t="shared" si="365"/>
        <v>0</v>
      </c>
      <c r="AD973" s="8"/>
      <c r="AE973" s="9"/>
      <c r="AF973" s="10"/>
      <c r="AG973" s="7">
        <f t="shared" si="366"/>
        <v>0</v>
      </c>
    </row>
    <row r="974" spans="1:34">
      <c r="A974" s="3"/>
      <c r="B974" s="8"/>
      <c r="C974" s="9"/>
      <c r="D974" s="10"/>
      <c r="E974" s="7">
        <f t="shared" si="360"/>
        <v>0</v>
      </c>
      <c r="F974" s="8"/>
      <c r="G974" s="9"/>
      <c r="H974" s="10"/>
      <c r="I974" s="7">
        <f t="shared" si="361"/>
        <v>0</v>
      </c>
      <c r="K974" s="11" t="s">
        <v>522</v>
      </c>
      <c r="L974" s="8">
        <v>1</v>
      </c>
      <c r="M974" s="9">
        <v>5</v>
      </c>
      <c r="N974" s="10">
        <v>6</v>
      </c>
      <c r="O974" s="7">
        <f t="shared" si="362"/>
        <v>12</v>
      </c>
      <c r="P974" s="8">
        <v>1</v>
      </c>
      <c r="Q974" s="9">
        <v>5</v>
      </c>
      <c r="R974" s="10">
        <v>6</v>
      </c>
      <c r="S974" s="7">
        <f t="shared" si="363"/>
        <v>12</v>
      </c>
      <c r="T974" s="43">
        <v>44713</v>
      </c>
      <c r="U974" s="3"/>
      <c r="V974" s="8"/>
      <c r="W974" s="9"/>
      <c r="X974" s="10"/>
      <c r="Y974" s="7">
        <f t="shared" si="364"/>
        <v>0</v>
      </c>
      <c r="Z974" s="8"/>
      <c r="AA974" s="9"/>
      <c r="AB974" s="10"/>
      <c r="AC974" s="7">
        <f t="shared" si="365"/>
        <v>0</v>
      </c>
      <c r="AD974" s="8"/>
      <c r="AE974" s="9"/>
      <c r="AF974" s="10"/>
      <c r="AG974" s="7">
        <f t="shared" si="366"/>
        <v>0</v>
      </c>
    </row>
    <row r="975" spans="1:34">
      <c r="A975" s="3"/>
      <c r="B975" s="8"/>
      <c r="C975" s="9"/>
      <c r="D975" s="10"/>
      <c r="E975" s="7">
        <f t="shared" si="360"/>
        <v>0</v>
      </c>
      <c r="F975" s="8"/>
      <c r="G975" s="9"/>
      <c r="H975" s="10"/>
      <c r="I975" s="7">
        <f t="shared" si="361"/>
        <v>0</v>
      </c>
      <c r="K975" s="11" t="s">
        <v>525</v>
      </c>
      <c r="L975" s="8">
        <v>13</v>
      </c>
      <c r="M975" s="9">
        <v>35</v>
      </c>
      <c r="N975" s="10">
        <v>19</v>
      </c>
      <c r="O975" s="7">
        <f t="shared" si="362"/>
        <v>67</v>
      </c>
      <c r="P975" s="8">
        <v>13</v>
      </c>
      <c r="Q975" s="9">
        <v>35</v>
      </c>
      <c r="R975" s="10">
        <v>19</v>
      </c>
      <c r="S975" s="7">
        <f t="shared" si="363"/>
        <v>67</v>
      </c>
      <c r="T975" s="43">
        <v>44714</v>
      </c>
      <c r="U975" s="3"/>
      <c r="V975" s="8"/>
      <c r="W975" s="9"/>
      <c r="X975" s="10"/>
      <c r="Y975" s="7">
        <f t="shared" si="364"/>
        <v>0</v>
      </c>
      <c r="Z975" s="8"/>
      <c r="AA975" s="9"/>
      <c r="AB975" s="10"/>
      <c r="AC975" s="7">
        <f t="shared" si="365"/>
        <v>0</v>
      </c>
      <c r="AD975" s="8"/>
      <c r="AE975" s="9"/>
      <c r="AF975" s="10"/>
      <c r="AG975" s="7">
        <f t="shared" si="366"/>
        <v>0</v>
      </c>
    </row>
    <row r="976" spans="1:34">
      <c r="A976" s="3"/>
      <c r="B976" s="8"/>
      <c r="C976" s="9"/>
      <c r="D976" s="10"/>
      <c r="E976" s="7">
        <f t="shared" si="360"/>
        <v>0</v>
      </c>
      <c r="F976" s="8"/>
      <c r="G976" s="9"/>
      <c r="H976" s="10"/>
      <c r="I976" s="7">
        <f t="shared" si="361"/>
        <v>0</v>
      </c>
      <c r="K976" s="11" t="s">
        <v>527</v>
      </c>
      <c r="L976" s="8">
        <v>8</v>
      </c>
      <c r="M976" s="9">
        <v>9</v>
      </c>
      <c r="N976" s="10">
        <v>14</v>
      </c>
      <c r="O976" s="7">
        <f t="shared" si="362"/>
        <v>31</v>
      </c>
      <c r="P976" s="8">
        <v>8</v>
      </c>
      <c r="Q976" s="9">
        <v>9</v>
      </c>
      <c r="R976" s="10">
        <v>14</v>
      </c>
      <c r="S976" s="7">
        <f t="shared" si="363"/>
        <v>31</v>
      </c>
      <c r="T976" s="43">
        <v>44715</v>
      </c>
      <c r="U976" s="3"/>
      <c r="V976" s="8"/>
      <c r="W976" s="9"/>
      <c r="X976" s="10"/>
      <c r="Y976" s="7">
        <f t="shared" si="364"/>
        <v>0</v>
      </c>
      <c r="Z976" s="8"/>
      <c r="AA976" s="9"/>
      <c r="AB976" s="10"/>
      <c r="AC976" s="7">
        <f t="shared" si="365"/>
        <v>0</v>
      </c>
      <c r="AD976" s="8"/>
      <c r="AE976" s="9"/>
      <c r="AF976" s="10"/>
      <c r="AG976" s="7">
        <f t="shared" si="366"/>
        <v>0</v>
      </c>
    </row>
    <row r="977" spans="1:34">
      <c r="A977" s="3"/>
      <c r="B977" s="8"/>
      <c r="C977" s="9"/>
      <c r="D977" s="10"/>
      <c r="E977" s="7">
        <f t="shared" si="360"/>
        <v>0</v>
      </c>
      <c r="F977" s="8"/>
      <c r="G977" s="9"/>
      <c r="H977" s="10"/>
      <c r="I977" s="7">
        <f t="shared" si="361"/>
        <v>0</v>
      </c>
      <c r="K977" s="11" t="s">
        <v>528</v>
      </c>
      <c r="L977" s="8">
        <v>5</v>
      </c>
      <c r="M977" s="9">
        <v>12</v>
      </c>
      <c r="N977" s="10">
        <v>9</v>
      </c>
      <c r="O977" s="7">
        <f t="shared" si="362"/>
        <v>26</v>
      </c>
      <c r="P977" s="8">
        <v>5</v>
      </c>
      <c r="Q977" s="9">
        <v>12</v>
      </c>
      <c r="R977" s="10">
        <v>9</v>
      </c>
      <c r="S977" s="7">
        <f t="shared" si="363"/>
        <v>26</v>
      </c>
      <c r="T977" s="43">
        <v>44718</v>
      </c>
      <c r="U977" s="3"/>
      <c r="V977" s="8"/>
      <c r="W977" s="9"/>
      <c r="X977" s="10"/>
      <c r="Y977" s="7">
        <f t="shared" si="364"/>
        <v>0</v>
      </c>
      <c r="Z977" s="8"/>
      <c r="AA977" s="9"/>
      <c r="AB977" s="10"/>
      <c r="AC977" s="7">
        <f t="shared" si="365"/>
        <v>0</v>
      </c>
      <c r="AD977" s="8"/>
      <c r="AE977" s="9"/>
      <c r="AF977" s="10"/>
      <c r="AG977" s="7">
        <f t="shared" si="366"/>
        <v>0</v>
      </c>
    </row>
    <row r="978" spans="1:34">
      <c r="A978" s="3"/>
      <c r="B978" s="8"/>
      <c r="C978" s="9"/>
      <c r="D978" s="10"/>
      <c r="E978" s="7">
        <f t="shared" si="360"/>
        <v>0</v>
      </c>
      <c r="F978" s="8"/>
      <c r="G978" s="9"/>
      <c r="H978" s="10"/>
      <c r="I978" s="7">
        <f t="shared" si="361"/>
        <v>0</v>
      </c>
      <c r="K978" s="3" t="s">
        <v>224</v>
      </c>
      <c r="L978" s="8">
        <v>5</v>
      </c>
      <c r="M978" s="9"/>
      <c r="N978" s="10"/>
      <c r="O978" s="7">
        <f t="shared" si="362"/>
        <v>5</v>
      </c>
      <c r="P978" s="8">
        <v>5</v>
      </c>
      <c r="Q978" s="9"/>
      <c r="R978" s="10"/>
      <c r="S978" s="7">
        <f t="shared" si="363"/>
        <v>5</v>
      </c>
      <c r="T978" s="43">
        <v>44716</v>
      </c>
      <c r="U978" s="3"/>
      <c r="V978" s="8"/>
      <c r="W978" s="9"/>
      <c r="X978" s="10"/>
      <c r="Y978" s="7">
        <f t="shared" si="364"/>
        <v>0</v>
      </c>
      <c r="Z978" s="8"/>
      <c r="AA978" s="9"/>
      <c r="AB978" s="10"/>
      <c r="AC978" s="7">
        <f t="shared" si="365"/>
        <v>0</v>
      </c>
      <c r="AD978" s="8"/>
      <c r="AE978" s="9"/>
      <c r="AF978" s="10"/>
      <c r="AG978" s="7">
        <f t="shared" si="366"/>
        <v>0</v>
      </c>
    </row>
    <row r="979" spans="1:34">
      <c r="A979" s="3"/>
      <c r="B979" s="8"/>
      <c r="C979" s="9"/>
      <c r="D979" s="10"/>
      <c r="E979" s="7">
        <f t="shared" si="360"/>
        <v>0</v>
      </c>
      <c r="F979" s="8"/>
      <c r="G979" s="9"/>
      <c r="H979" s="10"/>
      <c r="I979" s="7">
        <f t="shared" si="361"/>
        <v>0</v>
      </c>
      <c r="K979" s="11" t="s">
        <v>531</v>
      </c>
      <c r="L979" s="8">
        <v>10</v>
      </c>
      <c r="M979" s="9">
        <v>21</v>
      </c>
      <c r="N979" s="10">
        <v>17</v>
      </c>
      <c r="O979" s="7">
        <f t="shared" si="362"/>
        <v>48</v>
      </c>
      <c r="P979" s="8">
        <v>10</v>
      </c>
      <c r="Q979" s="9">
        <v>21</v>
      </c>
      <c r="R979" s="10">
        <v>17</v>
      </c>
      <c r="S979" s="7">
        <f t="shared" si="363"/>
        <v>48</v>
      </c>
      <c r="T979" s="43">
        <v>44719</v>
      </c>
      <c r="U979" s="3"/>
      <c r="V979" s="8"/>
      <c r="W979" s="9"/>
      <c r="X979" s="10"/>
      <c r="Y979" s="7">
        <f t="shared" si="364"/>
        <v>0</v>
      </c>
      <c r="Z979" s="8"/>
      <c r="AA979" s="9"/>
      <c r="AB979" s="10"/>
      <c r="AC979" s="7">
        <f t="shared" si="365"/>
        <v>0</v>
      </c>
      <c r="AD979" s="8"/>
      <c r="AE979" s="9"/>
      <c r="AF979" s="10"/>
      <c r="AG979" s="7">
        <f t="shared" si="366"/>
        <v>0</v>
      </c>
    </row>
    <row r="980" spans="1:34">
      <c r="A980" s="11"/>
      <c r="B980" s="8"/>
      <c r="C980" s="9"/>
      <c r="D980" s="10"/>
      <c r="E980" s="7">
        <f t="shared" si="360"/>
        <v>0</v>
      </c>
      <c r="F980" s="8"/>
      <c r="G980" s="9"/>
      <c r="H980" s="10"/>
      <c r="I980" s="7">
        <f t="shared" si="361"/>
        <v>0</v>
      </c>
      <c r="K980" s="11" t="s">
        <v>532</v>
      </c>
      <c r="L980" s="8">
        <v>17</v>
      </c>
      <c r="M980" s="9">
        <v>5</v>
      </c>
      <c r="N980" s="10"/>
      <c r="O980" s="7">
        <f t="shared" ref="O980" si="373">SUM(L980:N980)</f>
        <v>22</v>
      </c>
      <c r="P980" s="8">
        <v>17</v>
      </c>
      <c r="Q980" s="9">
        <v>5</v>
      </c>
      <c r="R980" s="10"/>
      <c r="S980" s="7">
        <f t="shared" ref="S980" si="374">SUM(P980:R980)</f>
        <v>22</v>
      </c>
      <c r="T980" s="43">
        <v>44720</v>
      </c>
      <c r="U980" s="3"/>
      <c r="V980" s="8"/>
      <c r="W980" s="9"/>
      <c r="X980" s="10"/>
      <c r="Y980" s="7">
        <f t="shared" si="364"/>
        <v>0</v>
      </c>
      <c r="Z980" s="8"/>
      <c r="AA980" s="9"/>
      <c r="AB980" s="10"/>
      <c r="AC980" s="7">
        <f t="shared" si="365"/>
        <v>0</v>
      </c>
      <c r="AD980" s="8"/>
      <c r="AE980" s="9"/>
      <c r="AF980" s="10"/>
      <c r="AG980" s="7">
        <f t="shared" si="366"/>
        <v>0</v>
      </c>
    </row>
    <row r="981" spans="1:34">
      <c r="A981" s="11"/>
      <c r="B981" s="8"/>
      <c r="C981" s="9"/>
      <c r="D981" s="10"/>
      <c r="E981" s="7">
        <f t="shared" si="360"/>
        <v>0</v>
      </c>
      <c r="F981" s="8"/>
      <c r="G981" s="9"/>
      <c r="H981" s="10"/>
      <c r="I981" s="7">
        <f t="shared" si="361"/>
        <v>0</v>
      </c>
      <c r="K981" s="11" t="s">
        <v>533</v>
      </c>
      <c r="L981" s="8">
        <v>3</v>
      </c>
      <c r="M981" s="9">
        <v>5</v>
      </c>
      <c r="N981" s="10">
        <v>8</v>
      </c>
      <c r="O981" s="7">
        <f t="shared" si="362"/>
        <v>16</v>
      </c>
      <c r="P981" s="8">
        <v>3</v>
      </c>
      <c r="Q981" s="9">
        <v>5</v>
      </c>
      <c r="R981" s="10">
        <v>8</v>
      </c>
      <c r="S981" s="7">
        <f t="shared" si="363"/>
        <v>16</v>
      </c>
      <c r="T981" s="43">
        <v>44721</v>
      </c>
      <c r="U981" s="3"/>
      <c r="V981" s="8"/>
      <c r="W981" s="9"/>
      <c r="X981" s="10"/>
      <c r="Y981" s="7">
        <f t="shared" si="364"/>
        <v>0</v>
      </c>
      <c r="Z981" s="8"/>
      <c r="AA981" s="9"/>
      <c r="AB981" s="10"/>
      <c r="AC981" s="7">
        <f t="shared" si="365"/>
        <v>0</v>
      </c>
      <c r="AD981" s="8"/>
      <c r="AE981" s="9"/>
      <c r="AF981" s="10"/>
      <c r="AG981" s="7">
        <f t="shared" si="366"/>
        <v>0</v>
      </c>
    </row>
    <row r="982" spans="1:34">
      <c r="A982" s="11"/>
      <c r="B982" s="8"/>
      <c r="C982" s="9"/>
      <c r="D982" s="10"/>
      <c r="E982" s="7">
        <f t="shared" si="360"/>
        <v>0</v>
      </c>
      <c r="F982" s="8"/>
      <c r="G982" s="9"/>
      <c r="H982" s="10"/>
      <c r="I982" s="7">
        <f t="shared" si="361"/>
        <v>0</v>
      </c>
      <c r="K982" s="11"/>
      <c r="L982" s="8"/>
      <c r="M982" s="9"/>
      <c r="N982" s="10"/>
      <c r="O982" s="7">
        <f t="shared" ref="O982:O984" si="375">SUM(L982:N982)</f>
        <v>0</v>
      </c>
      <c r="P982" s="8"/>
      <c r="Q982" s="9"/>
      <c r="R982" s="10"/>
      <c r="S982" s="7">
        <f t="shared" ref="S982:S984" si="376">SUM(P982:R982)</f>
        <v>0</v>
      </c>
      <c r="T982" s="71"/>
      <c r="U982" s="11"/>
      <c r="V982" s="8"/>
      <c r="W982" s="9"/>
      <c r="X982" s="10"/>
      <c r="Y982" s="7">
        <f t="shared" si="364"/>
        <v>0</v>
      </c>
      <c r="Z982" s="8"/>
      <c r="AA982" s="9"/>
      <c r="AB982" s="10"/>
      <c r="AC982" s="7">
        <f t="shared" si="365"/>
        <v>0</v>
      </c>
      <c r="AD982" s="8"/>
      <c r="AE982" s="9"/>
      <c r="AF982" s="10"/>
      <c r="AG982" s="7">
        <f t="shared" si="366"/>
        <v>0</v>
      </c>
    </row>
    <row r="983" spans="1:34">
      <c r="A983" s="11"/>
      <c r="B983" s="8"/>
      <c r="C983" s="9"/>
      <c r="D983" s="10"/>
      <c r="E983" s="7">
        <f t="shared" si="360"/>
        <v>0</v>
      </c>
      <c r="F983" s="8"/>
      <c r="G983" s="9"/>
      <c r="H983" s="10"/>
      <c r="I983" s="7">
        <f t="shared" si="361"/>
        <v>0</v>
      </c>
      <c r="K983" s="11" t="s">
        <v>497</v>
      </c>
      <c r="L983" s="8"/>
      <c r="M983" s="9"/>
      <c r="N983" s="10"/>
      <c r="O983" s="7">
        <f t="shared" si="375"/>
        <v>0</v>
      </c>
      <c r="P983" s="8"/>
      <c r="Q983" s="9"/>
      <c r="R983" s="10"/>
      <c r="S983" s="7">
        <f t="shared" si="376"/>
        <v>0</v>
      </c>
      <c r="T983" s="71" t="s">
        <v>494</v>
      </c>
      <c r="U983" s="3"/>
      <c r="V983" s="8"/>
      <c r="W983" s="9"/>
      <c r="X983" s="10"/>
      <c r="Y983" s="7">
        <f t="shared" si="364"/>
        <v>0</v>
      </c>
      <c r="Z983" s="8"/>
      <c r="AA983" s="9"/>
      <c r="AB983" s="10"/>
      <c r="AC983" s="7">
        <f t="shared" si="365"/>
        <v>0</v>
      </c>
      <c r="AD983" s="8"/>
      <c r="AE983" s="9"/>
      <c r="AF983" s="10"/>
      <c r="AG983" s="7">
        <f t="shared" si="366"/>
        <v>0</v>
      </c>
    </row>
    <row r="984" spans="1:34">
      <c r="A984" s="11"/>
      <c r="B984" s="8"/>
      <c r="C984" s="9"/>
      <c r="D984" s="10"/>
      <c r="E984" s="7">
        <f t="shared" si="360"/>
        <v>0</v>
      </c>
      <c r="F984" s="8"/>
      <c r="G984" s="9"/>
      <c r="H984" s="10"/>
      <c r="I984" s="7">
        <f t="shared" si="361"/>
        <v>0</v>
      </c>
      <c r="K984" s="11" t="s">
        <v>493</v>
      </c>
      <c r="L984" s="8"/>
      <c r="M984" s="9"/>
      <c r="N984" s="10"/>
      <c r="O984" s="7">
        <f t="shared" si="375"/>
        <v>0</v>
      </c>
      <c r="P984" s="8"/>
      <c r="Q984" s="9"/>
      <c r="R984" s="10"/>
      <c r="S984" s="7">
        <f t="shared" si="376"/>
        <v>0</v>
      </c>
      <c r="T984" s="71" t="s">
        <v>494</v>
      </c>
      <c r="U984" s="3" t="s">
        <v>488</v>
      </c>
      <c r="V984" s="8"/>
      <c r="W984" s="9"/>
      <c r="X984" s="10"/>
      <c r="Y984" s="7">
        <f t="shared" ref="Y984" si="377">SUM(V984:X984)</f>
        <v>0</v>
      </c>
      <c r="Z984" s="8"/>
      <c r="AA984" s="9"/>
      <c r="AB984" s="10"/>
      <c r="AC984" s="7">
        <f t="shared" ref="AC984" si="378">SUM(Z984:AB984)</f>
        <v>0</v>
      </c>
      <c r="AD984" s="8"/>
      <c r="AE984" s="9"/>
      <c r="AF984" s="10"/>
      <c r="AG984" s="7">
        <f t="shared" ref="AG984" si="379">SUM(AD984:AF984)</f>
        <v>0</v>
      </c>
      <c r="AH984" s="71" t="s">
        <v>475</v>
      </c>
    </row>
    <row r="985" spans="1:34" ht="14.25" thickBot="1">
      <c r="A985" s="3"/>
      <c r="B985" s="8"/>
      <c r="C985" s="9"/>
      <c r="D985" s="10"/>
      <c r="E985" s="7">
        <f t="shared" si="360"/>
        <v>0</v>
      </c>
      <c r="F985" s="8"/>
      <c r="G985" s="9"/>
      <c r="H985" s="10"/>
      <c r="I985" s="7">
        <f t="shared" si="361"/>
        <v>0</v>
      </c>
      <c r="K985" s="11" t="s">
        <v>485</v>
      </c>
      <c r="L985" s="8"/>
      <c r="M985" s="9"/>
      <c r="N985" s="10"/>
      <c r="O985" s="7">
        <f t="shared" si="362"/>
        <v>0</v>
      </c>
      <c r="P985" s="8"/>
      <c r="Q985" s="9"/>
      <c r="R985" s="10"/>
      <c r="S985" s="7">
        <f t="shared" si="363"/>
        <v>0</v>
      </c>
      <c r="T985" s="71" t="s">
        <v>261</v>
      </c>
      <c r="U985" s="3" t="s">
        <v>489</v>
      </c>
      <c r="V985" s="8"/>
      <c r="W985" s="9"/>
      <c r="X985" s="10"/>
      <c r="Y985" s="7">
        <f t="shared" si="364"/>
        <v>0</v>
      </c>
      <c r="Z985" s="8"/>
      <c r="AA985" s="9"/>
      <c r="AB985" s="10"/>
      <c r="AC985" s="7">
        <f t="shared" si="365"/>
        <v>0</v>
      </c>
      <c r="AD985" s="8"/>
      <c r="AE985" s="9"/>
      <c r="AF985" s="10"/>
      <c r="AG985" s="7">
        <f t="shared" si="366"/>
        <v>0</v>
      </c>
      <c r="AH985" s="71" t="s">
        <v>91</v>
      </c>
    </row>
    <row r="986" spans="1:34" ht="14.25" thickBot="1">
      <c r="A986" s="2" t="s">
        <v>5</v>
      </c>
      <c r="B986" s="14">
        <f>SUM(B962:B985)</f>
        <v>7</v>
      </c>
      <c r="C986" s="14">
        <f>SUM(C962:C985)</f>
        <v>4</v>
      </c>
      <c r="D986" s="14">
        <f>SUM(D962:D985)</f>
        <v>11</v>
      </c>
      <c r="E986" s="15">
        <f t="shared" si="360"/>
        <v>22</v>
      </c>
      <c r="F986" s="14">
        <f>SUM(F962:F985)</f>
        <v>7</v>
      </c>
      <c r="G986" s="14">
        <f>SUM(G962:G985)</f>
        <v>4</v>
      </c>
      <c r="H986" s="14">
        <f>SUM(H962:H985)</f>
        <v>11</v>
      </c>
      <c r="I986" s="15">
        <f t="shared" si="361"/>
        <v>22</v>
      </c>
      <c r="K986" s="2" t="s">
        <v>5</v>
      </c>
      <c r="L986" s="14">
        <f>SUM(L962:L985)</f>
        <v>86</v>
      </c>
      <c r="M986" s="14">
        <f>SUM(M962:M985)</f>
        <v>135</v>
      </c>
      <c r="N986" s="14">
        <f>SUM(N962:N985)</f>
        <v>103</v>
      </c>
      <c r="O986" s="15">
        <f t="shared" si="362"/>
        <v>324</v>
      </c>
      <c r="P986" s="14">
        <f>SUM(P962:P985)</f>
        <v>86</v>
      </c>
      <c r="Q986" s="14">
        <f>SUM(Q962:Q985)</f>
        <v>135</v>
      </c>
      <c r="R986" s="14">
        <f>SUM(R962:R985)</f>
        <v>103</v>
      </c>
      <c r="S986" s="15">
        <f t="shared" si="363"/>
        <v>324</v>
      </c>
      <c r="U986" s="2" t="s">
        <v>5</v>
      </c>
      <c r="V986" s="14">
        <f>SUM(V962:V985)</f>
        <v>48</v>
      </c>
      <c r="W986" s="14">
        <f>SUM(W962:W985)</f>
        <v>36</v>
      </c>
      <c r="X986" s="14">
        <f>SUM(X962:X985)</f>
        <v>31</v>
      </c>
      <c r="Y986" s="15">
        <f t="shared" si="364"/>
        <v>115</v>
      </c>
      <c r="Z986" s="14">
        <f>SUM(Z962:Z985)</f>
        <v>48</v>
      </c>
      <c r="AA986" s="14">
        <f>SUM(AA962:AA985)</f>
        <v>36</v>
      </c>
      <c r="AB986" s="14">
        <f>SUM(AB962:AB985)</f>
        <v>31</v>
      </c>
      <c r="AC986" s="15">
        <f t="shared" si="365"/>
        <v>115</v>
      </c>
      <c r="AD986" s="14">
        <f>SUM(AD962:AD985)</f>
        <v>48</v>
      </c>
      <c r="AE986" s="14">
        <f>SUM(AE962:AE985)</f>
        <v>36</v>
      </c>
      <c r="AF986" s="14">
        <f>SUM(AF962:AF985)</f>
        <v>31</v>
      </c>
      <c r="AG986" s="15">
        <f t="shared" si="366"/>
        <v>115</v>
      </c>
    </row>
    <row r="987" spans="1:34" ht="14.25" thickBot="1">
      <c r="A987" s="27" t="s">
        <v>6</v>
      </c>
      <c r="B987" s="28">
        <f>B961-B986</f>
        <v>8</v>
      </c>
      <c r="C987" s="28">
        <f t="shared" ref="C987:E987" si="380">C961-C986</f>
        <v>7</v>
      </c>
      <c r="D987" s="28">
        <f t="shared" si="380"/>
        <v>6</v>
      </c>
      <c r="E987" s="28">
        <f t="shared" si="380"/>
        <v>21</v>
      </c>
      <c r="F987" s="28">
        <f>F961-F986</f>
        <v>8</v>
      </c>
      <c r="G987" s="28">
        <f t="shared" ref="G987:I987" si="381">G961-G986</f>
        <v>7</v>
      </c>
      <c r="H987" s="28">
        <f t="shared" si="381"/>
        <v>6</v>
      </c>
      <c r="I987" s="26">
        <f t="shared" si="381"/>
        <v>21</v>
      </c>
      <c r="K987" s="27" t="s">
        <v>6</v>
      </c>
      <c r="L987" s="28">
        <f>L961-L986</f>
        <v>160</v>
      </c>
      <c r="M987" s="28">
        <f t="shared" ref="M987:O987" si="382">M961-M986</f>
        <v>163</v>
      </c>
      <c r="N987" s="28">
        <f t="shared" si="382"/>
        <v>159</v>
      </c>
      <c r="O987" s="28">
        <f t="shared" si="382"/>
        <v>482</v>
      </c>
      <c r="P987" s="28">
        <f>P961-P986</f>
        <v>160</v>
      </c>
      <c r="Q987" s="28">
        <f t="shared" ref="Q987:S987" si="383">Q961-Q986</f>
        <v>163</v>
      </c>
      <c r="R987" s="28">
        <f t="shared" si="383"/>
        <v>159</v>
      </c>
      <c r="S987" s="26">
        <f t="shared" si="383"/>
        <v>482</v>
      </c>
      <c r="U987" s="27" t="s">
        <v>6</v>
      </c>
      <c r="V987" s="28">
        <f>V961-V986</f>
        <v>18</v>
      </c>
      <c r="W987" s="28">
        <f t="shared" ref="W987:Y987" si="384">W961-W986</f>
        <v>66</v>
      </c>
      <c r="X987" s="28">
        <f t="shared" si="384"/>
        <v>21</v>
      </c>
      <c r="Y987" s="28">
        <f t="shared" si="384"/>
        <v>105</v>
      </c>
      <c r="Z987" s="28">
        <f>Z961-Z986</f>
        <v>18</v>
      </c>
      <c r="AA987" s="28">
        <f t="shared" ref="AA987:AC987" si="385">AA961-AA986</f>
        <v>66</v>
      </c>
      <c r="AB987" s="28">
        <f t="shared" si="385"/>
        <v>21</v>
      </c>
      <c r="AC987" s="26">
        <f t="shared" si="385"/>
        <v>105</v>
      </c>
      <c r="AD987" s="28">
        <f>AD961-AD986</f>
        <v>18</v>
      </c>
      <c r="AE987" s="28">
        <f t="shared" ref="AE987:AG987" si="386">AE961-AE986</f>
        <v>66</v>
      </c>
      <c r="AF987" s="28">
        <f t="shared" si="386"/>
        <v>21</v>
      </c>
      <c r="AG987" s="26">
        <f t="shared" si="386"/>
        <v>105</v>
      </c>
    </row>
    <row r="990" spans="1:34" ht="26.25" thickBot="1">
      <c r="A990" s="33" t="s">
        <v>15</v>
      </c>
      <c r="B990" s="34"/>
      <c r="C990" s="34"/>
      <c r="D990" s="34"/>
      <c r="E990" s="34"/>
      <c r="F990" s="35"/>
      <c r="G990" s="35"/>
      <c r="H990" s="35"/>
      <c r="I990" s="35"/>
      <c r="K990" s="33" t="s">
        <v>243</v>
      </c>
      <c r="L990" s="34"/>
      <c r="M990" s="34"/>
      <c r="N990" s="34"/>
      <c r="O990" s="34"/>
      <c r="P990" s="35"/>
      <c r="Q990" s="35"/>
      <c r="R990" s="35"/>
      <c r="S990" s="35"/>
      <c r="U990" s="88" t="s">
        <v>244</v>
      </c>
      <c r="V990" s="89"/>
      <c r="W990" s="89"/>
      <c r="X990" s="89"/>
      <c r="Y990" s="89"/>
      <c r="Z990" s="90"/>
      <c r="AA990" s="90"/>
      <c r="AB990" s="90"/>
      <c r="AC990" s="90"/>
    </row>
    <row r="991" spans="1:34" ht="14.25" thickBot="1">
      <c r="A991" s="1" t="s">
        <v>0</v>
      </c>
      <c r="B991" s="182" t="s">
        <v>17</v>
      </c>
      <c r="C991" s="182"/>
      <c r="D991" s="182"/>
      <c r="E991" s="183"/>
      <c r="F991" s="182" t="s">
        <v>13</v>
      </c>
      <c r="G991" s="182"/>
      <c r="H991" s="182"/>
      <c r="I991" s="183"/>
      <c r="K991" s="1" t="s">
        <v>0</v>
      </c>
      <c r="L991" s="182" t="s">
        <v>17</v>
      </c>
      <c r="M991" s="182"/>
      <c r="N991" s="182"/>
      <c r="O991" s="183"/>
      <c r="P991" s="182" t="s">
        <v>13</v>
      </c>
      <c r="Q991" s="182"/>
      <c r="R991" s="182"/>
      <c r="S991" s="183"/>
      <c r="U991" s="1" t="s">
        <v>0</v>
      </c>
      <c r="V991" s="182" t="s">
        <v>17</v>
      </c>
      <c r="W991" s="182"/>
      <c r="X991" s="182"/>
      <c r="Y991" s="183"/>
      <c r="Z991" s="182" t="s">
        <v>13</v>
      </c>
      <c r="AA991" s="182"/>
      <c r="AB991" s="182"/>
      <c r="AC991" s="183"/>
      <c r="AD991" s="182" t="s">
        <v>242</v>
      </c>
      <c r="AE991" s="182"/>
      <c r="AF991" s="182"/>
      <c r="AG991" s="183"/>
    </row>
    <row r="992" spans="1:34" ht="14.25" thickBot="1">
      <c r="A992" s="1" t="s">
        <v>1</v>
      </c>
      <c r="B992" s="2" t="s">
        <v>8</v>
      </c>
      <c r="C992" s="1" t="s">
        <v>9</v>
      </c>
      <c r="D992" s="19" t="s">
        <v>10</v>
      </c>
      <c r="E992" s="1" t="s">
        <v>2</v>
      </c>
      <c r="F992" s="2" t="s">
        <v>8</v>
      </c>
      <c r="G992" s="1" t="s">
        <v>9</v>
      </c>
      <c r="H992" s="19" t="s">
        <v>10</v>
      </c>
      <c r="I992" s="1" t="s">
        <v>2</v>
      </c>
      <c r="K992" s="1" t="s">
        <v>1</v>
      </c>
      <c r="L992" s="2" t="s">
        <v>8</v>
      </c>
      <c r="M992" s="1" t="s">
        <v>9</v>
      </c>
      <c r="N992" s="19" t="s">
        <v>10</v>
      </c>
      <c r="O992" s="1" t="s">
        <v>2</v>
      </c>
      <c r="P992" s="2" t="s">
        <v>8</v>
      </c>
      <c r="Q992" s="1" t="s">
        <v>9</v>
      </c>
      <c r="R992" s="19" t="s">
        <v>10</v>
      </c>
      <c r="S992" s="1" t="s">
        <v>2</v>
      </c>
      <c r="U992" s="1" t="s">
        <v>1</v>
      </c>
      <c r="V992" s="2" t="s">
        <v>8</v>
      </c>
      <c r="W992" s="1" t="s">
        <v>9</v>
      </c>
      <c r="X992" s="19" t="s">
        <v>10</v>
      </c>
      <c r="Y992" s="1" t="s">
        <v>2</v>
      </c>
      <c r="Z992" s="2" t="s">
        <v>8</v>
      </c>
      <c r="AA992" s="1" t="s">
        <v>9</v>
      </c>
      <c r="AB992" s="19" t="s">
        <v>10</v>
      </c>
      <c r="AC992" s="1" t="s">
        <v>2</v>
      </c>
      <c r="AD992" s="2" t="s">
        <v>8</v>
      </c>
      <c r="AE992" s="1" t="s">
        <v>9</v>
      </c>
      <c r="AF992" s="19" t="s">
        <v>10</v>
      </c>
      <c r="AG992" s="1" t="s">
        <v>2</v>
      </c>
    </row>
    <row r="993" spans="1:34">
      <c r="A993" s="21" t="s">
        <v>7</v>
      </c>
      <c r="B993" s="18">
        <f>B987</f>
        <v>8</v>
      </c>
      <c r="C993" s="22">
        <f>C987</f>
        <v>7</v>
      </c>
      <c r="D993" s="22">
        <f>D987</f>
        <v>6</v>
      </c>
      <c r="E993" s="17">
        <f t="shared" ref="E993:E1029" si="387">SUM(B993:D993)</f>
        <v>21</v>
      </c>
      <c r="F993" s="22">
        <f>F987</f>
        <v>8</v>
      </c>
      <c r="G993" s="22">
        <f>G987</f>
        <v>7</v>
      </c>
      <c r="H993" s="22">
        <f>H987</f>
        <v>6</v>
      </c>
      <c r="I993" s="17">
        <f t="shared" ref="I993:I1029" si="388">SUM(F993:H993)</f>
        <v>21</v>
      </c>
      <c r="K993" s="21" t="s">
        <v>7</v>
      </c>
      <c r="L993" s="18">
        <f>L987</f>
        <v>160</v>
      </c>
      <c r="M993" s="22">
        <f>M987</f>
        <v>163</v>
      </c>
      <c r="N993" s="22">
        <f>N987</f>
        <v>159</v>
      </c>
      <c r="O993" s="17">
        <f t="shared" ref="O993:O1029" si="389">SUM(L993:N993)</f>
        <v>482</v>
      </c>
      <c r="P993" s="22">
        <f>P987</f>
        <v>160</v>
      </c>
      <c r="Q993" s="22">
        <f>Q987</f>
        <v>163</v>
      </c>
      <c r="R993" s="22">
        <f>R987</f>
        <v>159</v>
      </c>
      <c r="S993" s="17">
        <f t="shared" ref="S993:S1029" si="390">SUM(P993:R993)</f>
        <v>482</v>
      </c>
      <c r="U993" s="21" t="s">
        <v>7</v>
      </c>
      <c r="V993" s="18">
        <f>V987</f>
        <v>18</v>
      </c>
      <c r="W993" s="22">
        <f>W987</f>
        <v>66</v>
      </c>
      <c r="X993" s="22">
        <f>X987</f>
        <v>21</v>
      </c>
      <c r="Y993" s="17">
        <f t="shared" ref="Y993:Y1029" si="391">SUM(V993:X993)</f>
        <v>105</v>
      </c>
      <c r="Z993" s="22">
        <f>Z987</f>
        <v>18</v>
      </c>
      <c r="AA993" s="22">
        <f>AA987</f>
        <v>66</v>
      </c>
      <c r="AB993" s="22">
        <f>AB987</f>
        <v>21</v>
      </c>
      <c r="AC993" s="17">
        <f t="shared" ref="AC993:AC1029" si="392">SUM(Z993:AB993)</f>
        <v>105</v>
      </c>
      <c r="AD993" s="22">
        <f>AD987</f>
        <v>18</v>
      </c>
      <c r="AE993" s="22">
        <f>AE987</f>
        <v>66</v>
      </c>
      <c r="AF993" s="22">
        <f>AF987</f>
        <v>21</v>
      </c>
      <c r="AG993" s="17">
        <f t="shared" ref="AG993:AG1029" si="393">SUM(AD993:AF993)</f>
        <v>105</v>
      </c>
    </row>
    <row r="994" spans="1:34">
      <c r="A994" s="5" t="s">
        <v>37</v>
      </c>
      <c r="B994" s="30">
        <v>1</v>
      </c>
      <c r="C994" s="31">
        <v>2</v>
      </c>
      <c r="D994" s="32">
        <v>1</v>
      </c>
      <c r="E994" s="4">
        <f t="shared" si="387"/>
        <v>4</v>
      </c>
      <c r="F994" s="30">
        <v>1</v>
      </c>
      <c r="G994" s="31">
        <v>2</v>
      </c>
      <c r="H994" s="32">
        <v>1</v>
      </c>
      <c r="I994" s="4">
        <f t="shared" si="388"/>
        <v>4</v>
      </c>
      <c r="J994" s="49">
        <v>44736</v>
      </c>
      <c r="K994" s="5" t="s">
        <v>3</v>
      </c>
      <c r="L994" s="16"/>
      <c r="M994" s="11"/>
      <c r="N994" s="16"/>
      <c r="O994" s="4">
        <f t="shared" si="389"/>
        <v>0</v>
      </c>
      <c r="P994" s="16"/>
      <c r="Q994" s="11"/>
      <c r="R994" s="16"/>
      <c r="S994" s="4">
        <f t="shared" si="390"/>
        <v>0</v>
      </c>
      <c r="T994" s="43"/>
      <c r="U994" s="5" t="s">
        <v>3</v>
      </c>
      <c r="V994" s="16"/>
      <c r="W994" s="11"/>
      <c r="X994" s="16"/>
      <c r="Y994" s="4">
        <f t="shared" si="391"/>
        <v>0</v>
      </c>
      <c r="Z994" s="16"/>
      <c r="AA994" s="11"/>
      <c r="AB994" s="16"/>
      <c r="AC994" s="4">
        <f t="shared" si="392"/>
        <v>0</v>
      </c>
      <c r="AD994" s="16"/>
      <c r="AE994" s="11"/>
      <c r="AF994" s="16"/>
      <c r="AG994" s="4">
        <f t="shared" si="393"/>
        <v>0</v>
      </c>
    </row>
    <row r="995" spans="1:34">
      <c r="A995" s="5" t="s">
        <v>3</v>
      </c>
      <c r="B995" s="30"/>
      <c r="C995" s="31">
        <v>3</v>
      </c>
      <c r="D995" s="32"/>
      <c r="E995" s="4">
        <f t="shared" si="387"/>
        <v>3</v>
      </c>
      <c r="F995" s="30"/>
      <c r="G995" s="31">
        <v>3</v>
      </c>
      <c r="H995" s="32"/>
      <c r="I995" s="4">
        <f t="shared" si="388"/>
        <v>3</v>
      </c>
      <c r="J995" s="49">
        <v>44743</v>
      </c>
      <c r="K995" s="5" t="s">
        <v>3</v>
      </c>
      <c r="L995" s="32"/>
      <c r="M995" s="31"/>
      <c r="N995" s="32"/>
      <c r="O995" s="4">
        <f t="shared" si="389"/>
        <v>0</v>
      </c>
      <c r="P995" s="32"/>
      <c r="Q995" s="31"/>
      <c r="R995" s="32"/>
      <c r="S995" s="4">
        <f t="shared" si="390"/>
        <v>0</v>
      </c>
      <c r="T995" s="43"/>
      <c r="U995" s="5" t="s">
        <v>3</v>
      </c>
      <c r="V995" s="32"/>
      <c r="W995" s="31"/>
      <c r="X995" s="32"/>
      <c r="Y995" s="4">
        <f t="shared" si="391"/>
        <v>0</v>
      </c>
      <c r="Z995" s="32"/>
      <c r="AA995" s="31"/>
      <c r="AB995" s="32"/>
      <c r="AC995" s="4">
        <f t="shared" si="392"/>
        <v>0</v>
      </c>
      <c r="AD995" s="32"/>
      <c r="AE995" s="31"/>
      <c r="AF995" s="32"/>
      <c r="AG995" s="4">
        <f t="shared" si="393"/>
        <v>0</v>
      </c>
      <c r="AH995" s="71"/>
    </row>
    <row r="996" spans="1:34">
      <c r="A996" s="41" t="s">
        <v>572</v>
      </c>
      <c r="B996" s="8">
        <v>1</v>
      </c>
      <c r="C996" s="9"/>
      <c r="D996" s="10"/>
      <c r="E996" s="4">
        <f t="shared" si="387"/>
        <v>1</v>
      </c>
      <c r="F996" s="8">
        <v>1</v>
      </c>
      <c r="G996" s="9"/>
      <c r="H996" s="10"/>
      <c r="I996" s="4">
        <f t="shared" si="388"/>
        <v>1</v>
      </c>
      <c r="J996" s="43">
        <v>44755</v>
      </c>
      <c r="K996" s="5" t="s">
        <v>3</v>
      </c>
      <c r="L996" s="32"/>
      <c r="M996" s="31"/>
      <c r="N996" s="32"/>
      <c r="O996" s="4">
        <f t="shared" si="389"/>
        <v>0</v>
      </c>
      <c r="P996" s="32"/>
      <c r="Q996" s="31"/>
      <c r="R996" s="32"/>
      <c r="S996" s="4">
        <f t="shared" si="390"/>
        <v>0</v>
      </c>
      <c r="T996" s="43"/>
      <c r="U996" s="5" t="s">
        <v>3</v>
      </c>
      <c r="V996" s="30"/>
      <c r="W996" s="31"/>
      <c r="X996" s="32"/>
      <c r="Y996" s="4">
        <f t="shared" si="391"/>
        <v>0</v>
      </c>
      <c r="Z996" s="30"/>
      <c r="AA996" s="31"/>
      <c r="AB996" s="32"/>
      <c r="AC996" s="4">
        <f t="shared" si="392"/>
        <v>0</v>
      </c>
      <c r="AD996" s="30"/>
      <c r="AE996" s="31"/>
      <c r="AF996" s="32"/>
      <c r="AG996" s="4">
        <f t="shared" si="393"/>
        <v>0</v>
      </c>
    </row>
    <row r="997" spans="1:34">
      <c r="A997" s="41" t="s">
        <v>573</v>
      </c>
      <c r="B997" s="8"/>
      <c r="C997" s="9">
        <v>1</v>
      </c>
      <c r="D997" s="10"/>
      <c r="E997" s="4">
        <f t="shared" si="387"/>
        <v>1</v>
      </c>
      <c r="F997" s="8"/>
      <c r="G997" s="9">
        <v>1</v>
      </c>
      <c r="H997" s="10"/>
      <c r="I997" s="4">
        <f t="shared" si="388"/>
        <v>1</v>
      </c>
      <c r="J997" s="43">
        <v>44756</v>
      </c>
      <c r="K997" s="5" t="s">
        <v>3</v>
      </c>
      <c r="L997" s="51"/>
      <c r="M997" s="3"/>
      <c r="N997" s="51"/>
      <c r="O997" s="4">
        <f t="shared" si="389"/>
        <v>0</v>
      </c>
      <c r="P997" s="51"/>
      <c r="Q997" s="3"/>
      <c r="R997" s="51"/>
      <c r="S997" s="4">
        <f t="shared" si="390"/>
        <v>0</v>
      </c>
      <c r="T997" s="43"/>
      <c r="U997" s="5" t="s">
        <v>3</v>
      </c>
      <c r="V997" s="16"/>
      <c r="W997" s="11"/>
      <c r="X997" s="16"/>
      <c r="Y997" s="4">
        <f t="shared" si="391"/>
        <v>0</v>
      </c>
      <c r="Z997" s="16"/>
      <c r="AA997" s="11"/>
      <c r="AB997" s="16"/>
      <c r="AC997" s="4">
        <f t="shared" si="392"/>
        <v>0</v>
      </c>
      <c r="AD997" s="16"/>
      <c r="AE997" s="11"/>
      <c r="AF997" s="16"/>
      <c r="AG997" s="4">
        <f t="shared" si="393"/>
        <v>0</v>
      </c>
    </row>
    <row r="998" spans="1:34">
      <c r="A998" s="5" t="s">
        <v>3</v>
      </c>
      <c r="B998" s="16"/>
      <c r="C998" s="11"/>
      <c r="D998" s="16"/>
      <c r="E998" s="4">
        <f t="shared" si="387"/>
        <v>0</v>
      </c>
      <c r="F998" s="16"/>
      <c r="G998" s="11"/>
      <c r="H998" s="16"/>
      <c r="I998" s="4">
        <f t="shared" si="388"/>
        <v>0</v>
      </c>
      <c r="K998" s="5" t="s">
        <v>3</v>
      </c>
      <c r="L998" s="32"/>
      <c r="M998" s="31"/>
      <c r="N998" s="32"/>
      <c r="O998" s="4">
        <f t="shared" si="389"/>
        <v>0</v>
      </c>
      <c r="P998" s="32"/>
      <c r="Q998" s="31"/>
      <c r="R998" s="32"/>
      <c r="S998" s="4">
        <f t="shared" si="390"/>
        <v>0</v>
      </c>
      <c r="T998" s="43"/>
      <c r="U998" s="5" t="s">
        <v>3</v>
      </c>
      <c r="V998" s="32"/>
      <c r="W998" s="31"/>
      <c r="X998" s="32"/>
      <c r="Y998" s="4">
        <f t="shared" si="391"/>
        <v>0</v>
      </c>
      <c r="Z998" s="32"/>
      <c r="AA998" s="31"/>
      <c r="AB998" s="32"/>
      <c r="AC998" s="4">
        <f t="shared" si="392"/>
        <v>0</v>
      </c>
      <c r="AD998" s="32"/>
      <c r="AE998" s="31"/>
      <c r="AF998" s="32"/>
      <c r="AG998" s="4">
        <f t="shared" si="393"/>
        <v>0</v>
      </c>
    </row>
    <row r="999" spans="1:34">
      <c r="A999" s="5" t="s">
        <v>3</v>
      </c>
      <c r="B999" s="16"/>
      <c r="C999" s="11"/>
      <c r="D999" s="16"/>
      <c r="E999" s="4">
        <f t="shared" si="387"/>
        <v>0</v>
      </c>
      <c r="F999" s="16"/>
      <c r="G999" s="11"/>
      <c r="H999" s="16"/>
      <c r="I999" s="4">
        <f t="shared" si="388"/>
        <v>0</v>
      </c>
      <c r="K999" s="5" t="s">
        <v>3</v>
      </c>
      <c r="L999" s="16"/>
      <c r="M999" s="11"/>
      <c r="N999" s="16"/>
      <c r="O999" s="4">
        <f t="shared" si="389"/>
        <v>0</v>
      </c>
      <c r="P999" s="16"/>
      <c r="Q999" s="11"/>
      <c r="R999" s="16"/>
      <c r="S999" s="4">
        <f t="shared" si="390"/>
        <v>0</v>
      </c>
      <c r="T999" s="43"/>
      <c r="U999" s="5" t="s">
        <v>3</v>
      </c>
      <c r="V999" s="16"/>
      <c r="W999" s="11"/>
      <c r="X999" s="16"/>
      <c r="Y999" s="4">
        <f t="shared" si="391"/>
        <v>0</v>
      </c>
      <c r="Z999" s="16"/>
      <c r="AA999" s="11"/>
      <c r="AB999" s="16"/>
      <c r="AC999" s="4">
        <f t="shared" si="392"/>
        <v>0</v>
      </c>
      <c r="AD999" s="16"/>
      <c r="AE999" s="11"/>
      <c r="AF999" s="16"/>
      <c r="AG999" s="4">
        <f t="shared" si="393"/>
        <v>0</v>
      </c>
    </row>
    <row r="1000" spans="1:34">
      <c r="A1000" s="5" t="s">
        <v>3</v>
      </c>
      <c r="B1000" s="32"/>
      <c r="C1000" s="31"/>
      <c r="D1000" s="32"/>
      <c r="E1000" s="4">
        <f t="shared" si="387"/>
        <v>0</v>
      </c>
      <c r="F1000" s="32"/>
      <c r="G1000" s="31"/>
      <c r="H1000" s="32"/>
      <c r="I1000" s="4">
        <f t="shared" si="388"/>
        <v>0</v>
      </c>
      <c r="K1000" s="5" t="s">
        <v>3</v>
      </c>
      <c r="L1000" s="32"/>
      <c r="M1000" s="31"/>
      <c r="N1000" s="32"/>
      <c r="O1000" s="4">
        <f t="shared" si="389"/>
        <v>0</v>
      </c>
      <c r="P1000" s="32"/>
      <c r="Q1000" s="31"/>
      <c r="R1000" s="32"/>
      <c r="S1000" s="4">
        <f t="shared" si="390"/>
        <v>0</v>
      </c>
      <c r="T1000" s="43"/>
      <c r="U1000" s="5" t="s">
        <v>3</v>
      </c>
      <c r="V1000" s="32"/>
      <c r="W1000" s="31"/>
      <c r="X1000" s="32"/>
      <c r="Y1000" s="4">
        <f t="shared" si="391"/>
        <v>0</v>
      </c>
      <c r="Z1000" s="32"/>
      <c r="AA1000" s="31"/>
      <c r="AB1000" s="32"/>
      <c r="AC1000" s="4">
        <f t="shared" si="392"/>
        <v>0</v>
      </c>
      <c r="AD1000" s="32"/>
      <c r="AE1000" s="31"/>
      <c r="AF1000" s="32"/>
      <c r="AG1000" s="4">
        <f t="shared" si="393"/>
        <v>0</v>
      </c>
    </row>
    <row r="1001" spans="1:34">
      <c r="A1001" s="5" t="s">
        <v>3</v>
      </c>
      <c r="B1001" s="32"/>
      <c r="C1001" s="31"/>
      <c r="D1001" s="32"/>
      <c r="E1001" s="4">
        <f t="shared" si="387"/>
        <v>0</v>
      </c>
      <c r="F1001" s="32"/>
      <c r="G1001" s="31"/>
      <c r="H1001" s="32"/>
      <c r="I1001" s="4">
        <f t="shared" si="388"/>
        <v>0</v>
      </c>
      <c r="K1001" s="5" t="s">
        <v>3</v>
      </c>
      <c r="L1001" s="32"/>
      <c r="M1001" s="31"/>
      <c r="N1001" s="32"/>
      <c r="O1001" s="4">
        <f t="shared" si="389"/>
        <v>0</v>
      </c>
      <c r="P1001" s="32"/>
      <c r="Q1001" s="31"/>
      <c r="R1001" s="32"/>
      <c r="S1001" s="4">
        <f t="shared" si="390"/>
        <v>0</v>
      </c>
      <c r="T1001" s="43"/>
      <c r="U1001" s="5" t="s">
        <v>3</v>
      </c>
      <c r="V1001" s="32"/>
      <c r="W1001" s="31"/>
      <c r="X1001" s="32"/>
      <c r="Y1001" s="4">
        <f t="shared" si="391"/>
        <v>0</v>
      </c>
      <c r="Z1001" s="32"/>
      <c r="AA1001" s="31"/>
      <c r="AB1001" s="32"/>
      <c r="AC1001" s="4">
        <f t="shared" si="392"/>
        <v>0</v>
      </c>
      <c r="AD1001" s="32"/>
      <c r="AE1001" s="31"/>
      <c r="AF1001" s="32"/>
      <c r="AG1001" s="4">
        <f t="shared" si="393"/>
        <v>0</v>
      </c>
    </row>
    <row r="1002" spans="1:34">
      <c r="A1002" s="5" t="s">
        <v>3</v>
      </c>
      <c r="B1002" s="30"/>
      <c r="C1002" s="31"/>
      <c r="D1002" s="32"/>
      <c r="E1002" s="4">
        <f t="shared" si="387"/>
        <v>0</v>
      </c>
      <c r="F1002" s="30"/>
      <c r="G1002" s="31"/>
      <c r="H1002" s="32"/>
      <c r="I1002" s="4">
        <f t="shared" si="388"/>
        <v>0</v>
      </c>
      <c r="K1002" s="5" t="s">
        <v>3</v>
      </c>
      <c r="L1002" s="32"/>
      <c r="M1002" s="31"/>
      <c r="N1002" s="32"/>
      <c r="O1002" s="4">
        <f t="shared" si="389"/>
        <v>0</v>
      </c>
      <c r="P1002" s="32"/>
      <c r="Q1002" s="31"/>
      <c r="R1002" s="32"/>
      <c r="S1002" s="4">
        <f t="shared" si="390"/>
        <v>0</v>
      </c>
      <c r="T1002" s="43"/>
      <c r="U1002" s="5" t="s">
        <v>3</v>
      </c>
      <c r="V1002" s="30"/>
      <c r="W1002" s="31"/>
      <c r="X1002" s="32"/>
      <c r="Y1002" s="4">
        <f t="shared" si="391"/>
        <v>0</v>
      </c>
      <c r="Z1002" s="30"/>
      <c r="AA1002" s="31"/>
      <c r="AB1002" s="32"/>
      <c r="AC1002" s="4">
        <f t="shared" si="392"/>
        <v>0</v>
      </c>
      <c r="AD1002" s="30"/>
      <c r="AE1002" s="31"/>
      <c r="AF1002" s="32"/>
      <c r="AG1002" s="4">
        <f t="shared" si="393"/>
        <v>0</v>
      </c>
    </row>
    <row r="1003" spans="1:34" ht="14.25" thickBot="1">
      <c r="A1003" s="6" t="s">
        <v>3</v>
      </c>
      <c r="B1003" s="36"/>
      <c r="C1003" s="37"/>
      <c r="D1003" s="36"/>
      <c r="E1003" s="20">
        <f t="shared" si="387"/>
        <v>0</v>
      </c>
      <c r="F1003" s="13"/>
      <c r="G1003" s="12"/>
      <c r="H1003" s="13"/>
      <c r="I1003" s="20">
        <f t="shared" si="388"/>
        <v>0</v>
      </c>
      <c r="K1003" s="6" t="s">
        <v>3</v>
      </c>
      <c r="L1003" s="36"/>
      <c r="M1003" s="37"/>
      <c r="N1003" s="36"/>
      <c r="O1003" s="20">
        <f t="shared" si="389"/>
        <v>0</v>
      </c>
      <c r="P1003" s="13"/>
      <c r="Q1003" s="12"/>
      <c r="R1003" s="13"/>
      <c r="S1003" s="20">
        <f t="shared" si="390"/>
        <v>0</v>
      </c>
      <c r="T1003" s="43"/>
      <c r="U1003" s="6" t="s">
        <v>3</v>
      </c>
      <c r="V1003" s="13"/>
      <c r="W1003" s="12"/>
      <c r="X1003" s="13"/>
      <c r="Y1003" s="20">
        <f t="shared" si="391"/>
        <v>0</v>
      </c>
      <c r="Z1003" s="13"/>
      <c r="AA1003" s="12"/>
      <c r="AB1003" s="13"/>
      <c r="AC1003" s="20">
        <f t="shared" si="392"/>
        <v>0</v>
      </c>
      <c r="AD1003" s="13"/>
      <c r="AE1003" s="12"/>
      <c r="AF1003" s="13"/>
      <c r="AG1003" s="20">
        <f t="shared" si="393"/>
        <v>0</v>
      </c>
    </row>
    <row r="1004" spans="1:34" ht="14.25" thickBot="1">
      <c r="A1004" s="23" t="s">
        <v>4</v>
      </c>
      <c r="B1004" s="24">
        <f>SUM(B993:B1003)</f>
        <v>10</v>
      </c>
      <c r="C1004" s="24">
        <f>SUM(C993:C1003)</f>
        <v>13</v>
      </c>
      <c r="D1004" s="25">
        <f>SUM(D993:D1003)</f>
        <v>7</v>
      </c>
      <c r="E1004" s="26">
        <f t="shared" si="387"/>
        <v>30</v>
      </c>
      <c r="F1004" s="24">
        <f>SUM(F993:F1003)</f>
        <v>10</v>
      </c>
      <c r="G1004" s="24">
        <f>SUM(G993:G1003)</f>
        <v>13</v>
      </c>
      <c r="H1004" s="25">
        <f>SUM(H993:H1003)</f>
        <v>7</v>
      </c>
      <c r="I1004" s="26">
        <f t="shared" si="388"/>
        <v>30</v>
      </c>
      <c r="K1004" s="23" t="s">
        <v>4</v>
      </c>
      <c r="L1004" s="24">
        <f>SUM(L993:L1003)</f>
        <v>160</v>
      </c>
      <c r="M1004" s="24">
        <f>SUM(M993:M1003)</f>
        <v>163</v>
      </c>
      <c r="N1004" s="25">
        <f>SUM(N993:N1003)</f>
        <v>159</v>
      </c>
      <c r="O1004" s="26">
        <f t="shared" si="389"/>
        <v>482</v>
      </c>
      <c r="P1004" s="24">
        <f>SUM(P993:P1003)</f>
        <v>160</v>
      </c>
      <c r="Q1004" s="24">
        <f>SUM(Q993:Q1003)</f>
        <v>163</v>
      </c>
      <c r="R1004" s="25">
        <f>SUM(R993:R1003)</f>
        <v>159</v>
      </c>
      <c r="S1004" s="26">
        <f t="shared" si="390"/>
        <v>482</v>
      </c>
      <c r="U1004" s="23" t="s">
        <v>4</v>
      </c>
      <c r="V1004" s="24">
        <f>SUM(V993:V1003)</f>
        <v>18</v>
      </c>
      <c r="W1004" s="24">
        <f>SUM(W993:W1003)</f>
        <v>66</v>
      </c>
      <c r="X1004" s="25">
        <f>SUM(X993:X1003)</f>
        <v>21</v>
      </c>
      <c r="Y1004" s="26">
        <f t="shared" si="391"/>
        <v>105</v>
      </c>
      <c r="Z1004" s="24">
        <f>SUM(Z993:Z1003)</f>
        <v>18</v>
      </c>
      <c r="AA1004" s="24">
        <f>SUM(AA993:AA1003)</f>
        <v>66</v>
      </c>
      <c r="AB1004" s="25">
        <f>SUM(AB993:AB1003)</f>
        <v>21</v>
      </c>
      <c r="AC1004" s="26">
        <f t="shared" si="392"/>
        <v>105</v>
      </c>
      <c r="AD1004" s="24">
        <f>SUM(AD993:AD1003)</f>
        <v>18</v>
      </c>
      <c r="AE1004" s="24">
        <f>SUM(AE993:AE1003)</f>
        <v>66</v>
      </c>
      <c r="AF1004" s="25">
        <f>SUM(AF993:AF1003)</f>
        <v>21</v>
      </c>
      <c r="AG1004" s="26">
        <f t="shared" si="393"/>
        <v>105</v>
      </c>
    </row>
    <row r="1005" spans="1:34">
      <c r="A1005" s="11" t="s">
        <v>547</v>
      </c>
      <c r="B1005" s="8"/>
      <c r="C1005" s="9"/>
      <c r="D1005" s="10">
        <v>2</v>
      </c>
      <c r="E1005" s="4">
        <f t="shared" si="387"/>
        <v>2</v>
      </c>
      <c r="F1005" s="8"/>
      <c r="G1005" s="9"/>
      <c r="H1005" s="10">
        <v>2</v>
      </c>
      <c r="I1005" s="4">
        <f t="shared" si="388"/>
        <v>2</v>
      </c>
      <c r="J1005" s="43">
        <v>44739</v>
      </c>
      <c r="K1005" s="11" t="s">
        <v>524</v>
      </c>
      <c r="L1005" s="8">
        <v>18</v>
      </c>
      <c r="M1005" s="9">
        <v>24</v>
      </c>
      <c r="N1005" s="10">
        <v>18</v>
      </c>
      <c r="O1005" s="7">
        <f t="shared" si="389"/>
        <v>60</v>
      </c>
      <c r="P1005" s="8">
        <v>18</v>
      </c>
      <c r="Q1005" s="9">
        <v>24</v>
      </c>
      <c r="R1005" s="10">
        <v>18</v>
      </c>
      <c r="S1005" s="7">
        <f t="shared" si="390"/>
        <v>60</v>
      </c>
      <c r="T1005" s="43">
        <v>44725</v>
      </c>
      <c r="U1005" s="3" t="s">
        <v>555</v>
      </c>
      <c r="V1005" s="32"/>
      <c r="W1005" s="31">
        <v>3</v>
      </c>
      <c r="X1005" s="32"/>
      <c r="Y1005" s="4">
        <f t="shared" si="391"/>
        <v>3</v>
      </c>
      <c r="Z1005" s="32"/>
      <c r="AA1005" s="31">
        <v>3</v>
      </c>
      <c r="AB1005" s="32"/>
      <c r="AC1005" s="4">
        <f t="shared" si="392"/>
        <v>3</v>
      </c>
      <c r="AD1005" s="8"/>
      <c r="AE1005" s="9">
        <v>3</v>
      </c>
      <c r="AF1005" s="10"/>
      <c r="AG1005" s="7">
        <f t="shared" si="393"/>
        <v>3</v>
      </c>
      <c r="AH1005" s="43">
        <v>44743</v>
      </c>
    </row>
    <row r="1006" spans="1:34">
      <c r="A1006" s="3" t="s">
        <v>556</v>
      </c>
      <c r="B1006" s="8"/>
      <c r="C1006" s="9">
        <v>3</v>
      </c>
      <c r="D1006" s="10">
        <v>-3</v>
      </c>
      <c r="E1006" s="4">
        <f t="shared" si="387"/>
        <v>0</v>
      </c>
      <c r="F1006" s="8"/>
      <c r="G1006" s="9">
        <v>3</v>
      </c>
      <c r="H1006" s="10">
        <v>-3</v>
      </c>
      <c r="I1006" s="4">
        <f t="shared" si="388"/>
        <v>0</v>
      </c>
      <c r="J1006" s="43">
        <v>44746</v>
      </c>
      <c r="K1006" s="11" t="s">
        <v>534</v>
      </c>
      <c r="L1006" s="8">
        <v>2</v>
      </c>
      <c r="M1006" s="9">
        <v>5</v>
      </c>
      <c r="N1006" s="10">
        <v>5</v>
      </c>
      <c r="O1006" s="4">
        <f t="shared" si="389"/>
        <v>12</v>
      </c>
      <c r="P1006" s="8">
        <v>2</v>
      </c>
      <c r="Q1006" s="9">
        <v>5</v>
      </c>
      <c r="R1006" s="10">
        <v>5</v>
      </c>
      <c r="S1006" s="4">
        <f t="shared" si="390"/>
        <v>12</v>
      </c>
      <c r="T1006" s="43">
        <v>44722</v>
      </c>
      <c r="U1006" s="40"/>
      <c r="V1006" s="8"/>
      <c r="W1006" s="9"/>
      <c r="X1006" s="10"/>
      <c r="Y1006" s="4">
        <f t="shared" si="391"/>
        <v>0</v>
      </c>
      <c r="Z1006" s="8"/>
      <c r="AA1006" s="9"/>
      <c r="AB1006" s="10"/>
      <c r="AC1006" s="4">
        <f t="shared" si="392"/>
        <v>0</v>
      </c>
      <c r="AD1006" s="8"/>
      <c r="AE1006" s="9"/>
      <c r="AF1006" s="10"/>
      <c r="AG1006" s="4">
        <f t="shared" si="393"/>
        <v>0</v>
      </c>
    </row>
    <row r="1007" spans="1:34">
      <c r="A1007" s="3"/>
      <c r="B1007" s="8"/>
      <c r="C1007" s="9"/>
      <c r="D1007" s="10"/>
      <c r="E1007" s="7">
        <f t="shared" si="387"/>
        <v>0</v>
      </c>
      <c r="F1007" s="8"/>
      <c r="G1007" s="9"/>
      <c r="H1007" s="10"/>
      <c r="I1007" s="7">
        <f t="shared" si="388"/>
        <v>0</v>
      </c>
      <c r="K1007" s="11" t="s">
        <v>535</v>
      </c>
      <c r="L1007" s="8">
        <v>5</v>
      </c>
      <c r="M1007" s="9">
        <v>9</v>
      </c>
      <c r="N1007" s="10">
        <v>9</v>
      </c>
      <c r="O1007" s="7">
        <f t="shared" si="389"/>
        <v>23</v>
      </c>
      <c r="P1007" s="8">
        <v>5</v>
      </c>
      <c r="Q1007" s="9">
        <v>9</v>
      </c>
      <c r="R1007" s="10">
        <v>9</v>
      </c>
      <c r="S1007" s="7">
        <f t="shared" si="390"/>
        <v>23</v>
      </c>
      <c r="T1007" s="43">
        <v>44725</v>
      </c>
      <c r="U1007" s="40"/>
      <c r="V1007" s="8"/>
      <c r="W1007" s="9"/>
      <c r="X1007" s="10"/>
      <c r="Y1007" s="7">
        <f t="shared" si="391"/>
        <v>0</v>
      </c>
      <c r="Z1007" s="8"/>
      <c r="AA1007" s="9"/>
      <c r="AB1007" s="10"/>
      <c r="AC1007" s="7">
        <f t="shared" si="392"/>
        <v>0</v>
      </c>
      <c r="AD1007" s="8"/>
      <c r="AE1007" s="9"/>
      <c r="AF1007" s="10"/>
      <c r="AG1007" s="7">
        <f t="shared" si="393"/>
        <v>0</v>
      </c>
    </row>
    <row r="1008" spans="1:34">
      <c r="A1008" s="3"/>
      <c r="B1008" s="8"/>
      <c r="C1008" s="9"/>
      <c r="D1008" s="10"/>
      <c r="E1008" s="4">
        <f t="shared" si="387"/>
        <v>0</v>
      </c>
      <c r="F1008" s="8"/>
      <c r="G1008" s="9"/>
      <c r="H1008" s="10"/>
      <c r="I1008" s="4">
        <f t="shared" si="388"/>
        <v>0</v>
      </c>
      <c r="K1008" s="11" t="s">
        <v>536</v>
      </c>
      <c r="L1008" s="8">
        <v>9</v>
      </c>
      <c r="M1008" s="9">
        <v>6</v>
      </c>
      <c r="N1008" s="10">
        <v>2</v>
      </c>
      <c r="O1008" s="4">
        <f t="shared" si="389"/>
        <v>17</v>
      </c>
      <c r="P1008" s="8">
        <v>9</v>
      </c>
      <c r="Q1008" s="9">
        <v>6</v>
      </c>
      <c r="R1008" s="10">
        <v>2</v>
      </c>
      <c r="S1008" s="4">
        <f t="shared" si="390"/>
        <v>17</v>
      </c>
      <c r="T1008" s="43">
        <v>44726</v>
      </c>
      <c r="U1008" s="40"/>
      <c r="V1008" s="8"/>
      <c r="W1008" s="9"/>
      <c r="X1008" s="10"/>
      <c r="Y1008" s="4">
        <f t="shared" si="391"/>
        <v>0</v>
      </c>
      <c r="Z1008" s="8"/>
      <c r="AA1008" s="9"/>
      <c r="AB1008" s="10"/>
      <c r="AC1008" s="4">
        <f t="shared" si="392"/>
        <v>0</v>
      </c>
      <c r="AD1008" s="8"/>
      <c r="AE1008" s="9"/>
      <c r="AF1008" s="10"/>
      <c r="AG1008" s="4">
        <f t="shared" si="393"/>
        <v>0</v>
      </c>
    </row>
    <row r="1009" spans="1:33">
      <c r="A1009" s="3"/>
      <c r="B1009" s="8"/>
      <c r="C1009" s="9"/>
      <c r="D1009" s="10"/>
      <c r="E1009" s="4">
        <f t="shared" si="387"/>
        <v>0</v>
      </c>
      <c r="F1009" s="8"/>
      <c r="G1009" s="9"/>
      <c r="H1009" s="10"/>
      <c r="I1009" s="4">
        <f t="shared" si="388"/>
        <v>0</v>
      </c>
      <c r="K1009" s="11" t="s">
        <v>537</v>
      </c>
      <c r="L1009" s="8">
        <v>1</v>
      </c>
      <c r="M1009" s="9">
        <v>5</v>
      </c>
      <c r="N1009" s="10">
        <v>6</v>
      </c>
      <c r="O1009" s="4">
        <f t="shared" si="389"/>
        <v>12</v>
      </c>
      <c r="P1009" s="8">
        <v>1</v>
      </c>
      <c r="Q1009" s="9">
        <v>5</v>
      </c>
      <c r="R1009" s="10">
        <v>6</v>
      </c>
      <c r="S1009" s="4">
        <f t="shared" si="390"/>
        <v>12</v>
      </c>
      <c r="T1009" s="43">
        <v>44727</v>
      </c>
      <c r="U1009" s="3"/>
      <c r="V1009" s="8"/>
      <c r="W1009" s="9"/>
      <c r="X1009" s="10"/>
      <c r="Y1009" s="4">
        <f t="shared" si="391"/>
        <v>0</v>
      </c>
      <c r="Z1009" s="8"/>
      <c r="AA1009" s="9"/>
      <c r="AB1009" s="10"/>
      <c r="AC1009" s="4">
        <f t="shared" si="392"/>
        <v>0</v>
      </c>
      <c r="AD1009" s="8"/>
      <c r="AE1009" s="9"/>
      <c r="AF1009" s="10"/>
      <c r="AG1009" s="4">
        <f t="shared" si="393"/>
        <v>0</v>
      </c>
    </row>
    <row r="1010" spans="1:33">
      <c r="A1010" s="3"/>
      <c r="B1010" s="8"/>
      <c r="C1010" s="9"/>
      <c r="D1010" s="10"/>
      <c r="E1010" s="7">
        <f t="shared" si="387"/>
        <v>0</v>
      </c>
      <c r="F1010" s="8"/>
      <c r="G1010" s="9"/>
      <c r="H1010" s="10"/>
      <c r="I1010" s="7">
        <f t="shared" si="388"/>
        <v>0</v>
      </c>
      <c r="K1010" s="11" t="s">
        <v>54</v>
      </c>
      <c r="L1010" s="8">
        <v>2</v>
      </c>
      <c r="M1010" s="9">
        <v>4</v>
      </c>
      <c r="N1010" s="10">
        <v>3</v>
      </c>
      <c r="O1010" s="7">
        <f t="shared" si="389"/>
        <v>9</v>
      </c>
      <c r="P1010" s="8">
        <v>2</v>
      </c>
      <c r="Q1010" s="9">
        <v>4</v>
      </c>
      <c r="R1010" s="10">
        <v>3</v>
      </c>
      <c r="S1010" s="7">
        <f t="shared" si="390"/>
        <v>9</v>
      </c>
      <c r="T1010" s="43">
        <v>44728</v>
      </c>
      <c r="U1010" s="3"/>
      <c r="V1010" s="8"/>
      <c r="W1010" s="9"/>
      <c r="X1010" s="10"/>
      <c r="Y1010" s="7">
        <f t="shared" si="391"/>
        <v>0</v>
      </c>
      <c r="Z1010" s="8"/>
      <c r="AA1010" s="9"/>
      <c r="AB1010" s="10"/>
      <c r="AC1010" s="7">
        <f t="shared" si="392"/>
        <v>0</v>
      </c>
      <c r="AD1010" s="8"/>
      <c r="AE1010" s="9"/>
      <c r="AF1010" s="10"/>
      <c r="AG1010" s="7">
        <f t="shared" si="393"/>
        <v>0</v>
      </c>
    </row>
    <row r="1011" spans="1:33">
      <c r="A1011" s="3"/>
      <c r="B1011" s="8"/>
      <c r="C1011" s="9"/>
      <c r="D1011" s="10"/>
      <c r="E1011" s="7">
        <f t="shared" si="387"/>
        <v>0</v>
      </c>
      <c r="F1011" s="8"/>
      <c r="G1011" s="9"/>
      <c r="H1011" s="10"/>
      <c r="I1011" s="7">
        <f t="shared" si="388"/>
        <v>0</v>
      </c>
      <c r="K1011" s="11" t="s">
        <v>538</v>
      </c>
      <c r="L1011" s="8">
        <v>4</v>
      </c>
      <c r="M1011" s="9"/>
      <c r="N1011" s="10"/>
      <c r="O1011" s="7">
        <f t="shared" si="389"/>
        <v>4</v>
      </c>
      <c r="P1011" s="8">
        <v>4</v>
      </c>
      <c r="Q1011" s="9"/>
      <c r="R1011" s="10"/>
      <c r="S1011" s="7">
        <f t="shared" si="390"/>
        <v>4</v>
      </c>
      <c r="T1011" s="43">
        <v>44729</v>
      </c>
      <c r="U1011" s="3"/>
      <c r="V1011" s="8"/>
      <c r="W1011" s="9"/>
      <c r="X1011" s="10"/>
      <c r="Y1011" s="7">
        <f t="shared" si="391"/>
        <v>0</v>
      </c>
      <c r="Z1011" s="8"/>
      <c r="AA1011" s="9"/>
      <c r="AB1011" s="10"/>
      <c r="AC1011" s="7">
        <f t="shared" si="392"/>
        <v>0</v>
      </c>
      <c r="AD1011" s="8"/>
      <c r="AE1011" s="9"/>
      <c r="AF1011" s="10"/>
      <c r="AG1011" s="7">
        <f t="shared" si="393"/>
        <v>0</v>
      </c>
    </row>
    <row r="1012" spans="1:33">
      <c r="A1012" s="3"/>
      <c r="B1012" s="8"/>
      <c r="C1012" s="9"/>
      <c r="D1012" s="10"/>
      <c r="E1012" s="7">
        <f t="shared" si="387"/>
        <v>0</v>
      </c>
      <c r="F1012" s="8"/>
      <c r="G1012" s="9"/>
      <c r="H1012" s="10"/>
      <c r="I1012" s="7">
        <f t="shared" si="388"/>
        <v>0</v>
      </c>
      <c r="K1012" s="11" t="s">
        <v>539</v>
      </c>
      <c r="L1012" s="8">
        <v>5</v>
      </c>
      <c r="M1012" s="9"/>
      <c r="N1012" s="10"/>
      <c r="O1012" s="7">
        <f t="shared" si="389"/>
        <v>5</v>
      </c>
      <c r="P1012" s="8">
        <v>5</v>
      </c>
      <c r="Q1012" s="9"/>
      <c r="R1012" s="10"/>
      <c r="S1012" s="7">
        <f t="shared" si="390"/>
        <v>5</v>
      </c>
      <c r="T1012" s="43">
        <v>44732</v>
      </c>
      <c r="U1012" s="3"/>
      <c r="V1012" s="8"/>
      <c r="W1012" s="9"/>
      <c r="X1012" s="10"/>
      <c r="Y1012" s="7">
        <f t="shared" si="391"/>
        <v>0</v>
      </c>
      <c r="Z1012" s="8"/>
      <c r="AA1012" s="9"/>
      <c r="AB1012" s="10"/>
      <c r="AC1012" s="7">
        <f t="shared" si="392"/>
        <v>0</v>
      </c>
      <c r="AD1012" s="8"/>
      <c r="AE1012" s="9"/>
      <c r="AF1012" s="10"/>
      <c r="AG1012" s="7">
        <f t="shared" si="393"/>
        <v>0</v>
      </c>
    </row>
    <row r="1013" spans="1:33">
      <c r="A1013" s="3"/>
      <c r="B1013" s="8"/>
      <c r="C1013" s="9"/>
      <c r="D1013" s="10"/>
      <c r="E1013" s="7">
        <f t="shared" si="387"/>
        <v>0</v>
      </c>
      <c r="F1013" s="8"/>
      <c r="G1013" s="9"/>
      <c r="H1013" s="10"/>
      <c r="I1013" s="7">
        <f t="shared" si="388"/>
        <v>0</v>
      </c>
      <c r="K1013" s="11" t="s">
        <v>542</v>
      </c>
      <c r="L1013" s="8"/>
      <c r="M1013" s="9"/>
      <c r="N1013" s="10">
        <v>1</v>
      </c>
      <c r="O1013" s="7">
        <f t="shared" si="389"/>
        <v>1</v>
      </c>
      <c r="P1013" s="8"/>
      <c r="Q1013" s="9"/>
      <c r="R1013" s="10">
        <v>1</v>
      </c>
      <c r="S1013" s="7">
        <f t="shared" si="390"/>
        <v>1</v>
      </c>
      <c r="T1013" s="43">
        <v>44733</v>
      </c>
      <c r="U1013" s="3"/>
      <c r="V1013" s="8"/>
      <c r="W1013" s="9"/>
      <c r="X1013" s="10"/>
      <c r="Y1013" s="7">
        <f t="shared" si="391"/>
        <v>0</v>
      </c>
      <c r="Z1013" s="8"/>
      <c r="AA1013" s="9"/>
      <c r="AB1013" s="10"/>
      <c r="AC1013" s="7">
        <f t="shared" si="392"/>
        <v>0</v>
      </c>
      <c r="AD1013" s="8"/>
      <c r="AE1013" s="9"/>
      <c r="AF1013" s="10"/>
      <c r="AG1013" s="7">
        <f t="shared" si="393"/>
        <v>0</v>
      </c>
    </row>
    <row r="1014" spans="1:33">
      <c r="A1014" s="3"/>
      <c r="B1014" s="8"/>
      <c r="C1014" s="9"/>
      <c r="D1014" s="10"/>
      <c r="E1014" s="7">
        <f t="shared" si="387"/>
        <v>0</v>
      </c>
      <c r="F1014" s="8"/>
      <c r="G1014" s="9"/>
      <c r="H1014" s="10"/>
      <c r="I1014" s="7">
        <f t="shared" si="388"/>
        <v>0</v>
      </c>
      <c r="K1014" s="11" t="s">
        <v>543</v>
      </c>
      <c r="L1014" s="8">
        <v>2</v>
      </c>
      <c r="M1014" s="9">
        <v>3</v>
      </c>
      <c r="N1014" s="10">
        <v>4</v>
      </c>
      <c r="O1014" s="7">
        <f t="shared" si="389"/>
        <v>9</v>
      </c>
      <c r="P1014" s="8">
        <v>2</v>
      </c>
      <c r="Q1014" s="9">
        <v>3</v>
      </c>
      <c r="R1014" s="10">
        <v>4</v>
      </c>
      <c r="S1014" s="7">
        <f t="shared" si="390"/>
        <v>9</v>
      </c>
      <c r="T1014" s="43">
        <v>44734</v>
      </c>
      <c r="U1014" s="3"/>
      <c r="V1014" s="8"/>
      <c r="W1014" s="9"/>
      <c r="X1014" s="10"/>
      <c r="Y1014" s="7">
        <f t="shared" si="391"/>
        <v>0</v>
      </c>
      <c r="Z1014" s="8"/>
      <c r="AA1014" s="9"/>
      <c r="AB1014" s="10"/>
      <c r="AC1014" s="7">
        <f t="shared" si="392"/>
        <v>0</v>
      </c>
      <c r="AD1014" s="8"/>
      <c r="AE1014" s="9"/>
      <c r="AF1014" s="10"/>
      <c r="AG1014" s="7">
        <f t="shared" si="393"/>
        <v>0</v>
      </c>
    </row>
    <row r="1015" spans="1:33">
      <c r="A1015" s="3"/>
      <c r="B1015" s="8"/>
      <c r="C1015" s="9"/>
      <c r="D1015" s="10"/>
      <c r="E1015" s="7">
        <f t="shared" si="387"/>
        <v>0</v>
      </c>
      <c r="F1015" s="8"/>
      <c r="G1015" s="9"/>
      <c r="H1015" s="10"/>
      <c r="I1015" s="7">
        <f t="shared" si="388"/>
        <v>0</v>
      </c>
      <c r="K1015" s="11" t="s">
        <v>545</v>
      </c>
      <c r="L1015" s="59">
        <v>4</v>
      </c>
      <c r="M1015" s="9">
        <v>3</v>
      </c>
      <c r="N1015" s="10">
        <v>14</v>
      </c>
      <c r="O1015" s="7">
        <f t="shared" si="389"/>
        <v>21</v>
      </c>
      <c r="P1015" s="8">
        <v>4</v>
      </c>
      <c r="Q1015" s="9">
        <v>3</v>
      </c>
      <c r="R1015" s="10">
        <v>14</v>
      </c>
      <c r="S1015" s="7">
        <f t="shared" si="390"/>
        <v>21</v>
      </c>
      <c r="T1015" s="43">
        <v>44735</v>
      </c>
      <c r="U1015" s="3"/>
      <c r="V1015" s="30"/>
      <c r="W1015" s="9"/>
      <c r="X1015" s="10"/>
      <c r="Y1015" s="7">
        <f t="shared" si="391"/>
        <v>0</v>
      </c>
      <c r="Z1015" s="8"/>
      <c r="AA1015" s="9"/>
      <c r="AB1015" s="10"/>
      <c r="AC1015" s="7">
        <f t="shared" si="392"/>
        <v>0</v>
      </c>
      <c r="AD1015" s="8"/>
      <c r="AE1015" s="9"/>
      <c r="AF1015" s="10"/>
      <c r="AG1015" s="7">
        <f t="shared" si="393"/>
        <v>0</v>
      </c>
    </row>
    <row r="1016" spans="1:33">
      <c r="A1016" s="3"/>
      <c r="B1016" s="8"/>
      <c r="C1016" s="9"/>
      <c r="D1016" s="10"/>
      <c r="E1016" s="7">
        <f t="shared" si="387"/>
        <v>0</v>
      </c>
      <c r="F1016" s="8"/>
      <c r="G1016" s="9"/>
      <c r="H1016" s="10"/>
      <c r="I1016" s="7">
        <f t="shared" si="388"/>
        <v>0</v>
      </c>
      <c r="K1016" s="11" t="s">
        <v>546</v>
      </c>
      <c r="L1016" s="8">
        <v>7</v>
      </c>
      <c r="M1016" s="9">
        <v>10</v>
      </c>
      <c r="N1016" s="10">
        <v>10</v>
      </c>
      <c r="O1016" s="7">
        <f t="shared" si="389"/>
        <v>27</v>
      </c>
      <c r="P1016" s="8">
        <v>7</v>
      </c>
      <c r="Q1016" s="9">
        <v>10</v>
      </c>
      <c r="R1016" s="10">
        <v>10</v>
      </c>
      <c r="S1016" s="7">
        <f t="shared" si="390"/>
        <v>27</v>
      </c>
      <c r="T1016" s="43">
        <v>44736</v>
      </c>
      <c r="U1016" s="3"/>
      <c r="V1016" s="8"/>
      <c r="W1016" s="9"/>
      <c r="X1016" s="10"/>
      <c r="Y1016" s="7">
        <f t="shared" si="391"/>
        <v>0</v>
      </c>
      <c r="Z1016" s="8"/>
      <c r="AA1016" s="9"/>
      <c r="AB1016" s="10"/>
      <c r="AC1016" s="7">
        <f t="shared" si="392"/>
        <v>0</v>
      </c>
      <c r="AD1016" s="8"/>
      <c r="AE1016" s="9"/>
      <c r="AF1016" s="10"/>
      <c r="AG1016" s="7">
        <f t="shared" si="393"/>
        <v>0</v>
      </c>
    </row>
    <row r="1017" spans="1:33">
      <c r="A1017" s="3"/>
      <c r="B1017" s="8"/>
      <c r="C1017" s="9"/>
      <c r="D1017" s="10"/>
      <c r="E1017" s="7">
        <f t="shared" si="387"/>
        <v>0</v>
      </c>
      <c r="F1017" s="8"/>
      <c r="G1017" s="9"/>
      <c r="H1017" s="10"/>
      <c r="I1017" s="7">
        <f t="shared" si="388"/>
        <v>0</v>
      </c>
      <c r="K1017" s="11" t="s">
        <v>548</v>
      </c>
      <c r="L1017" s="8">
        <v>4</v>
      </c>
      <c r="M1017" s="9">
        <v>6</v>
      </c>
      <c r="N1017" s="10">
        <v>1</v>
      </c>
      <c r="O1017" s="7">
        <f t="shared" si="389"/>
        <v>11</v>
      </c>
      <c r="P1017" s="8">
        <v>4</v>
      </c>
      <c r="Q1017" s="9">
        <v>6</v>
      </c>
      <c r="R1017" s="10">
        <v>1</v>
      </c>
      <c r="S1017" s="7">
        <f t="shared" si="390"/>
        <v>11</v>
      </c>
      <c r="T1017" s="43">
        <v>44739</v>
      </c>
      <c r="U1017" s="3"/>
      <c r="V1017" s="8"/>
      <c r="W1017" s="9"/>
      <c r="X1017" s="10"/>
      <c r="Y1017" s="7">
        <f t="shared" si="391"/>
        <v>0</v>
      </c>
      <c r="Z1017" s="8"/>
      <c r="AA1017" s="9"/>
      <c r="AB1017" s="10"/>
      <c r="AC1017" s="7">
        <f t="shared" si="392"/>
        <v>0</v>
      </c>
      <c r="AD1017" s="8"/>
      <c r="AE1017" s="9"/>
      <c r="AF1017" s="10"/>
      <c r="AG1017" s="7">
        <f t="shared" si="393"/>
        <v>0</v>
      </c>
    </row>
    <row r="1018" spans="1:33">
      <c r="A1018" s="3"/>
      <c r="B1018" s="8"/>
      <c r="C1018" s="9"/>
      <c r="D1018" s="10"/>
      <c r="E1018" s="7">
        <f t="shared" si="387"/>
        <v>0</v>
      </c>
      <c r="F1018" s="8"/>
      <c r="G1018" s="9"/>
      <c r="H1018" s="10"/>
      <c r="I1018" s="7">
        <f t="shared" si="388"/>
        <v>0</v>
      </c>
      <c r="K1018" s="11" t="s">
        <v>549</v>
      </c>
      <c r="L1018" s="8">
        <v>5</v>
      </c>
      <c r="M1018" s="9">
        <v>9</v>
      </c>
      <c r="N1018" s="10">
        <v>4</v>
      </c>
      <c r="O1018" s="7">
        <f t="shared" si="389"/>
        <v>18</v>
      </c>
      <c r="P1018" s="8">
        <v>5</v>
      </c>
      <c r="Q1018" s="9">
        <v>9</v>
      </c>
      <c r="R1018" s="10">
        <v>4</v>
      </c>
      <c r="S1018" s="7">
        <f t="shared" si="390"/>
        <v>18</v>
      </c>
      <c r="T1018" s="43">
        <v>44740</v>
      </c>
      <c r="U1018" s="3"/>
      <c r="V1018" s="8"/>
      <c r="W1018" s="9"/>
      <c r="X1018" s="10"/>
      <c r="Y1018" s="7">
        <f t="shared" si="391"/>
        <v>0</v>
      </c>
      <c r="Z1018" s="8"/>
      <c r="AA1018" s="9"/>
      <c r="AB1018" s="10"/>
      <c r="AC1018" s="7">
        <f t="shared" si="392"/>
        <v>0</v>
      </c>
      <c r="AD1018" s="8"/>
      <c r="AE1018" s="9"/>
      <c r="AF1018" s="10"/>
      <c r="AG1018" s="7">
        <f t="shared" si="393"/>
        <v>0</v>
      </c>
    </row>
    <row r="1019" spans="1:33">
      <c r="A1019" s="3"/>
      <c r="B1019" s="8"/>
      <c r="C1019" s="9"/>
      <c r="D1019" s="10"/>
      <c r="E1019" s="7">
        <f t="shared" si="387"/>
        <v>0</v>
      </c>
      <c r="F1019" s="8"/>
      <c r="G1019" s="9"/>
      <c r="H1019" s="10"/>
      <c r="I1019" s="7">
        <f t="shared" si="388"/>
        <v>0</v>
      </c>
      <c r="K1019" s="11" t="s">
        <v>552</v>
      </c>
      <c r="L1019" s="8">
        <v>5</v>
      </c>
      <c r="M1019" s="9">
        <v>10</v>
      </c>
      <c r="N1019" s="10">
        <v>2</v>
      </c>
      <c r="O1019" s="7">
        <f t="shared" si="389"/>
        <v>17</v>
      </c>
      <c r="P1019" s="8">
        <v>5</v>
      </c>
      <c r="Q1019" s="9">
        <v>10</v>
      </c>
      <c r="R1019" s="10">
        <v>2</v>
      </c>
      <c r="S1019" s="7">
        <f t="shared" si="390"/>
        <v>17</v>
      </c>
      <c r="T1019" s="43">
        <v>44741</v>
      </c>
      <c r="U1019" s="3"/>
      <c r="V1019" s="8"/>
      <c r="W1019" s="9"/>
      <c r="X1019" s="10"/>
      <c r="Y1019" s="7">
        <f t="shared" si="391"/>
        <v>0</v>
      </c>
      <c r="Z1019" s="8"/>
      <c r="AA1019" s="9"/>
      <c r="AB1019" s="10"/>
      <c r="AC1019" s="7">
        <f t="shared" si="392"/>
        <v>0</v>
      </c>
      <c r="AD1019" s="8"/>
      <c r="AE1019" s="9"/>
      <c r="AF1019" s="10"/>
      <c r="AG1019" s="7">
        <f t="shared" si="393"/>
        <v>0</v>
      </c>
    </row>
    <row r="1020" spans="1:33">
      <c r="A1020" s="3"/>
      <c r="B1020" s="8"/>
      <c r="C1020" s="9"/>
      <c r="D1020" s="10"/>
      <c r="E1020" s="7">
        <f t="shared" si="387"/>
        <v>0</v>
      </c>
      <c r="F1020" s="8"/>
      <c r="G1020" s="9"/>
      <c r="H1020" s="10"/>
      <c r="I1020" s="7">
        <f t="shared" si="388"/>
        <v>0</v>
      </c>
      <c r="K1020" s="11" t="s">
        <v>553</v>
      </c>
      <c r="L1020" s="8"/>
      <c r="M1020" s="9"/>
      <c r="N1020" s="10">
        <v>5</v>
      </c>
      <c r="O1020" s="7">
        <f t="shared" si="389"/>
        <v>5</v>
      </c>
      <c r="P1020" s="8"/>
      <c r="Q1020" s="9"/>
      <c r="R1020" s="10">
        <v>5</v>
      </c>
      <c r="S1020" s="7">
        <f t="shared" si="390"/>
        <v>5</v>
      </c>
      <c r="T1020" s="43">
        <v>44746</v>
      </c>
      <c r="U1020" s="3"/>
      <c r="V1020" s="8"/>
      <c r="W1020" s="9"/>
      <c r="X1020" s="10"/>
      <c r="Y1020" s="7">
        <f t="shared" si="391"/>
        <v>0</v>
      </c>
      <c r="Z1020" s="8"/>
      <c r="AA1020" s="9"/>
      <c r="AB1020" s="10"/>
      <c r="AC1020" s="7">
        <f t="shared" si="392"/>
        <v>0</v>
      </c>
      <c r="AD1020" s="8"/>
      <c r="AE1020" s="9"/>
      <c r="AF1020" s="10"/>
      <c r="AG1020" s="7">
        <f t="shared" si="393"/>
        <v>0</v>
      </c>
    </row>
    <row r="1021" spans="1:33">
      <c r="A1021" s="3"/>
      <c r="B1021" s="8"/>
      <c r="C1021" s="9"/>
      <c r="D1021" s="10"/>
      <c r="E1021" s="7">
        <f t="shared" si="387"/>
        <v>0</v>
      </c>
      <c r="F1021" s="8"/>
      <c r="G1021" s="9"/>
      <c r="H1021" s="10"/>
      <c r="I1021" s="7">
        <f t="shared" si="388"/>
        <v>0</v>
      </c>
      <c r="K1021" s="11" t="s">
        <v>554</v>
      </c>
      <c r="L1021" s="8">
        <v>4</v>
      </c>
      <c r="M1021" s="9">
        <v>8</v>
      </c>
      <c r="N1021" s="10">
        <v>1</v>
      </c>
      <c r="O1021" s="7">
        <f t="shared" si="389"/>
        <v>13</v>
      </c>
      <c r="P1021" s="8">
        <v>4</v>
      </c>
      <c r="Q1021" s="9">
        <v>8</v>
      </c>
      <c r="R1021" s="10">
        <v>1</v>
      </c>
      <c r="S1021" s="7">
        <f t="shared" si="390"/>
        <v>13</v>
      </c>
      <c r="T1021" s="43">
        <v>44742</v>
      </c>
      <c r="U1021" s="3"/>
      <c r="V1021" s="8"/>
      <c r="W1021" s="9"/>
      <c r="X1021" s="10"/>
      <c r="Y1021" s="7">
        <f t="shared" si="391"/>
        <v>0</v>
      </c>
      <c r="Z1021" s="8"/>
      <c r="AA1021" s="9"/>
      <c r="AB1021" s="10"/>
      <c r="AC1021" s="7">
        <f t="shared" si="392"/>
        <v>0</v>
      </c>
      <c r="AD1021" s="8"/>
      <c r="AE1021" s="9"/>
      <c r="AF1021" s="10"/>
      <c r="AG1021" s="7">
        <f t="shared" si="393"/>
        <v>0</v>
      </c>
    </row>
    <row r="1022" spans="1:33">
      <c r="A1022" s="3"/>
      <c r="B1022" s="8"/>
      <c r="C1022" s="9"/>
      <c r="D1022" s="10"/>
      <c r="E1022" s="7">
        <f t="shared" si="387"/>
        <v>0</v>
      </c>
      <c r="F1022" s="8"/>
      <c r="G1022" s="9"/>
      <c r="H1022" s="10"/>
      <c r="I1022" s="7">
        <f t="shared" si="388"/>
        <v>0</v>
      </c>
      <c r="K1022" s="11" t="s">
        <v>557</v>
      </c>
      <c r="L1022" s="8">
        <v>1</v>
      </c>
      <c r="M1022" s="9">
        <v>1</v>
      </c>
      <c r="N1022" s="10">
        <v>2</v>
      </c>
      <c r="O1022" s="7">
        <f t="shared" si="389"/>
        <v>4</v>
      </c>
      <c r="P1022" s="8">
        <v>1</v>
      </c>
      <c r="Q1022" s="9">
        <v>1</v>
      </c>
      <c r="R1022" s="10">
        <v>2</v>
      </c>
      <c r="S1022" s="7">
        <f t="shared" si="390"/>
        <v>4</v>
      </c>
      <c r="T1022" s="43">
        <v>44743</v>
      </c>
      <c r="U1022" s="3"/>
      <c r="V1022" s="8"/>
      <c r="W1022" s="9"/>
      <c r="X1022" s="10"/>
      <c r="Y1022" s="7">
        <f t="shared" si="391"/>
        <v>0</v>
      </c>
      <c r="Z1022" s="8"/>
      <c r="AA1022" s="9"/>
      <c r="AB1022" s="10"/>
      <c r="AC1022" s="7">
        <f t="shared" si="392"/>
        <v>0</v>
      </c>
      <c r="AD1022" s="8"/>
      <c r="AE1022" s="9"/>
      <c r="AF1022" s="10"/>
      <c r="AG1022" s="7">
        <f t="shared" si="393"/>
        <v>0</v>
      </c>
    </row>
    <row r="1023" spans="1:33">
      <c r="A1023" s="11"/>
      <c r="B1023" s="8"/>
      <c r="C1023" s="9"/>
      <c r="D1023" s="10"/>
      <c r="E1023" s="7">
        <f t="shared" si="387"/>
        <v>0</v>
      </c>
      <c r="F1023" s="8"/>
      <c r="G1023" s="9"/>
      <c r="H1023" s="10"/>
      <c r="I1023" s="7">
        <f t="shared" si="388"/>
        <v>0</v>
      </c>
      <c r="K1023" s="11" t="s">
        <v>558</v>
      </c>
      <c r="L1023" s="8">
        <v>3</v>
      </c>
      <c r="M1023" s="9">
        <v>6</v>
      </c>
      <c r="N1023" s="10"/>
      <c r="O1023" s="7">
        <f t="shared" si="389"/>
        <v>9</v>
      </c>
      <c r="P1023" s="8">
        <v>3</v>
      </c>
      <c r="Q1023" s="9">
        <v>6</v>
      </c>
      <c r="R1023" s="10"/>
      <c r="S1023" s="7">
        <f t="shared" si="390"/>
        <v>9</v>
      </c>
      <c r="T1023" s="43">
        <v>44746</v>
      </c>
      <c r="U1023" s="3"/>
      <c r="V1023" s="8"/>
      <c r="W1023" s="9"/>
      <c r="X1023" s="10"/>
      <c r="Y1023" s="7">
        <f t="shared" si="391"/>
        <v>0</v>
      </c>
      <c r="Z1023" s="8"/>
      <c r="AA1023" s="9"/>
      <c r="AB1023" s="10"/>
      <c r="AC1023" s="7">
        <f t="shared" si="392"/>
        <v>0</v>
      </c>
      <c r="AD1023" s="8"/>
      <c r="AE1023" s="9"/>
      <c r="AF1023" s="10"/>
      <c r="AG1023" s="7">
        <f t="shared" si="393"/>
        <v>0</v>
      </c>
    </row>
    <row r="1024" spans="1:33">
      <c r="A1024" s="11"/>
      <c r="B1024" s="8"/>
      <c r="C1024" s="9"/>
      <c r="D1024" s="10"/>
      <c r="E1024" s="7">
        <f t="shared" si="387"/>
        <v>0</v>
      </c>
      <c r="F1024" s="8"/>
      <c r="G1024" s="9"/>
      <c r="H1024" s="10"/>
      <c r="I1024" s="7">
        <f t="shared" si="388"/>
        <v>0</v>
      </c>
      <c r="K1024" s="11" t="s">
        <v>559</v>
      </c>
      <c r="L1024" s="8">
        <v>10</v>
      </c>
      <c r="M1024" s="9">
        <v>10</v>
      </c>
      <c r="N1024" s="10">
        <v>10</v>
      </c>
      <c r="O1024" s="7">
        <f t="shared" si="389"/>
        <v>30</v>
      </c>
      <c r="P1024" s="8">
        <v>10</v>
      </c>
      <c r="Q1024" s="9">
        <v>10</v>
      </c>
      <c r="R1024" s="10">
        <v>10</v>
      </c>
      <c r="S1024" s="7">
        <f t="shared" si="390"/>
        <v>30</v>
      </c>
      <c r="T1024" s="43">
        <v>44749</v>
      </c>
      <c r="U1024" s="3"/>
      <c r="V1024" s="8"/>
      <c r="W1024" s="9"/>
      <c r="X1024" s="10"/>
      <c r="Y1024" s="7">
        <f t="shared" si="391"/>
        <v>0</v>
      </c>
      <c r="Z1024" s="8"/>
      <c r="AA1024" s="9"/>
      <c r="AB1024" s="10"/>
      <c r="AC1024" s="7">
        <f t="shared" si="392"/>
        <v>0</v>
      </c>
      <c r="AD1024" s="8"/>
      <c r="AE1024" s="9"/>
      <c r="AF1024" s="10"/>
      <c r="AG1024" s="7">
        <f t="shared" si="393"/>
        <v>0</v>
      </c>
    </row>
    <row r="1025" spans="1:34">
      <c r="A1025" s="11"/>
      <c r="B1025" s="8"/>
      <c r="C1025" s="9"/>
      <c r="D1025" s="10"/>
      <c r="E1025" s="7">
        <f t="shared" si="387"/>
        <v>0</v>
      </c>
      <c r="F1025" s="8"/>
      <c r="G1025" s="9"/>
      <c r="H1025" s="10"/>
      <c r="I1025" s="7">
        <f t="shared" si="388"/>
        <v>0</v>
      </c>
      <c r="K1025" s="11"/>
      <c r="L1025" s="8"/>
      <c r="M1025" s="9"/>
      <c r="N1025" s="10"/>
      <c r="O1025" s="7">
        <f t="shared" ref="O1025:O1026" si="394">SUM(L1025:N1025)</f>
        <v>0</v>
      </c>
      <c r="P1025" s="8"/>
      <c r="Q1025" s="9"/>
      <c r="R1025" s="10"/>
      <c r="S1025" s="7">
        <f t="shared" ref="S1025:S1026" si="395">SUM(P1025:R1025)</f>
        <v>0</v>
      </c>
      <c r="T1025" s="71"/>
      <c r="U1025" s="11"/>
      <c r="V1025" s="8"/>
      <c r="W1025" s="9"/>
      <c r="X1025" s="10"/>
      <c r="Y1025" s="7">
        <f t="shared" si="391"/>
        <v>0</v>
      </c>
      <c r="Z1025" s="8"/>
      <c r="AA1025" s="9"/>
      <c r="AB1025" s="10"/>
      <c r="AC1025" s="7">
        <f t="shared" si="392"/>
        <v>0</v>
      </c>
      <c r="AD1025" s="8"/>
      <c r="AE1025" s="9"/>
      <c r="AF1025" s="10"/>
      <c r="AG1025" s="7">
        <f t="shared" si="393"/>
        <v>0</v>
      </c>
    </row>
    <row r="1026" spans="1:34">
      <c r="A1026" s="11"/>
      <c r="B1026" s="8"/>
      <c r="C1026" s="9"/>
      <c r="D1026" s="10"/>
      <c r="E1026" s="7">
        <f t="shared" si="387"/>
        <v>0</v>
      </c>
      <c r="F1026" s="8"/>
      <c r="G1026" s="9"/>
      <c r="H1026" s="10"/>
      <c r="I1026" s="7">
        <f t="shared" si="388"/>
        <v>0</v>
      </c>
      <c r="K1026" s="11" t="s">
        <v>515</v>
      </c>
      <c r="L1026" s="8"/>
      <c r="M1026" s="9"/>
      <c r="N1026" s="10"/>
      <c r="O1026" s="7">
        <f t="shared" si="394"/>
        <v>0</v>
      </c>
      <c r="P1026" s="8"/>
      <c r="Q1026" s="9"/>
      <c r="R1026" s="10"/>
      <c r="S1026" s="7">
        <f t="shared" si="395"/>
        <v>0</v>
      </c>
      <c r="T1026" s="71" t="s">
        <v>105</v>
      </c>
      <c r="U1026" s="3"/>
      <c r="V1026" s="8"/>
      <c r="W1026" s="9"/>
      <c r="X1026" s="10"/>
      <c r="Y1026" s="7">
        <f t="shared" si="391"/>
        <v>0</v>
      </c>
      <c r="Z1026" s="8"/>
      <c r="AA1026" s="9"/>
      <c r="AB1026" s="10"/>
      <c r="AC1026" s="7">
        <f t="shared" si="392"/>
        <v>0</v>
      </c>
      <c r="AD1026" s="8"/>
      <c r="AE1026" s="9"/>
      <c r="AF1026" s="10"/>
      <c r="AG1026" s="7">
        <f t="shared" si="393"/>
        <v>0</v>
      </c>
    </row>
    <row r="1027" spans="1:34">
      <c r="A1027" s="11"/>
      <c r="B1027" s="8"/>
      <c r="C1027" s="9"/>
      <c r="D1027" s="10"/>
      <c r="E1027" s="7">
        <f t="shared" si="387"/>
        <v>0</v>
      </c>
      <c r="F1027" s="8"/>
      <c r="G1027" s="9"/>
      <c r="H1027" s="10"/>
      <c r="I1027" s="7">
        <f t="shared" si="388"/>
        <v>0</v>
      </c>
      <c r="K1027" s="11" t="s">
        <v>502</v>
      </c>
      <c r="L1027" s="8"/>
      <c r="M1027" s="9"/>
      <c r="N1027" s="10"/>
      <c r="O1027" s="7">
        <f t="shared" ref="O1027" si="396">SUM(L1027:N1027)</f>
        <v>0</v>
      </c>
      <c r="P1027" s="8"/>
      <c r="Q1027" s="9"/>
      <c r="R1027" s="10"/>
      <c r="S1027" s="7">
        <f t="shared" ref="S1027" si="397">SUM(P1027:R1027)</f>
        <v>0</v>
      </c>
      <c r="T1027" s="71" t="s">
        <v>164</v>
      </c>
      <c r="U1027" s="3"/>
      <c r="V1027" s="8"/>
      <c r="W1027" s="9"/>
      <c r="X1027" s="10"/>
      <c r="Y1027" s="7">
        <f t="shared" si="391"/>
        <v>0</v>
      </c>
      <c r="Z1027" s="8"/>
      <c r="AA1027" s="9"/>
      <c r="AB1027" s="10"/>
      <c r="AC1027" s="7">
        <f t="shared" si="392"/>
        <v>0</v>
      </c>
      <c r="AD1027" s="8"/>
      <c r="AE1027" s="9"/>
      <c r="AF1027" s="10"/>
      <c r="AG1027" s="7">
        <f t="shared" si="393"/>
        <v>0</v>
      </c>
      <c r="AH1027" s="71"/>
    </row>
    <row r="1028" spans="1:34" ht="14.25" thickBot="1">
      <c r="A1028" s="3"/>
      <c r="B1028" s="8"/>
      <c r="C1028" s="9"/>
      <c r="D1028" s="10"/>
      <c r="E1028" s="7">
        <f t="shared" si="387"/>
        <v>0</v>
      </c>
      <c r="F1028" s="8"/>
      <c r="G1028" s="9"/>
      <c r="H1028" s="10"/>
      <c r="I1028" s="7">
        <f t="shared" si="388"/>
        <v>0</v>
      </c>
      <c r="K1028" s="11" t="s">
        <v>492</v>
      </c>
      <c r="L1028" s="8"/>
      <c r="M1028" s="9"/>
      <c r="N1028" s="10"/>
      <c r="O1028" s="7">
        <f t="shared" si="389"/>
        <v>0</v>
      </c>
      <c r="P1028" s="8"/>
      <c r="Q1028" s="9"/>
      <c r="R1028" s="10"/>
      <c r="S1028" s="7">
        <f t="shared" si="390"/>
        <v>0</v>
      </c>
      <c r="T1028" s="71" t="s">
        <v>101</v>
      </c>
      <c r="U1028" s="3"/>
      <c r="V1028" s="8"/>
      <c r="W1028" s="9"/>
      <c r="X1028" s="10"/>
      <c r="Y1028" s="7">
        <f t="shared" si="391"/>
        <v>0</v>
      </c>
      <c r="Z1028" s="8"/>
      <c r="AA1028" s="9"/>
      <c r="AB1028" s="10"/>
      <c r="AC1028" s="7">
        <f t="shared" si="392"/>
        <v>0</v>
      </c>
      <c r="AD1028" s="8"/>
      <c r="AE1028" s="9"/>
      <c r="AF1028" s="10"/>
      <c r="AG1028" s="7">
        <f t="shared" si="393"/>
        <v>0</v>
      </c>
      <c r="AH1028" s="71"/>
    </row>
    <row r="1029" spans="1:34" ht="14.25" thickBot="1">
      <c r="A1029" s="2" t="s">
        <v>5</v>
      </c>
      <c r="B1029" s="14">
        <f>SUM(B1005:B1028)</f>
        <v>0</v>
      </c>
      <c r="C1029" s="14">
        <f>SUM(C1005:C1028)</f>
        <v>3</v>
      </c>
      <c r="D1029" s="14">
        <f>SUM(D1005:D1028)</f>
        <v>-1</v>
      </c>
      <c r="E1029" s="15">
        <f t="shared" si="387"/>
        <v>2</v>
      </c>
      <c r="F1029" s="14">
        <f>SUM(F1005:F1028)</f>
        <v>0</v>
      </c>
      <c r="G1029" s="14">
        <f>SUM(G1005:G1028)</f>
        <v>3</v>
      </c>
      <c r="H1029" s="14">
        <f>SUM(H1005:H1028)</f>
        <v>-1</v>
      </c>
      <c r="I1029" s="15">
        <f t="shared" si="388"/>
        <v>2</v>
      </c>
      <c r="K1029" s="2" t="s">
        <v>5</v>
      </c>
      <c r="L1029" s="14">
        <f>SUM(L1005:L1028)</f>
        <v>91</v>
      </c>
      <c r="M1029" s="14">
        <f>SUM(M1005:M1028)</f>
        <v>119</v>
      </c>
      <c r="N1029" s="14">
        <f>SUM(N1005:N1028)</f>
        <v>97</v>
      </c>
      <c r="O1029" s="15">
        <f t="shared" si="389"/>
        <v>307</v>
      </c>
      <c r="P1029" s="14">
        <f>SUM(P1005:P1028)</f>
        <v>91</v>
      </c>
      <c r="Q1029" s="14">
        <f>SUM(Q1005:Q1028)</f>
        <v>119</v>
      </c>
      <c r="R1029" s="14">
        <f>SUM(R1005:R1028)</f>
        <v>97</v>
      </c>
      <c r="S1029" s="15">
        <f t="shared" si="390"/>
        <v>307</v>
      </c>
      <c r="U1029" s="2" t="s">
        <v>5</v>
      </c>
      <c r="V1029" s="14">
        <f>SUM(V1005:V1028)</f>
        <v>0</v>
      </c>
      <c r="W1029" s="14">
        <f>SUM(W1005:W1028)</f>
        <v>3</v>
      </c>
      <c r="X1029" s="14">
        <f>SUM(X1005:X1028)</f>
        <v>0</v>
      </c>
      <c r="Y1029" s="15">
        <f t="shared" si="391"/>
        <v>3</v>
      </c>
      <c r="Z1029" s="14">
        <f>SUM(Z1005:Z1028)</f>
        <v>0</v>
      </c>
      <c r="AA1029" s="14">
        <f>SUM(AA1005:AA1028)</f>
        <v>3</v>
      </c>
      <c r="AB1029" s="14">
        <f>SUM(AB1005:AB1028)</f>
        <v>0</v>
      </c>
      <c r="AC1029" s="15">
        <f t="shared" si="392"/>
        <v>3</v>
      </c>
      <c r="AD1029" s="14">
        <f>SUM(AD1005:AD1028)</f>
        <v>0</v>
      </c>
      <c r="AE1029" s="14">
        <f>SUM(AE1005:AE1028)</f>
        <v>3</v>
      </c>
      <c r="AF1029" s="14">
        <f>SUM(AF1005:AF1028)</f>
        <v>0</v>
      </c>
      <c r="AG1029" s="15">
        <f t="shared" si="393"/>
        <v>3</v>
      </c>
    </row>
    <row r="1030" spans="1:34" ht="14.25" thickBot="1">
      <c r="A1030" s="27" t="s">
        <v>6</v>
      </c>
      <c r="B1030" s="28">
        <f>B1004-B1029</f>
        <v>10</v>
      </c>
      <c r="C1030" s="28">
        <f t="shared" ref="C1030:E1030" si="398">C1004-C1029</f>
        <v>10</v>
      </c>
      <c r="D1030" s="28">
        <f t="shared" si="398"/>
        <v>8</v>
      </c>
      <c r="E1030" s="28">
        <f t="shared" si="398"/>
        <v>28</v>
      </c>
      <c r="F1030" s="28">
        <f>F1004-F1029</f>
        <v>10</v>
      </c>
      <c r="G1030" s="28">
        <f t="shared" ref="G1030:I1030" si="399">G1004-G1029</f>
        <v>10</v>
      </c>
      <c r="H1030" s="28">
        <f t="shared" si="399"/>
        <v>8</v>
      </c>
      <c r="I1030" s="26">
        <f t="shared" si="399"/>
        <v>28</v>
      </c>
      <c r="K1030" s="27" t="s">
        <v>6</v>
      </c>
      <c r="L1030" s="28">
        <f>L1004-L1029</f>
        <v>69</v>
      </c>
      <c r="M1030" s="28">
        <f t="shared" ref="M1030:O1030" si="400">M1004-M1029</f>
        <v>44</v>
      </c>
      <c r="N1030" s="28">
        <f t="shared" si="400"/>
        <v>62</v>
      </c>
      <c r="O1030" s="28">
        <f t="shared" si="400"/>
        <v>175</v>
      </c>
      <c r="P1030" s="28">
        <f>P1004-P1029</f>
        <v>69</v>
      </c>
      <c r="Q1030" s="28">
        <f t="shared" ref="Q1030:S1030" si="401">Q1004-Q1029</f>
        <v>44</v>
      </c>
      <c r="R1030" s="28">
        <f t="shared" si="401"/>
        <v>62</v>
      </c>
      <c r="S1030" s="26">
        <f t="shared" si="401"/>
        <v>175</v>
      </c>
      <c r="U1030" s="27" t="s">
        <v>6</v>
      </c>
      <c r="V1030" s="28">
        <f>V1004-V1029</f>
        <v>18</v>
      </c>
      <c r="W1030" s="28">
        <f t="shared" ref="W1030:Y1030" si="402">W1004-W1029</f>
        <v>63</v>
      </c>
      <c r="X1030" s="28">
        <f t="shared" si="402"/>
        <v>21</v>
      </c>
      <c r="Y1030" s="28">
        <f t="shared" si="402"/>
        <v>102</v>
      </c>
      <c r="Z1030" s="28">
        <f>Z1004-Z1029</f>
        <v>18</v>
      </c>
      <c r="AA1030" s="28">
        <f t="shared" ref="AA1030:AC1030" si="403">AA1004-AA1029</f>
        <v>63</v>
      </c>
      <c r="AB1030" s="28">
        <f t="shared" si="403"/>
        <v>21</v>
      </c>
      <c r="AC1030" s="26">
        <f t="shared" si="403"/>
        <v>102</v>
      </c>
      <c r="AD1030" s="28">
        <f>AD1004-AD1029</f>
        <v>18</v>
      </c>
      <c r="AE1030" s="28">
        <f t="shared" ref="AE1030:AG1030" si="404">AE1004-AE1029</f>
        <v>63</v>
      </c>
      <c r="AF1030" s="28">
        <f t="shared" si="404"/>
        <v>21</v>
      </c>
      <c r="AG1030" s="26">
        <f t="shared" si="404"/>
        <v>102</v>
      </c>
    </row>
    <row r="1033" spans="1:34" ht="26.25" thickBot="1">
      <c r="A1033" s="33" t="s">
        <v>15</v>
      </c>
      <c r="B1033" s="34"/>
      <c r="C1033" s="34"/>
      <c r="D1033" s="34"/>
      <c r="E1033" s="34"/>
      <c r="F1033" s="35"/>
      <c r="G1033" s="35"/>
      <c r="H1033" s="35"/>
      <c r="I1033" s="35"/>
      <c r="K1033" s="33" t="s">
        <v>243</v>
      </c>
      <c r="L1033" s="34"/>
      <c r="M1033" s="34"/>
      <c r="N1033" s="34"/>
      <c r="O1033" s="34"/>
      <c r="P1033" s="35"/>
      <c r="Q1033" s="35"/>
      <c r="R1033" s="35"/>
      <c r="S1033" s="35"/>
      <c r="U1033" s="88" t="s">
        <v>244</v>
      </c>
      <c r="V1033" s="89"/>
      <c r="W1033" s="89"/>
      <c r="X1033" s="89"/>
      <c r="Y1033" s="89"/>
      <c r="Z1033" s="90"/>
      <c r="AA1033" s="90"/>
      <c r="AB1033" s="90"/>
      <c r="AC1033" s="90"/>
    </row>
    <row r="1034" spans="1:34" ht="14.25" thickBot="1">
      <c r="A1034" s="1" t="s">
        <v>0</v>
      </c>
      <c r="B1034" s="182" t="s">
        <v>17</v>
      </c>
      <c r="C1034" s="182"/>
      <c r="D1034" s="182"/>
      <c r="E1034" s="183"/>
      <c r="F1034" s="182" t="s">
        <v>13</v>
      </c>
      <c r="G1034" s="182"/>
      <c r="H1034" s="182"/>
      <c r="I1034" s="183"/>
      <c r="K1034" s="1" t="s">
        <v>0</v>
      </c>
      <c r="L1034" s="182" t="s">
        <v>17</v>
      </c>
      <c r="M1034" s="182"/>
      <c r="N1034" s="182"/>
      <c r="O1034" s="183"/>
      <c r="P1034" s="182" t="s">
        <v>13</v>
      </c>
      <c r="Q1034" s="182"/>
      <c r="R1034" s="182"/>
      <c r="S1034" s="183"/>
      <c r="U1034" s="1" t="s">
        <v>0</v>
      </c>
      <c r="V1034" s="182" t="s">
        <v>17</v>
      </c>
      <c r="W1034" s="182"/>
      <c r="X1034" s="182"/>
      <c r="Y1034" s="183"/>
      <c r="Z1034" s="182" t="s">
        <v>13</v>
      </c>
      <c r="AA1034" s="182"/>
      <c r="AB1034" s="182"/>
      <c r="AC1034" s="183"/>
      <c r="AD1034" s="182" t="s">
        <v>242</v>
      </c>
      <c r="AE1034" s="182"/>
      <c r="AF1034" s="182"/>
      <c r="AG1034" s="183"/>
    </row>
    <row r="1035" spans="1:34" ht="14.25" thickBot="1">
      <c r="A1035" s="1" t="s">
        <v>1</v>
      </c>
      <c r="B1035" s="2" t="s">
        <v>8</v>
      </c>
      <c r="C1035" s="1" t="s">
        <v>9</v>
      </c>
      <c r="D1035" s="19" t="s">
        <v>10</v>
      </c>
      <c r="E1035" s="1" t="s">
        <v>2</v>
      </c>
      <c r="F1035" s="2" t="s">
        <v>8</v>
      </c>
      <c r="G1035" s="1" t="s">
        <v>9</v>
      </c>
      <c r="H1035" s="19" t="s">
        <v>10</v>
      </c>
      <c r="I1035" s="1" t="s">
        <v>2</v>
      </c>
      <c r="K1035" s="1" t="s">
        <v>1</v>
      </c>
      <c r="L1035" s="2" t="s">
        <v>8</v>
      </c>
      <c r="M1035" s="1" t="s">
        <v>9</v>
      </c>
      <c r="N1035" s="19" t="s">
        <v>10</v>
      </c>
      <c r="O1035" s="1" t="s">
        <v>2</v>
      </c>
      <c r="P1035" s="2" t="s">
        <v>8</v>
      </c>
      <c r="Q1035" s="1" t="s">
        <v>9</v>
      </c>
      <c r="R1035" s="19" t="s">
        <v>10</v>
      </c>
      <c r="S1035" s="1" t="s">
        <v>2</v>
      </c>
      <c r="U1035" s="1" t="s">
        <v>1</v>
      </c>
      <c r="V1035" s="2" t="s">
        <v>8</v>
      </c>
      <c r="W1035" s="1" t="s">
        <v>9</v>
      </c>
      <c r="X1035" s="19" t="s">
        <v>10</v>
      </c>
      <c r="Y1035" s="1" t="s">
        <v>2</v>
      </c>
      <c r="Z1035" s="2" t="s">
        <v>8</v>
      </c>
      <c r="AA1035" s="1" t="s">
        <v>9</v>
      </c>
      <c r="AB1035" s="19" t="s">
        <v>10</v>
      </c>
      <c r="AC1035" s="1" t="s">
        <v>2</v>
      </c>
      <c r="AD1035" s="2" t="s">
        <v>8</v>
      </c>
      <c r="AE1035" s="1" t="s">
        <v>9</v>
      </c>
      <c r="AF1035" s="19" t="s">
        <v>10</v>
      </c>
      <c r="AG1035" s="1" t="s">
        <v>2</v>
      </c>
    </row>
    <row r="1036" spans="1:34">
      <c r="A1036" s="21" t="s">
        <v>7</v>
      </c>
      <c r="B1036" s="18">
        <f>B1030</f>
        <v>10</v>
      </c>
      <c r="C1036" s="22">
        <f>C1030</f>
        <v>10</v>
      </c>
      <c r="D1036" s="22">
        <f>D1030</f>
        <v>8</v>
      </c>
      <c r="E1036" s="17">
        <f t="shared" ref="E1036:E1072" si="405">SUM(B1036:D1036)</f>
        <v>28</v>
      </c>
      <c r="F1036" s="22">
        <f>F1030</f>
        <v>10</v>
      </c>
      <c r="G1036" s="22">
        <f>G1030</f>
        <v>10</v>
      </c>
      <c r="H1036" s="22">
        <f>H1030</f>
        <v>8</v>
      </c>
      <c r="I1036" s="17">
        <f t="shared" ref="I1036:I1072" si="406">SUM(F1036:H1036)</f>
        <v>28</v>
      </c>
      <c r="K1036" s="21" t="s">
        <v>7</v>
      </c>
      <c r="L1036" s="18">
        <f>L1030</f>
        <v>69</v>
      </c>
      <c r="M1036" s="22">
        <f>M1030</f>
        <v>44</v>
      </c>
      <c r="N1036" s="22">
        <f>N1030</f>
        <v>62</v>
      </c>
      <c r="O1036" s="17">
        <f t="shared" ref="O1036:O1072" si="407">SUM(L1036:N1036)</f>
        <v>175</v>
      </c>
      <c r="P1036" s="22">
        <f>P1030</f>
        <v>69</v>
      </c>
      <c r="Q1036" s="22">
        <f>Q1030</f>
        <v>44</v>
      </c>
      <c r="R1036" s="22">
        <f>R1030</f>
        <v>62</v>
      </c>
      <c r="S1036" s="17">
        <f t="shared" ref="S1036:S1072" si="408">SUM(P1036:R1036)</f>
        <v>175</v>
      </c>
      <c r="U1036" s="21" t="s">
        <v>7</v>
      </c>
      <c r="V1036" s="18">
        <f>V1030</f>
        <v>18</v>
      </c>
      <c r="W1036" s="22">
        <f>W1030</f>
        <v>63</v>
      </c>
      <c r="X1036" s="22">
        <f>X1030</f>
        <v>21</v>
      </c>
      <c r="Y1036" s="17">
        <f t="shared" ref="Y1036:Y1072" si="409">SUM(V1036:X1036)</f>
        <v>102</v>
      </c>
      <c r="Z1036" s="22">
        <f>Z1030</f>
        <v>18</v>
      </c>
      <c r="AA1036" s="22">
        <f>AA1030</f>
        <v>63</v>
      </c>
      <c r="AB1036" s="22">
        <f>AB1030</f>
        <v>21</v>
      </c>
      <c r="AC1036" s="17">
        <f t="shared" ref="AC1036:AC1072" si="410">SUM(Z1036:AB1036)</f>
        <v>102</v>
      </c>
      <c r="AD1036" s="22">
        <f>AD1030</f>
        <v>18</v>
      </c>
      <c r="AE1036" s="22">
        <f>AE1030</f>
        <v>63</v>
      </c>
      <c r="AF1036" s="22">
        <f>AF1030</f>
        <v>21</v>
      </c>
      <c r="AG1036" s="17">
        <f t="shared" ref="AG1036:AG1072" si="411">SUM(AD1036:AF1036)</f>
        <v>102</v>
      </c>
    </row>
    <row r="1037" spans="1:34">
      <c r="A1037" s="5" t="s">
        <v>37</v>
      </c>
      <c r="B1037" s="30">
        <v>1</v>
      </c>
      <c r="C1037" s="31">
        <v>3</v>
      </c>
      <c r="D1037" s="32"/>
      <c r="E1037" s="4">
        <f t="shared" si="405"/>
        <v>4</v>
      </c>
      <c r="F1037" s="30">
        <v>1</v>
      </c>
      <c r="G1037" s="31">
        <v>3</v>
      </c>
      <c r="H1037" s="32"/>
      <c r="I1037" s="4">
        <f t="shared" si="406"/>
        <v>4</v>
      </c>
      <c r="J1037" s="43">
        <v>44750</v>
      </c>
      <c r="K1037" s="5" t="s">
        <v>3</v>
      </c>
      <c r="L1037" s="16"/>
      <c r="M1037" s="11"/>
      <c r="N1037" s="16"/>
      <c r="O1037" s="4">
        <f t="shared" si="407"/>
        <v>0</v>
      </c>
      <c r="P1037" s="16"/>
      <c r="Q1037" s="11"/>
      <c r="R1037" s="16"/>
      <c r="S1037" s="4">
        <f t="shared" si="408"/>
        <v>0</v>
      </c>
      <c r="U1037" s="5" t="s">
        <v>3</v>
      </c>
      <c r="V1037" s="16"/>
      <c r="W1037" s="11"/>
      <c r="X1037" s="16"/>
      <c r="Y1037" s="4">
        <f t="shared" si="409"/>
        <v>0</v>
      </c>
      <c r="Z1037" s="16"/>
      <c r="AA1037" s="11"/>
      <c r="AB1037" s="16"/>
      <c r="AC1037" s="4">
        <f t="shared" si="410"/>
        <v>0</v>
      </c>
      <c r="AD1037" s="16"/>
      <c r="AE1037" s="11"/>
      <c r="AF1037" s="16"/>
      <c r="AG1037" s="4">
        <f t="shared" si="411"/>
        <v>0</v>
      </c>
    </row>
    <row r="1038" spans="1:34">
      <c r="A1038" s="5" t="s">
        <v>3</v>
      </c>
      <c r="B1038" s="30"/>
      <c r="C1038" s="31">
        <v>1</v>
      </c>
      <c r="D1038" s="32"/>
      <c r="E1038" s="4">
        <f t="shared" si="405"/>
        <v>1</v>
      </c>
      <c r="F1038" s="30"/>
      <c r="G1038" s="31">
        <v>1</v>
      </c>
      <c r="H1038" s="32"/>
      <c r="I1038" s="4">
        <f t="shared" si="406"/>
        <v>1</v>
      </c>
      <c r="J1038" s="43">
        <v>44756</v>
      </c>
      <c r="K1038" s="5" t="s">
        <v>3</v>
      </c>
      <c r="L1038" s="32"/>
      <c r="M1038" s="31"/>
      <c r="N1038" s="32"/>
      <c r="O1038" s="4">
        <f t="shared" si="407"/>
        <v>0</v>
      </c>
      <c r="P1038" s="32"/>
      <c r="Q1038" s="31"/>
      <c r="R1038" s="32"/>
      <c r="S1038" s="4">
        <f t="shared" si="408"/>
        <v>0</v>
      </c>
      <c r="U1038" s="5" t="s">
        <v>3</v>
      </c>
      <c r="V1038" s="32"/>
      <c r="W1038" s="31"/>
      <c r="X1038" s="32"/>
      <c r="Y1038" s="4">
        <f t="shared" si="409"/>
        <v>0</v>
      </c>
      <c r="Z1038" s="32"/>
      <c r="AA1038" s="31"/>
      <c r="AB1038" s="32"/>
      <c r="AC1038" s="4">
        <f t="shared" si="410"/>
        <v>0</v>
      </c>
      <c r="AD1038" s="32"/>
      <c r="AE1038" s="31"/>
      <c r="AF1038" s="32"/>
      <c r="AG1038" s="4">
        <f t="shared" si="411"/>
        <v>0</v>
      </c>
    </row>
    <row r="1039" spans="1:34">
      <c r="A1039" s="5" t="s">
        <v>37</v>
      </c>
      <c r="B1039" s="30">
        <v>1</v>
      </c>
      <c r="C1039" s="31">
        <v>3</v>
      </c>
      <c r="D1039" s="32">
        <v>2</v>
      </c>
      <c r="E1039" s="4">
        <f t="shared" si="405"/>
        <v>6</v>
      </c>
      <c r="F1039" s="30">
        <v>1</v>
      </c>
      <c r="G1039" s="31">
        <v>3</v>
      </c>
      <c r="H1039" s="32">
        <v>2</v>
      </c>
      <c r="I1039" s="4">
        <f t="shared" si="406"/>
        <v>6</v>
      </c>
      <c r="J1039" s="49">
        <v>44771</v>
      </c>
      <c r="K1039" s="5" t="s">
        <v>266</v>
      </c>
      <c r="L1039" s="32">
        <v>150</v>
      </c>
      <c r="M1039" s="31">
        <v>220</v>
      </c>
      <c r="N1039" s="32">
        <v>170</v>
      </c>
      <c r="O1039" s="4">
        <f t="shared" si="407"/>
        <v>540</v>
      </c>
      <c r="P1039" s="32">
        <v>150</v>
      </c>
      <c r="Q1039" s="31">
        <v>220</v>
      </c>
      <c r="R1039" s="32">
        <v>170</v>
      </c>
      <c r="S1039" s="4">
        <f t="shared" si="408"/>
        <v>540</v>
      </c>
      <c r="T1039" s="43" t="s">
        <v>574</v>
      </c>
      <c r="U1039" s="5" t="s">
        <v>3</v>
      </c>
      <c r="V1039" s="30"/>
      <c r="W1039" s="31"/>
      <c r="X1039" s="32"/>
      <c r="Y1039" s="4">
        <f t="shared" si="409"/>
        <v>0</v>
      </c>
      <c r="Z1039" s="30"/>
      <c r="AA1039" s="31"/>
      <c r="AB1039" s="32"/>
      <c r="AC1039" s="4">
        <f t="shared" si="410"/>
        <v>0</v>
      </c>
      <c r="AD1039" s="30"/>
      <c r="AE1039" s="31"/>
      <c r="AF1039" s="32"/>
      <c r="AG1039" s="4">
        <f t="shared" si="411"/>
        <v>0</v>
      </c>
    </row>
    <row r="1040" spans="1:34">
      <c r="A1040" s="5" t="s">
        <v>3</v>
      </c>
      <c r="B1040" s="16"/>
      <c r="C1040" s="11"/>
      <c r="D1040" s="16"/>
      <c r="E1040" s="4">
        <f t="shared" si="405"/>
        <v>0</v>
      </c>
      <c r="F1040" s="16"/>
      <c r="G1040" s="11"/>
      <c r="H1040" s="16"/>
      <c r="I1040" s="4">
        <f t="shared" si="406"/>
        <v>0</v>
      </c>
      <c r="K1040" s="5" t="s">
        <v>3</v>
      </c>
      <c r="L1040" s="32"/>
      <c r="M1040" s="31"/>
      <c r="N1040" s="32"/>
      <c r="O1040" s="4">
        <f t="shared" si="407"/>
        <v>0</v>
      </c>
      <c r="P1040" s="32"/>
      <c r="Q1040" s="31"/>
      <c r="R1040" s="32"/>
      <c r="S1040" s="4">
        <f t="shared" si="408"/>
        <v>0</v>
      </c>
      <c r="T1040" s="43"/>
      <c r="U1040" s="5" t="s">
        <v>3</v>
      </c>
      <c r="V1040" s="16"/>
      <c r="W1040" s="11"/>
      <c r="X1040" s="16"/>
      <c r="Y1040" s="4">
        <f t="shared" si="409"/>
        <v>0</v>
      </c>
      <c r="Z1040" s="16"/>
      <c r="AA1040" s="11"/>
      <c r="AB1040" s="16"/>
      <c r="AC1040" s="4">
        <f t="shared" si="410"/>
        <v>0</v>
      </c>
      <c r="AD1040" s="16"/>
      <c r="AE1040" s="11"/>
      <c r="AF1040" s="16"/>
      <c r="AG1040" s="4">
        <f t="shared" si="411"/>
        <v>0</v>
      </c>
    </row>
    <row r="1041" spans="1:34">
      <c r="A1041" s="5" t="s">
        <v>3</v>
      </c>
      <c r="B1041" s="16"/>
      <c r="C1041" s="11"/>
      <c r="D1041" s="16"/>
      <c r="E1041" s="4">
        <f t="shared" si="405"/>
        <v>0</v>
      </c>
      <c r="F1041" s="16"/>
      <c r="G1041" s="11"/>
      <c r="H1041" s="16"/>
      <c r="I1041" s="4">
        <f t="shared" si="406"/>
        <v>0</v>
      </c>
      <c r="K1041" s="5" t="s">
        <v>224</v>
      </c>
      <c r="L1041" s="32">
        <v>1</v>
      </c>
      <c r="M1041" s="31">
        <v>3</v>
      </c>
      <c r="N1041" s="32">
        <v>2</v>
      </c>
      <c r="O1041" s="4">
        <f t="shared" si="407"/>
        <v>6</v>
      </c>
      <c r="P1041" s="32">
        <v>1</v>
      </c>
      <c r="Q1041" s="31">
        <v>3</v>
      </c>
      <c r="R1041" s="32">
        <v>2</v>
      </c>
      <c r="S1041" s="4">
        <f t="shared" si="408"/>
        <v>6</v>
      </c>
      <c r="T1041" s="49">
        <v>44772</v>
      </c>
      <c r="U1041" s="5" t="s">
        <v>3</v>
      </c>
      <c r="V1041" s="32"/>
      <c r="W1041" s="31"/>
      <c r="X1041" s="32"/>
      <c r="Y1041" s="4">
        <f t="shared" si="409"/>
        <v>0</v>
      </c>
      <c r="Z1041" s="32"/>
      <c r="AA1041" s="31"/>
      <c r="AB1041" s="32"/>
      <c r="AC1041" s="4">
        <f t="shared" si="410"/>
        <v>0</v>
      </c>
      <c r="AD1041" s="32"/>
      <c r="AE1041" s="31"/>
      <c r="AF1041" s="32"/>
      <c r="AG1041" s="4">
        <f t="shared" si="411"/>
        <v>0</v>
      </c>
    </row>
    <row r="1042" spans="1:34">
      <c r="A1042" s="5" t="s">
        <v>3</v>
      </c>
      <c r="B1042" s="16"/>
      <c r="C1042" s="11"/>
      <c r="D1042" s="16"/>
      <c r="E1042" s="4">
        <f t="shared" si="405"/>
        <v>0</v>
      </c>
      <c r="F1042" s="16"/>
      <c r="G1042" s="11"/>
      <c r="H1042" s="16"/>
      <c r="I1042" s="4">
        <f t="shared" si="406"/>
        <v>0</v>
      </c>
      <c r="K1042" s="5" t="s">
        <v>3</v>
      </c>
      <c r="L1042" s="16"/>
      <c r="M1042" s="11"/>
      <c r="N1042" s="16"/>
      <c r="O1042" s="4">
        <f t="shared" si="407"/>
        <v>0</v>
      </c>
      <c r="P1042" s="16"/>
      <c r="Q1042" s="11"/>
      <c r="R1042" s="16"/>
      <c r="S1042" s="4">
        <f t="shared" si="408"/>
        <v>0</v>
      </c>
      <c r="U1042" s="5" t="s">
        <v>3</v>
      </c>
      <c r="V1042" s="16"/>
      <c r="W1042" s="11"/>
      <c r="X1042" s="16"/>
      <c r="Y1042" s="4">
        <f t="shared" si="409"/>
        <v>0</v>
      </c>
      <c r="Z1042" s="16"/>
      <c r="AA1042" s="11"/>
      <c r="AB1042" s="16"/>
      <c r="AC1042" s="4">
        <f t="shared" si="410"/>
        <v>0</v>
      </c>
      <c r="AD1042" s="16"/>
      <c r="AE1042" s="11"/>
      <c r="AF1042" s="16"/>
      <c r="AG1042" s="4">
        <f t="shared" si="411"/>
        <v>0</v>
      </c>
    </row>
    <row r="1043" spans="1:34">
      <c r="A1043" s="5" t="s">
        <v>3</v>
      </c>
      <c r="B1043" s="32"/>
      <c r="C1043" s="31"/>
      <c r="D1043" s="32"/>
      <c r="E1043" s="4">
        <f t="shared" si="405"/>
        <v>0</v>
      </c>
      <c r="F1043" s="32"/>
      <c r="G1043" s="31"/>
      <c r="H1043" s="32"/>
      <c r="I1043" s="4">
        <f t="shared" si="406"/>
        <v>0</v>
      </c>
      <c r="K1043" s="5" t="s">
        <v>3</v>
      </c>
      <c r="L1043" s="32"/>
      <c r="M1043" s="31"/>
      <c r="N1043" s="32"/>
      <c r="O1043" s="4">
        <f t="shared" si="407"/>
        <v>0</v>
      </c>
      <c r="P1043" s="32"/>
      <c r="Q1043" s="31"/>
      <c r="R1043" s="32"/>
      <c r="S1043" s="4">
        <f t="shared" si="408"/>
        <v>0</v>
      </c>
      <c r="U1043" s="5" t="s">
        <v>3</v>
      </c>
      <c r="V1043" s="32"/>
      <c r="W1043" s="31"/>
      <c r="X1043" s="32"/>
      <c r="Y1043" s="4">
        <f t="shared" si="409"/>
        <v>0</v>
      </c>
      <c r="Z1043" s="32"/>
      <c r="AA1043" s="31"/>
      <c r="AB1043" s="32"/>
      <c r="AC1043" s="4">
        <f t="shared" si="410"/>
        <v>0</v>
      </c>
      <c r="AD1043" s="32"/>
      <c r="AE1043" s="31"/>
      <c r="AF1043" s="32"/>
      <c r="AG1043" s="4">
        <f t="shared" si="411"/>
        <v>0</v>
      </c>
    </row>
    <row r="1044" spans="1:34">
      <c r="A1044" s="5" t="s">
        <v>3</v>
      </c>
      <c r="B1044" s="32"/>
      <c r="C1044" s="31"/>
      <c r="D1044" s="32"/>
      <c r="E1044" s="4">
        <f t="shared" si="405"/>
        <v>0</v>
      </c>
      <c r="F1044" s="32"/>
      <c r="G1044" s="31"/>
      <c r="H1044" s="32"/>
      <c r="I1044" s="4">
        <f t="shared" si="406"/>
        <v>0</v>
      </c>
      <c r="K1044" s="5" t="s">
        <v>3</v>
      </c>
      <c r="L1044" s="32"/>
      <c r="M1044" s="31"/>
      <c r="N1044" s="32"/>
      <c r="O1044" s="4">
        <f t="shared" si="407"/>
        <v>0</v>
      </c>
      <c r="P1044" s="32"/>
      <c r="Q1044" s="31"/>
      <c r="R1044" s="32"/>
      <c r="S1044" s="4">
        <f t="shared" si="408"/>
        <v>0</v>
      </c>
      <c r="U1044" s="5" t="s">
        <v>3</v>
      </c>
      <c r="V1044" s="32"/>
      <c r="W1044" s="31"/>
      <c r="X1044" s="32"/>
      <c r="Y1044" s="4">
        <f t="shared" si="409"/>
        <v>0</v>
      </c>
      <c r="Z1044" s="32"/>
      <c r="AA1044" s="31"/>
      <c r="AB1044" s="32"/>
      <c r="AC1044" s="4">
        <f t="shared" si="410"/>
        <v>0</v>
      </c>
      <c r="AD1044" s="32"/>
      <c r="AE1044" s="31"/>
      <c r="AF1044" s="32"/>
      <c r="AG1044" s="4">
        <f t="shared" si="411"/>
        <v>0</v>
      </c>
    </row>
    <row r="1045" spans="1:34">
      <c r="A1045" s="5" t="s">
        <v>3</v>
      </c>
      <c r="B1045" s="30"/>
      <c r="C1045" s="31"/>
      <c r="D1045" s="32"/>
      <c r="E1045" s="4">
        <f t="shared" si="405"/>
        <v>0</v>
      </c>
      <c r="F1045" s="30"/>
      <c r="G1045" s="31"/>
      <c r="H1045" s="32"/>
      <c r="I1045" s="4">
        <f t="shared" si="406"/>
        <v>0</v>
      </c>
      <c r="K1045" s="5" t="s">
        <v>3</v>
      </c>
      <c r="L1045" s="32"/>
      <c r="M1045" s="31"/>
      <c r="N1045" s="32"/>
      <c r="O1045" s="4">
        <f t="shared" si="407"/>
        <v>0</v>
      </c>
      <c r="P1045" s="32"/>
      <c r="Q1045" s="31"/>
      <c r="R1045" s="32"/>
      <c r="S1045" s="4">
        <f t="shared" si="408"/>
        <v>0</v>
      </c>
      <c r="U1045" s="5" t="s">
        <v>3</v>
      </c>
      <c r="V1045" s="30"/>
      <c r="W1045" s="31"/>
      <c r="X1045" s="32"/>
      <c r="Y1045" s="4">
        <f t="shared" si="409"/>
        <v>0</v>
      </c>
      <c r="Z1045" s="30"/>
      <c r="AA1045" s="31"/>
      <c r="AB1045" s="32"/>
      <c r="AC1045" s="4">
        <f t="shared" si="410"/>
        <v>0</v>
      </c>
      <c r="AD1045" s="30"/>
      <c r="AE1045" s="31"/>
      <c r="AF1045" s="32"/>
      <c r="AG1045" s="4">
        <f t="shared" si="411"/>
        <v>0</v>
      </c>
    </row>
    <row r="1046" spans="1:34" ht="14.25" thickBot="1">
      <c r="A1046" s="6" t="s">
        <v>3</v>
      </c>
      <c r="B1046" s="36"/>
      <c r="C1046" s="37"/>
      <c r="D1046" s="36"/>
      <c r="E1046" s="20">
        <f t="shared" si="405"/>
        <v>0</v>
      </c>
      <c r="F1046" s="13"/>
      <c r="G1046" s="12"/>
      <c r="H1046" s="13"/>
      <c r="I1046" s="20">
        <f t="shared" si="406"/>
        <v>0</v>
      </c>
      <c r="K1046" s="6" t="s">
        <v>3</v>
      </c>
      <c r="L1046" s="36"/>
      <c r="M1046" s="37"/>
      <c r="N1046" s="36"/>
      <c r="O1046" s="20">
        <f t="shared" si="407"/>
        <v>0</v>
      </c>
      <c r="P1046" s="13"/>
      <c r="Q1046" s="12"/>
      <c r="R1046" s="13"/>
      <c r="S1046" s="20">
        <f t="shared" si="408"/>
        <v>0</v>
      </c>
      <c r="U1046" s="6" t="s">
        <v>3</v>
      </c>
      <c r="V1046" s="13"/>
      <c r="W1046" s="12"/>
      <c r="X1046" s="13"/>
      <c r="Y1046" s="20">
        <f t="shared" si="409"/>
        <v>0</v>
      </c>
      <c r="Z1046" s="13"/>
      <c r="AA1046" s="12"/>
      <c r="AB1046" s="13"/>
      <c r="AC1046" s="20">
        <f t="shared" si="410"/>
        <v>0</v>
      </c>
      <c r="AD1046" s="13"/>
      <c r="AE1046" s="12"/>
      <c r="AF1046" s="13"/>
      <c r="AG1046" s="20">
        <f t="shared" si="411"/>
        <v>0</v>
      </c>
    </row>
    <row r="1047" spans="1:34" ht="14.25" thickBot="1">
      <c r="A1047" s="23" t="s">
        <v>4</v>
      </c>
      <c r="B1047" s="24">
        <f>SUM(B1036:B1046)</f>
        <v>12</v>
      </c>
      <c r="C1047" s="24">
        <f>SUM(C1036:C1046)</f>
        <v>17</v>
      </c>
      <c r="D1047" s="25">
        <f>SUM(D1036:D1046)</f>
        <v>10</v>
      </c>
      <c r="E1047" s="26">
        <f t="shared" si="405"/>
        <v>39</v>
      </c>
      <c r="F1047" s="24">
        <f>SUM(F1036:F1046)</f>
        <v>12</v>
      </c>
      <c r="G1047" s="24">
        <f>SUM(G1036:G1046)</f>
        <v>17</v>
      </c>
      <c r="H1047" s="25">
        <f>SUM(H1036:H1046)</f>
        <v>10</v>
      </c>
      <c r="I1047" s="26">
        <f t="shared" si="406"/>
        <v>39</v>
      </c>
      <c r="K1047" s="23" t="s">
        <v>4</v>
      </c>
      <c r="L1047" s="24">
        <f>SUM(L1036:L1046)</f>
        <v>220</v>
      </c>
      <c r="M1047" s="24">
        <f>SUM(M1036:M1046)</f>
        <v>267</v>
      </c>
      <c r="N1047" s="25">
        <f>SUM(N1036:N1046)</f>
        <v>234</v>
      </c>
      <c r="O1047" s="26">
        <f t="shared" si="407"/>
        <v>721</v>
      </c>
      <c r="P1047" s="24">
        <f>SUM(P1036:P1046)</f>
        <v>220</v>
      </c>
      <c r="Q1047" s="24">
        <f>SUM(Q1036:Q1046)</f>
        <v>267</v>
      </c>
      <c r="R1047" s="25">
        <f>SUM(R1036:R1046)</f>
        <v>234</v>
      </c>
      <c r="S1047" s="26">
        <f t="shared" si="408"/>
        <v>721</v>
      </c>
      <c r="U1047" s="23" t="s">
        <v>4</v>
      </c>
      <c r="V1047" s="24">
        <f>SUM(V1036:V1046)</f>
        <v>18</v>
      </c>
      <c r="W1047" s="24">
        <f>SUM(W1036:W1046)</f>
        <v>63</v>
      </c>
      <c r="X1047" s="25">
        <f>SUM(X1036:X1046)</f>
        <v>21</v>
      </c>
      <c r="Y1047" s="26">
        <f t="shared" si="409"/>
        <v>102</v>
      </c>
      <c r="Z1047" s="24">
        <f>SUM(Z1036:Z1046)</f>
        <v>18</v>
      </c>
      <c r="AA1047" s="24">
        <f>SUM(AA1036:AA1046)</f>
        <v>63</v>
      </c>
      <c r="AB1047" s="25">
        <f>SUM(AB1036:AB1046)</f>
        <v>21</v>
      </c>
      <c r="AC1047" s="26">
        <f t="shared" si="410"/>
        <v>102</v>
      </c>
      <c r="AD1047" s="24">
        <f>SUM(AD1036:AD1046)</f>
        <v>18</v>
      </c>
      <c r="AE1047" s="24">
        <f>SUM(AE1036:AE1046)</f>
        <v>63</v>
      </c>
      <c r="AF1047" s="25">
        <f>SUM(AF1036:AF1046)</f>
        <v>21</v>
      </c>
      <c r="AG1047" s="26">
        <f t="shared" si="411"/>
        <v>102</v>
      </c>
    </row>
    <row r="1048" spans="1:34">
      <c r="A1048" s="11" t="s">
        <v>563</v>
      </c>
      <c r="B1048" s="8"/>
      <c r="C1048" s="9">
        <v>6</v>
      </c>
      <c r="D1048" s="10">
        <v>4</v>
      </c>
      <c r="E1048" s="4">
        <f t="shared" si="405"/>
        <v>10</v>
      </c>
      <c r="F1048" s="8"/>
      <c r="G1048" s="9">
        <v>6</v>
      </c>
      <c r="H1048" s="10">
        <v>4</v>
      </c>
      <c r="I1048" s="4">
        <f t="shared" si="406"/>
        <v>10</v>
      </c>
      <c r="J1048" s="43">
        <v>44753</v>
      </c>
      <c r="K1048" s="11" t="s">
        <v>541</v>
      </c>
      <c r="L1048" s="8">
        <v>18</v>
      </c>
      <c r="M1048" s="9">
        <v>25</v>
      </c>
      <c r="N1048" s="10">
        <v>18</v>
      </c>
      <c r="O1048" s="7">
        <f t="shared" si="407"/>
        <v>61</v>
      </c>
      <c r="P1048" s="8">
        <v>18</v>
      </c>
      <c r="Q1048" s="9">
        <v>25</v>
      </c>
      <c r="R1048" s="10">
        <v>18</v>
      </c>
      <c r="S1048" s="7">
        <f t="shared" si="408"/>
        <v>61</v>
      </c>
      <c r="T1048" s="43">
        <v>44743</v>
      </c>
      <c r="U1048" s="3" t="s">
        <v>489</v>
      </c>
      <c r="V1048" s="32">
        <v>3</v>
      </c>
      <c r="W1048" s="31">
        <v>5</v>
      </c>
      <c r="X1048" s="32">
        <v>3</v>
      </c>
      <c r="Y1048" s="4">
        <f t="shared" si="409"/>
        <v>11</v>
      </c>
      <c r="Z1048" s="32">
        <v>3</v>
      </c>
      <c r="AA1048" s="31">
        <v>5</v>
      </c>
      <c r="AB1048" s="32">
        <v>3</v>
      </c>
      <c r="AC1048" s="4">
        <f t="shared" si="410"/>
        <v>11</v>
      </c>
      <c r="AD1048" s="8">
        <v>3</v>
      </c>
      <c r="AE1048" s="9">
        <v>5</v>
      </c>
      <c r="AF1048" s="10">
        <v>3</v>
      </c>
      <c r="AG1048" s="7">
        <f t="shared" si="411"/>
        <v>11</v>
      </c>
      <c r="AH1048" s="43">
        <v>44757</v>
      </c>
    </row>
    <row r="1049" spans="1:34">
      <c r="A1049" s="11" t="s">
        <v>564</v>
      </c>
      <c r="B1049" s="8"/>
      <c r="C1049" s="9"/>
      <c r="D1049" s="10">
        <v>1</v>
      </c>
      <c r="E1049" s="4">
        <f t="shared" si="405"/>
        <v>1</v>
      </c>
      <c r="F1049" s="8"/>
      <c r="G1049" s="9"/>
      <c r="H1049" s="10">
        <v>1</v>
      </c>
      <c r="I1049" s="4">
        <f t="shared" si="406"/>
        <v>1</v>
      </c>
      <c r="J1049" s="43">
        <v>44753</v>
      </c>
      <c r="K1049" s="11" t="s">
        <v>72</v>
      </c>
      <c r="L1049" s="8">
        <v>10</v>
      </c>
      <c r="M1049" s="9">
        <v>10</v>
      </c>
      <c r="N1049" s="10">
        <v>6</v>
      </c>
      <c r="O1049" s="4">
        <f t="shared" si="407"/>
        <v>26</v>
      </c>
      <c r="P1049" s="8">
        <v>10</v>
      </c>
      <c r="Q1049" s="9">
        <v>10</v>
      </c>
      <c r="R1049" s="10">
        <v>6</v>
      </c>
      <c r="S1049" s="4">
        <f t="shared" si="408"/>
        <v>26</v>
      </c>
      <c r="T1049" s="43">
        <v>44747</v>
      </c>
      <c r="U1049" s="3" t="s">
        <v>569</v>
      </c>
      <c r="V1049" s="8"/>
      <c r="W1049" s="9">
        <v>1</v>
      </c>
      <c r="X1049" s="10"/>
      <c r="Y1049" s="4">
        <f t="shared" si="409"/>
        <v>1</v>
      </c>
      <c r="Z1049" s="8"/>
      <c r="AA1049" s="9">
        <v>1</v>
      </c>
      <c r="AB1049" s="10"/>
      <c r="AC1049" s="4">
        <f t="shared" si="410"/>
        <v>1</v>
      </c>
      <c r="AD1049" s="8"/>
      <c r="AE1049" s="9">
        <v>1</v>
      </c>
      <c r="AF1049" s="10"/>
      <c r="AG1049" s="4">
        <f t="shared" si="411"/>
        <v>1</v>
      </c>
      <c r="AH1049" s="43">
        <v>44756</v>
      </c>
    </row>
    <row r="1050" spans="1:34">
      <c r="A1050" s="11" t="s">
        <v>565</v>
      </c>
      <c r="B1050" s="8">
        <v>3</v>
      </c>
      <c r="C1050" s="9">
        <v>4</v>
      </c>
      <c r="D1050" s="10">
        <v>4</v>
      </c>
      <c r="E1050" s="7">
        <f t="shared" si="405"/>
        <v>11</v>
      </c>
      <c r="F1050" s="8">
        <v>3</v>
      </c>
      <c r="G1050" s="9">
        <v>4</v>
      </c>
      <c r="H1050" s="10">
        <v>4</v>
      </c>
      <c r="I1050" s="7">
        <f t="shared" si="406"/>
        <v>11</v>
      </c>
      <c r="J1050" s="43">
        <v>44754</v>
      </c>
      <c r="K1050" s="11" t="s">
        <v>560</v>
      </c>
      <c r="L1050" s="8"/>
      <c r="M1050" s="9"/>
      <c r="N1050" s="10">
        <v>7</v>
      </c>
      <c r="O1050" s="7">
        <f t="shared" si="407"/>
        <v>7</v>
      </c>
      <c r="P1050" s="8"/>
      <c r="Q1050" s="9"/>
      <c r="R1050" s="10">
        <v>7</v>
      </c>
      <c r="S1050" s="7">
        <f t="shared" si="408"/>
        <v>7</v>
      </c>
      <c r="T1050" s="43">
        <v>44748</v>
      </c>
      <c r="U1050" s="40"/>
      <c r="V1050" s="8"/>
      <c r="W1050" s="9"/>
      <c r="X1050" s="10"/>
      <c r="Y1050" s="7">
        <f t="shared" si="409"/>
        <v>0</v>
      </c>
      <c r="Z1050" s="8"/>
      <c r="AA1050" s="9"/>
      <c r="AB1050" s="10"/>
      <c r="AC1050" s="7">
        <f t="shared" si="410"/>
        <v>0</v>
      </c>
      <c r="AD1050" s="8"/>
      <c r="AE1050" s="9"/>
      <c r="AF1050" s="10"/>
      <c r="AG1050" s="7">
        <f t="shared" si="411"/>
        <v>0</v>
      </c>
    </row>
    <row r="1051" spans="1:34">
      <c r="A1051" s="3" t="s">
        <v>568</v>
      </c>
      <c r="B1051" s="8"/>
      <c r="C1051" s="9">
        <v>1</v>
      </c>
      <c r="D1051" s="10">
        <v>-1</v>
      </c>
      <c r="E1051" s="4">
        <f t="shared" si="405"/>
        <v>0</v>
      </c>
      <c r="F1051" s="8"/>
      <c r="G1051" s="9">
        <v>1</v>
      </c>
      <c r="H1051" s="10">
        <v>-1</v>
      </c>
      <c r="I1051" s="4">
        <f t="shared" si="406"/>
        <v>0</v>
      </c>
      <c r="J1051" s="49">
        <v>44757</v>
      </c>
      <c r="K1051" s="11" t="s">
        <v>561</v>
      </c>
      <c r="L1051" s="8">
        <v>3</v>
      </c>
      <c r="M1051" s="9">
        <v>4</v>
      </c>
      <c r="N1051" s="10"/>
      <c r="O1051" s="4">
        <f t="shared" si="407"/>
        <v>7</v>
      </c>
      <c r="P1051" s="8">
        <v>3</v>
      </c>
      <c r="Q1051" s="9">
        <v>4</v>
      </c>
      <c r="R1051" s="10"/>
      <c r="S1051" s="4">
        <f t="shared" si="408"/>
        <v>7</v>
      </c>
      <c r="T1051" s="43">
        <v>44749</v>
      </c>
      <c r="U1051" s="40"/>
      <c r="V1051" s="8"/>
      <c r="W1051" s="9"/>
      <c r="X1051" s="10"/>
      <c r="Y1051" s="4">
        <f t="shared" si="409"/>
        <v>0</v>
      </c>
      <c r="Z1051" s="8"/>
      <c r="AA1051" s="9"/>
      <c r="AB1051" s="10"/>
      <c r="AC1051" s="4">
        <f t="shared" si="410"/>
        <v>0</v>
      </c>
      <c r="AD1051" s="8"/>
      <c r="AE1051" s="9"/>
      <c r="AF1051" s="10"/>
      <c r="AG1051" s="4">
        <f t="shared" si="411"/>
        <v>0</v>
      </c>
    </row>
    <row r="1052" spans="1:34">
      <c r="A1052" s="3" t="s">
        <v>584</v>
      </c>
      <c r="B1052" s="8">
        <v>1</v>
      </c>
      <c r="C1052" s="9">
        <v>3</v>
      </c>
      <c r="D1052" s="10">
        <v>2</v>
      </c>
      <c r="E1052" s="4">
        <f t="shared" si="405"/>
        <v>6</v>
      </c>
      <c r="F1052" s="8">
        <v>1</v>
      </c>
      <c r="G1052" s="9">
        <v>3</v>
      </c>
      <c r="H1052" s="10">
        <v>2</v>
      </c>
      <c r="I1052" s="4">
        <f t="shared" si="406"/>
        <v>6</v>
      </c>
      <c r="J1052" s="49">
        <v>44772</v>
      </c>
      <c r="K1052" s="11" t="s">
        <v>75</v>
      </c>
      <c r="L1052" s="8">
        <v>6</v>
      </c>
      <c r="M1052" s="9"/>
      <c r="N1052" s="10">
        <v>7</v>
      </c>
      <c r="O1052" s="4">
        <f t="shared" si="407"/>
        <v>13</v>
      </c>
      <c r="P1052" s="8">
        <v>6</v>
      </c>
      <c r="Q1052" s="9"/>
      <c r="R1052" s="10">
        <v>7</v>
      </c>
      <c r="S1052" s="4">
        <f t="shared" si="408"/>
        <v>13</v>
      </c>
      <c r="T1052" s="43">
        <v>44750</v>
      </c>
      <c r="U1052" s="3"/>
      <c r="V1052" s="8"/>
      <c r="W1052" s="9"/>
      <c r="X1052" s="10"/>
      <c r="Y1052" s="4">
        <f t="shared" si="409"/>
        <v>0</v>
      </c>
      <c r="Z1052" s="8"/>
      <c r="AA1052" s="9"/>
      <c r="AB1052" s="10"/>
      <c r="AC1052" s="4">
        <f t="shared" si="410"/>
        <v>0</v>
      </c>
      <c r="AD1052" s="8"/>
      <c r="AE1052" s="9"/>
      <c r="AF1052" s="10"/>
      <c r="AG1052" s="4">
        <f t="shared" si="411"/>
        <v>0</v>
      </c>
    </row>
    <row r="1053" spans="1:34">
      <c r="A1053" s="3"/>
      <c r="B1053" s="8"/>
      <c r="C1053" s="9"/>
      <c r="D1053" s="10"/>
      <c r="E1053" s="7">
        <f t="shared" ref="E1053" si="412">SUM(B1053:D1053)</f>
        <v>0</v>
      </c>
      <c r="F1053" s="8"/>
      <c r="G1053" s="9"/>
      <c r="H1053" s="10"/>
      <c r="I1053" s="7">
        <f t="shared" ref="I1053" si="413">SUM(F1053:H1053)</f>
        <v>0</v>
      </c>
      <c r="K1053" s="11" t="s">
        <v>562</v>
      </c>
      <c r="L1053" s="8">
        <v>10</v>
      </c>
      <c r="M1053" s="9"/>
      <c r="N1053" s="10"/>
      <c r="O1053" s="7">
        <f t="shared" si="407"/>
        <v>10</v>
      </c>
      <c r="P1053" s="8">
        <v>10</v>
      </c>
      <c r="Q1053" s="9"/>
      <c r="R1053" s="10"/>
      <c r="S1053" s="7">
        <f t="shared" si="408"/>
        <v>10</v>
      </c>
      <c r="T1053" s="43">
        <v>44755</v>
      </c>
      <c r="U1053" s="3"/>
      <c r="V1053" s="8"/>
      <c r="W1053" s="9"/>
      <c r="X1053" s="10"/>
      <c r="Y1053" s="7">
        <f t="shared" si="409"/>
        <v>0</v>
      </c>
      <c r="Z1053" s="8"/>
      <c r="AA1053" s="9"/>
      <c r="AB1053" s="10"/>
      <c r="AC1053" s="7">
        <f t="shared" si="410"/>
        <v>0</v>
      </c>
      <c r="AD1053" s="8"/>
      <c r="AE1053" s="9"/>
      <c r="AF1053" s="10"/>
      <c r="AG1053" s="7">
        <f t="shared" si="411"/>
        <v>0</v>
      </c>
    </row>
    <row r="1054" spans="1:34">
      <c r="A1054" s="3"/>
      <c r="B1054" s="8"/>
      <c r="C1054" s="9"/>
      <c r="D1054" s="10"/>
      <c r="E1054" s="7">
        <f t="shared" si="405"/>
        <v>0</v>
      </c>
      <c r="F1054" s="8"/>
      <c r="G1054" s="9"/>
      <c r="H1054" s="10"/>
      <c r="I1054" s="7">
        <f t="shared" si="406"/>
        <v>0</v>
      </c>
      <c r="K1054" s="11" t="s">
        <v>566</v>
      </c>
      <c r="L1054" s="8">
        <v>3</v>
      </c>
      <c r="M1054" s="9">
        <v>4</v>
      </c>
      <c r="N1054" s="10"/>
      <c r="O1054" s="7">
        <f t="shared" si="407"/>
        <v>7</v>
      </c>
      <c r="P1054" s="8">
        <v>3</v>
      </c>
      <c r="Q1054" s="9">
        <v>4</v>
      </c>
      <c r="R1054" s="10"/>
      <c r="S1054" s="7">
        <f t="shared" si="408"/>
        <v>7</v>
      </c>
      <c r="T1054" s="43">
        <v>44755</v>
      </c>
      <c r="U1054" s="3"/>
      <c r="V1054" s="8"/>
      <c r="W1054" s="9"/>
      <c r="X1054" s="10"/>
      <c r="Y1054" s="7">
        <f t="shared" si="409"/>
        <v>0</v>
      </c>
      <c r="Z1054" s="8"/>
      <c r="AA1054" s="9"/>
      <c r="AB1054" s="10"/>
      <c r="AC1054" s="7">
        <f t="shared" si="410"/>
        <v>0</v>
      </c>
      <c r="AD1054" s="8"/>
      <c r="AE1054" s="9"/>
      <c r="AF1054" s="10"/>
      <c r="AG1054" s="7">
        <f t="shared" si="411"/>
        <v>0</v>
      </c>
    </row>
    <row r="1055" spans="1:34">
      <c r="A1055" s="3"/>
      <c r="B1055" s="8"/>
      <c r="C1055" s="9"/>
      <c r="D1055" s="10"/>
      <c r="E1055" s="7">
        <f t="shared" si="405"/>
        <v>0</v>
      </c>
      <c r="F1055" s="8"/>
      <c r="G1055" s="9"/>
      <c r="H1055" s="10"/>
      <c r="I1055" s="7">
        <f t="shared" si="406"/>
        <v>0</v>
      </c>
      <c r="K1055" s="11" t="s">
        <v>567</v>
      </c>
      <c r="L1055" s="8">
        <v>7</v>
      </c>
      <c r="M1055" s="9">
        <v>16</v>
      </c>
      <c r="N1055" s="10">
        <v>10</v>
      </c>
      <c r="O1055" s="7">
        <f t="shared" si="407"/>
        <v>33</v>
      </c>
      <c r="P1055" s="8">
        <v>7</v>
      </c>
      <c r="Q1055" s="9">
        <v>16</v>
      </c>
      <c r="R1055" s="10">
        <v>10</v>
      </c>
      <c r="S1055" s="7">
        <f t="shared" si="408"/>
        <v>33</v>
      </c>
      <c r="T1055" s="43">
        <v>44756</v>
      </c>
      <c r="U1055" s="3"/>
      <c r="V1055" s="8"/>
      <c r="W1055" s="9"/>
      <c r="X1055" s="10"/>
      <c r="Y1055" s="7">
        <f t="shared" si="409"/>
        <v>0</v>
      </c>
      <c r="Z1055" s="8"/>
      <c r="AA1055" s="9"/>
      <c r="AB1055" s="10"/>
      <c r="AC1055" s="7">
        <f t="shared" si="410"/>
        <v>0</v>
      </c>
      <c r="AD1055" s="8"/>
      <c r="AE1055" s="9"/>
      <c r="AF1055" s="10"/>
      <c r="AG1055" s="7">
        <f t="shared" si="411"/>
        <v>0</v>
      </c>
    </row>
    <row r="1056" spans="1:34">
      <c r="A1056" s="3"/>
      <c r="B1056" s="8"/>
      <c r="C1056" s="9"/>
      <c r="D1056" s="10"/>
      <c r="E1056" s="7">
        <f t="shared" si="405"/>
        <v>0</v>
      </c>
      <c r="F1056" s="8"/>
      <c r="G1056" s="9"/>
      <c r="H1056" s="10"/>
      <c r="I1056" s="7">
        <f t="shared" si="406"/>
        <v>0</v>
      </c>
      <c r="K1056" s="11" t="s">
        <v>570</v>
      </c>
      <c r="L1056" s="8">
        <v>35</v>
      </c>
      <c r="M1056" s="9">
        <v>35</v>
      </c>
      <c r="N1056" s="10">
        <v>25</v>
      </c>
      <c r="O1056" s="7">
        <f t="shared" si="407"/>
        <v>95</v>
      </c>
      <c r="P1056" s="8">
        <v>35</v>
      </c>
      <c r="Q1056" s="9">
        <v>35</v>
      </c>
      <c r="R1056" s="10">
        <v>25</v>
      </c>
      <c r="S1056" s="7">
        <f t="shared" si="408"/>
        <v>95</v>
      </c>
      <c r="T1056" s="43">
        <v>44757</v>
      </c>
      <c r="U1056" s="3"/>
      <c r="V1056" s="8"/>
      <c r="W1056" s="9"/>
      <c r="X1056" s="10"/>
      <c r="Y1056" s="7">
        <f t="shared" si="409"/>
        <v>0</v>
      </c>
      <c r="Z1056" s="8"/>
      <c r="AA1056" s="9"/>
      <c r="AB1056" s="10"/>
      <c r="AC1056" s="7">
        <f t="shared" si="410"/>
        <v>0</v>
      </c>
      <c r="AD1056" s="8"/>
      <c r="AE1056" s="9"/>
      <c r="AF1056" s="10"/>
      <c r="AG1056" s="7">
        <f t="shared" si="411"/>
        <v>0</v>
      </c>
    </row>
    <row r="1057" spans="1:33">
      <c r="A1057" s="3"/>
      <c r="B1057" s="8"/>
      <c r="C1057" s="9"/>
      <c r="D1057" s="10"/>
      <c r="E1057" s="7">
        <f t="shared" si="405"/>
        <v>0</v>
      </c>
      <c r="F1057" s="8"/>
      <c r="G1057" s="9"/>
      <c r="H1057" s="10"/>
      <c r="I1057" s="7">
        <f t="shared" si="406"/>
        <v>0</v>
      </c>
      <c r="K1057" s="11" t="s">
        <v>575</v>
      </c>
      <c r="L1057" s="8">
        <v>20</v>
      </c>
      <c r="M1057" s="9">
        <v>20</v>
      </c>
      <c r="N1057" s="10">
        <v>20</v>
      </c>
      <c r="O1057" s="7">
        <f t="shared" si="407"/>
        <v>60</v>
      </c>
      <c r="P1057" s="8">
        <v>20</v>
      </c>
      <c r="Q1057" s="9">
        <v>20</v>
      </c>
      <c r="R1057" s="10">
        <v>20</v>
      </c>
      <c r="S1057" s="7">
        <f t="shared" si="408"/>
        <v>60</v>
      </c>
      <c r="T1057" s="43">
        <v>44762</v>
      </c>
      <c r="U1057" s="3"/>
      <c r="V1057" s="8"/>
      <c r="W1057" s="9"/>
      <c r="X1057" s="10"/>
      <c r="Y1057" s="7">
        <f t="shared" si="409"/>
        <v>0</v>
      </c>
      <c r="Z1057" s="8"/>
      <c r="AA1057" s="9"/>
      <c r="AB1057" s="10"/>
      <c r="AC1057" s="7">
        <f t="shared" si="410"/>
        <v>0</v>
      </c>
      <c r="AD1057" s="8"/>
      <c r="AE1057" s="9"/>
      <c r="AF1057" s="10"/>
      <c r="AG1057" s="7">
        <f t="shared" si="411"/>
        <v>0</v>
      </c>
    </row>
    <row r="1058" spans="1:33">
      <c r="A1058" s="3"/>
      <c r="B1058" s="8"/>
      <c r="C1058" s="9"/>
      <c r="D1058" s="10"/>
      <c r="E1058" s="7">
        <f t="shared" si="405"/>
        <v>0</v>
      </c>
      <c r="F1058" s="8"/>
      <c r="G1058" s="9"/>
      <c r="H1058" s="10"/>
      <c r="I1058" s="7">
        <f t="shared" si="406"/>
        <v>0</v>
      </c>
      <c r="K1058" s="11" t="s">
        <v>576</v>
      </c>
      <c r="L1058" s="59">
        <v>4</v>
      </c>
      <c r="M1058" s="9">
        <v>30</v>
      </c>
      <c r="N1058" s="10">
        <v>7</v>
      </c>
      <c r="O1058" s="7">
        <f t="shared" si="407"/>
        <v>41</v>
      </c>
      <c r="P1058" s="8">
        <v>4</v>
      </c>
      <c r="Q1058" s="9">
        <v>30</v>
      </c>
      <c r="R1058" s="10">
        <v>7</v>
      </c>
      <c r="S1058" s="7">
        <f t="shared" si="408"/>
        <v>41</v>
      </c>
      <c r="T1058" s="43">
        <v>44762</v>
      </c>
      <c r="U1058" s="3"/>
      <c r="V1058" s="30"/>
      <c r="W1058" s="9"/>
      <c r="X1058" s="10"/>
      <c r="Y1058" s="7">
        <f t="shared" si="409"/>
        <v>0</v>
      </c>
      <c r="Z1058" s="8"/>
      <c r="AA1058" s="9"/>
      <c r="AB1058" s="10"/>
      <c r="AC1058" s="7">
        <f t="shared" si="410"/>
        <v>0</v>
      </c>
      <c r="AD1058" s="8"/>
      <c r="AE1058" s="9"/>
      <c r="AF1058" s="10"/>
      <c r="AG1058" s="7">
        <f t="shared" si="411"/>
        <v>0</v>
      </c>
    </row>
    <row r="1059" spans="1:33">
      <c r="A1059" s="3"/>
      <c r="B1059" s="8"/>
      <c r="C1059" s="9"/>
      <c r="D1059" s="10"/>
      <c r="E1059" s="7">
        <f t="shared" si="405"/>
        <v>0</v>
      </c>
      <c r="F1059" s="8"/>
      <c r="G1059" s="9"/>
      <c r="H1059" s="10"/>
      <c r="I1059" s="7">
        <f t="shared" si="406"/>
        <v>0</v>
      </c>
      <c r="K1059" s="11" t="s">
        <v>577</v>
      </c>
      <c r="L1059" s="8">
        <v>10</v>
      </c>
      <c r="M1059" s="9">
        <v>14</v>
      </c>
      <c r="N1059" s="10">
        <v>9</v>
      </c>
      <c r="O1059" s="7">
        <f t="shared" si="407"/>
        <v>33</v>
      </c>
      <c r="P1059" s="8">
        <v>10</v>
      </c>
      <c r="Q1059" s="9">
        <v>14</v>
      </c>
      <c r="R1059" s="10">
        <v>9</v>
      </c>
      <c r="S1059" s="7">
        <f t="shared" si="408"/>
        <v>33</v>
      </c>
      <c r="T1059" s="43">
        <v>44763</v>
      </c>
      <c r="U1059" s="3"/>
      <c r="V1059" s="8"/>
      <c r="W1059" s="9"/>
      <c r="X1059" s="10"/>
      <c r="Y1059" s="7">
        <f t="shared" si="409"/>
        <v>0</v>
      </c>
      <c r="Z1059" s="8"/>
      <c r="AA1059" s="9"/>
      <c r="AB1059" s="10"/>
      <c r="AC1059" s="7">
        <f t="shared" si="410"/>
        <v>0</v>
      </c>
      <c r="AD1059" s="8"/>
      <c r="AE1059" s="9"/>
      <c r="AF1059" s="10"/>
      <c r="AG1059" s="7">
        <f t="shared" si="411"/>
        <v>0</v>
      </c>
    </row>
    <row r="1060" spans="1:33">
      <c r="A1060" s="3"/>
      <c r="B1060" s="8"/>
      <c r="C1060" s="9"/>
      <c r="D1060" s="10"/>
      <c r="E1060" s="7">
        <f t="shared" si="405"/>
        <v>0</v>
      </c>
      <c r="F1060" s="8"/>
      <c r="G1060" s="9"/>
      <c r="H1060" s="10"/>
      <c r="I1060" s="7">
        <f t="shared" si="406"/>
        <v>0</v>
      </c>
      <c r="K1060" s="11" t="s">
        <v>578</v>
      </c>
      <c r="L1060" s="8">
        <v>8</v>
      </c>
      <c r="M1060" s="9">
        <v>14</v>
      </c>
      <c r="N1060" s="10">
        <v>13</v>
      </c>
      <c r="O1060" s="7">
        <f t="shared" si="407"/>
        <v>35</v>
      </c>
      <c r="P1060" s="8">
        <v>8</v>
      </c>
      <c r="Q1060" s="9">
        <v>14</v>
      </c>
      <c r="R1060" s="10">
        <v>13</v>
      </c>
      <c r="S1060" s="7">
        <f t="shared" si="408"/>
        <v>35</v>
      </c>
      <c r="T1060" s="43">
        <v>44764</v>
      </c>
      <c r="U1060" s="3"/>
      <c r="V1060" s="8"/>
      <c r="W1060" s="9"/>
      <c r="X1060" s="10"/>
      <c r="Y1060" s="7">
        <f t="shared" si="409"/>
        <v>0</v>
      </c>
      <c r="Z1060" s="8"/>
      <c r="AA1060" s="9"/>
      <c r="AB1060" s="10"/>
      <c r="AC1060" s="7">
        <f t="shared" si="410"/>
        <v>0</v>
      </c>
      <c r="AD1060" s="8"/>
      <c r="AE1060" s="9"/>
      <c r="AF1060" s="10"/>
      <c r="AG1060" s="7">
        <f t="shared" si="411"/>
        <v>0</v>
      </c>
    </row>
    <row r="1061" spans="1:33">
      <c r="A1061" s="3"/>
      <c r="B1061" s="8"/>
      <c r="C1061" s="9"/>
      <c r="D1061" s="10"/>
      <c r="E1061" s="7">
        <f t="shared" si="405"/>
        <v>0</v>
      </c>
      <c r="F1061" s="8"/>
      <c r="G1061" s="9"/>
      <c r="H1061" s="10"/>
      <c r="I1061" s="7">
        <f t="shared" si="406"/>
        <v>0</v>
      </c>
      <c r="K1061" s="11" t="s">
        <v>579</v>
      </c>
      <c r="L1061" s="8">
        <v>2</v>
      </c>
      <c r="M1061" s="9">
        <v>11</v>
      </c>
      <c r="N1061" s="10">
        <v>1</v>
      </c>
      <c r="O1061" s="7">
        <f t="shared" si="407"/>
        <v>14</v>
      </c>
      <c r="P1061" s="8">
        <v>2</v>
      </c>
      <c r="Q1061" s="9">
        <v>11</v>
      </c>
      <c r="R1061" s="10">
        <v>1</v>
      </c>
      <c r="S1061" s="7">
        <f t="shared" si="408"/>
        <v>14</v>
      </c>
      <c r="T1061" s="43">
        <v>44767</v>
      </c>
      <c r="U1061" s="3"/>
      <c r="V1061" s="8"/>
      <c r="W1061" s="9"/>
      <c r="X1061" s="10"/>
      <c r="Y1061" s="7">
        <f t="shared" si="409"/>
        <v>0</v>
      </c>
      <c r="Z1061" s="8"/>
      <c r="AA1061" s="9"/>
      <c r="AB1061" s="10"/>
      <c r="AC1061" s="7">
        <f t="shared" si="410"/>
        <v>0</v>
      </c>
      <c r="AD1061" s="8"/>
      <c r="AE1061" s="9"/>
      <c r="AF1061" s="10"/>
      <c r="AG1061" s="7">
        <f t="shared" si="411"/>
        <v>0</v>
      </c>
    </row>
    <row r="1062" spans="1:33">
      <c r="A1062" s="3"/>
      <c r="B1062" s="8"/>
      <c r="C1062" s="9"/>
      <c r="D1062" s="10"/>
      <c r="E1062" s="7">
        <f t="shared" si="405"/>
        <v>0</v>
      </c>
      <c r="F1062" s="8"/>
      <c r="G1062" s="9"/>
      <c r="H1062" s="10"/>
      <c r="I1062" s="7">
        <f t="shared" si="406"/>
        <v>0</v>
      </c>
      <c r="K1062" s="11" t="s">
        <v>580</v>
      </c>
      <c r="L1062" s="8">
        <v>30</v>
      </c>
      <c r="M1062" s="9">
        <v>12</v>
      </c>
      <c r="N1062" s="10">
        <v>13</v>
      </c>
      <c r="O1062" s="7">
        <f t="shared" si="407"/>
        <v>55</v>
      </c>
      <c r="P1062" s="8">
        <v>30</v>
      </c>
      <c r="Q1062" s="9">
        <v>12</v>
      </c>
      <c r="R1062" s="10">
        <v>13</v>
      </c>
      <c r="S1062" s="7">
        <f t="shared" si="408"/>
        <v>55</v>
      </c>
      <c r="T1062" s="43">
        <v>44768</v>
      </c>
      <c r="U1062" s="3"/>
      <c r="V1062" s="8"/>
      <c r="W1062" s="9"/>
      <c r="X1062" s="10"/>
      <c r="Y1062" s="7">
        <f t="shared" si="409"/>
        <v>0</v>
      </c>
      <c r="Z1062" s="8"/>
      <c r="AA1062" s="9"/>
      <c r="AB1062" s="10"/>
      <c r="AC1062" s="7">
        <f t="shared" si="410"/>
        <v>0</v>
      </c>
      <c r="AD1062" s="8"/>
      <c r="AE1062" s="9"/>
      <c r="AF1062" s="10"/>
      <c r="AG1062" s="7">
        <f t="shared" si="411"/>
        <v>0</v>
      </c>
    </row>
    <row r="1063" spans="1:33">
      <c r="A1063" s="3"/>
      <c r="B1063" s="8"/>
      <c r="C1063" s="9"/>
      <c r="D1063" s="10"/>
      <c r="E1063" s="7">
        <f t="shared" si="405"/>
        <v>0</v>
      </c>
      <c r="F1063" s="8"/>
      <c r="G1063" s="9"/>
      <c r="H1063" s="10"/>
      <c r="I1063" s="7">
        <f t="shared" si="406"/>
        <v>0</v>
      </c>
      <c r="K1063" s="11" t="s">
        <v>581</v>
      </c>
      <c r="L1063" s="8">
        <v>16</v>
      </c>
      <c r="M1063" s="9">
        <v>30</v>
      </c>
      <c r="N1063" s="10">
        <v>16</v>
      </c>
      <c r="O1063" s="7">
        <f t="shared" si="407"/>
        <v>62</v>
      </c>
      <c r="P1063" s="8">
        <v>16</v>
      </c>
      <c r="Q1063" s="9">
        <v>30</v>
      </c>
      <c r="R1063" s="10">
        <v>16</v>
      </c>
      <c r="S1063" s="7">
        <f t="shared" si="408"/>
        <v>62</v>
      </c>
      <c r="T1063" s="43">
        <v>44769</v>
      </c>
      <c r="U1063" s="3"/>
      <c r="V1063" s="8"/>
      <c r="W1063" s="9"/>
      <c r="X1063" s="10"/>
      <c r="Y1063" s="7">
        <f t="shared" si="409"/>
        <v>0</v>
      </c>
      <c r="Z1063" s="8"/>
      <c r="AA1063" s="9"/>
      <c r="AB1063" s="10"/>
      <c r="AC1063" s="7">
        <f t="shared" si="410"/>
        <v>0</v>
      </c>
      <c r="AD1063" s="8"/>
      <c r="AE1063" s="9"/>
      <c r="AF1063" s="10"/>
      <c r="AG1063" s="7">
        <f t="shared" si="411"/>
        <v>0</v>
      </c>
    </row>
    <row r="1064" spans="1:33">
      <c r="A1064" s="3"/>
      <c r="B1064" s="8"/>
      <c r="C1064" s="9"/>
      <c r="D1064" s="10"/>
      <c r="E1064" s="7">
        <f t="shared" si="405"/>
        <v>0</v>
      </c>
      <c r="F1064" s="8"/>
      <c r="G1064" s="9"/>
      <c r="H1064" s="10"/>
      <c r="I1064" s="7">
        <f t="shared" si="406"/>
        <v>0</v>
      </c>
      <c r="K1064" s="11" t="s">
        <v>582</v>
      </c>
      <c r="L1064" s="8">
        <v>10</v>
      </c>
      <c r="M1064" s="9">
        <v>8</v>
      </c>
      <c r="N1064" s="10">
        <v>14</v>
      </c>
      <c r="O1064" s="7">
        <f t="shared" si="407"/>
        <v>32</v>
      </c>
      <c r="P1064" s="8">
        <v>10</v>
      </c>
      <c r="Q1064" s="9">
        <v>8</v>
      </c>
      <c r="R1064" s="10">
        <v>14</v>
      </c>
      <c r="S1064" s="7">
        <f t="shared" si="408"/>
        <v>32</v>
      </c>
      <c r="T1064" s="43">
        <v>44770</v>
      </c>
      <c r="U1064" s="3"/>
      <c r="V1064" s="8"/>
      <c r="W1064" s="9"/>
      <c r="X1064" s="10"/>
      <c r="Y1064" s="7">
        <f t="shared" si="409"/>
        <v>0</v>
      </c>
      <c r="Z1064" s="8"/>
      <c r="AA1064" s="9"/>
      <c r="AB1064" s="10"/>
      <c r="AC1064" s="7">
        <f t="shared" si="410"/>
        <v>0</v>
      </c>
      <c r="AD1064" s="8"/>
      <c r="AE1064" s="9"/>
      <c r="AF1064" s="10"/>
      <c r="AG1064" s="7">
        <f t="shared" si="411"/>
        <v>0</v>
      </c>
    </row>
    <row r="1065" spans="1:33">
      <c r="A1065" s="3"/>
      <c r="B1065" s="8"/>
      <c r="C1065" s="9"/>
      <c r="D1065" s="10"/>
      <c r="E1065" s="7">
        <f t="shared" si="405"/>
        <v>0</v>
      </c>
      <c r="F1065" s="8"/>
      <c r="G1065" s="9"/>
      <c r="H1065" s="10"/>
      <c r="I1065" s="7">
        <f t="shared" si="406"/>
        <v>0</v>
      </c>
      <c r="K1065" s="11" t="s">
        <v>372</v>
      </c>
      <c r="L1065" s="8">
        <v>8</v>
      </c>
      <c r="M1065" s="9">
        <v>21</v>
      </c>
      <c r="N1065" s="10">
        <v>15</v>
      </c>
      <c r="O1065" s="7">
        <f t="shared" si="407"/>
        <v>44</v>
      </c>
      <c r="P1065" s="8">
        <v>8</v>
      </c>
      <c r="Q1065" s="9">
        <v>21</v>
      </c>
      <c r="R1065" s="10">
        <v>15</v>
      </c>
      <c r="S1065" s="7">
        <f t="shared" si="408"/>
        <v>44</v>
      </c>
      <c r="T1065" s="43">
        <v>44771</v>
      </c>
      <c r="U1065" s="3"/>
      <c r="V1065" s="8"/>
      <c r="W1065" s="9"/>
      <c r="X1065" s="10"/>
      <c r="Y1065" s="7">
        <f t="shared" si="409"/>
        <v>0</v>
      </c>
      <c r="Z1065" s="8"/>
      <c r="AA1065" s="9"/>
      <c r="AB1065" s="10"/>
      <c r="AC1065" s="7">
        <f t="shared" si="410"/>
        <v>0</v>
      </c>
      <c r="AD1065" s="8"/>
      <c r="AE1065" s="9"/>
      <c r="AF1065" s="10"/>
      <c r="AG1065" s="7">
        <f t="shared" si="411"/>
        <v>0</v>
      </c>
    </row>
    <row r="1066" spans="1:33">
      <c r="A1066" s="11"/>
      <c r="B1066" s="8"/>
      <c r="C1066" s="9"/>
      <c r="D1066" s="10"/>
      <c r="E1066" s="7">
        <f t="shared" si="405"/>
        <v>0</v>
      </c>
      <c r="F1066" s="8"/>
      <c r="G1066" s="9"/>
      <c r="H1066" s="10"/>
      <c r="I1066" s="7">
        <f t="shared" si="406"/>
        <v>0</v>
      </c>
      <c r="K1066" s="11" t="s">
        <v>583</v>
      </c>
      <c r="L1066" s="8">
        <v>7</v>
      </c>
      <c r="M1066" s="9">
        <v>5</v>
      </c>
      <c r="N1066" s="10">
        <v>4</v>
      </c>
      <c r="O1066" s="7">
        <f t="shared" si="407"/>
        <v>16</v>
      </c>
      <c r="P1066" s="8">
        <v>7</v>
      </c>
      <c r="Q1066" s="9">
        <v>5</v>
      </c>
      <c r="R1066" s="10">
        <v>4</v>
      </c>
      <c r="S1066" s="7">
        <f t="shared" si="408"/>
        <v>16</v>
      </c>
      <c r="T1066" s="43">
        <v>44774</v>
      </c>
      <c r="U1066" s="3"/>
      <c r="V1066" s="8"/>
      <c r="W1066" s="9"/>
      <c r="X1066" s="10"/>
      <c r="Y1066" s="7">
        <f t="shared" si="409"/>
        <v>0</v>
      </c>
      <c r="Z1066" s="8"/>
      <c r="AA1066" s="9"/>
      <c r="AB1066" s="10"/>
      <c r="AC1066" s="7">
        <f t="shared" si="410"/>
        <v>0</v>
      </c>
      <c r="AD1066" s="8"/>
      <c r="AE1066" s="9"/>
      <c r="AF1066" s="10"/>
      <c r="AG1066" s="7">
        <f t="shared" si="411"/>
        <v>0</v>
      </c>
    </row>
    <row r="1067" spans="1:33">
      <c r="A1067" s="11"/>
      <c r="B1067" s="8"/>
      <c r="C1067" s="9"/>
      <c r="D1067" s="10"/>
      <c r="E1067" s="7">
        <f t="shared" si="405"/>
        <v>0</v>
      </c>
      <c r="F1067" s="8"/>
      <c r="G1067" s="9"/>
      <c r="H1067" s="10"/>
      <c r="I1067" s="7">
        <f t="shared" si="406"/>
        <v>0</v>
      </c>
      <c r="K1067" s="11" t="s">
        <v>585</v>
      </c>
      <c r="L1067" s="8"/>
      <c r="M1067" s="9">
        <v>8</v>
      </c>
      <c r="N1067" s="10"/>
      <c r="O1067" s="7">
        <f t="shared" si="407"/>
        <v>8</v>
      </c>
      <c r="P1067" s="8"/>
      <c r="Q1067" s="9">
        <v>8</v>
      </c>
      <c r="R1067" s="10"/>
      <c r="S1067" s="7">
        <f t="shared" si="408"/>
        <v>8</v>
      </c>
      <c r="T1067" s="43">
        <v>44775</v>
      </c>
      <c r="U1067" s="3"/>
      <c r="V1067" s="8"/>
      <c r="W1067" s="9"/>
      <c r="X1067" s="10"/>
      <c r="Y1067" s="7">
        <f t="shared" si="409"/>
        <v>0</v>
      </c>
      <c r="Z1067" s="8"/>
      <c r="AA1067" s="9"/>
      <c r="AB1067" s="10"/>
      <c r="AC1067" s="7">
        <f t="shared" si="410"/>
        <v>0</v>
      </c>
      <c r="AD1067" s="8"/>
      <c r="AE1067" s="9"/>
      <c r="AF1067" s="10"/>
      <c r="AG1067" s="7">
        <f t="shared" si="411"/>
        <v>0</v>
      </c>
    </row>
    <row r="1068" spans="1:33">
      <c r="A1068" s="11"/>
      <c r="B1068" s="8"/>
      <c r="C1068" s="9"/>
      <c r="D1068" s="10"/>
      <c r="E1068" s="7">
        <f t="shared" si="405"/>
        <v>0</v>
      </c>
      <c r="F1068" s="8"/>
      <c r="G1068" s="9"/>
      <c r="H1068" s="10"/>
      <c r="I1068" s="7">
        <f t="shared" si="406"/>
        <v>0</v>
      </c>
      <c r="K1068" s="11"/>
      <c r="L1068" s="8"/>
      <c r="M1068" s="9"/>
      <c r="N1068" s="10"/>
      <c r="O1068" s="7">
        <f t="shared" si="407"/>
        <v>0</v>
      </c>
      <c r="P1068" s="8"/>
      <c r="Q1068" s="9"/>
      <c r="R1068" s="10"/>
      <c r="S1068" s="7">
        <f t="shared" si="408"/>
        <v>0</v>
      </c>
      <c r="T1068" s="71"/>
      <c r="U1068" s="11"/>
      <c r="V1068" s="8"/>
      <c r="W1068" s="9"/>
      <c r="X1068" s="10"/>
      <c r="Y1068" s="7">
        <f t="shared" si="409"/>
        <v>0</v>
      </c>
      <c r="Z1068" s="8"/>
      <c r="AA1068" s="9"/>
      <c r="AB1068" s="10"/>
      <c r="AC1068" s="7">
        <f t="shared" si="410"/>
        <v>0</v>
      </c>
      <c r="AD1068" s="8"/>
      <c r="AE1068" s="9"/>
      <c r="AF1068" s="10"/>
      <c r="AG1068" s="7">
        <f t="shared" si="411"/>
        <v>0</v>
      </c>
    </row>
    <row r="1069" spans="1:33">
      <c r="A1069" s="11"/>
      <c r="B1069" s="8"/>
      <c r="C1069" s="9"/>
      <c r="D1069" s="10"/>
      <c r="E1069" s="7">
        <f t="shared" si="405"/>
        <v>0</v>
      </c>
      <c r="F1069" s="8"/>
      <c r="G1069" s="9"/>
      <c r="H1069" s="10"/>
      <c r="I1069" s="7">
        <f t="shared" si="406"/>
        <v>0</v>
      </c>
      <c r="K1069" s="11" t="s">
        <v>540</v>
      </c>
      <c r="L1069" s="8"/>
      <c r="M1069" s="9"/>
      <c r="N1069" s="10"/>
      <c r="O1069" s="7">
        <f t="shared" ref="O1069" si="414">SUM(L1069:N1069)</f>
        <v>0</v>
      </c>
      <c r="P1069" s="8"/>
      <c r="Q1069" s="9"/>
      <c r="R1069" s="10"/>
      <c r="S1069" s="7">
        <f t="shared" ref="S1069" si="415">SUM(P1069:R1069)</f>
        <v>0</v>
      </c>
      <c r="T1069" s="71" t="s">
        <v>294</v>
      </c>
      <c r="U1069" s="3"/>
      <c r="V1069" s="8"/>
      <c r="W1069" s="9"/>
      <c r="X1069" s="10"/>
      <c r="Y1069" s="7">
        <f t="shared" si="409"/>
        <v>0</v>
      </c>
      <c r="Z1069" s="8"/>
      <c r="AA1069" s="9"/>
      <c r="AB1069" s="10"/>
      <c r="AC1069" s="7">
        <f t="shared" si="410"/>
        <v>0</v>
      </c>
      <c r="AD1069" s="8"/>
      <c r="AE1069" s="9"/>
      <c r="AF1069" s="10"/>
      <c r="AG1069" s="7">
        <f t="shared" si="411"/>
        <v>0</v>
      </c>
    </row>
    <row r="1070" spans="1:33">
      <c r="A1070" s="11"/>
      <c r="B1070" s="8"/>
      <c r="C1070" s="9"/>
      <c r="D1070" s="10"/>
      <c r="E1070" s="7">
        <f t="shared" si="405"/>
        <v>0</v>
      </c>
      <c r="F1070" s="8"/>
      <c r="G1070" s="9"/>
      <c r="H1070" s="10"/>
      <c r="I1070" s="7">
        <f t="shared" si="406"/>
        <v>0</v>
      </c>
      <c r="K1070" s="11" t="s">
        <v>512</v>
      </c>
      <c r="L1070" s="8"/>
      <c r="M1070" s="9"/>
      <c r="N1070" s="10"/>
      <c r="O1070" s="7">
        <f t="shared" si="407"/>
        <v>0</v>
      </c>
      <c r="P1070" s="8"/>
      <c r="Q1070" s="9"/>
      <c r="R1070" s="10"/>
      <c r="S1070" s="7">
        <f t="shared" si="408"/>
        <v>0</v>
      </c>
      <c r="T1070" s="71" t="s">
        <v>116</v>
      </c>
      <c r="U1070" s="3"/>
      <c r="V1070" s="8"/>
      <c r="W1070" s="9"/>
      <c r="X1070" s="10"/>
      <c r="Y1070" s="7">
        <f t="shared" si="409"/>
        <v>0</v>
      </c>
      <c r="Z1070" s="8"/>
      <c r="AA1070" s="9"/>
      <c r="AB1070" s="10"/>
      <c r="AC1070" s="7">
        <f t="shared" si="410"/>
        <v>0</v>
      </c>
      <c r="AD1070" s="8"/>
      <c r="AE1070" s="9"/>
      <c r="AF1070" s="10"/>
      <c r="AG1070" s="7">
        <f t="shared" si="411"/>
        <v>0</v>
      </c>
    </row>
    <row r="1071" spans="1:33" ht="14.25" thickBot="1">
      <c r="A1071" s="3"/>
      <c r="B1071" s="8"/>
      <c r="C1071" s="9"/>
      <c r="D1071" s="10"/>
      <c r="E1071" s="7">
        <f t="shared" si="405"/>
        <v>0</v>
      </c>
      <c r="F1071" s="8"/>
      <c r="G1071" s="9"/>
      <c r="H1071" s="10"/>
      <c r="I1071" s="7">
        <f t="shared" si="406"/>
        <v>0</v>
      </c>
      <c r="K1071" s="11" t="s">
        <v>487</v>
      </c>
      <c r="L1071" s="8"/>
      <c r="M1071" s="9"/>
      <c r="N1071" s="10"/>
      <c r="O1071" s="7">
        <f t="shared" si="407"/>
        <v>0</v>
      </c>
      <c r="P1071" s="8"/>
      <c r="Q1071" s="9"/>
      <c r="R1071" s="10"/>
      <c r="S1071" s="7">
        <f t="shared" si="408"/>
        <v>0</v>
      </c>
      <c r="T1071" s="43" t="s">
        <v>486</v>
      </c>
      <c r="U1071" s="3"/>
      <c r="V1071" s="8"/>
      <c r="W1071" s="9"/>
      <c r="X1071" s="10"/>
      <c r="Y1071" s="7">
        <f t="shared" si="409"/>
        <v>0</v>
      </c>
      <c r="Z1071" s="8"/>
      <c r="AA1071" s="9"/>
      <c r="AB1071" s="10"/>
      <c r="AC1071" s="7">
        <f t="shared" si="410"/>
        <v>0</v>
      </c>
      <c r="AD1071" s="8"/>
      <c r="AE1071" s="9"/>
      <c r="AF1071" s="10"/>
      <c r="AG1071" s="7">
        <f t="shared" si="411"/>
        <v>0</v>
      </c>
    </row>
    <row r="1072" spans="1:33" ht="14.25" thickBot="1">
      <c r="A1072" s="2" t="s">
        <v>5</v>
      </c>
      <c r="B1072" s="14">
        <f>SUM(B1048:B1071)</f>
        <v>4</v>
      </c>
      <c r="C1072" s="14">
        <f>SUM(C1048:C1071)</f>
        <v>14</v>
      </c>
      <c r="D1072" s="14">
        <f>SUM(D1048:D1071)</f>
        <v>10</v>
      </c>
      <c r="E1072" s="15">
        <f t="shared" si="405"/>
        <v>28</v>
      </c>
      <c r="F1072" s="14">
        <f>SUM(F1048:F1071)</f>
        <v>4</v>
      </c>
      <c r="G1072" s="14">
        <f>SUM(G1048:G1071)</f>
        <v>14</v>
      </c>
      <c r="H1072" s="14">
        <f>SUM(H1048:H1071)</f>
        <v>10</v>
      </c>
      <c r="I1072" s="15">
        <f t="shared" si="406"/>
        <v>28</v>
      </c>
      <c r="K1072" s="2" t="s">
        <v>5</v>
      </c>
      <c r="L1072" s="14">
        <f>SUM(L1048:L1071)</f>
        <v>207</v>
      </c>
      <c r="M1072" s="14">
        <f>SUM(M1048:M1071)</f>
        <v>267</v>
      </c>
      <c r="N1072" s="14">
        <f>SUM(N1048:N1071)</f>
        <v>185</v>
      </c>
      <c r="O1072" s="15">
        <f t="shared" si="407"/>
        <v>659</v>
      </c>
      <c r="P1072" s="14">
        <f>SUM(P1048:P1071)</f>
        <v>207</v>
      </c>
      <c r="Q1072" s="14">
        <f>SUM(Q1048:Q1071)</f>
        <v>267</v>
      </c>
      <c r="R1072" s="14">
        <f>SUM(R1048:R1071)</f>
        <v>185</v>
      </c>
      <c r="S1072" s="15">
        <f t="shared" si="408"/>
        <v>659</v>
      </c>
      <c r="U1072" s="2" t="s">
        <v>5</v>
      </c>
      <c r="V1072" s="14">
        <f>SUM(V1048:V1071)</f>
        <v>3</v>
      </c>
      <c r="W1072" s="14">
        <f>SUM(W1048:W1071)</f>
        <v>6</v>
      </c>
      <c r="X1072" s="14">
        <f>SUM(X1048:X1071)</f>
        <v>3</v>
      </c>
      <c r="Y1072" s="15">
        <f t="shared" si="409"/>
        <v>12</v>
      </c>
      <c r="Z1072" s="14">
        <f>SUM(Z1048:Z1071)</f>
        <v>3</v>
      </c>
      <c r="AA1072" s="14">
        <f>SUM(AA1048:AA1071)</f>
        <v>6</v>
      </c>
      <c r="AB1072" s="14">
        <f>SUM(AB1048:AB1071)</f>
        <v>3</v>
      </c>
      <c r="AC1072" s="15">
        <f t="shared" si="410"/>
        <v>12</v>
      </c>
      <c r="AD1072" s="14">
        <f>SUM(AD1048:AD1071)</f>
        <v>3</v>
      </c>
      <c r="AE1072" s="14">
        <f>SUM(AE1048:AE1071)</f>
        <v>6</v>
      </c>
      <c r="AF1072" s="14">
        <f>SUM(AF1048:AF1071)</f>
        <v>3</v>
      </c>
      <c r="AG1072" s="15">
        <f t="shared" si="411"/>
        <v>12</v>
      </c>
    </row>
    <row r="1073" spans="1:34" ht="14.25" thickBot="1">
      <c r="A1073" s="27" t="s">
        <v>6</v>
      </c>
      <c r="B1073" s="28">
        <f>B1047-B1072</f>
        <v>8</v>
      </c>
      <c r="C1073" s="28">
        <f t="shared" ref="C1073:E1073" si="416">C1047-C1072</f>
        <v>3</v>
      </c>
      <c r="D1073" s="28">
        <f t="shared" si="416"/>
        <v>0</v>
      </c>
      <c r="E1073" s="28">
        <f t="shared" si="416"/>
        <v>11</v>
      </c>
      <c r="F1073" s="28">
        <f>F1047-F1072</f>
        <v>8</v>
      </c>
      <c r="G1073" s="28">
        <f t="shared" ref="G1073:I1073" si="417">G1047-G1072</f>
        <v>3</v>
      </c>
      <c r="H1073" s="28">
        <f t="shared" si="417"/>
        <v>0</v>
      </c>
      <c r="I1073" s="26">
        <f t="shared" si="417"/>
        <v>11</v>
      </c>
      <c r="K1073" s="27" t="s">
        <v>6</v>
      </c>
      <c r="L1073" s="28">
        <f>L1047-L1072</f>
        <v>13</v>
      </c>
      <c r="M1073" s="28">
        <f t="shared" ref="M1073:O1073" si="418">M1047-M1072</f>
        <v>0</v>
      </c>
      <c r="N1073" s="28">
        <f t="shared" si="418"/>
        <v>49</v>
      </c>
      <c r="O1073" s="28">
        <f t="shared" si="418"/>
        <v>62</v>
      </c>
      <c r="P1073" s="28">
        <f>P1047-P1072</f>
        <v>13</v>
      </c>
      <c r="Q1073" s="28">
        <f t="shared" ref="Q1073:S1073" si="419">Q1047-Q1072</f>
        <v>0</v>
      </c>
      <c r="R1073" s="28">
        <f t="shared" si="419"/>
        <v>49</v>
      </c>
      <c r="S1073" s="26">
        <f t="shared" si="419"/>
        <v>62</v>
      </c>
      <c r="U1073" s="27" t="s">
        <v>6</v>
      </c>
      <c r="V1073" s="28">
        <f>V1047-V1072</f>
        <v>15</v>
      </c>
      <c r="W1073" s="28">
        <f t="shared" ref="W1073:Y1073" si="420">W1047-W1072</f>
        <v>57</v>
      </c>
      <c r="X1073" s="28">
        <f t="shared" si="420"/>
        <v>18</v>
      </c>
      <c r="Y1073" s="28">
        <f t="shared" si="420"/>
        <v>90</v>
      </c>
      <c r="Z1073" s="28">
        <f>Z1047-Z1072</f>
        <v>15</v>
      </c>
      <c r="AA1073" s="28">
        <f t="shared" ref="AA1073:AC1073" si="421">AA1047-AA1072</f>
        <v>57</v>
      </c>
      <c r="AB1073" s="28">
        <f t="shared" si="421"/>
        <v>18</v>
      </c>
      <c r="AC1073" s="26">
        <f t="shared" si="421"/>
        <v>90</v>
      </c>
      <c r="AD1073" s="28">
        <f>AD1047-AD1072</f>
        <v>15</v>
      </c>
      <c r="AE1073" s="28">
        <f t="shared" ref="AE1073:AG1073" si="422">AE1047-AE1072</f>
        <v>57</v>
      </c>
      <c r="AF1073" s="28">
        <f t="shared" si="422"/>
        <v>18</v>
      </c>
      <c r="AG1073" s="26">
        <f t="shared" si="422"/>
        <v>90</v>
      </c>
    </row>
    <row r="1074" spans="1:34">
      <c r="L1074">
        <f>L1072+L1029+L986+L943+L900+L857+L816</f>
        <v>900</v>
      </c>
      <c r="M1074">
        <f t="shared" ref="M1074:O1074" si="423">M1072+M1029+M986+M943+M900+M857+M816</f>
        <v>1231</v>
      </c>
      <c r="N1074">
        <f t="shared" si="423"/>
        <v>883</v>
      </c>
      <c r="O1074">
        <f t="shared" si="423"/>
        <v>3014</v>
      </c>
    </row>
    <row r="1075" spans="1:34">
      <c r="L1075" s="86">
        <f>L1074/$O$1074*100</f>
        <v>29.860650298606501</v>
      </c>
      <c r="M1075" s="86">
        <f t="shared" ref="M1075:O1075" si="424">M1074/$O$1074*100</f>
        <v>40.842733908427334</v>
      </c>
      <c r="N1075" s="86">
        <f t="shared" si="424"/>
        <v>29.296615792966158</v>
      </c>
      <c r="O1075" s="86">
        <f t="shared" si="424"/>
        <v>100</v>
      </c>
      <c r="P1075" s="67"/>
    </row>
    <row r="1076" spans="1:34" ht="26.25" thickBot="1">
      <c r="A1076" s="33" t="s">
        <v>15</v>
      </c>
      <c r="B1076" s="34"/>
      <c r="C1076" s="34"/>
      <c r="D1076" s="34"/>
      <c r="E1076" s="34"/>
      <c r="F1076" s="35"/>
      <c r="G1076" s="35"/>
      <c r="H1076" s="35"/>
      <c r="I1076" s="35"/>
      <c r="K1076" s="33" t="s">
        <v>243</v>
      </c>
      <c r="L1076" s="34"/>
      <c r="M1076" s="34"/>
      <c r="N1076" s="34"/>
      <c r="O1076" s="34"/>
      <c r="P1076" s="35"/>
      <c r="Q1076" s="35"/>
      <c r="R1076" s="35"/>
      <c r="S1076" s="35"/>
      <c r="U1076" s="88" t="s">
        <v>244</v>
      </c>
      <c r="V1076" s="89"/>
      <c r="W1076" s="89"/>
      <c r="X1076" s="89"/>
      <c r="Y1076" s="89"/>
      <c r="Z1076" s="90"/>
      <c r="AA1076" s="90"/>
      <c r="AB1076" s="90"/>
      <c r="AC1076" s="90"/>
    </row>
    <row r="1077" spans="1:34" ht="14.25" thickBot="1">
      <c r="A1077" s="1" t="s">
        <v>0</v>
      </c>
      <c r="B1077" s="182" t="s">
        <v>17</v>
      </c>
      <c r="C1077" s="182"/>
      <c r="D1077" s="182"/>
      <c r="E1077" s="183"/>
      <c r="F1077" s="182" t="s">
        <v>13</v>
      </c>
      <c r="G1077" s="182"/>
      <c r="H1077" s="182"/>
      <c r="I1077" s="183"/>
      <c r="K1077" s="1" t="s">
        <v>0</v>
      </c>
      <c r="L1077" s="182" t="s">
        <v>17</v>
      </c>
      <c r="M1077" s="182"/>
      <c r="N1077" s="182"/>
      <c r="O1077" s="183"/>
      <c r="P1077" s="182" t="s">
        <v>13</v>
      </c>
      <c r="Q1077" s="182"/>
      <c r="R1077" s="182"/>
      <c r="S1077" s="183"/>
      <c r="U1077" s="1" t="s">
        <v>0</v>
      </c>
      <c r="V1077" s="182" t="s">
        <v>17</v>
      </c>
      <c r="W1077" s="182"/>
      <c r="X1077" s="182"/>
      <c r="Y1077" s="183"/>
      <c r="Z1077" s="182" t="s">
        <v>13</v>
      </c>
      <c r="AA1077" s="182"/>
      <c r="AB1077" s="182"/>
      <c r="AC1077" s="183"/>
      <c r="AD1077" s="182" t="s">
        <v>242</v>
      </c>
      <c r="AE1077" s="182"/>
      <c r="AF1077" s="182"/>
      <c r="AG1077" s="183"/>
    </row>
    <row r="1078" spans="1:34" ht="14.25" thickBot="1">
      <c r="A1078" s="1" t="s">
        <v>1</v>
      </c>
      <c r="B1078" s="2" t="s">
        <v>8</v>
      </c>
      <c r="C1078" s="1" t="s">
        <v>9</v>
      </c>
      <c r="D1078" s="19" t="s">
        <v>10</v>
      </c>
      <c r="E1078" s="1" t="s">
        <v>2</v>
      </c>
      <c r="F1078" s="2" t="s">
        <v>8</v>
      </c>
      <c r="G1078" s="1" t="s">
        <v>9</v>
      </c>
      <c r="H1078" s="19" t="s">
        <v>10</v>
      </c>
      <c r="I1078" s="1" t="s">
        <v>2</v>
      </c>
      <c r="K1078" s="1" t="s">
        <v>1</v>
      </c>
      <c r="L1078" s="2" t="s">
        <v>8</v>
      </c>
      <c r="M1078" s="1" t="s">
        <v>9</v>
      </c>
      <c r="N1078" s="19" t="s">
        <v>10</v>
      </c>
      <c r="O1078" s="1" t="s">
        <v>2</v>
      </c>
      <c r="P1078" s="2" t="s">
        <v>8</v>
      </c>
      <c r="Q1078" s="1" t="s">
        <v>9</v>
      </c>
      <c r="R1078" s="19" t="s">
        <v>10</v>
      </c>
      <c r="S1078" s="1" t="s">
        <v>2</v>
      </c>
      <c r="U1078" s="1" t="s">
        <v>1</v>
      </c>
      <c r="V1078" s="2" t="s">
        <v>8</v>
      </c>
      <c r="W1078" s="1" t="s">
        <v>9</v>
      </c>
      <c r="X1078" s="19" t="s">
        <v>10</v>
      </c>
      <c r="Y1078" s="1" t="s">
        <v>2</v>
      </c>
      <c r="Z1078" s="2" t="s">
        <v>8</v>
      </c>
      <c r="AA1078" s="1" t="s">
        <v>9</v>
      </c>
      <c r="AB1078" s="19" t="s">
        <v>10</v>
      </c>
      <c r="AC1078" s="1" t="s">
        <v>2</v>
      </c>
      <c r="AD1078" s="2" t="s">
        <v>8</v>
      </c>
      <c r="AE1078" s="1" t="s">
        <v>9</v>
      </c>
      <c r="AF1078" s="19" t="s">
        <v>10</v>
      </c>
      <c r="AG1078" s="1" t="s">
        <v>2</v>
      </c>
    </row>
    <row r="1079" spans="1:34">
      <c r="A1079" s="21" t="s">
        <v>7</v>
      </c>
      <c r="B1079" s="18">
        <f>B1073</f>
        <v>8</v>
      </c>
      <c r="C1079" s="22">
        <f>C1073</f>
        <v>3</v>
      </c>
      <c r="D1079" s="22">
        <f>D1073</f>
        <v>0</v>
      </c>
      <c r="E1079" s="17">
        <f t="shared" ref="E1079:E1115" si="425">SUM(B1079:D1079)</f>
        <v>11</v>
      </c>
      <c r="F1079" s="22">
        <f>F1073</f>
        <v>8</v>
      </c>
      <c r="G1079" s="22">
        <f>G1073</f>
        <v>3</v>
      </c>
      <c r="H1079" s="22">
        <f>H1073</f>
        <v>0</v>
      </c>
      <c r="I1079" s="17">
        <f t="shared" ref="I1079:I1115" si="426">SUM(F1079:H1079)</f>
        <v>11</v>
      </c>
      <c r="K1079" s="21" t="s">
        <v>7</v>
      </c>
      <c r="L1079" s="18">
        <f>L1073</f>
        <v>13</v>
      </c>
      <c r="M1079" s="22">
        <f>M1073</f>
        <v>0</v>
      </c>
      <c r="N1079" s="22">
        <f>N1073</f>
        <v>49</v>
      </c>
      <c r="O1079" s="17">
        <f t="shared" ref="O1079:O1115" si="427">SUM(L1079:N1079)</f>
        <v>62</v>
      </c>
      <c r="P1079" s="22">
        <f>P1073</f>
        <v>13</v>
      </c>
      <c r="Q1079" s="22">
        <f>Q1073</f>
        <v>0</v>
      </c>
      <c r="R1079" s="22">
        <f>R1073</f>
        <v>49</v>
      </c>
      <c r="S1079" s="17">
        <f t="shared" ref="S1079:S1115" si="428">SUM(P1079:R1079)</f>
        <v>62</v>
      </c>
      <c r="U1079" s="21" t="s">
        <v>7</v>
      </c>
      <c r="V1079" s="18">
        <f>V1073</f>
        <v>15</v>
      </c>
      <c r="W1079" s="22">
        <f>W1073</f>
        <v>57</v>
      </c>
      <c r="X1079" s="22">
        <f>X1073</f>
        <v>18</v>
      </c>
      <c r="Y1079" s="17">
        <f t="shared" ref="Y1079:Y1115" si="429">SUM(V1079:X1079)</f>
        <v>90</v>
      </c>
      <c r="Z1079" s="22">
        <f>Z1073</f>
        <v>15</v>
      </c>
      <c r="AA1079" s="22">
        <f>AA1073</f>
        <v>57</v>
      </c>
      <c r="AB1079" s="22">
        <f>AB1073</f>
        <v>18</v>
      </c>
      <c r="AC1079" s="17">
        <f t="shared" ref="AC1079:AC1115" si="430">SUM(Z1079:AB1079)</f>
        <v>90</v>
      </c>
      <c r="AD1079" s="22">
        <f>AD1073</f>
        <v>15</v>
      </c>
      <c r="AE1079" s="22">
        <f>AE1073</f>
        <v>57</v>
      </c>
      <c r="AF1079" s="22">
        <f>AF1073</f>
        <v>18</v>
      </c>
      <c r="AG1079" s="17">
        <f t="shared" ref="AG1079:AG1115" si="431">SUM(AD1079:AF1079)</f>
        <v>90</v>
      </c>
    </row>
    <row r="1080" spans="1:34">
      <c r="A1080" s="5" t="s">
        <v>3</v>
      </c>
      <c r="B1080" s="30"/>
      <c r="C1080" s="31">
        <v>10</v>
      </c>
      <c r="D1080" s="32"/>
      <c r="E1080" s="4">
        <f t="shared" si="425"/>
        <v>10</v>
      </c>
      <c r="F1080" s="30"/>
      <c r="G1080" s="31">
        <v>10</v>
      </c>
      <c r="H1080" s="32"/>
      <c r="I1080" s="4">
        <f t="shared" si="426"/>
        <v>10</v>
      </c>
      <c r="J1080" s="43">
        <v>44777</v>
      </c>
      <c r="K1080" s="5" t="s">
        <v>3</v>
      </c>
      <c r="L1080" s="16"/>
      <c r="M1080" s="11"/>
      <c r="N1080" s="16"/>
      <c r="O1080" s="4">
        <f t="shared" si="427"/>
        <v>0</v>
      </c>
      <c r="P1080" s="16"/>
      <c r="Q1080" s="11"/>
      <c r="R1080" s="16"/>
      <c r="S1080" s="4">
        <f t="shared" si="428"/>
        <v>0</v>
      </c>
      <c r="U1080" s="5" t="s">
        <v>3</v>
      </c>
      <c r="V1080" s="16"/>
      <c r="W1080" s="11">
        <v>1</v>
      </c>
      <c r="X1080" s="16"/>
      <c r="Y1080" s="4">
        <f t="shared" si="429"/>
        <v>1</v>
      </c>
      <c r="Z1080" s="16"/>
      <c r="AA1080" s="11">
        <v>1</v>
      </c>
      <c r="AB1080" s="16"/>
      <c r="AC1080" s="4">
        <f t="shared" si="430"/>
        <v>1</v>
      </c>
      <c r="AD1080" s="16"/>
      <c r="AE1080" s="11">
        <v>1</v>
      </c>
      <c r="AF1080" s="16"/>
      <c r="AG1080" s="4">
        <f t="shared" si="431"/>
        <v>1</v>
      </c>
      <c r="AH1080" s="49">
        <v>44793</v>
      </c>
    </row>
    <row r="1081" spans="1:34">
      <c r="A1081" s="5" t="s">
        <v>590</v>
      </c>
      <c r="B1081" s="30">
        <v>1</v>
      </c>
      <c r="C1081" s="31"/>
      <c r="D1081" s="32"/>
      <c r="E1081" s="4">
        <f t="shared" si="425"/>
        <v>1</v>
      </c>
      <c r="F1081" s="30">
        <v>1</v>
      </c>
      <c r="G1081" s="31"/>
      <c r="H1081" s="32"/>
      <c r="I1081" s="4">
        <f t="shared" si="426"/>
        <v>1</v>
      </c>
      <c r="J1081" s="49">
        <v>44778</v>
      </c>
      <c r="K1081" s="5" t="s">
        <v>3</v>
      </c>
      <c r="L1081" s="32"/>
      <c r="M1081" s="31"/>
      <c r="N1081" s="32"/>
      <c r="O1081" s="4">
        <f t="shared" si="427"/>
        <v>0</v>
      </c>
      <c r="P1081" s="32"/>
      <c r="Q1081" s="31"/>
      <c r="R1081" s="32"/>
      <c r="S1081" s="4">
        <f t="shared" si="428"/>
        <v>0</v>
      </c>
      <c r="U1081" s="5" t="s">
        <v>3</v>
      </c>
      <c r="V1081" s="32"/>
      <c r="W1081" s="31"/>
      <c r="X1081" s="32"/>
      <c r="Y1081" s="4">
        <f t="shared" si="429"/>
        <v>0</v>
      </c>
      <c r="Z1081" s="32"/>
      <c r="AA1081" s="31"/>
      <c r="AB1081" s="32"/>
      <c r="AC1081" s="4">
        <f t="shared" si="430"/>
        <v>0</v>
      </c>
      <c r="AD1081" s="32"/>
      <c r="AE1081" s="31"/>
      <c r="AF1081" s="32"/>
      <c r="AG1081" s="4">
        <f t="shared" si="431"/>
        <v>0</v>
      </c>
    </row>
    <row r="1082" spans="1:34">
      <c r="A1082" s="5" t="s">
        <v>37</v>
      </c>
      <c r="B1082" s="30"/>
      <c r="C1082" s="31"/>
      <c r="D1082" s="32">
        <v>1</v>
      </c>
      <c r="E1082" s="4">
        <f t="shared" si="425"/>
        <v>1</v>
      </c>
      <c r="F1082" s="30"/>
      <c r="G1082" s="31"/>
      <c r="H1082" s="32">
        <v>1</v>
      </c>
      <c r="I1082" s="4">
        <f t="shared" si="426"/>
        <v>1</v>
      </c>
      <c r="J1082" s="49">
        <v>44783</v>
      </c>
      <c r="K1082" s="5" t="s">
        <v>3</v>
      </c>
      <c r="L1082" s="32"/>
      <c r="M1082" s="31"/>
      <c r="N1082" s="32"/>
      <c r="O1082" s="4">
        <f t="shared" si="427"/>
        <v>0</v>
      </c>
      <c r="P1082" s="32"/>
      <c r="Q1082" s="31"/>
      <c r="R1082" s="32"/>
      <c r="S1082" s="4">
        <f t="shared" si="428"/>
        <v>0</v>
      </c>
      <c r="T1082" s="104"/>
      <c r="U1082" s="5" t="s">
        <v>3</v>
      </c>
      <c r="V1082" s="30"/>
      <c r="W1082" s="31"/>
      <c r="X1082" s="32"/>
      <c r="Y1082" s="4">
        <f t="shared" si="429"/>
        <v>0</v>
      </c>
      <c r="Z1082" s="30"/>
      <c r="AA1082" s="31"/>
      <c r="AB1082" s="32"/>
      <c r="AC1082" s="4">
        <f t="shared" si="430"/>
        <v>0</v>
      </c>
      <c r="AD1082" s="30"/>
      <c r="AE1082" s="31"/>
      <c r="AF1082" s="32"/>
      <c r="AG1082" s="4">
        <f t="shared" si="431"/>
        <v>0</v>
      </c>
    </row>
    <row r="1083" spans="1:34">
      <c r="A1083" s="5" t="s">
        <v>3</v>
      </c>
      <c r="B1083" s="16"/>
      <c r="C1083" s="11"/>
      <c r="D1083" s="16">
        <v>1</v>
      </c>
      <c r="E1083" s="4">
        <f t="shared" si="425"/>
        <v>1</v>
      </c>
      <c r="F1083" s="16"/>
      <c r="G1083" s="11"/>
      <c r="H1083" s="16">
        <v>1</v>
      </c>
      <c r="I1083" s="4">
        <f t="shared" si="426"/>
        <v>1</v>
      </c>
      <c r="J1083" s="49">
        <v>44790</v>
      </c>
      <c r="K1083" s="5" t="s">
        <v>3</v>
      </c>
      <c r="L1083" s="51"/>
      <c r="M1083" s="3"/>
      <c r="N1083" s="51"/>
      <c r="O1083" s="4">
        <f t="shared" si="427"/>
        <v>0</v>
      </c>
      <c r="P1083" s="51"/>
      <c r="Q1083" s="3"/>
      <c r="R1083" s="51"/>
      <c r="S1083" s="4">
        <f t="shared" si="428"/>
        <v>0</v>
      </c>
      <c r="T1083" s="71"/>
      <c r="U1083" s="5" t="s">
        <v>3</v>
      </c>
      <c r="V1083" s="16"/>
      <c r="W1083" s="11"/>
      <c r="X1083" s="16"/>
      <c r="Y1083" s="4">
        <f t="shared" si="429"/>
        <v>0</v>
      </c>
      <c r="Z1083" s="16"/>
      <c r="AA1083" s="11"/>
      <c r="AB1083" s="16"/>
      <c r="AC1083" s="4">
        <f t="shared" si="430"/>
        <v>0</v>
      </c>
      <c r="AD1083" s="16"/>
      <c r="AE1083" s="11"/>
      <c r="AF1083" s="16"/>
      <c r="AG1083" s="4">
        <f t="shared" si="431"/>
        <v>0</v>
      </c>
    </row>
    <row r="1084" spans="1:34">
      <c r="A1084" s="85" t="s">
        <v>607</v>
      </c>
      <c r="B1084" s="110">
        <v>-2</v>
      </c>
      <c r="C1084" s="85"/>
      <c r="D1084" s="110"/>
      <c r="E1084" s="111">
        <f t="shared" si="425"/>
        <v>-2</v>
      </c>
      <c r="F1084" s="110">
        <v>-2</v>
      </c>
      <c r="G1084" s="85"/>
      <c r="H1084" s="110"/>
      <c r="I1084" s="111">
        <f t="shared" si="426"/>
        <v>-2</v>
      </c>
      <c r="J1084" s="112">
        <v>44797</v>
      </c>
      <c r="K1084" s="5" t="s">
        <v>3</v>
      </c>
      <c r="L1084" s="32"/>
      <c r="M1084" s="31"/>
      <c r="N1084" s="32"/>
      <c r="O1084" s="4">
        <f t="shared" si="427"/>
        <v>0</v>
      </c>
      <c r="P1084" s="32"/>
      <c r="Q1084" s="31"/>
      <c r="R1084" s="32"/>
      <c r="S1084" s="4">
        <f t="shared" si="428"/>
        <v>0</v>
      </c>
      <c r="U1084" s="5" t="s">
        <v>3</v>
      </c>
      <c r="V1084" s="32"/>
      <c r="W1084" s="31"/>
      <c r="X1084" s="32"/>
      <c r="Y1084" s="4">
        <f t="shared" si="429"/>
        <v>0</v>
      </c>
      <c r="Z1084" s="32"/>
      <c r="AA1084" s="31"/>
      <c r="AB1084" s="32"/>
      <c r="AC1084" s="4">
        <f t="shared" si="430"/>
        <v>0</v>
      </c>
      <c r="AD1084" s="32"/>
      <c r="AE1084" s="31"/>
      <c r="AF1084" s="32"/>
      <c r="AG1084" s="4">
        <f t="shared" si="431"/>
        <v>0</v>
      </c>
    </row>
    <row r="1085" spans="1:34">
      <c r="A1085" s="5" t="s">
        <v>37</v>
      </c>
      <c r="B1085" s="16"/>
      <c r="C1085" s="11">
        <v>1</v>
      </c>
      <c r="D1085" s="16"/>
      <c r="E1085" s="4">
        <f t="shared" ref="E1085" si="432">SUM(B1085:D1085)</f>
        <v>1</v>
      </c>
      <c r="F1085" s="16"/>
      <c r="G1085" s="11">
        <v>1</v>
      </c>
      <c r="H1085" s="16"/>
      <c r="I1085" s="4">
        <f t="shared" ref="I1085" si="433">SUM(F1085:H1085)</f>
        <v>1</v>
      </c>
      <c r="J1085" s="49">
        <v>44799</v>
      </c>
      <c r="K1085" s="5" t="s">
        <v>343</v>
      </c>
      <c r="L1085" s="32">
        <v>90</v>
      </c>
      <c r="M1085" s="31">
        <v>170</v>
      </c>
      <c r="N1085" s="32">
        <v>130</v>
      </c>
      <c r="O1085" s="4">
        <f t="shared" si="427"/>
        <v>390</v>
      </c>
      <c r="P1085" s="32">
        <v>90</v>
      </c>
      <c r="Q1085" s="31">
        <v>170</v>
      </c>
      <c r="R1085" s="32">
        <v>130</v>
      </c>
      <c r="S1085" s="4">
        <f t="shared" si="428"/>
        <v>390</v>
      </c>
      <c r="T1085" s="104" t="s">
        <v>591</v>
      </c>
      <c r="U1085" s="5" t="s">
        <v>3</v>
      </c>
      <c r="V1085" s="16"/>
      <c r="W1085" s="11"/>
      <c r="X1085" s="16"/>
      <c r="Y1085" s="4">
        <f t="shared" si="429"/>
        <v>0</v>
      </c>
      <c r="Z1085" s="16"/>
      <c r="AA1085" s="11"/>
      <c r="AB1085" s="16"/>
      <c r="AC1085" s="4">
        <f t="shared" si="430"/>
        <v>0</v>
      </c>
      <c r="AD1085" s="16"/>
      <c r="AE1085" s="11"/>
      <c r="AF1085" s="16"/>
      <c r="AG1085" s="4">
        <f t="shared" si="431"/>
        <v>0</v>
      </c>
    </row>
    <row r="1086" spans="1:34">
      <c r="A1086" s="5" t="s">
        <v>3</v>
      </c>
      <c r="B1086" s="32"/>
      <c r="C1086" s="31"/>
      <c r="D1086" s="32">
        <v>2</v>
      </c>
      <c r="E1086" s="4">
        <f t="shared" si="425"/>
        <v>2</v>
      </c>
      <c r="F1086" s="32"/>
      <c r="G1086" s="31"/>
      <c r="H1086" s="32">
        <v>2</v>
      </c>
      <c r="I1086" s="4">
        <f t="shared" si="426"/>
        <v>2</v>
      </c>
      <c r="J1086" s="49">
        <v>44804</v>
      </c>
      <c r="K1086" s="5" t="s">
        <v>3</v>
      </c>
      <c r="L1086" s="32"/>
      <c r="M1086" s="31"/>
      <c r="N1086" s="32"/>
      <c r="O1086" s="4">
        <f t="shared" si="427"/>
        <v>0</v>
      </c>
      <c r="P1086" s="32"/>
      <c r="Q1086" s="31"/>
      <c r="R1086" s="32"/>
      <c r="S1086" s="4">
        <f t="shared" si="428"/>
        <v>0</v>
      </c>
      <c r="U1086" s="5" t="s">
        <v>3</v>
      </c>
      <c r="V1086" s="32"/>
      <c r="W1086" s="31"/>
      <c r="X1086" s="32"/>
      <c r="Y1086" s="4">
        <f t="shared" si="429"/>
        <v>0</v>
      </c>
      <c r="Z1086" s="32"/>
      <c r="AA1086" s="31"/>
      <c r="AB1086" s="32"/>
      <c r="AC1086" s="4">
        <f t="shared" si="430"/>
        <v>0</v>
      </c>
      <c r="AD1086" s="32"/>
      <c r="AE1086" s="31"/>
      <c r="AF1086" s="32"/>
      <c r="AG1086" s="4">
        <f t="shared" si="431"/>
        <v>0</v>
      </c>
    </row>
    <row r="1087" spans="1:34">
      <c r="A1087" s="5" t="s">
        <v>3</v>
      </c>
      <c r="B1087" s="32"/>
      <c r="C1087" s="31"/>
      <c r="D1087" s="32"/>
      <c r="E1087" s="4">
        <f t="shared" si="425"/>
        <v>0</v>
      </c>
      <c r="F1087" s="32"/>
      <c r="G1087" s="31"/>
      <c r="H1087" s="32"/>
      <c r="I1087" s="4">
        <f t="shared" si="426"/>
        <v>0</v>
      </c>
      <c r="K1087" s="5" t="s">
        <v>571</v>
      </c>
      <c r="L1087" s="32">
        <v>70</v>
      </c>
      <c r="M1087" s="31"/>
      <c r="N1087" s="32"/>
      <c r="O1087" s="4">
        <f t="shared" si="427"/>
        <v>70</v>
      </c>
      <c r="P1087" s="32">
        <v>70</v>
      </c>
      <c r="Q1087" s="31"/>
      <c r="R1087" s="32"/>
      <c r="S1087" s="4">
        <f t="shared" si="428"/>
        <v>70</v>
      </c>
      <c r="T1087" s="43" t="s">
        <v>591</v>
      </c>
      <c r="U1087" s="5" t="s">
        <v>3</v>
      </c>
      <c r="V1087" s="32"/>
      <c r="W1087" s="31"/>
      <c r="X1087" s="32"/>
      <c r="Y1087" s="4">
        <f t="shared" si="429"/>
        <v>0</v>
      </c>
      <c r="Z1087" s="32"/>
      <c r="AA1087" s="31"/>
      <c r="AB1087" s="32"/>
      <c r="AC1087" s="4">
        <f t="shared" si="430"/>
        <v>0</v>
      </c>
      <c r="AD1087" s="32"/>
      <c r="AE1087" s="31"/>
      <c r="AF1087" s="32"/>
      <c r="AG1087" s="4">
        <f t="shared" si="431"/>
        <v>0</v>
      </c>
    </row>
    <row r="1088" spans="1:34">
      <c r="A1088" s="5" t="s">
        <v>3</v>
      </c>
      <c r="B1088" s="30"/>
      <c r="C1088" s="31"/>
      <c r="D1088" s="32"/>
      <c r="E1088" s="4">
        <f t="shared" si="425"/>
        <v>0</v>
      </c>
      <c r="F1088" s="30"/>
      <c r="G1088" s="31"/>
      <c r="H1088" s="32"/>
      <c r="I1088" s="4">
        <f t="shared" si="426"/>
        <v>0</v>
      </c>
      <c r="K1088" s="5" t="s">
        <v>3</v>
      </c>
      <c r="L1088" s="32"/>
      <c r="M1088" s="31"/>
      <c r="N1088" s="32"/>
      <c r="O1088" s="4">
        <f t="shared" si="427"/>
        <v>0</v>
      </c>
      <c r="P1088" s="32"/>
      <c r="Q1088" s="31"/>
      <c r="R1088" s="32"/>
      <c r="S1088" s="4">
        <f t="shared" si="428"/>
        <v>0</v>
      </c>
      <c r="U1088" s="5" t="s">
        <v>3</v>
      </c>
      <c r="V1088" s="30"/>
      <c r="W1088" s="31"/>
      <c r="X1088" s="32"/>
      <c r="Y1088" s="4">
        <f t="shared" si="429"/>
        <v>0</v>
      </c>
      <c r="Z1088" s="30"/>
      <c r="AA1088" s="31"/>
      <c r="AB1088" s="32"/>
      <c r="AC1088" s="4">
        <f t="shared" si="430"/>
        <v>0</v>
      </c>
      <c r="AD1088" s="30"/>
      <c r="AE1088" s="31"/>
      <c r="AF1088" s="32"/>
      <c r="AG1088" s="4">
        <f t="shared" si="431"/>
        <v>0</v>
      </c>
    </row>
    <row r="1089" spans="1:34" ht="14.25" thickBot="1">
      <c r="A1089" s="6" t="s">
        <v>3</v>
      </c>
      <c r="B1089" s="36"/>
      <c r="C1089" s="37"/>
      <c r="D1089" s="36"/>
      <c r="E1089" s="20">
        <f t="shared" si="425"/>
        <v>0</v>
      </c>
      <c r="F1089" s="13"/>
      <c r="G1089" s="12"/>
      <c r="H1089" s="13"/>
      <c r="I1089" s="20">
        <f t="shared" si="426"/>
        <v>0</v>
      </c>
      <c r="K1089" s="6" t="s">
        <v>3</v>
      </c>
      <c r="L1089" s="36"/>
      <c r="M1089" s="37"/>
      <c r="N1089" s="36"/>
      <c r="O1089" s="20">
        <f t="shared" si="427"/>
        <v>0</v>
      </c>
      <c r="P1089" s="13"/>
      <c r="Q1089" s="12"/>
      <c r="R1089" s="13"/>
      <c r="S1089" s="20">
        <f t="shared" si="428"/>
        <v>0</v>
      </c>
      <c r="U1089" s="6" t="s">
        <v>3</v>
      </c>
      <c r="V1089" s="13"/>
      <c r="W1089" s="12"/>
      <c r="X1089" s="13"/>
      <c r="Y1089" s="20">
        <f t="shared" si="429"/>
        <v>0</v>
      </c>
      <c r="Z1089" s="13"/>
      <c r="AA1089" s="12"/>
      <c r="AB1089" s="13"/>
      <c r="AC1089" s="20">
        <f t="shared" si="430"/>
        <v>0</v>
      </c>
      <c r="AD1089" s="13"/>
      <c r="AE1089" s="12"/>
      <c r="AF1089" s="13"/>
      <c r="AG1089" s="20">
        <f t="shared" si="431"/>
        <v>0</v>
      </c>
    </row>
    <row r="1090" spans="1:34" ht="14.25" thickBot="1">
      <c r="A1090" s="23" t="s">
        <v>4</v>
      </c>
      <c r="B1090" s="24">
        <f>SUM(B1079:B1089)</f>
        <v>7</v>
      </c>
      <c r="C1090" s="24">
        <f>SUM(C1079:C1089)</f>
        <v>14</v>
      </c>
      <c r="D1090" s="25">
        <f>SUM(D1079:D1089)</f>
        <v>4</v>
      </c>
      <c r="E1090" s="26">
        <f t="shared" si="425"/>
        <v>25</v>
      </c>
      <c r="F1090" s="24">
        <f>SUM(F1079:F1089)</f>
        <v>7</v>
      </c>
      <c r="G1090" s="24">
        <f>SUM(G1079:G1089)</f>
        <v>14</v>
      </c>
      <c r="H1090" s="25">
        <f>SUM(H1079:H1089)</f>
        <v>4</v>
      </c>
      <c r="I1090" s="26">
        <f t="shared" si="426"/>
        <v>25</v>
      </c>
      <c r="K1090" s="23" t="s">
        <v>4</v>
      </c>
      <c r="L1090" s="24">
        <f>SUM(L1079:L1089)</f>
        <v>173</v>
      </c>
      <c r="M1090" s="24">
        <f>SUM(M1079:M1089)</f>
        <v>170</v>
      </c>
      <c r="N1090" s="25">
        <f>SUM(N1079:N1089)</f>
        <v>179</v>
      </c>
      <c r="O1090" s="26">
        <f t="shared" si="427"/>
        <v>522</v>
      </c>
      <c r="P1090" s="24">
        <f>SUM(P1079:P1089)</f>
        <v>173</v>
      </c>
      <c r="Q1090" s="24">
        <f>SUM(Q1079:Q1089)</f>
        <v>170</v>
      </c>
      <c r="R1090" s="25">
        <f>SUM(R1079:R1089)</f>
        <v>179</v>
      </c>
      <c r="S1090" s="26">
        <f t="shared" si="428"/>
        <v>522</v>
      </c>
      <c r="U1090" s="23" t="s">
        <v>4</v>
      </c>
      <c r="V1090" s="24">
        <f>SUM(V1079:V1089)</f>
        <v>15</v>
      </c>
      <c r="W1090" s="24">
        <f>SUM(W1079:W1089)</f>
        <v>58</v>
      </c>
      <c r="X1090" s="25">
        <f>SUM(X1079:X1089)</f>
        <v>18</v>
      </c>
      <c r="Y1090" s="26">
        <f t="shared" si="429"/>
        <v>91</v>
      </c>
      <c r="Z1090" s="24">
        <f>SUM(Z1079:Z1089)</f>
        <v>15</v>
      </c>
      <c r="AA1090" s="24">
        <f>SUM(AA1079:AA1089)</f>
        <v>58</v>
      </c>
      <c r="AB1090" s="25">
        <f>SUM(AB1079:AB1089)</f>
        <v>18</v>
      </c>
      <c r="AC1090" s="26">
        <f t="shared" si="430"/>
        <v>91</v>
      </c>
      <c r="AD1090" s="24">
        <f>SUM(AD1079:AD1089)</f>
        <v>15</v>
      </c>
      <c r="AE1090" s="24">
        <f>SUM(AE1079:AE1089)</f>
        <v>58</v>
      </c>
      <c r="AF1090" s="25">
        <f>SUM(AF1079:AF1089)</f>
        <v>18</v>
      </c>
      <c r="AG1090" s="26">
        <f t="shared" si="431"/>
        <v>91</v>
      </c>
    </row>
    <row r="1091" spans="1:34">
      <c r="A1091" s="3" t="s">
        <v>595</v>
      </c>
      <c r="B1091" s="8"/>
      <c r="C1091" s="9">
        <v>-1</v>
      </c>
      <c r="D1091" s="10">
        <v>1</v>
      </c>
      <c r="E1091" s="4">
        <f t="shared" ref="E1091" si="434">SUM(B1091:D1091)</f>
        <v>0</v>
      </c>
      <c r="F1091" s="8"/>
      <c r="G1091" s="9">
        <v>-1</v>
      </c>
      <c r="H1091" s="10">
        <v>1</v>
      </c>
      <c r="I1091" s="4">
        <f t="shared" ref="I1091" si="435">SUM(F1091:H1091)</f>
        <v>0</v>
      </c>
      <c r="J1091" s="49">
        <v>44791</v>
      </c>
      <c r="K1091" s="11" t="s">
        <v>587</v>
      </c>
      <c r="L1091" s="8"/>
      <c r="M1091" s="9">
        <v>10</v>
      </c>
      <c r="N1091" s="10"/>
      <c r="O1091" s="7">
        <f t="shared" si="427"/>
        <v>10</v>
      </c>
      <c r="P1091" s="8"/>
      <c r="Q1091" s="9">
        <v>10</v>
      </c>
      <c r="R1091" s="10"/>
      <c r="S1091" s="7">
        <f t="shared" si="428"/>
        <v>10</v>
      </c>
      <c r="T1091" s="43">
        <v>44777</v>
      </c>
      <c r="U1091" s="40" t="s">
        <v>594</v>
      </c>
      <c r="V1091" s="32"/>
      <c r="W1091" s="31"/>
      <c r="X1091" s="32">
        <v>1</v>
      </c>
      <c r="Y1091" s="4">
        <f t="shared" si="429"/>
        <v>1</v>
      </c>
      <c r="Z1091" s="32"/>
      <c r="AA1091" s="31"/>
      <c r="AB1091" s="32">
        <v>1</v>
      </c>
      <c r="AC1091" s="4">
        <f t="shared" si="430"/>
        <v>1</v>
      </c>
      <c r="AD1091" s="8"/>
      <c r="AE1091" s="9"/>
      <c r="AF1091" s="10">
        <v>1</v>
      </c>
      <c r="AG1091" s="7">
        <f t="shared" si="431"/>
        <v>1</v>
      </c>
      <c r="AH1091" s="49">
        <v>44790</v>
      </c>
    </row>
    <row r="1092" spans="1:34">
      <c r="A1092" s="3" t="s">
        <v>128</v>
      </c>
      <c r="B1092" s="8"/>
      <c r="C1092" s="9">
        <v>1</v>
      </c>
      <c r="D1092" s="10"/>
      <c r="E1092" s="4">
        <f t="shared" si="425"/>
        <v>1</v>
      </c>
      <c r="F1092" s="8"/>
      <c r="G1092" s="9">
        <v>1</v>
      </c>
      <c r="H1092" s="10"/>
      <c r="I1092" s="4">
        <f t="shared" si="426"/>
        <v>1</v>
      </c>
      <c r="J1092" s="49">
        <v>44793</v>
      </c>
      <c r="K1092" s="68" t="s">
        <v>586</v>
      </c>
      <c r="L1092" s="8">
        <v>3</v>
      </c>
      <c r="M1092" s="9">
        <v>5</v>
      </c>
      <c r="N1092" s="10"/>
      <c r="O1092" s="7">
        <f t="shared" si="427"/>
        <v>8</v>
      </c>
      <c r="P1092" s="8">
        <v>3</v>
      </c>
      <c r="Q1092" s="9">
        <v>5</v>
      </c>
      <c r="R1092" s="10"/>
      <c r="S1092" s="7">
        <f t="shared" si="428"/>
        <v>8</v>
      </c>
      <c r="T1092" s="43">
        <v>44781</v>
      </c>
      <c r="U1092" s="40"/>
      <c r="V1092" s="8"/>
      <c r="W1092" s="9"/>
      <c r="X1092" s="10"/>
      <c r="Y1092" s="4">
        <f t="shared" si="429"/>
        <v>0</v>
      </c>
      <c r="Z1092" s="8"/>
      <c r="AA1092" s="9"/>
      <c r="AB1092" s="10"/>
      <c r="AC1092" s="4">
        <f t="shared" si="430"/>
        <v>0</v>
      </c>
      <c r="AD1092" s="8"/>
      <c r="AE1092" s="9"/>
      <c r="AF1092" s="10"/>
      <c r="AG1092" s="4">
        <f t="shared" si="431"/>
        <v>0</v>
      </c>
    </row>
    <row r="1093" spans="1:34">
      <c r="A1093" s="11" t="s">
        <v>596</v>
      </c>
      <c r="B1093" s="8"/>
      <c r="C1093" s="9">
        <v>1</v>
      </c>
      <c r="D1093" s="10"/>
      <c r="E1093" s="7">
        <f t="shared" si="425"/>
        <v>1</v>
      </c>
      <c r="F1093" s="8"/>
      <c r="G1093" s="9">
        <v>1</v>
      </c>
      <c r="H1093" s="10"/>
      <c r="I1093" s="7">
        <f t="shared" si="426"/>
        <v>1</v>
      </c>
      <c r="J1093" s="43">
        <v>44796</v>
      </c>
      <c r="K1093" s="11" t="s">
        <v>588</v>
      </c>
      <c r="L1093" s="8">
        <v>5</v>
      </c>
      <c r="M1093" s="9">
        <v>23</v>
      </c>
      <c r="N1093" s="10">
        <v>20</v>
      </c>
      <c r="O1093" s="4">
        <f t="shared" ref="O1093:O1094" si="436">SUM(L1093:N1093)</f>
        <v>48</v>
      </c>
      <c r="P1093" s="8">
        <v>5</v>
      </c>
      <c r="Q1093" s="9">
        <v>23</v>
      </c>
      <c r="R1093" s="10">
        <v>20</v>
      </c>
      <c r="S1093" s="4">
        <f t="shared" ref="S1093:S1094" si="437">SUM(P1093:R1093)</f>
        <v>48</v>
      </c>
      <c r="T1093" s="43">
        <v>44777</v>
      </c>
      <c r="U1093" s="40"/>
      <c r="V1093" s="8"/>
      <c r="W1093" s="9"/>
      <c r="X1093" s="10"/>
      <c r="Y1093" s="7">
        <f t="shared" si="429"/>
        <v>0</v>
      </c>
      <c r="Z1093" s="8"/>
      <c r="AA1093" s="9"/>
      <c r="AB1093" s="10"/>
      <c r="AC1093" s="7">
        <f t="shared" si="430"/>
        <v>0</v>
      </c>
      <c r="AD1093" s="8"/>
      <c r="AE1093" s="9"/>
      <c r="AF1093" s="10"/>
      <c r="AG1093" s="7">
        <f t="shared" si="431"/>
        <v>0</v>
      </c>
    </row>
    <row r="1094" spans="1:34">
      <c r="A1094" s="11" t="s">
        <v>598</v>
      </c>
      <c r="B1094" s="8"/>
      <c r="C1094" s="9">
        <v>1</v>
      </c>
      <c r="D1094" s="10"/>
      <c r="E1094" s="4">
        <f t="shared" ref="E1094:E1095" si="438">SUM(B1094:D1094)</f>
        <v>1</v>
      </c>
      <c r="F1094" s="8"/>
      <c r="G1094" s="9">
        <v>1</v>
      </c>
      <c r="H1094" s="10"/>
      <c r="I1094" s="4">
        <f t="shared" ref="I1094:I1095" si="439">SUM(F1094:H1094)</f>
        <v>1</v>
      </c>
      <c r="J1094" s="43">
        <v>44797</v>
      </c>
      <c r="K1094" s="11" t="s">
        <v>378</v>
      </c>
      <c r="L1094" s="8">
        <v>6</v>
      </c>
      <c r="M1094" s="9">
        <v>9</v>
      </c>
      <c r="N1094" s="10">
        <v>5</v>
      </c>
      <c r="O1094" s="7">
        <f t="shared" si="436"/>
        <v>20</v>
      </c>
      <c r="P1094" s="8">
        <v>6</v>
      </c>
      <c r="Q1094" s="9">
        <v>9</v>
      </c>
      <c r="R1094" s="10">
        <v>5</v>
      </c>
      <c r="S1094" s="7">
        <f t="shared" si="437"/>
        <v>20</v>
      </c>
      <c r="T1094" s="43">
        <v>44778</v>
      </c>
      <c r="U1094" s="40"/>
      <c r="V1094" s="8"/>
      <c r="W1094" s="9"/>
      <c r="X1094" s="10"/>
      <c r="Y1094" s="4">
        <f t="shared" si="429"/>
        <v>0</v>
      </c>
      <c r="Z1094" s="8"/>
      <c r="AA1094" s="9"/>
      <c r="AB1094" s="10"/>
      <c r="AC1094" s="4">
        <f t="shared" si="430"/>
        <v>0</v>
      </c>
      <c r="AD1094" s="8"/>
      <c r="AE1094" s="9"/>
      <c r="AF1094" s="10"/>
      <c r="AG1094" s="4">
        <f t="shared" si="431"/>
        <v>0</v>
      </c>
    </row>
    <row r="1095" spans="1:34">
      <c r="A1095" s="3" t="s">
        <v>603</v>
      </c>
      <c r="B1095" s="8">
        <v>1</v>
      </c>
      <c r="C1095" s="9">
        <v>1</v>
      </c>
      <c r="D1095" s="10"/>
      <c r="E1095" s="7">
        <f t="shared" si="438"/>
        <v>2</v>
      </c>
      <c r="F1095" s="8">
        <v>1</v>
      </c>
      <c r="G1095" s="9">
        <v>1</v>
      </c>
      <c r="H1095" s="10"/>
      <c r="I1095" s="7">
        <f t="shared" si="439"/>
        <v>2</v>
      </c>
      <c r="J1095" s="43">
        <v>44803</v>
      </c>
      <c r="K1095" s="11" t="s">
        <v>589</v>
      </c>
      <c r="L1095" s="8">
        <v>3</v>
      </c>
      <c r="M1095" s="9">
        <v>11</v>
      </c>
      <c r="N1095" s="10">
        <v>4</v>
      </c>
      <c r="O1095" s="4">
        <f t="shared" si="427"/>
        <v>18</v>
      </c>
      <c r="P1095" s="8">
        <v>3</v>
      </c>
      <c r="Q1095" s="9">
        <v>11</v>
      </c>
      <c r="R1095" s="10">
        <v>4</v>
      </c>
      <c r="S1095" s="4">
        <f t="shared" si="428"/>
        <v>18</v>
      </c>
      <c r="T1095" s="43">
        <v>44781</v>
      </c>
      <c r="U1095" s="3"/>
      <c r="V1095" s="8"/>
      <c r="W1095" s="9"/>
      <c r="X1095" s="10"/>
      <c r="Y1095" s="4">
        <f t="shared" si="429"/>
        <v>0</v>
      </c>
      <c r="Z1095" s="8"/>
      <c r="AA1095" s="9"/>
      <c r="AB1095" s="10"/>
      <c r="AC1095" s="4">
        <f t="shared" si="430"/>
        <v>0</v>
      </c>
      <c r="AD1095" s="8"/>
      <c r="AE1095" s="9"/>
      <c r="AF1095" s="10"/>
      <c r="AG1095" s="4">
        <f t="shared" si="431"/>
        <v>0</v>
      </c>
    </row>
    <row r="1096" spans="1:34">
      <c r="A1096" s="3" t="s">
        <v>604</v>
      </c>
      <c r="B1096" s="8">
        <v>3</v>
      </c>
      <c r="C1096" s="9">
        <v>5</v>
      </c>
      <c r="D1096" s="10"/>
      <c r="E1096" s="7">
        <f t="shared" si="425"/>
        <v>8</v>
      </c>
      <c r="F1096" s="8">
        <v>3</v>
      </c>
      <c r="G1096" s="9">
        <v>5</v>
      </c>
      <c r="H1096" s="10"/>
      <c r="I1096" s="7">
        <f t="shared" si="426"/>
        <v>8</v>
      </c>
      <c r="J1096" s="43">
        <v>44805</v>
      </c>
      <c r="K1096" s="11" t="s">
        <v>592</v>
      </c>
      <c r="L1096" s="8">
        <v>2</v>
      </c>
      <c r="M1096" s="9">
        <v>5</v>
      </c>
      <c r="N1096" s="10">
        <v>6</v>
      </c>
      <c r="O1096" s="7">
        <f t="shared" si="427"/>
        <v>13</v>
      </c>
      <c r="P1096" s="8">
        <v>2</v>
      </c>
      <c r="Q1096" s="9">
        <v>5</v>
      </c>
      <c r="R1096" s="10">
        <v>6</v>
      </c>
      <c r="S1096" s="7">
        <f t="shared" si="428"/>
        <v>13</v>
      </c>
      <c r="T1096" s="43">
        <v>44782</v>
      </c>
      <c r="U1096" s="3"/>
      <c r="V1096" s="8"/>
      <c r="W1096" s="9"/>
      <c r="X1096" s="10"/>
      <c r="Y1096" s="7">
        <f t="shared" si="429"/>
        <v>0</v>
      </c>
      <c r="Z1096" s="8"/>
      <c r="AA1096" s="9"/>
      <c r="AB1096" s="10"/>
      <c r="AC1096" s="7">
        <f t="shared" si="430"/>
        <v>0</v>
      </c>
      <c r="AD1096" s="8"/>
      <c r="AE1096" s="9"/>
      <c r="AF1096" s="10"/>
      <c r="AG1096" s="7">
        <f t="shared" si="431"/>
        <v>0</v>
      </c>
    </row>
    <row r="1097" spans="1:34">
      <c r="A1097" s="3" t="s">
        <v>608</v>
      </c>
      <c r="B1097" s="8">
        <v>-1</v>
      </c>
      <c r="C1097" s="9">
        <v>-1</v>
      </c>
      <c r="D1097" s="10">
        <v>2</v>
      </c>
      <c r="E1097" s="7">
        <f t="shared" si="425"/>
        <v>0</v>
      </c>
      <c r="F1097" s="8">
        <v>-1</v>
      </c>
      <c r="G1097" s="9">
        <v>-1</v>
      </c>
      <c r="H1097" s="10">
        <v>2</v>
      </c>
      <c r="I1097" s="7">
        <f t="shared" si="426"/>
        <v>0</v>
      </c>
      <c r="J1097" s="43">
        <v>44806</v>
      </c>
      <c r="K1097" s="11" t="s">
        <v>593</v>
      </c>
      <c r="L1097" s="8">
        <v>7</v>
      </c>
      <c r="M1097" s="9">
        <v>6</v>
      </c>
      <c r="N1097" s="10">
        <v>2</v>
      </c>
      <c r="O1097" s="7">
        <f t="shared" si="427"/>
        <v>15</v>
      </c>
      <c r="P1097" s="8">
        <v>7</v>
      </c>
      <c r="Q1097" s="9">
        <v>6</v>
      </c>
      <c r="R1097" s="10">
        <v>2</v>
      </c>
      <c r="S1097" s="7">
        <f t="shared" si="428"/>
        <v>15</v>
      </c>
      <c r="T1097" s="43">
        <v>44783</v>
      </c>
      <c r="U1097" s="3"/>
      <c r="V1097" s="8"/>
      <c r="W1097" s="9"/>
      <c r="X1097" s="10"/>
      <c r="Y1097" s="7">
        <f t="shared" si="429"/>
        <v>0</v>
      </c>
      <c r="Z1097" s="8"/>
      <c r="AA1097" s="9"/>
      <c r="AB1097" s="10"/>
      <c r="AC1097" s="7">
        <f t="shared" si="430"/>
        <v>0</v>
      </c>
      <c r="AD1097" s="8"/>
      <c r="AE1097" s="9"/>
      <c r="AF1097" s="10"/>
      <c r="AG1097" s="7">
        <f t="shared" si="431"/>
        <v>0</v>
      </c>
    </row>
    <row r="1098" spans="1:34">
      <c r="A1098" s="3"/>
      <c r="B1098" s="8"/>
      <c r="C1098" s="9"/>
      <c r="D1098" s="10"/>
      <c r="E1098" s="7">
        <f t="shared" si="425"/>
        <v>0</v>
      </c>
      <c r="F1098" s="8"/>
      <c r="G1098" s="9"/>
      <c r="H1098" s="10"/>
      <c r="I1098" s="7">
        <f t="shared" si="426"/>
        <v>0</v>
      </c>
      <c r="J1098" s="71"/>
      <c r="K1098" s="11" t="s">
        <v>383</v>
      </c>
      <c r="L1098" s="8">
        <v>1</v>
      </c>
      <c r="M1098" s="9">
        <v>11</v>
      </c>
      <c r="N1098" s="10">
        <v>2</v>
      </c>
      <c r="O1098" s="7">
        <f t="shared" si="427"/>
        <v>14</v>
      </c>
      <c r="P1098" s="8">
        <v>1</v>
      </c>
      <c r="Q1098" s="9">
        <v>11</v>
      </c>
      <c r="R1098" s="10">
        <v>2</v>
      </c>
      <c r="S1098" s="7">
        <f t="shared" si="428"/>
        <v>14</v>
      </c>
      <c r="T1098" s="43">
        <v>44785</v>
      </c>
      <c r="U1098" s="3"/>
      <c r="V1098" s="8"/>
      <c r="W1098" s="9"/>
      <c r="X1098" s="10"/>
      <c r="Y1098" s="7">
        <f t="shared" si="429"/>
        <v>0</v>
      </c>
      <c r="Z1098" s="8"/>
      <c r="AA1098" s="9"/>
      <c r="AB1098" s="10"/>
      <c r="AC1098" s="7">
        <f t="shared" si="430"/>
        <v>0</v>
      </c>
      <c r="AD1098" s="8"/>
      <c r="AE1098" s="9"/>
      <c r="AF1098" s="10"/>
      <c r="AG1098" s="7">
        <f t="shared" si="431"/>
        <v>0</v>
      </c>
    </row>
    <row r="1099" spans="1:34">
      <c r="A1099" s="3"/>
      <c r="B1099" s="8"/>
      <c r="C1099" s="9"/>
      <c r="D1099" s="10"/>
      <c r="E1099" s="7">
        <f t="shared" si="425"/>
        <v>0</v>
      </c>
      <c r="F1099" s="8"/>
      <c r="G1099" s="9"/>
      <c r="H1099" s="10"/>
      <c r="I1099" s="7">
        <f t="shared" si="426"/>
        <v>0</v>
      </c>
      <c r="K1099" s="11" t="s">
        <v>385</v>
      </c>
      <c r="L1099" s="8">
        <v>6</v>
      </c>
      <c r="M1099" s="9"/>
      <c r="N1099" s="10">
        <v>7</v>
      </c>
      <c r="O1099" s="7">
        <f t="shared" si="427"/>
        <v>13</v>
      </c>
      <c r="P1099" s="8">
        <v>6</v>
      </c>
      <c r="Q1099" s="9"/>
      <c r="R1099" s="10">
        <v>7</v>
      </c>
      <c r="S1099" s="7">
        <f t="shared" si="428"/>
        <v>13</v>
      </c>
      <c r="T1099" s="43">
        <v>44791</v>
      </c>
      <c r="U1099" s="3"/>
      <c r="V1099" s="8"/>
      <c r="W1099" s="9"/>
      <c r="X1099" s="10"/>
      <c r="Y1099" s="7">
        <f t="shared" si="429"/>
        <v>0</v>
      </c>
      <c r="Z1099" s="8"/>
      <c r="AA1099" s="9"/>
      <c r="AB1099" s="10"/>
      <c r="AC1099" s="7">
        <f t="shared" si="430"/>
        <v>0</v>
      </c>
      <c r="AD1099" s="8"/>
      <c r="AE1099" s="9"/>
      <c r="AF1099" s="10"/>
      <c r="AG1099" s="7">
        <f t="shared" si="431"/>
        <v>0</v>
      </c>
    </row>
    <row r="1100" spans="1:34">
      <c r="A1100" s="3"/>
      <c r="B1100" s="8"/>
      <c r="C1100" s="9"/>
      <c r="D1100" s="10"/>
      <c r="E1100" s="7">
        <f t="shared" si="425"/>
        <v>0</v>
      </c>
      <c r="F1100" s="8"/>
      <c r="G1100" s="9"/>
      <c r="H1100" s="10"/>
      <c r="I1100" s="7">
        <f t="shared" si="426"/>
        <v>0</v>
      </c>
      <c r="K1100" s="11" t="s">
        <v>386</v>
      </c>
      <c r="L1100" s="8">
        <v>4</v>
      </c>
      <c r="M1100" s="9">
        <v>7</v>
      </c>
      <c r="N1100" s="10">
        <v>5</v>
      </c>
      <c r="O1100" s="7">
        <f t="shared" si="427"/>
        <v>16</v>
      </c>
      <c r="P1100" s="8">
        <v>4</v>
      </c>
      <c r="Q1100" s="9">
        <v>7</v>
      </c>
      <c r="R1100" s="10">
        <v>5</v>
      </c>
      <c r="S1100" s="7">
        <f t="shared" si="428"/>
        <v>16</v>
      </c>
      <c r="T1100" s="43">
        <v>44792</v>
      </c>
      <c r="U1100" s="3"/>
      <c r="V1100" s="8"/>
      <c r="W1100" s="9"/>
      <c r="X1100" s="10"/>
      <c r="Y1100" s="7">
        <f t="shared" si="429"/>
        <v>0</v>
      </c>
      <c r="Z1100" s="8"/>
      <c r="AA1100" s="9"/>
      <c r="AB1100" s="10"/>
      <c r="AC1100" s="7">
        <f t="shared" si="430"/>
        <v>0</v>
      </c>
      <c r="AD1100" s="8"/>
      <c r="AE1100" s="9"/>
      <c r="AF1100" s="10"/>
      <c r="AG1100" s="7">
        <f t="shared" si="431"/>
        <v>0</v>
      </c>
    </row>
    <row r="1101" spans="1:34">
      <c r="A1101" s="3"/>
      <c r="B1101" s="8"/>
      <c r="C1101" s="9"/>
      <c r="D1101" s="10"/>
      <c r="E1101" s="7">
        <f t="shared" si="425"/>
        <v>0</v>
      </c>
      <c r="F1101" s="8"/>
      <c r="G1101" s="9"/>
      <c r="H1101" s="10"/>
      <c r="I1101" s="7">
        <f t="shared" si="426"/>
        <v>0</v>
      </c>
      <c r="K1101" s="11" t="s">
        <v>389</v>
      </c>
      <c r="L1101" s="30"/>
      <c r="M1101" s="9">
        <v>3</v>
      </c>
      <c r="N1101" s="10"/>
      <c r="O1101" s="7">
        <f t="shared" si="427"/>
        <v>3</v>
      </c>
      <c r="P1101" s="8"/>
      <c r="Q1101" s="9">
        <v>3</v>
      </c>
      <c r="R1101" s="10"/>
      <c r="S1101" s="7">
        <f t="shared" si="428"/>
        <v>3</v>
      </c>
      <c r="T1101" s="43">
        <v>44795</v>
      </c>
      <c r="U1101" s="3"/>
      <c r="V1101" s="30"/>
      <c r="W1101" s="9"/>
      <c r="X1101" s="10"/>
      <c r="Y1101" s="7">
        <f t="shared" si="429"/>
        <v>0</v>
      </c>
      <c r="Z1101" s="8"/>
      <c r="AA1101" s="9"/>
      <c r="AB1101" s="10"/>
      <c r="AC1101" s="7">
        <f t="shared" si="430"/>
        <v>0</v>
      </c>
      <c r="AD1101" s="8"/>
      <c r="AE1101" s="9"/>
      <c r="AF1101" s="10"/>
      <c r="AG1101" s="7">
        <f t="shared" si="431"/>
        <v>0</v>
      </c>
    </row>
    <row r="1102" spans="1:34">
      <c r="A1102" s="3"/>
      <c r="B1102" s="8"/>
      <c r="C1102" s="9"/>
      <c r="D1102" s="10"/>
      <c r="E1102" s="7">
        <f t="shared" si="425"/>
        <v>0</v>
      </c>
      <c r="F1102" s="8"/>
      <c r="G1102" s="9"/>
      <c r="H1102" s="10"/>
      <c r="I1102" s="7">
        <f t="shared" si="426"/>
        <v>0</v>
      </c>
      <c r="K1102" s="11" t="s">
        <v>390</v>
      </c>
      <c r="L1102" s="8">
        <v>4</v>
      </c>
      <c r="M1102" s="9">
        <v>11</v>
      </c>
      <c r="N1102" s="10">
        <v>3</v>
      </c>
      <c r="O1102" s="7">
        <f t="shared" si="427"/>
        <v>18</v>
      </c>
      <c r="P1102" s="8">
        <v>4</v>
      </c>
      <c r="Q1102" s="9">
        <v>11</v>
      </c>
      <c r="R1102" s="10">
        <v>3</v>
      </c>
      <c r="S1102" s="7">
        <f t="shared" si="428"/>
        <v>18</v>
      </c>
      <c r="T1102" s="43">
        <v>44796</v>
      </c>
      <c r="U1102" s="3"/>
      <c r="V1102" s="8"/>
      <c r="W1102" s="9"/>
      <c r="X1102" s="10"/>
      <c r="Y1102" s="7">
        <f t="shared" si="429"/>
        <v>0</v>
      </c>
      <c r="Z1102" s="8"/>
      <c r="AA1102" s="9"/>
      <c r="AB1102" s="10"/>
      <c r="AC1102" s="7">
        <f t="shared" si="430"/>
        <v>0</v>
      </c>
      <c r="AD1102" s="8"/>
      <c r="AE1102" s="9"/>
      <c r="AF1102" s="10"/>
      <c r="AG1102" s="7">
        <f t="shared" si="431"/>
        <v>0</v>
      </c>
    </row>
    <row r="1103" spans="1:34">
      <c r="A1103" s="3"/>
      <c r="B1103" s="8"/>
      <c r="C1103" s="9"/>
      <c r="D1103" s="10"/>
      <c r="E1103" s="7">
        <f t="shared" si="425"/>
        <v>0</v>
      </c>
      <c r="F1103" s="8"/>
      <c r="G1103" s="9"/>
      <c r="H1103" s="10"/>
      <c r="I1103" s="7">
        <f t="shared" si="426"/>
        <v>0</v>
      </c>
      <c r="K1103" s="11" t="s">
        <v>391</v>
      </c>
      <c r="L1103" s="8"/>
      <c r="M1103" s="9">
        <v>3</v>
      </c>
      <c r="N1103" s="10"/>
      <c r="O1103" s="7">
        <f t="shared" si="427"/>
        <v>3</v>
      </c>
      <c r="P1103" s="8"/>
      <c r="Q1103" s="9">
        <v>3</v>
      </c>
      <c r="R1103" s="10"/>
      <c r="S1103" s="7">
        <f t="shared" si="428"/>
        <v>3</v>
      </c>
      <c r="T1103" s="43">
        <v>44797</v>
      </c>
      <c r="U1103" s="3"/>
      <c r="V1103" s="8"/>
      <c r="W1103" s="9"/>
      <c r="X1103" s="10"/>
      <c r="Y1103" s="7">
        <f t="shared" si="429"/>
        <v>0</v>
      </c>
      <c r="Z1103" s="8"/>
      <c r="AA1103" s="9"/>
      <c r="AB1103" s="10"/>
      <c r="AC1103" s="7">
        <f t="shared" si="430"/>
        <v>0</v>
      </c>
      <c r="AD1103" s="8"/>
      <c r="AE1103" s="9"/>
      <c r="AF1103" s="10"/>
      <c r="AG1103" s="7">
        <f t="shared" si="431"/>
        <v>0</v>
      </c>
    </row>
    <row r="1104" spans="1:34">
      <c r="A1104" s="3"/>
      <c r="B1104" s="8"/>
      <c r="C1104" s="9"/>
      <c r="D1104" s="10"/>
      <c r="E1104" s="7">
        <f t="shared" si="425"/>
        <v>0</v>
      </c>
      <c r="F1104" s="8"/>
      <c r="G1104" s="9"/>
      <c r="H1104" s="10"/>
      <c r="I1104" s="7">
        <f t="shared" si="426"/>
        <v>0</v>
      </c>
      <c r="K1104" s="3" t="s">
        <v>597</v>
      </c>
      <c r="L1104" s="8"/>
      <c r="M1104" s="9">
        <v>1</v>
      </c>
      <c r="N1104" s="10"/>
      <c r="O1104" s="4">
        <f t="shared" ref="O1104" si="440">SUM(L1104:N1104)</f>
        <v>1</v>
      </c>
      <c r="P1104" s="8"/>
      <c r="Q1104" s="9">
        <v>1</v>
      </c>
      <c r="R1104" s="10"/>
      <c r="S1104" s="4">
        <f t="shared" si="428"/>
        <v>1</v>
      </c>
      <c r="T1104" s="43">
        <v>44797</v>
      </c>
      <c r="U1104" s="3"/>
      <c r="V1104" s="8"/>
      <c r="W1104" s="9"/>
      <c r="X1104" s="10"/>
      <c r="Y1104" s="7">
        <f t="shared" si="429"/>
        <v>0</v>
      </c>
      <c r="Z1104" s="8"/>
      <c r="AA1104" s="9"/>
      <c r="AB1104" s="10"/>
      <c r="AC1104" s="7">
        <f t="shared" si="430"/>
        <v>0</v>
      </c>
      <c r="AD1104" s="8"/>
      <c r="AE1104" s="9"/>
      <c r="AF1104" s="10"/>
      <c r="AG1104" s="7">
        <f t="shared" si="431"/>
        <v>0</v>
      </c>
    </row>
    <row r="1105" spans="1:33">
      <c r="A1105" s="3"/>
      <c r="B1105" s="8"/>
      <c r="C1105" s="9"/>
      <c r="D1105" s="10"/>
      <c r="E1105" s="7">
        <f t="shared" si="425"/>
        <v>0</v>
      </c>
      <c r="F1105" s="8"/>
      <c r="G1105" s="9"/>
      <c r="H1105" s="10"/>
      <c r="I1105" s="7">
        <f t="shared" si="426"/>
        <v>0</v>
      </c>
      <c r="K1105" s="3" t="s">
        <v>599</v>
      </c>
      <c r="L1105" s="8"/>
      <c r="M1105" s="9">
        <v>1</v>
      </c>
      <c r="N1105" s="10">
        <v>1</v>
      </c>
      <c r="O1105" s="7">
        <f t="shared" si="427"/>
        <v>2</v>
      </c>
      <c r="P1105" s="8"/>
      <c r="Q1105" s="9">
        <v>1</v>
      </c>
      <c r="R1105" s="10">
        <v>1</v>
      </c>
      <c r="S1105" s="7">
        <f t="shared" si="428"/>
        <v>2</v>
      </c>
      <c r="T1105" s="43">
        <v>44797</v>
      </c>
      <c r="U1105" s="3"/>
      <c r="V1105" s="8"/>
      <c r="W1105" s="9"/>
      <c r="X1105" s="10"/>
      <c r="Y1105" s="7">
        <f t="shared" si="429"/>
        <v>0</v>
      </c>
      <c r="Z1105" s="8"/>
      <c r="AA1105" s="9"/>
      <c r="AB1105" s="10"/>
      <c r="AC1105" s="7">
        <f t="shared" si="430"/>
        <v>0</v>
      </c>
      <c r="AD1105" s="8"/>
      <c r="AE1105" s="9"/>
      <c r="AF1105" s="10"/>
      <c r="AG1105" s="7">
        <f t="shared" si="431"/>
        <v>0</v>
      </c>
    </row>
    <row r="1106" spans="1:33">
      <c r="A1106" s="3"/>
      <c r="B1106" s="8"/>
      <c r="C1106" s="9"/>
      <c r="D1106" s="10"/>
      <c r="E1106" s="7">
        <f t="shared" si="425"/>
        <v>0</v>
      </c>
      <c r="F1106" s="8"/>
      <c r="G1106" s="9"/>
      <c r="H1106" s="10"/>
      <c r="I1106" s="7">
        <f t="shared" si="426"/>
        <v>0</v>
      </c>
      <c r="K1106" s="11" t="s">
        <v>600</v>
      </c>
      <c r="L1106" s="8">
        <v>6</v>
      </c>
      <c r="M1106" s="9">
        <v>4</v>
      </c>
      <c r="N1106" s="10">
        <v>2</v>
      </c>
      <c r="O1106" s="7">
        <f t="shared" si="427"/>
        <v>12</v>
      </c>
      <c r="P1106" s="8">
        <v>6</v>
      </c>
      <c r="Q1106" s="9">
        <v>4</v>
      </c>
      <c r="R1106" s="10">
        <v>2</v>
      </c>
      <c r="S1106" s="7">
        <f t="shared" si="428"/>
        <v>12</v>
      </c>
      <c r="T1106" s="43">
        <v>44798</v>
      </c>
      <c r="U1106" s="3"/>
      <c r="V1106" s="8"/>
      <c r="W1106" s="9"/>
      <c r="X1106" s="10"/>
      <c r="Y1106" s="7">
        <f t="shared" si="429"/>
        <v>0</v>
      </c>
      <c r="Z1106" s="8"/>
      <c r="AA1106" s="9"/>
      <c r="AB1106" s="10"/>
      <c r="AC1106" s="7">
        <f t="shared" si="430"/>
        <v>0</v>
      </c>
      <c r="AD1106" s="8"/>
      <c r="AE1106" s="9"/>
      <c r="AF1106" s="10"/>
      <c r="AG1106" s="7">
        <f t="shared" si="431"/>
        <v>0</v>
      </c>
    </row>
    <row r="1107" spans="1:33">
      <c r="A1107" s="3"/>
      <c r="B1107" s="8"/>
      <c r="C1107" s="9"/>
      <c r="D1107" s="10"/>
      <c r="E1107" s="7">
        <f t="shared" si="425"/>
        <v>0</v>
      </c>
      <c r="F1107" s="8"/>
      <c r="G1107" s="9"/>
      <c r="H1107" s="10"/>
      <c r="I1107" s="7">
        <f t="shared" si="426"/>
        <v>0</v>
      </c>
      <c r="K1107" s="3" t="s">
        <v>601</v>
      </c>
      <c r="L1107" s="8">
        <v>2</v>
      </c>
      <c r="M1107" s="9">
        <v>1</v>
      </c>
      <c r="N1107" s="10"/>
      <c r="O1107" s="7">
        <f t="shared" si="427"/>
        <v>3</v>
      </c>
      <c r="P1107" s="8">
        <v>2</v>
      </c>
      <c r="Q1107" s="9">
        <v>1</v>
      </c>
      <c r="R1107" s="10"/>
      <c r="S1107" s="7">
        <f t="shared" si="428"/>
        <v>3</v>
      </c>
      <c r="T1107" s="43">
        <v>44799</v>
      </c>
      <c r="U1107" s="3"/>
      <c r="V1107" s="8"/>
      <c r="W1107" s="9"/>
      <c r="X1107" s="10"/>
      <c r="Y1107" s="7">
        <f t="shared" si="429"/>
        <v>0</v>
      </c>
      <c r="Z1107" s="8"/>
      <c r="AA1107" s="9"/>
      <c r="AB1107" s="10"/>
      <c r="AC1107" s="7">
        <f t="shared" si="430"/>
        <v>0</v>
      </c>
      <c r="AD1107" s="8"/>
      <c r="AE1107" s="9"/>
      <c r="AF1107" s="10"/>
      <c r="AG1107" s="7">
        <f t="shared" si="431"/>
        <v>0</v>
      </c>
    </row>
    <row r="1108" spans="1:33">
      <c r="A1108" s="3"/>
      <c r="B1108" s="8"/>
      <c r="C1108" s="9"/>
      <c r="D1108" s="10"/>
      <c r="E1108" s="7">
        <f t="shared" si="425"/>
        <v>0</v>
      </c>
      <c r="F1108" s="8"/>
      <c r="G1108" s="9"/>
      <c r="H1108" s="10"/>
      <c r="I1108" s="7">
        <f t="shared" si="426"/>
        <v>0</v>
      </c>
      <c r="K1108" s="11" t="s">
        <v>602</v>
      </c>
      <c r="L1108" s="8"/>
      <c r="M1108" s="9">
        <v>1</v>
      </c>
      <c r="N1108" s="10"/>
      <c r="O1108" s="7">
        <f t="shared" si="427"/>
        <v>1</v>
      </c>
      <c r="P1108" s="8"/>
      <c r="Q1108" s="9">
        <v>1</v>
      </c>
      <c r="R1108" s="10"/>
      <c r="S1108" s="7">
        <f t="shared" si="428"/>
        <v>1</v>
      </c>
      <c r="T1108" s="43">
        <v>44802</v>
      </c>
      <c r="U1108" s="3"/>
      <c r="V1108" s="8"/>
      <c r="W1108" s="9"/>
      <c r="X1108" s="10"/>
      <c r="Y1108" s="7">
        <f t="shared" si="429"/>
        <v>0</v>
      </c>
      <c r="Z1108" s="8"/>
      <c r="AA1108" s="9"/>
      <c r="AB1108" s="10"/>
      <c r="AC1108" s="7">
        <f t="shared" si="430"/>
        <v>0</v>
      </c>
      <c r="AD1108" s="8"/>
      <c r="AE1108" s="9"/>
      <c r="AF1108" s="10"/>
      <c r="AG1108" s="7">
        <f t="shared" si="431"/>
        <v>0</v>
      </c>
    </row>
    <row r="1109" spans="1:33">
      <c r="A1109" s="11"/>
      <c r="B1109" s="8"/>
      <c r="C1109" s="9"/>
      <c r="D1109" s="10"/>
      <c r="E1109" s="7">
        <f t="shared" si="425"/>
        <v>0</v>
      </c>
      <c r="F1109" s="8"/>
      <c r="G1109" s="9"/>
      <c r="H1109" s="10"/>
      <c r="I1109" s="7">
        <f t="shared" si="426"/>
        <v>0</v>
      </c>
      <c r="K1109" s="11" t="s">
        <v>605</v>
      </c>
      <c r="L1109" s="8"/>
      <c r="M1109" s="9">
        <v>1</v>
      </c>
      <c r="N1109" s="10"/>
      <c r="O1109" s="7">
        <f t="shared" si="427"/>
        <v>1</v>
      </c>
      <c r="P1109" s="8"/>
      <c r="Q1109" s="9">
        <v>1</v>
      </c>
      <c r="R1109" s="10"/>
      <c r="S1109" s="7">
        <f t="shared" si="428"/>
        <v>1</v>
      </c>
      <c r="T1109" s="43">
        <v>44805</v>
      </c>
      <c r="U1109" s="3"/>
      <c r="V1109" s="8"/>
      <c r="W1109" s="9"/>
      <c r="X1109" s="10"/>
      <c r="Y1109" s="7">
        <f t="shared" si="429"/>
        <v>0</v>
      </c>
      <c r="Z1109" s="8"/>
      <c r="AA1109" s="9"/>
      <c r="AB1109" s="10"/>
      <c r="AC1109" s="7">
        <f t="shared" si="430"/>
        <v>0</v>
      </c>
      <c r="AD1109" s="8"/>
      <c r="AE1109" s="9"/>
      <c r="AF1109" s="10"/>
      <c r="AG1109" s="7">
        <f t="shared" si="431"/>
        <v>0</v>
      </c>
    </row>
    <row r="1110" spans="1:33">
      <c r="A1110" s="11"/>
      <c r="B1110" s="8"/>
      <c r="C1110" s="9"/>
      <c r="D1110" s="10"/>
      <c r="E1110" s="7">
        <f t="shared" si="425"/>
        <v>0</v>
      </c>
      <c r="F1110" s="8"/>
      <c r="G1110" s="9"/>
      <c r="H1110" s="10"/>
      <c r="I1110" s="7">
        <f t="shared" si="426"/>
        <v>0</v>
      </c>
      <c r="K1110" s="3" t="s">
        <v>606</v>
      </c>
      <c r="L1110" s="8">
        <v>2</v>
      </c>
      <c r="M1110" s="9">
        <v>3</v>
      </c>
      <c r="N1110" s="10">
        <v>3</v>
      </c>
      <c r="O1110" s="7">
        <f t="shared" ref="O1110" si="441">SUM(L1110:N1110)</f>
        <v>8</v>
      </c>
      <c r="P1110" s="8">
        <v>2</v>
      </c>
      <c r="Q1110" s="9">
        <v>3</v>
      </c>
      <c r="R1110" s="10">
        <v>3</v>
      </c>
      <c r="S1110" s="7">
        <f t="shared" si="428"/>
        <v>8</v>
      </c>
      <c r="T1110" s="43">
        <v>44805</v>
      </c>
      <c r="U1110" s="3"/>
      <c r="V1110" s="8"/>
      <c r="W1110" s="9"/>
      <c r="X1110" s="10"/>
      <c r="Y1110" s="7">
        <f t="shared" si="429"/>
        <v>0</v>
      </c>
      <c r="Z1110" s="8"/>
      <c r="AA1110" s="9"/>
      <c r="AB1110" s="10"/>
      <c r="AC1110" s="7">
        <f t="shared" si="430"/>
        <v>0</v>
      </c>
      <c r="AD1110" s="8"/>
      <c r="AE1110" s="9"/>
      <c r="AF1110" s="10"/>
      <c r="AG1110" s="7">
        <f t="shared" si="431"/>
        <v>0</v>
      </c>
    </row>
    <row r="1111" spans="1:33">
      <c r="A1111" s="11"/>
      <c r="B1111" s="8"/>
      <c r="C1111" s="9"/>
      <c r="D1111" s="10"/>
      <c r="E1111" s="7">
        <f t="shared" si="425"/>
        <v>0</v>
      </c>
      <c r="F1111" s="8"/>
      <c r="G1111" s="9"/>
      <c r="H1111" s="10"/>
      <c r="I1111" s="7">
        <f t="shared" si="426"/>
        <v>0</v>
      </c>
      <c r="K1111" s="11"/>
      <c r="L1111" s="8"/>
      <c r="M1111" s="9"/>
      <c r="N1111" s="10"/>
      <c r="O1111" s="7">
        <f t="shared" si="427"/>
        <v>0</v>
      </c>
      <c r="P1111" s="8"/>
      <c r="Q1111" s="9"/>
      <c r="R1111" s="10"/>
      <c r="S1111" s="7">
        <f t="shared" si="428"/>
        <v>0</v>
      </c>
      <c r="U1111" s="11"/>
      <c r="V1111" s="8"/>
      <c r="W1111" s="9"/>
      <c r="X1111" s="10"/>
      <c r="Y1111" s="7">
        <f t="shared" si="429"/>
        <v>0</v>
      </c>
      <c r="Z1111" s="8"/>
      <c r="AA1111" s="9"/>
      <c r="AB1111" s="10"/>
      <c r="AC1111" s="7">
        <f t="shared" si="430"/>
        <v>0</v>
      </c>
      <c r="AD1111" s="8"/>
      <c r="AE1111" s="9"/>
      <c r="AF1111" s="10"/>
      <c r="AG1111" s="7">
        <f t="shared" si="431"/>
        <v>0</v>
      </c>
    </row>
    <row r="1112" spans="1:33">
      <c r="A1112" s="11"/>
      <c r="B1112" s="8"/>
      <c r="C1112" s="9"/>
      <c r="D1112" s="10"/>
      <c r="E1112" s="7">
        <f t="shared" si="425"/>
        <v>0</v>
      </c>
      <c r="F1112" s="8"/>
      <c r="G1112" s="9"/>
      <c r="H1112" s="10"/>
      <c r="I1112" s="7">
        <f t="shared" si="426"/>
        <v>0</v>
      </c>
      <c r="K1112" s="105" t="s">
        <v>523</v>
      </c>
      <c r="L1112" s="8"/>
      <c r="M1112" s="9"/>
      <c r="N1112" s="10"/>
      <c r="O1112" s="7">
        <f t="shared" si="427"/>
        <v>0</v>
      </c>
      <c r="P1112" s="8"/>
      <c r="Q1112" s="9"/>
      <c r="R1112" s="10"/>
      <c r="S1112" s="7">
        <f t="shared" si="428"/>
        <v>0</v>
      </c>
      <c r="T1112" s="71" t="s">
        <v>124</v>
      </c>
      <c r="U1112" s="3"/>
      <c r="V1112" s="8"/>
      <c r="W1112" s="9"/>
      <c r="X1112" s="10"/>
      <c r="Y1112" s="7">
        <f t="shared" si="429"/>
        <v>0</v>
      </c>
      <c r="Z1112" s="8"/>
      <c r="AA1112" s="9"/>
      <c r="AB1112" s="10"/>
      <c r="AC1112" s="7">
        <f t="shared" si="430"/>
        <v>0</v>
      </c>
      <c r="AD1112" s="8"/>
      <c r="AE1112" s="9"/>
      <c r="AF1112" s="10"/>
      <c r="AG1112" s="7">
        <f t="shared" si="431"/>
        <v>0</v>
      </c>
    </row>
    <row r="1113" spans="1:33">
      <c r="A1113" s="11"/>
      <c r="B1113" s="8"/>
      <c r="C1113" s="9"/>
      <c r="D1113" s="10"/>
      <c r="E1113" s="7">
        <f t="shared" si="425"/>
        <v>0</v>
      </c>
      <c r="F1113" s="8"/>
      <c r="G1113" s="9"/>
      <c r="H1113" s="10"/>
      <c r="I1113" s="7">
        <f t="shared" si="426"/>
        <v>0</v>
      </c>
      <c r="K1113" s="11" t="s">
        <v>513</v>
      </c>
      <c r="L1113" s="8"/>
      <c r="M1113" s="9"/>
      <c r="N1113" s="10"/>
      <c r="O1113" s="7">
        <f t="shared" si="427"/>
        <v>0</v>
      </c>
      <c r="P1113" s="8"/>
      <c r="Q1113" s="9"/>
      <c r="R1113" s="10"/>
      <c r="S1113" s="7">
        <f t="shared" si="428"/>
        <v>0</v>
      </c>
      <c r="T1113" s="71" t="s">
        <v>514</v>
      </c>
      <c r="U1113" s="3"/>
      <c r="V1113" s="8"/>
      <c r="W1113" s="9"/>
      <c r="X1113" s="10"/>
      <c r="Y1113" s="7">
        <f t="shared" si="429"/>
        <v>0</v>
      </c>
      <c r="Z1113" s="8"/>
      <c r="AA1113" s="9"/>
      <c r="AB1113" s="10"/>
      <c r="AC1113" s="7">
        <f t="shared" si="430"/>
        <v>0</v>
      </c>
      <c r="AD1113" s="8"/>
      <c r="AE1113" s="9"/>
      <c r="AF1113" s="10"/>
      <c r="AG1113" s="7">
        <f t="shared" si="431"/>
        <v>0</v>
      </c>
    </row>
    <row r="1114" spans="1:33" ht="14.25" thickBot="1">
      <c r="A1114" s="3"/>
      <c r="B1114" s="8"/>
      <c r="C1114" s="9"/>
      <c r="D1114" s="10"/>
      <c r="E1114" s="7">
        <f t="shared" si="425"/>
        <v>0</v>
      </c>
      <c r="F1114" s="8"/>
      <c r="G1114" s="9"/>
      <c r="H1114" s="10"/>
      <c r="I1114" s="7">
        <f t="shared" si="426"/>
        <v>0</v>
      </c>
      <c r="K1114" s="11" t="s">
        <v>550</v>
      </c>
      <c r="L1114" s="8"/>
      <c r="M1114" s="9"/>
      <c r="N1114" s="10"/>
      <c r="O1114" s="7">
        <f t="shared" si="427"/>
        <v>0</v>
      </c>
      <c r="P1114" s="8"/>
      <c r="Q1114" s="9"/>
      <c r="R1114" s="10"/>
      <c r="S1114" s="7">
        <f t="shared" si="428"/>
        <v>0</v>
      </c>
      <c r="T1114" s="71" t="s">
        <v>551</v>
      </c>
      <c r="U1114" s="3"/>
      <c r="V1114" s="8"/>
      <c r="W1114" s="9"/>
      <c r="X1114" s="10"/>
      <c r="Y1114" s="7">
        <f t="shared" si="429"/>
        <v>0</v>
      </c>
      <c r="Z1114" s="8"/>
      <c r="AA1114" s="9"/>
      <c r="AB1114" s="10"/>
      <c r="AC1114" s="7">
        <f t="shared" si="430"/>
        <v>0</v>
      </c>
      <c r="AD1114" s="8"/>
      <c r="AE1114" s="9"/>
      <c r="AF1114" s="10"/>
      <c r="AG1114" s="7">
        <f t="shared" si="431"/>
        <v>0</v>
      </c>
    </row>
    <row r="1115" spans="1:33" ht="14.25" thickBot="1">
      <c r="A1115" s="2" t="s">
        <v>5</v>
      </c>
      <c r="B1115" s="14">
        <f>SUM(B1091:B1114)</f>
        <v>3</v>
      </c>
      <c r="C1115" s="14">
        <f>SUM(C1091:C1114)</f>
        <v>7</v>
      </c>
      <c r="D1115" s="14">
        <f>SUM(D1091:D1114)</f>
        <v>3</v>
      </c>
      <c r="E1115" s="15">
        <f t="shared" si="425"/>
        <v>13</v>
      </c>
      <c r="F1115" s="14">
        <f>SUM(F1091:F1114)</f>
        <v>3</v>
      </c>
      <c r="G1115" s="14">
        <f>SUM(G1091:G1114)</f>
        <v>7</v>
      </c>
      <c r="H1115" s="14">
        <f>SUM(H1091:H1114)</f>
        <v>3</v>
      </c>
      <c r="I1115" s="15">
        <f t="shared" si="426"/>
        <v>13</v>
      </c>
      <c r="K1115" s="2" t="s">
        <v>5</v>
      </c>
      <c r="L1115" s="14">
        <f>SUM(L1091:L1114)</f>
        <v>51</v>
      </c>
      <c r="M1115" s="14">
        <f>SUM(M1091:M1114)</f>
        <v>116</v>
      </c>
      <c r="N1115" s="14">
        <f>SUM(N1091:N1114)</f>
        <v>60</v>
      </c>
      <c r="O1115" s="15">
        <f t="shared" si="427"/>
        <v>227</v>
      </c>
      <c r="P1115" s="14">
        <f>SUM(P1091:P1114)</f>
        <v>51</v>
      </c>
      <c r="Q1115" s="14">
        <f>SUM(Q1091:Q1114)</f>
        <v>116</v>
      </c>
      <c r="R1115" s="14">
        <f>SUM(R1091:R1114)</f>
        <v>60</v>
      </c>
      <c r="S1115" s="15">
        <f t="shared" si="428"/>
        <v>227</v>
      </c>
      <c r="U1115" s="2" t="s">
        <v>5</v>
      </c>
      <c r="V1115" s="14">
        <f>SUM(V1091:V1114)</f>
        <v>0</v>
      </c>
      <c r="W1115" s="14">
        <f>SUM(W1091:W1114)</f>
        <v>0</v>
      </c>
      <c r="X1115" s="14">
        <f>SUM(X1091:X1114)</f>
        <v>1</v>
      </c>
      <c r="Y1115" s="15">
        <f t="shared" si="429"/>
        <v>1</v>
      </c>
      <c r="Z1115" s="14">
        <f>SUM(Z1091:Z1114)</f>
        <v>0</v>
      </c>
      <c r="AA1115" s="14">
        <f>SUM(AA1091:AA1114)</f>
        <v>0</v>
      </c>
      <c r="AB1115" s="14">
        <f>SUM(AB1091:AB1114)</f>
        <v>1</v>
      </c>
      <c r="AC1115" s="15">
        <f t="shared" si="430"/>
        <v>1</v>
      </c>
      <c r="AD1115" s="14">
        <f>SUM(AD1091:AD1114)</f>
        <v>0</v>
      </c>
      <c r="AE1115" s="14">
        <f>SUM(AE1091:AE1114)</f>
        <v>0</v>
      </c>
      <c r="AF1115" s="14">
        <f>SUM(AF1091:AF1114)</f>
        <v>1</v>
      </c>
      <c r="AG1115" s="15">
        <f t="shared" si="431"/>
        <v>1</v>
      </c>
    </row>
    <row r="1116" spans="1:33" ht="14.25" thickBot="1">
      <c r="A1116" s="27" t="s">
        <v>6</v>
      </c>
      <c r="B1116" s="28">
        <f>B1090-B1115</f>
        <v>4</v>
      </c>
      <c r="C1116" s="28">
        <f t="shared" ref="C1116:E1116" si="442">C1090-C1115</f>
        <v>7</v>
      </c>
      <c r="D1116" s="28">
        <f t="shared" si="442"/>
        <v>1</v>
      </c>
      <c r="E1116" s="28">
        <f t="shared" si="442"/>
        <v>12</v>
      </c>
      <c r="F1116" s="28">
        <f>F1090-F1115</f>
        <v>4</v>
      </c>
      <c r="G1116" s="28">
        <f t="shared" ref="G1116:I1116" si="443">G1090-G1115</f>
        <v>7</v>
      </c>
      <c r="H1116" s="28">
        <f t="shared" si="443"/>
        <v>1</v>
      </c>
      <c r="I1116" s="26">
        <f t="shared" si="443"/>
        <v>12</v>
      </c>
      <c r="K1116" s="27" t="s">
        <v>6</v>
      </c>
      <c r="L1116" s="28">
        <f>L1090-L1115</f>
        <v>122</v>
      </c>
      <c r="M1116" s="28">
        <f t="shared" ref="M1116:O1116" si="444">M1090-M1115</f>
        <v>54</v>
      </c>
      <c r="N1116" s="28">
        <f t="shared" si="444"/>
        <v>119</v>
      </c>
      <c r="O1116" s="28">
        <f t="shared" si="444"/>
        <v>295</v>
      </c>
      <c r="P1116" s="28">
        <f>P1090-P1115</f>
        <v>122</v>
      </c>
      <c r="Q1116" s="28">
        <f t="shared" ref="Q1116:S1116" si="445">Q1090-Q1115</f>
        <v>54</v>
      </c>
      <c r="R1116" s="28">
        <f t="shared" si="445"/>
        <v>119</v>
      </c>
      <c r="S1116" s="26">
        <f t="shared" si="445"/>
        <v>295</v>
      </c>
      <c r="U1116" s="27" t="s">
        <v>6</v>
      </c>
      <c r="V1116" s="28">
        <f>V1090-V1115</f>
        <v>15</v>
      </c>
      <c r="W1116" s="28">
        <f t="shared" ref="W1116:Y1116" si="446">W1090-W1115</f>
        <v>58</v>
      </c>
      <c r="X1116" s="28">
        <f t="shared" si="446"/>
        <v>17</v>
      </c>
      <c r="Y1116" s="28">
        <f t="shared" si="446"/>
        <v>90</v>
      </c>
      <c r="Z1116" s="28">
        <f>Z1090-Z1115</f>
        <v>15</v>
      </c>
      <c r="AA1116" s="28">
        <f t="shared" ref="AA1116:AC1116" si="447">AA1090-AA1115</f>
        <v>58</v>
      </c>
      <c r="AB1116" s="28">
        <f t="shared" si="447"/>
        <v>17</v>
      </c>
      <c r="AC1116" s="26">
        <f t="shared" si="447"/>
        <v>90</v>
      </c>
      <c r="AD1116" s="28">
        <f>AD1090-AD1115</f>
        <v>15</v>
      </c>
      <c r="AE1116" s="28">
        <f t="shared" ref="AE1116:AG1116" si="448">AE1090-AE1115</f>
        <v>58</v>
      </c>
      <c r="AF1116" s="28">
        <f t="shared" si="448"/>
        <v>17</v>
      </c>
      <c r="AG1116" s="26">
        <f t="shared" si="448"/>
        <v>90</v>
      </c>
    </row>
    <row r="1117" spans="1:33">
      <c r="L1117" s="109">
        <f>L1115+L1074</f>
        <v>951</v>
      </c>
      <c r="M1117" s="109">
        <f t="shared" ref="M1117:O1117" si="449">M1115+M1074</f>
        <v>1347</v>
      </c>
      <c r="N1117" s="109">
        <f t="shared" si="449"/>
        <v>943</v>
      </c>
      <c r="O1117" s="109">
        <f t="shared" si="449"/>
        <v>3241</v>
      </c>
      <c r="P1117" s="87"/>
      <c r="Q1117" s="87"/>
      <c r="R1117" s="87"/>
      <c r="S1117" s="87"/>
    </row>
    <row r="1118" spans="1:33">
      <c r="L1118" s="106">
        <f>L1117/$O$1117*100</f>
        <v>29.342795433508179</v>
      </c>
      <c r="M1118" s="106">
        <f t="shared" ref="M1118:O1118" si="450">M1117/$O$1117*100</f>
        <v>41.561246528849125</v>
      </c>
      <c r="N1118" s="106">
        <f t="shared" si="450"/>
        <v>29.095958037642706</v>
      </c>
      <c r="O1118" s="106">
        <f t="shared" si="450"/>
        <v>100</v>
      </c>
    </row>
    <row r="1119" spans="1:33" ht="26.25" thickBot="1">
      <c r="A1119" s="33" t="s">
        <v>15</v>
      </c>
      <c r="B1119" s="34"/>
      <c r="C1119" s="34"/>
      <c r="D1119" s="34"/>
      <c r="E1119" s="34"/>
      <c r="F1119" s="35"/>
      <c r="G1119" s="35"/>
      <c r="H1119" s="35"/>
      <c r="I1119" s="35"/>
      <c r="K1119" s="33" t="s">
        <v>243</v>
      </c>
      <c r="L1119" s="34"/>
      <c r="M1119" s="34"/>
      <c r="N1119" s="34"/>
      <c r="O1119" s="34"/>
      <c r="P1119" s="35"/>
      <c r="Q1119" s="35"/>
      <c r="R1119" s="35"/>
      <c r="S1119" s="35"/>
      <c r="U1119" s="88" t="s">
        <v>244</v>
      </c>
      <c r="V1119" s="89"/>
      <c r="W1119" s="89"/>
      <c r="X1119" s="89"/>
      <c r="Y1119" s="89"/>
      <c r="Z1119" s="90"/>
      <c r="AA1119" s="90"/>
      <c r="AB1119" s="90"/>
      <c r="AC1119" s="90"/>
    </row>
    <row r="1120" spans="1:33" ht="14.25" thickBot="1">
      <c r="A1120" s="1" t="s">
        <v>0</v>
      </c>
      <c r="B1120" s="182" t="s">
        <v>17</v>
      </c>
      <c r="C1120" s="182"/>
      <c r="D1120" s="182"/>
      <c r="E1120" s="183"/>
      <c r="F1120" s="182" t="s">
        <v>13</v>
      </c>
      <c r="G1120" s="182"/>
      <c r="H1120" s="182"/>
      <c r="I1120" s="183"/>
      <c r="K1120" s="1" t="s">
        <v>0</v>
      </c>
      <c r="L1120" s="182" t="s">
        <v>17</v>
      </c>
      <c r="M1120" s="182"/>
      <c r="N1120" s="182"/>
      <c r="O1120" s="183"/>
      <c r="P1120" s="182" t="s">
        <v>13</v>
      </c>
      <c r="Q1120" s="182"/>
      <c r="R1120" s="182"/>
      <c r="S1120" s="183"/>
      <c r="U1120" s="1" t="s">
        <v>0</v>
      </c>
      <c r="V1120" s="182" t="s">
        <v>17</v>
      </c>
      <c r="W1120" s="182"/>
      <c r="X1120" s="182"/>
      <c r="Y1120" s="183"/>
      <c r="Z1120" s="182" t="s">
        <v>13</v>
      </c>
      <c r="AA1120" s="182"/>
      <c r="AB1120" s="182"/>
      <c r="AC1120" s="183"/>
      <c r="AD1120" s="182" t="s">
        <v>242</v>
      </c>
      <c r="AE1120" s="182"/>
      <c r="AF1120" s="182"/>
      <c r="AG1120" s="183"/>
    </row>
    <row r="1121" spans="1:34" ht="14.25" thickBot="1">
      <c r="A1121" s="1" t="s">
        <v>1</v>
      </c>
      <c r="B1121" s="2" t="s">
        <v>8</v>
      </c>
      <c r="C1121" s="1" t="s">
        <v>9</v>
      </c>
      <c r="D1121" s="19" t="s">
        <v>10</v>
      </c>
      <c r="E1121" s="1" t="s">
        <v>2</v>
      </c>
      <c r="F1121" s="2" t="s">
        <v>8</v>
      </c>
      <c r="G1121" s="1" t="s">
        <v>9</v>
      </c>
      <c r="H1121" s="19" t="s">
        <v>10</v>
      </c>
      <c r="I1121" s="1" t="s">
        <v>2</v>
      </c>
      <c r="K1121" s="1" t="s">
        <v>1</v>
      </c>
      <c r="L1121" s="2" t="s">
        <v>8</v>
      </c>
      <c r="M1121" s="1" t="s">
        <v>9</v>
      </c>
      <c r="N1121" s="19" t="s">
        <v>10</v>
      </c>
      <c r="O1121" s="1" t="s">
        <v>2</v>
      </c>
      <c r="P1121" s="2" t="s">
        <v>8</v>
      </c>
      <c r="Q1121" s="1" t="s">
        <v>9</v>
      </c>
      <c r="R1121" s="19" t="s">
        <v>10</v>
      </c>
      <c r="S1121" s="1" t="s">
        <v>2</v>
      </c>
      <c r="U1121" s="1" t="s">
        <v>1</v>
      </c>
      <c r="V1121" s="2" t="s">
        <v>8</v>
      </c>
      <c r="W1121" s="1" t="s">
        <v>9</v>
      </c>
      <c r="X1121" s="19" t="s">
        <v>10</v>
      </c>
      <c r="Y1121" s="1" t="s">
        <v>2</v>
      </c>
      <c r="Z1121" s="2" t="s">
        <v>8</v>
      </c>
      <c r="AA1121" s="1" t="s">
        <v>9</v>
      </c>
      <c r="AB1121" s="19" t="s">
        <v>10</v>
      </c>
      <c r="AC1121" s="1" t="s">
        <v>2</v>
      </c>
      <c r="AD1121" s="2" t="s">
        <v>8</v>
      </c>
      <c r="AE1121" s="1" t="s">
        <v>9</v>
      </c>
      <c r="AF1121" s="19" t="s">
        <v>10</v>
      </c>
      <c r="AG1121" s="1" t="s">
        <v>2</v>
      </c>
    </row>
    <row r="1122" spans="1:34">
      <c r="A1122" s="21" t="s">
        <v>7</v>
      </c>
      <c r="B1122" s="18">
        <f>B1116</f>
        <v>4</v>
      </c>
      <c r="C1122" s="22">
        <f>C1116</f>
        <v>7</v>
      </c>
      <c r="D1122" s="22">
        <f>D1116</f>
        <v>1</v>
      </c>
      <c r="E1122" s="17">
        <f t="shared" ref="E1122:E1158" si="451">SUM(B1122:D1122)</f>
        <v>12</v>
      </c>
      <c r="F1122" s="22">
        <f>F1116</f>
        <v>4</v>
      </c>
      <c r="G1122" s="22">
        <f>G1116</f>
        <v>7</v>
      </c>
      <c r="H1122" s="22">
        <f>H1116</f>
        <v>1</v>
      </c>
      <c r="I1122" s="17">
        <f t="shared" ref="I1122:I1158" si="452">SUM(F1122:H1122)</f>
        <v>12</v>
      </c>
      <c r="K1122" s="21" t="s">
        <v>7</v>
      </c>
      <c r="L1122" s="18">
        <f>L1116</f>
        <v>122</v>
      </c>
      <c r="M1122" s="22">
        <f>M1116</f>
        <v>54</v>
      </c>
      <c r="N1122" s="22">
        <f>N1116</f>
        <v>119</v>
      </c>
      <c r="O1122" s="17">
        <f t="shared" ref="O1122:O1158" si="453">SUM(L1122:N1122)</f>
        <v>295</v>
      </c>
      <c r="P1122" s="22">
        <f>P1116</f>
        <v>122</v>
      </c>
      <c r="Q1122" s="22">
        <f>Q1116</f>
        <v>54</v>
      </c>
      <c r="R1122" s="22">
        <f>R1116</f>
        <v>119</v>
      </c>
      <c r="S1122" s="17">
        <f t="shared" ref="S1122:S1158" si="454">SUM(P1122:R1122)</f>
        <v>295</v>
      </c>
      <c r="U1122" s="21" t="s">
        <v>7</v>
      </c>
      <c r="V1122" s="18">
        <f>V1116</f>
        <v>15</v>
      </c>
      <c r="W1122" s="22">
        <f>W1116</f>
        <v>58</v>
      </c>
      <c r="X1122" s="22">
        <f>X1116</f>
        <v>17</v>
      </c>
      <c r="Y1122" s="17">
        <f t="shared" ref="Y1122:Y1158" si="455">SUM(V1122:X1122)</f>
        <v>90</v>
      </c>
      <c r="Z1122" s="22">
        <f>Z1116</f>
        <v>15</v>
      </c>
      <c r="AA1122" s="22">
        <f>AA1116</f>
        <v>58</v>
      </c>
      <c r="AB1122" s="22">
        <f>AB1116</f>
        <v>17</v>
      </c>
      <c r="AC1122" s="17">
        <f t="shared" ref="AC1122:AC1158" si="456">SUM(Z1122:AB1122)</f>
        <v>90</v>
      </c>
      <c r="AD1122" s="22">
        <f>AD1116</f>
        <v>15</v>
      </c>
      <c r="AE1122" s="22">
        <f>AE1116</f>
        <v>58</v>
      </c>
      <c r="AF1122" s="22">
        <f>AF1116</f>
        <v>17</v>
      </c>
      <c r="AG1122" s="17">
        <f t="shared" ref="AG1122:AG1158" si="457">SUM(AD1122:AF1122)</f>
        <v>90</v>
      </c>
    </row>
    <row r="1123" spans="1:34">
      <c r="A1123" s="5" t="s">
        <v>3</v>
      </c>
      <c r="B1123" s="30"/>
      <c r="C1123" s="31"/>
      <c r="D1123" s="32">
        <v>1</v>
      </c>
      <c r="E1123" s="4">
        <f t="shared" si="451"/>
        <v>1</v>
      </c>
      <c r="F1123" s="30"/>
      <c r="G1123" s="31"/>
      <c r="H1123" s="32">
        <v>1</v>
      </c>
      <c r="I1123" s="4">
        <f t="shared" si="452"/>
        <v>1</v>
      </c>
      <c r="J1123" s="43">
        <v>44810</v>
      </c>
      <c r="K1123" s="5" t="s">
        <v>295</v>
      </c>
      <c r="L1123" s="16">
        <v>6</v>
      </c>
      <c r="M1123" s="11"/>
      <c r="N1123" s="16">
        <v>4</v>
      </c>
      <c r="O1123" s="4">
        <f t="shared" ref="O1123" si="458">SUM(L1123:N1123)</f>
        <v>10</v>
      </c>
      <c r="P1123" s="16">
        <v>6</v>
      </c>
      <c r="Q1123" s="11"/>
      <c r="R1123" s="16">
        <v>4</v>
      </c>
      <c r="S1123" s="4">
        <f t="shared" si="454"/>
        <v>10</v>
      </c>
      <c r="T1123" s="49">
        <v>44833</v>
      </c>
      <c r="U1123" s="5" t="s">
        <v>612</v>
      </c>
      <c r="V1123" s="16">
        <v>1</v>
      </c>
      <c r="W1123" s="11">
        <v>1</v>
      </c>
      <c r="X1123" s="16"/>
      <c r="Y1123" s="4">
        <f t="shared" si="455"/>
        <v>2</v>
      </c>
      <c r="Z1123" s="16">
        <v>1</v>
      </c>
      <c r="AA1123" s="11">
        <v>1</v>
      </c>
      <c r="AB1123" s="16"/>
      <c r="AC1123" s="4">
        <f t="shared" si="456"/>
        <v>2</v>
      </c>
      <c r="AD1123" s="16">
        <v>1</v>
      </c>
      <c r="AE1123" s="11">
        <v>1</v>
      </c>
      <c r="AF1123" s="16"/>
      <c r="AG1123" s="4">
        <f t="shared" si="457"/>
        <v>2</v>
      </c>
      <c r="AH1123" s="49">
        <v>44810</v>
      </c>
    </row>
    <row r="1124" spans="1:34">
      <c r="A1124" s="84" t="s">
        <v>246</v>
      </c>
      <c r="B1124" s="8"/>
      <c r="C1124" s="9">
        <v>1</v>
      </c>
      <c r="D1124" s="10"/>
      <c r="E1124" s="7">
        <f t="shared" ref="E1124" si="459">SUM(B1124:D1124)</f>
        <v>1</v>
      </c>
      <c r="F1124" s="8"/>
      <c r="G1124" s="9">
        <v>1</v>
      </c>
      <c r="H1124" s="10"/>
      <c r="I1124" s="7">
        <f t="shared" si="452"/>
        <v>1</v>
      </c>
      <c r="J1124" s="49">
        <v>44809</v>
      </c>
      <c r="K1124" s="5" t="s">
        <v>295</v>
      </c>
      <c r="L1124" s="8">
        <v>14</v>
      </c>
      <c r="M1124" s="9">
        <v>10</v>
      </c>
      <c r="N1124" s="10">
        <v>17</v>
      </c>
      <c r="O1124" s="7">
        <f t="shared" ref="O1124" si="460">SUM(L1124:N1124)</f>
        <v>41</v>
      </c>
      <c r="P1124" s="8">
        <v>14</v>
      </c>
      <c r="Q1124" s="9">
        <v>10</v>
      </c>
      <c r="R1124" s="10">
        <v>17</v>
      </c>
      <c r="S1124" s="7">
        <f t="shared" si="454"/>
        <v>41</v>
      </c>
      <c r="T1124" s="49">
        <v>44863</v>
      </c>
      <c r="U1124" s="5" t="s">
        <v>612</v>
      </c>
      <c r="V1124" s="32"/>
      <c r="W1124" s="31">
        <v>1</v>
      </c>
      <c r="X1124" s="32"/>
      <c r="Y1124" s="4">
        <f t="shared" si="455"/>
        <v>1</v>
      </c>
      <c r="Z1124" s="32"/>
      <c r="AA1124" s="31">
        <v>1</v>
      </c>
      <c r="AB1124" s="32"/>
      <c r="AC1124" s="4">
        <f t="shared" si="456"/>
        <v>1</v>
      </c>
      <c r="AD1124" s="32"/>
      <c r="AE1124" s="31">
        <v>1</v>
      </c>
      <c r="AF1124" s="32"/>
      <c r="AG1124" s="4">
        <f t="shared" si="457"/>
        <v>1</v>
      </c>
      <c r="AH1124" s="49">
        <v>44812</v>
      </c>
    </row>
    <row r="1125" spans="1:34">
      <c r="A1125" s="5" t="s">
        <v>37</v>
      </c>
      <c r="B1125" s="30"/>
      <c r="C1125" s="31">
        <v>1</v>
      </c>
      <c r="D1125" s="32">
        <v>1</v>
      </c>
      <c r="E1125" s="4">
        <f t="shared" si="451"/>
        <v>2</v>
      </c>
      <c r="F1125" s="30"/>
      <c r="G1125" s="31">
        <v>1</v>
      </c>
      <c r="H1125" s="32">
        <v>1</v>
      </c>
      <c r="I1125" s="4">
        <f t="shared" si="452"/>
        <v>2</v>
      </c>
      <c r="J1125" s="49">
        <v>44811</v>
      </c>
      <c r="K1125" s="5" t="s">
        <v>3</v>
      </c>
      <c r="L1125" s="32"/>
      <c r="M1125" s="31"/>
      <c r="N1125" s="32"/>
      <c r="O1125" s="4">
        <f t="shared" si="453"/>
        <v>0</v>
      </c>
      <c r="P1125" s="32"/>
      <c r="Q1125" s="31"/>
      <c r="R1125" s="32"/>
      <c r="S1125" s="4">
        <f t="shared" si="454"/>
        <v>0</v>
      </c>
      <c r="T1125" s="104"/>
      <c r="U1125" s="5" t="s">
        <v>3</v>
      </c>
      <c r="V1125" s="30"/>
      <c r="W1125" s="31"/>
      <c r="X1125" s="32"/>
      <c r="Y1125" s="4">
        <f t="shared" si="455"/>
        <v>0</v>
      </c>
      <c r="Z1125" s="30"/>
      <c r="AA1125" s="31"/>
      <c r="AB1125" s="32"/>
      <c r="AC1125" s="4">
        <f t="shared" si="456"/>
        <v>0</v>
      </c>
      <c r="AD1125" s="30"/>
      <c r="AE1125" s="31"/>
      <c r="AF1125" s="32"/>
      <c r="AG1125" s="4">
        <f t="shared" si="457"/>
        <v>0</v>
      </c>
    </row>
    <row r="1126" spans="1:34">
      <c r="A1126" s="5" t="s">
        <v>3</v>
      </c>
      <c r="B1126" s="16"/>
      <c r="C1126" s="11"/>
      <c r="D1126" s="16">
        <v>3</v>
      </c>
      <c r="E1126" s="4">
        <f t="shared" si="451"/>
        <v>3</v>
      </c>
      <c r="F1126" s="16"/>
      <c r="G1126" s="11"/>
      <c r="H1126" s="16">
        <v>3</v>
      </c>
      <c r="I1126" s="4">
        <f t="shared" si="452"/>
        <v>3</v>
      </c>
      <c r="J1126" s="43">
        <v>44820</v>
      </c>
      <c r="K1126" s="5" t="s">
        <v>3</v>
      </c>
      <c r="L1126" s="51"/>
      <c r="M1126" s="3"/>
      <c r="N1126" s="51"/>
      <c r="O1126" s="4">
        <f t="shared" si="453"/>
        <v>0</v>
      </c>
      <c r="P1126" s="51"/>
      <c r="Q1126" s="3"/>
      <c r="R1126" s="51"/>
      <c r="S1126" s="4">
        <f t="shared" si="454"/>
        <v>0</v>
      </c>
      <c r="T1126" s="71"/>
      <c r="U1126" s="5" t="s">
        <v>3</v>
      </c>
      <c r="V1126" s="16"/>
      <c r="W1126" s="11"/>
      <c r="X1126" s="16"/>
      <c r="Y1126" s="4">
        <f t="shared" si="455"/>
        <v>0</v>
      </c>
      <c r="Z1126" s="16"/>
      <c r="AA1126" s="11"/>
      <c r="AB1126" s="16"/>
      <c r="AC1126" s="4">
        <f t="shared" si="456"/>
        <v>0</v>
      </c>
      <c r="AD1126" s="16"/>
      <c r="AE1126" s="11"/>
      <c r="AF1126" s="16"/>
      <c r="AG1126" s="4">
        <f t="shared" si="457"/>
        <v>0</v>
      </c>
    </row>
    <row r="1127" spans="1:34">
      <c r="A1127" s="5" t="s">
        <v>78</v>
      </c>
      <c r="B1127" s="16">
        <v>1</v>
      </c>
      <c r="C1127" s="11"/>
      <c r="D1127" s="16"/>
      <c r="E1127" s="4">
        <f t="shared" si="451"/>
        <v>1</v>
      </c>
      <c r="F1127" s="16">
        <v>1</v>
      </c>
      <c r="G1127" s="11"/>
      <c r="H1127" s="16"/>
      <c r="I1127" s="4">
        <f t="shared" si="452"/>
        <v>1</v>
      </c>
      <c r="J1127" s="49">
        <v>44825</v>
      </c>
      <c r="K1127" s="5" t="s">
        <v>3</v>
      </c>
      <c r="L1127" s="32"/>
      <c r="M1127" s="31"/>
      <c r="N1127" s="32"/>
      <c r="O1127" s="4">
        <f t="shared" si="453"/>
        <v>0</v>
      </c>
      <c r="P1127" s="32"/>
      <c r="Q1127" s="31"/>
      <c r="R1127" s="32"/>
      <c r="S1127" s="4">
        <f t="shared" si="454"/>
        <v>0</v>
      </c>
      <c r="U1127" s="5" t="s">
        <v>3</v>
      </c>
      <c r="V1127" s="32"/>
      <c r="W1127" s="31"/>
      <c r="X1127" s="32"/>
      <c r="Y1127" s="4">
        <f t="shared" si="455"/>
        <v>0</v>
      </c>
      <c r="Z1127" s="32"/>
      <c r="AA1127" s="31"/>
      <c r="AB1127" s="32"/>
      <c r="AC1127" s="4">
        <f t="shared" si="456"/>
        <v>0</v>
      </c>
      <c r="AD1127" s="32"/>
      <c r="AE1127" s="31"/>
      <c r="AF1127" s="32"/>
      <c r="AG1127" s="4">
        <f t="shared" si="457"/>
        <v>0</v>
      </c>
    </row>
    <row r="1128" spans="1:34">
      <c r="A1128" s="5" t="s">
        <v>624</v>
      </c>
      <c r="B1128" s="16">
        <v>6</v>
      </c>
      <c r="C1128" s="11"/>
      <c r="D1128" s="16">
        <v>4</v>
      </c>
      <c r="E1128" s="4">
        <f t="shared" si="451"/>
        <v>10</v>
      </c>
      <c r="F1128" s="16">
        <v>6</v>
      </c>
      <c r="G1128" s="11"/>
      <c r="H1128" s="16">
        <v>4</v>
      </c>
      <c r="I1128" s="4">
        <f t="shared" si="452"/>
        <v>10</v>
      </c>
      <c r="J1128" s="49">
        <v>44830</v>
      </c>
      <c r="K1128" s="5" t="s">
        <v>3</v>
      </c>
      <c r="L1128" s="16"/>
      <c r="M1128" s="11"/>
      <c r="N1128" s="16"/>
      <c r="O1128" s="4">
        <f t="shared" si="453"/>
        <v>0</v>
      </c>
      <c r="P1128" s="16"/>
      <c r="Q1128" s="11"/>
      <c r="R1128" s="16"/>
      <c r="S1128" s="4">
        <f t="shared" si="454"/>
        <v>0</v>
      </c>
      <c r="U1128" s="5" t="s">
        <v>3</v>
      </c>
      <c r="V1128" s="16"/>
      <c r="W1128" s="11"/>
      <c r="X1128" s="16"/>
      <c r="Y1128" s="4">
        <f t="shared" si="455"/>
        <v>0</v>
      </c>
      <c r="Z1128" s="16"/>
      <c r="AA1128" s="11"/>
      <c r="AB1128" s="16"/>
      <c r="AC1128" s="4">
        <f t="shared" si="456"/>
        <v>0</v>
      </c>
      <c r="AD1128" s="16"/>
      <c r="AE1128" s="11"/>
      <c r="AF1128" s="16"/>
      <c r="AG1128" s="4">
        <f t="shared" si="457"/>
        <v>0</v>
      </c>
    </row>
    <row r="1129" spans="1:34">
      <c r="A1129" s="5" t="s">
        <v>37</v>
      </c>
      <c r="B1129" s="32">
        <v>1</v>
      </c>
      <c r="C1129" s="31"/>
      <c r="D1129" s="32">
        <v>1</v>
      </c>
      <c r="E1129" s="4">
        <f t="shared" si="451"/>
        <v>2</v>
      </c>
      <c r="F1129" s="32">
        <v>1</v>
      </c>
      <c r="G1129" s="31"/>
      <c r="H1129" s="32">
        <v>1</v>
      </c>
      <c r="I1129" s="4">
        <f t="shared" si="452"/>
        <v>2</v>
      </c>
      <c r="J1129" s="49">
        <v>44832</v>
      </c>
      <c r="K1129" s="5" t="s">
        <v>3</v>
      </c>
      <c r="L1129" s="32"/>
      <c r="M1129" s="31"/>
      <c r="N1129" s="32"/>
      <c r="O1129" s="4">
        <f t="shared" si="453"/>
        <v>0</v>
      </c>
      <c r="P1129" s="32"/>
      <c r="Q1129" s="31"/>
      <c r="R1129" s="32"/>
      <c r="S1129" s="4">
        <f t="shared" si="454"/>
        <v>0</v>
      </c>
      <c r="U1129" s="5" t="s">
        <v>3</v>
      </c>
      <c r="V1129" s="32"/>
      <c r="W1129" s="31"/>
      <c r="X1129" s="32"/>
      <c r="Y1129" s="4">
        <f t="shared" si="455"/>
        <v>0</v>
      </c>
      <c r="Z1129" s="32"/>
      <c r="AA1129" s="31"/>
      <c r="AB1129" s="32"/>
      <c r="AC1129" s="4">
        <f t="shared" si="456"/>
        <v>0</v>
      </c>
      <c r="AD1129" s="32"/>
      <c r="AE1129" s="31"/>
      <c r="AF1129" s="32"/>
      <c r="AG1129" s="4">
        <f t="shared" si="457"/>
        <v>0</v>
      </c>
    </row>
    <row r="1130" spans="1:34">
      <c r="A1130" s="5" t="s">
        <v>37</v>
      </c>
      <c r="B1130" s="32"/>
      <c r="C1130" s="31"/>
      <c r="D1130" s="32">
        <v>1</v>
      </c>
      <c r="E1130" s="4">
        <f t="shared" si="451"/>
        <v>1</v>
      </c>
      <c r="F1130" s="32"/>
      <c r="G1130" s="31"/>
      <c r="H1130" s="32">
        <v>1</v>
      </c>
      <c r="I1130" s="4">
        <f t="shared" si="452"/>
        <v>1</v>
      </c>
      <c r="J1130" s="49">
        <v>44848</v>
      </c>
      <c r="K1130" s="5" t="s">
        <v>3</v>
      </c>
      <c r="L1130" s="32"/>
      <c r="M1130" s="31"/>
      <c r="N1130" s="32"/>
      <c r="O1130" s="4">
        <f t="shared" si="453"/>
        <v>0</v>
      </c>
      <c r="P1130" s="32"/>
      <c r="Q1130" s="31"/>
      <c r="R1130" s="32"/>
      <c r="S1130" s="4">
        <f t="shared" si="454"/>
        <v>0</v>
      </c>
      <c r="U1130" s="5" t="s">
        <v>3</v>
      </c>
      <c r="V1130" s="32"/>
      <c r="W1130" s="31"/>
      <c r="X1130" s="32"/>
      <c r="Y1130" s="4">
        <f t="shared" si="455"/>
        <v>0</v>
      </c>
      <c r="Z1130" s="32"/>
      <c r="AA1130" s="31"/>
      <c r="AB1130" s="32"/>
      <c r="AC1130" s="4">
        <f t="shared" si="456"/>
        <v>0</v>
      </c>
      <c r="AD1130" s="32"/>
      <c r="AE1130" s="31"/>
      <c r="AF1130" s="32"/>
      <c r="AG1130" s="4">
        <f t="shared" si="457"/>
        <v>0</v>
      </c>
    </row>
    <row r="1131" spans="1:34">
      <c r="A1131" s="5" t="s">
        <v>624</v>
      </c>
      <c r="B1131" s="30"/>
      <c r="C1131" s="31">
        <v>3</v>
      </c>
      <c r="D1131" s="32"/>
      <c r="E1131" s="4">
        <f t="shared" si="451"/>
        <v>3</v>
      </c>
      <c r="F1131" s="30"/>
      <c r="G1131" s="31">
        <v>3</v>
      </c>
      <c r="H1131" s="32"/>
      <c r="I1131" s="4">
        <f t="shared" si="452"/>
        <v>3</v>
      </c>
      <c r="J1131" s="49">
        <v>44852</v>
      </c>
      <c r="K1131" s="5" t="s">
        <v>3</v>
      </c>
      <c r="L1131" s="32"/>
      <c r="M1131" s="31"/>
      <c r="N1131" s="32"/>
      <c r="O1131" s="4">
        <f t="shared" si="453"/>
        <v>0</v>
      </c>
      <c r="P1131" s="32"/>
      <c r="Q1131" s="31"/>
      <c r="R1131" s="32"/>
      <c r="S1131" s="4">
        <f t="shared" si="454"/>
        <v>0</v>
      </c>
      <c r="U1131" s="5" t="s">
        <v>3</v>
      </c>
      <c r="V1131" s="30"/>
      <c r="W1131" s="31"/>
      <c r="X1131" s="32"/>
      <c r="Y1131" s="4">
        <f t="shared" si="455"/>
        <v>0</v>
      </c>
      <c r="Z1131" s="30"/>
      <c r="AA1131" s="31"/>
      <c r="AB1131" s="32"/>
      <c r="AC1131" s="4">
        <f t="shared" si="456"/>
        <v>0</v>
      </c>
      <c r="AD1131" s="30"/>
      <c r="AE1131" s="31"/>
      <c r="AF1131" s="32"/>
      <c r="AG1131" s="4">
        <f t="shared" si="457"/>
        <v>0</v>
      </c>
    </row>
    <row r="1132" spans="1:34" ht="14.25" thickBot="1">
      <c r="A1132" s="6" t="s">
        <v>630</v>
      </c>
      <c r="B1132" s="36">
        <v>14</v>
      </c>
      <c r="C1132" s="37">
        <v>10</v>
      </c>
      <c r="D1132" s="36">
        <v>17</v>
      </c>
      <c r="E1132" s="20">
        <f t="shared" si="451"/>
        <v>41</v>
      </c>
      <c r="F1132" s="13">
        <v>14</v>
      </c>
      <c r="G1132" s="12">
        <v>10</v>
      </c>
      <c r="H1132" s="13">
        <v>17</v>
      </c>
      <c r="I1132" s="20">
        <f t="shared" si="452"/>
        <v>41</v>
      </c>
      <c r="J1132" s="49">
        <v>44853</v>
      </c>
      <c r="K1132" s="6" t="s">
        <v>3</v>
      </c>
      <c r="L1132" s="36"/>
      <c r="M1132" s="37"/>
      <c r="N1132" s="36"/>
      <c r="O1132" s="20">
        <f t="shared" si="453"/>
        <v>0</v>
      </c>
      <c r="P1132" s="13"/>
      <c r="Q1132" s="12"/>
      <c r="R1132" s="13"/>
      <c r="S1132" s="20">
        <f t="shared" si="454"/>
        <v>0</v>
      </c>
      <c r="U1132" s="6" t="s">
        <v>3</v>
      </c>
      <c r="V1132" s="13"/>
      <c r="W1132" s="12"/>
      <c r="X1132" s="13"/>
      <c r="Y1132" s="20">
        <f t="shared" si="455"/>
        <v>0</v>
      </c>
      <c r="Z1132" s="13"/>
      <c r="AA1132" s="12"/>
      <c r="AB1132" s="13"/>
      <c r="AC1132" s="20">
        <f t="shared" si="456"/>
        <v>0</v>
      </c>
      <c r="AD1132" s="13"/>
      <c r="AE1132" s="12"/>
      <c r="AF1132" s="13"/>
      <c r="AG1132" s="20">
        <f t="shared" si="457"/>
        <v>0</v>
      </c>
    </row>
    <row r="1133" spans="1:34" ht="14.25" thickBot="1">
      <c r="A1133" s="23" t="s">
        <v>4</v>
      </c>
      <c r="B1133" s="24">
        <f>SUM(B1122:B1132)</f>
        <v>26</v>
      </c>
      <c r="C1133" s="24">
        <f>SUM(C1122:C1132)</f>
        <v>22</v>
      </c>
      <c r="D1133" s="25">
        <f>SUM(D1122:D1132)</f>
        <v>29</v>
      </c>
      <c r="E1133" s="26">
        <f t="shared" si="451"/>
        <v>77</v>
      </c>
      <c r="F1133" s="24">
        <f>SUM(F1122:F1132)</f>
        <v>26</v>
      </c>
      <c r="G1133" s="24">
        <f>SUM(G1122:G1132)</f>
        <v>22</v>
      </c>
      <c r="H1133" s="25">
        <f>SUM(H1122:H1132)</f>
        <v>29</v>
      </c>
      <c r="I1133" s="26">
        <f t="shared" si="452"/>
        <v>77</v>
      </c>
      <c r="K1133" s="23" t="s">
        <v>4</v>
      </c>
      <c r="L1133" s="24">
        <f>SUM(L1122:L1132)</f>
        <v>142</v>
      </c>
      <c r="M1133" s="24">
        <f>SUM(M1122:M1132)</f>
        <v>64</v>
      </c>
      <c r="N1133" s="25">
        <f>SUM(N1122:N1132)</f>
        <v>140</v>
      </c>
      <c r="O1133" s="26">
        <f t="shared" si="453"/>
        <v>346</v>
      </c>
      <c r="P1133" s="24">
        <f>SUM(P1122:P1132)</f>
        <v>142</v>
      </c>
      <c r="Q1133" s="24">
        <f>SUM(Q1122:Q1132)</f>
        <v>64</v>
      </c>
      <c r="R1133" s="25">
        <f>SUM(R1122:R1132)</f>
        <v>140</v>
      </c>
      <c r="S1133" s="26">
        <f t="shared" si="454"/>
        <v>346</v>
      </c>
      <c r="U1133" s="23" t="s">
        <v>4</v>
      </c>
      <c r="V1133" s="24">
        <f>SUM(V1122:V1132)</f>
        <v>16</v>
      </c>
      <c r="W1133" s="24">
        <f>SUM(W1122:W1132)</f>
        <v>60</v>
      </c>
      <c r="X1133" s="25">
        <f>SUM(X1122:X1132)</f>
        <v>17</v>
      </c>
      <c r="Y1133" s="26">
        <f t="shared" si="455"/>
        <v>93</v>
      </c>
      <c r="Z1133" s="24">
        <f>SUM(Z1122:Z1132)</f>
        <v>16</v>
      </c>
      <c r="AA1133" s="24">
        <f>SUM(AA1122:AA1132)</f>
        <v>60</v>
      </c>
      <c r="AB1133" s="25">
        <f>SUM(AB1122:AB1132)</f>
        <v>17</v>
      </c>
      <c r="AC1133" s="26">
        <f t="shared" si="456"/>
        <v>93</v>
      </c>
      <c r="AD1133" s="24">
        <f>SUM(AD1122:AD1132)</f>
        <v>16</v>
      </c>
      <c r="AE1133" s="24">
        <f>SUM(AE1122:AE1132)</f>
        <v>60</v>
      </c>
      <c r="AF1133" s="25">
        <f>SUM(AF1122:AF1132)</f>
        <v>17</v>
      </c>
      <c r="AG1133" s="26">
        <f t="shared" si="457"/>
        <v>93</v>
      </c>
    </row>
    <row r="1134" spans="1:34">
      <c r="A1134" s="3" t="s">
        <v>35</v>
      </c>
      <c r="B1134" s="8"/>
      <c r="C1134" s="9">
        <v>-1</v>
      </c>
      <c r="D1134" s="10">
        <v>1</v>
      </c>
      <c r="E1134" s="4">
        <f t="shared" si="451"/>
        <v>0</v>
      </c>
      <c r="F1134" s="8"/>
      <c r="G1134" s="9">
        <v>-1</v>
      </c>
      <c r="H1134" s="10">
        <v>1</v>
      </c>
      <c r="I1134" s="4">
        <f t="shared" si="452"/>
        <v>0</v>
      </c>
      <c r="J1134" s="43">
        <v>44812</v>
      </c>
      <c r="K1134" s="11" t="s">
        <v>609</v>
      </c>
      <c r="L1134" s="8"/>
      <c r="M1134" s="9"/>
      <c r="N1134" s="10">
        <v>1</v>
      </c>
      <c r="O1134" s="7">
        <f t="shared" si="453"/>
        <v>1</v>
      </c>
      <c r="P1134" s="8"/>
      <c r="Q1134" s="9"/>
      <c r="R1134" s="10">
        <v>1</v>
      </c>
      <c r="S1134" s="7">
        <f t="shared" si="454"/>
        <v>1</v>
      </c>
      <c r="T1134" s="43">
        <v>44809</v>
      </c>
      <c r="U1134" s="3" t="s">
        <v>610</v>
      </c>
      <c r="V1134" s="32"/>
      <c r="W1134" s="31"/>
      <c r="X1134" s="32">
        <v>1</v>
      </c>
      <c r="Y1134" s="4">
        <f t="shared" si="455"/>
        <v>1</v>
      </c>
      <c r="Z1134" s="32"/>
      <c r="AA1134" s="31"/>
      <c r="AB1134" s="32">
        <v>1</v>
      </c>
      <c r="AC1134" s="4">
        <f t="shared" si="456"/>
        <v>1</v>
      </c>
      <c r="AD1134" s="8"/>
      <c r="AE1134" s="9"/>
      <c r="AF1134" s="10">
        <v>1</v>
      </c>
      <c r="AG1134" s="7">
        <f t="shared" si="457"/>
        <v>1</v>
      </c>
      <c r="AH1134" s="43">
        <v>44810</v>
      </c>
    </row>
    <row r="1135" spans="1:34">
      <c r="A1135" s="3" t="s">
        <v>606</v>
      </c>
      <c r="B1135" s="8"/>
      <c r="C1135" s="9">
        <v>1</v>
      </c>
      <c r="D1135" s="10"/>
      <c r="E1135" s="4">
        <f t="shared" si="451"/>
        <v>1</v>
      </c>
      <c r="F1135" s="8"/>
      <c r="G1135" s="9">
        <v>1</v>
      </c>
      <c r="H1135" s="10"/>
      <c r="I1135" s="4">
        <f t="shared" si="452"/>
        <v>1</v>
      </c>
      <c r="J1135" s="43">
        <v>44810</v>
      </c>
      <c r="K1135" s="11" t="s">
        <v>399</v>
      </c>
      <c r="L1135" s="8">
        <v>1</v>
      </c>
      <c r="M1135" s="9">
        <v>1</v>
      </c>
      <c r="N1135" s="10">
        <v>6</v>
      </c>
      <c r="O1135" s="4">
        <f t="shared" si="453"/>
        <v>8</v>
      </c>
      <c r="P1135" s="8">
        <v>1</v>
      </c>
      <c r="Q1135" s="9">
        <v>1</v>
      </c>
      <c r="R1135" s="10">
        <v>6</v>
      </c>
      <c r="S1135" s="4">
        <f t="shared" si="454"/>
        <v>8</v>
      </c>
      <c r="T1135" s="43">
        <v>44810</v>
      </c>
      <c r="U1135" s="3" t="s">
        <v>644</v>
      </c>
      <c r="V1135" s="8"/>
      <c r="W1135" s="9"/>
      <c r="X1135" s="10">
        <v>1</v>
      </c>
      <c r="Y1135" s="4">
        <f t="shared" si="455"/>
        <v>1</v>
      </c>
      <c r="Z1135" s="8"/>
      <c r="AA1135" s="9"/>
      <c r="AB1135" s="10">
        <v>1</v>
      </c>
      <c r="AC1135" s="4">
        <f t="shared" si="456"/>
        <v>1</v>
      </c>
      <c r="AD1135" s="8"/>
      <c r="AE1135" s="9"/>
      <c r="AF1135" s="10">
        <v>1</v>
      </c>
      <c r="AG1135" s="4">
        <f t="shared" si="457"/>
        <v>1</v>
      </c>
      <c r="AH1135" s="43">
        <v>44936</v>
      </c>
    </row>
    <row r="1136" spans="1:34">
      <c r="A1136" s="3" t="s">
        <v>611</v>
      </c>
      <c r="B1136" s="8">
        <v>1</v>
      </c>
      <c r="C1136" s="9">
        <v>1</v>
      </c>
      <c r="D1136" s="10"/>
      <c r="E1136" s="7">
        <f t="shared" si="451"/>
        <v>2</v>
      </c>
      <c r="F1136" s="8">
        <v>1</v>
      </c>
      <c r="G1136" s="9">
        <v>1</v>
      </c>
      <c r="H1136" s="10"/>
      <c r="I1136" s="7">
        <f t="shared" si="452"/>
        <v>2</v>
      </c>
      <c r="J1136" s="43">
        <v>44810</v>
      </c>
      <c r="K1136" s="11" t="s">
        <v>400</v>
      </c>
      <c r="L1136" s="8">
        <v>1</v>
      </c>
      <c r="M1136" s="9"/>
      <c r="N1136" s="10">
        <v>1</v>
      </c>
      <c r="O1136" s="7">
        <f t="shared" si="453"/>
        <v>2</v>
      </c>
      <c r="P1136" s="8">
        <v>1</v>
      </c>
      <c r="Q1136" s="9"/>
      <c r="R1136" s="10">
        <v>1</v>
      </c>
      <c r="S1136" s="7">
        <f t="shared" si="454"/>
        <v>2</v>
      </c>
      <c r="T1136" s="43">
        <v>44811</v>
      </c>
      <c r="U1136" s="40"/>
      <c r="V1136" s="8"/>
      <c r="W1136" s="9"/>
      <c r="X1136" s="10"/>
      <c r="Y1136" s="7">
        <f t="shared" si="455"/>
        <v>0</v>
      </c>
      <c r="Z1136" s="8"/>
      <c r="AA1136" s="9"/>
      <c r="AB1136" s="10"/>
      <c r="AC1136" s="7">
        <f t="shared" si="456"/>
        <v>0</v>
      </c>
      <c r="AD1136" s="8"/>
      <c r="AE1136" s="9"/>
      <c r="AF1136" s="10"/>
      <c r="AG1136" s="7">
        <f t="shared" si="457"/>
        <v>0</v>
      </c>
    </row>
    <row r="1137" spans="1:33">
      <c r="A1137" s="3" t="s">
        <v>128</v>
      </c>
      <c r="B1137" s="8"/>
      <c r="C1137" s="9">
        <v>1</v>
      </c>
      <c r="D1137" s="10"/>
      <c r="E1137" s="4">
        <f t="shared" si="451"/>
        <v>1</v>
      </c>
      <c r="F1137" s="8"/>
      <c r="G1137" s="9">
        <v>1</v>
      </c>
      <c r="H1137" s="10"/>
      <c r="I1137" s="4">
        <f t="shared" si="452"/>
        <v>1</v>
      </c>
      <c r="J1137" s="49">
        <v>44812</v>
      </c>
      <c r="K1137" s="11" t="s">
        <v>613</v>
      </c>
      <c r="L1137" s="8"/>
      <c r="M1137" s="9">
        <v>1</v>
      </c>
      <c r="N1137" s="10"/>
      <c r="O1137" s="4">
        <f t="shared" si="453"/>
        <v>1</v>
      </c>
      <c r="P1137" s="8"/>
      <c r="Q1137" s="9">
        <v>1</v>
      </c>
      <c r="R1137" s="10"/>
      <c r="S1137" s="4">
        <f t="shared" si="454"/>
        <v>1</v>
      </c>
      <c r="T1137" s="43">
        <v>44812</v>
      </c>
      <c r="U1137" s="40"/>
      <c r="V1137" s="8"/>
      <c r="W1137" s="9"/>
      <c r="X1137" s="10"/>
      <c r="Y1137" s="4">
        <f t="shared" si="455"/>
        <v>0</v>
      </c>
      <c r="Z1137" s="8"/>
      <c r="AA1137" s="9"/>
      <c r="AB1137" s="10"/>
      <c r="AC1137" s="4">
        <f t="shared" si="456"/>
        <v>0</v>
      </c>
      <c r="AD1137" s="8"/>
      <c r="AE1137" s="9"/>
      <c r="AF1137" s="10"/>
      <c r="AG1137" s="4">
        <f t="shared" si="457"/>
        <v>0</v>
      </c>
    </row>
    <row r="1138" spans="1:33">
      <c r="A1138" s="11" t="s">
        <v>408</v>
      </c>
      <c r="B1138" s="8"/>
      <c r="C1138" s="9"/>
      <c r="D1138" s="10">
        <v>1</v>
      </c>
      <c r="E1138" s="4">
        <f t="shared" si="451"/>
        <v>1</v>
      </c>
      <c r="F1138" s="8"/>
      <c r="G1138" s="9"/>
      <c r="H1138" s="10">
        <v>1</v>
      </c>
      <c r="I1138" s="4">
        <f t="shared" si="452"/>
        <v>1</v>
      </c>
      <c r="J1138" s="43">
        <v>44818</v>
      </c>
      <c r="K1138" s="3" t="s">
        <v>614</v>
      </c>
      <c r="L1138" s="8"/>
      <c r="M1138" s="9"/>
      <c r="N1138" s="10">
        <v>1</v>
      </c>
      <c r="O1138" s="4">
        <f t="shared" si="453"/>
        <v>1</v>
      </c>
      <c r="P1138" s="8"/>
      <c r="Q1138" s="9"/>
      <c r="R1138" s="10">
        <v>1</v>
      </c>
      <c r="S1138" s="4">
        <f t="shared" si="454"/>
        <v>1</v>
      </c>
      <c r="T1138" s="43">
        <v>44812</v>
      </c>
      <c r="U1138" s="3"/>
      <c r="V1138" s="8"/>
      <c r="W1138" s="9"/>
      <c r="X1138" s="10"/>
      <c r="Y1138" s="4">
        <f t="shared" si="455"/>
        <v>0</v>
      </c>
      <c r="Z1138" s="8"/>
      <c r="AA1138" s="9"/>
      <c r="AB1138" s="10"/>
      <c r="AC1138" s="4">
        <f t="shared" si="456"/>
        <v>0</v>
      </c>
      <c r="AD1138" s="8"/>
      <c r="AE1138" s="9"/>
      <c r="AF1138" s="10"/>
      <c r="AG1138" s="4">
        <f t="shared" si="457"/>
        <v>0</v>
      </c>
    </row>
    <row r="1139" spans="1:33">
      <c r="A1139" s="3" t="s">
        <v>616</v>
      </c>
      <c r="B1139" s="8"/>
      <c r="C1139" s="9"/>
      <c r="D1139" s="10">
        <v>1</v>
      </c>
      <c r="E1139" s="7">
        <f t="shared" si="451"/>
        <v>1</v>
      </c>
      <c r="F1139" s="8"/>
      <c r="G1139" s="9"/>
      <c r="H1139" s="10">
        <v>1</v>
      </c>
      <c r="I1139" s="7">
        <f t="shared" si="452"/>
        <v>1</v>
      </c>
      <c r="J1139" s="43">
        <v>44820</v>
      </c>
      <c r="K1139" s="11" t="s">
        <v>615</v>
      </c>
      <c r="L1139" s="8"/>
      <c r="M1139" s="9"/>
      <c r="N1139" s="10">
        <v>1</v>
      </c>
      <c r="O1139" s="7">
        <f t="shared" si="453"/>
        <v>1</v>
      </c>
      <c r="P1139" s="8"/>
      <c r="Q1139" s="9"/>
      <c r="R1139" s="10">
        <v>1</v>
      </c>
      <c r="S1139" s="7">
        <f t="shared" si="454"/>
        <v>1</v>
      </c>
      <c r="T1139" s="43">
        <v>44817</v>
      </c>
      <c r="U1139" s="3"/>
      <c r="V1139" s="8"/>
      <c r="W1139" s="9"/>
      <c r="X1139" s="10"/>
      <c r="Y1139" s="7">
        <f t="shared" si="455"/>
        <v>0</v>
      </c>
      <c r="Z1139" s="8"/>
      <c r="AA1139" s="9"/>
      <c r="AB1139" s="10"/>
      <c r="AC1139" s="7">
        <f t="shared" si="456"/>
        <v>0</v>
      </c>
      <c r="AD1139" s="8"/>
      <c r="AE1139" s="9"/>
      <c r="AF1139" s="10"/>
      <c r="AG1139" s="7">
        <f t="shared" si="457"/>
        <v>0</v>
      </c>
    </row>
    <row r="1140" spans="1:33">
      <c r="A1140" s="11" t="s">
        <v>618</v>
      </c>
      <c r="B1140" s="8"/>
      <c r="C1140" s="9">
        <v>1</v>
      </c>
      <c r="D1140" s="10"/>
      <c r="E1140" s="7">
        <f t="shared" si="451"/>
        <v>1</v>
      </c>
      <c r="F1140" s="8"/>
      <c r="G1140" s="9">
        <v>1</v>
      </c>
      <c r="H1140" s="10"/>
      <c r="I1140" s="7">
        <f t="shared" si="452"/>
        <v>1</v>
      </c>
      <c r="J1140" s="43">
        <v>44826</v>
      </c>
      <c r="K1140" s="11" t="s">
        <v>409</v>
      </c>
      <c r="L1140" s="8"/>
      <c r="M1140" s="9"/>
      <c r="N1140" s="10">
        <v>3</v>
      </c>
      <c r="O1140" s="7">
        <f t="shared" si="453"/>
        <v>3</v>
      </c>
      <c r="P1140" s="8"/>
      <c r="Q1140" s="9"/>
      <c r="R1140" s="10">
        <v>3</v>
      </c>
      <c r="S1140" s="7">
        <f t="shared" si="454"/>
        <v>3</v>
      </c>
      <c r="T1140" s="43">
        <v>44820</v>
      </c>
      <c r="U1140" s="3"/>
      <c r="V1140" s="8"/>
      <c r="W1140" s="9"/>
      <c r="X1140" s="10"/>
      <c r="Y1140" s="7">
        <f t="shared" si="455"/>
        <v>0</v>
      </c>
      <c r="Z1140" s="8"/>
      <c r="AA1140" s="9"/>
      <c r="AB1140" s="10"/>
      <c r="AC1140" s="7">
        <f t="shared" si="456"/>
        <v>0</v>
      </c>
      <c r="AD1140" s="8"/>
      <c r="AE1140" s="9"/>
      <c r="AF1140" s="10"/>
      <c r="AG1140" s="7">
        <f t="shared" si="457"/>
        <v>0</v>
      </c>
    </row>
    <row r="1141" spans="1:33">
      <c r="A1141" s="11" t="s">
        <v>623</v>
      </c>
      <c r="B1141" s="8"/>
      <c r="C1141" s="9">
        <v>1</v>
      </c>
      <c r="D1141" s="10"/>
      <c r="E1141" s="7">
        <f t="shared" si="451"/>
        <v>1</v>
      </c>
      <c r="F1141" s="8"/>
      <c r="G1141" s="9">
        <v>1</v>
      </c>
      <c r="H1141" s="10"/>
      <c r="I1141" s="7">
        <f t="shared" si="452"/>
        <v>1</v>
      </c>
      <c r="J1141" s="43">
        <v>44831</v>
      </c>
      <c r="K1141" s="3" t="s">
        <v>617</v>
      </c>
      <c r="L1141" s="8"/>
      <c r="M1141" s="9"/>
      <c r="N1141" s="10">
        <v>3</v>
      </c>
      <c r="O1141" s="7">
        <f t="shared" si="453"/>
        <v>3</v>
      </c>
      <c r="P1141" s="8"/>
      <c r="Q1141" s="9"/>
      <c r="R1141" s="10">
        <v>3</v>
      </c>
      <c r="S1141" s="7">
        <f t="shared" si="454"/>
        <v>3</v>
      </c>
      <c r="T1141" s="43">
        <v>44820</v>
      </c>
      <c r="U1141" s="3"/>
      <c r="V1141" s="8"/>
      <c r="W1141" s="9"/>
      <c r="X1141" s="10"/>
      <c r="Y1141" s="7">
        <f t="shared" si="455"/>
        <v>0</v>
      </c>
      <c r="Z1141" s="8"/>
      <c r="AA1141" s="9"/>
      <c r="AB1141" s="10"/>
      <c r="AC1141" s="7">
        <f t="shared" si="456"/>
        <v>0</v>
      </c>
      <c r="AD1141" s="8"/>
      <c r="AE1141" s="9"/>
      <c r="AF1141" s="10"/>
      <c r="AG1141" s="7">
        <f t="shared" si="457"/>
        <v>0</v>
      </c>
    </row>
    <row r="1142" spans="1:33">
      <c r="A1142" s="11" t="s">
        <v>625</v>
      </c>
      <c r="B1142" s="8"/>
      <c r="C1142" s="9"/>
      <c r="D1142" s="10">
        <v>1</v>
      </c>
      <c r="E1142" s="7">
        <f t="shared" si="451"/>
        <v>1</v>
      </c>
      <c r="F1142" s="8"/>
      <c r="G1142" s="9"/>
      <c r="H1142" s="10">
        <v>1</v>
      </c>
      <c r="I1142" s="7">
        <f t="shared" si="452"/>
        <v>1</v>
      </c>
      <c r="J1142" s="43">
        <v>44832</v>
      </c>
      <c r="K1142" s="3" t="s">
        <v>619</v>
      </c>
      <c r="L1142" s="8"/>
      <c r="M1142" s="9"/>
      <c r="N1142" s="10">
        <v>1</v>
      </c>
      <c r="O1142" s="7">
        <f t="shared" si="453"/>
        <v>1</v>
      </c>
      <c r="P1142" s="8"/>
      <c r="Q1142" s="9"/>
      <c r="R1142" s="10">
        <v>1</v>
      </c>
      <c r="S1142" s="7">
        <f t="shared" si="454"/>
        <v>1</v>
      </c>
      <c r="T1142" s="43">
        <v>44830</v>
      </c>
      <c r="U1142" s="3"/>
      <c r="V1142" s="8"/>
      <c r="W1142" s="9"/>
      <c r="X1142" s="10"/>
      <c r="Y1142" s="7">
        <f t="shared" si="455"/>
        <v>0</v>
      </c>
      <c r="Z1142" s="8"/>
      <c r="AA1142" s="9"/>
      <c r="AB1142" s="10"/>
      <c r="AC1142" s="7">
        <f t="shared" si="456"/>
        <v>0</v>
      </c>
      <c r="AD1142" s="8"/>
      <c r="AE1142" s="9"/>
      <c r="AF1142" s="10"/>
      <c r="AG1142" s="7">
        <f t="shared" si="457"/>
        <v>0</v>
      </c>
    </row>
    <row r="1143" spans="1:33">
      <c r="A1143" s="3" t="s">
        <v>128</v>
      </c>
      <c r="B1143" s="8">
        <v>6</v>
      </c>
      <c r="C1143" s="9"/>
      <c r="D1143" s="10">
        <v>4</v>
      </c>
      <c r="E1143" s="7">
        <f t="shared" si="451"/>
        <v>10</v>
      </c>
      <c r="F1143" s="8">
        <v>6</v>
      </c>
      <c r="G1143" s="9"/>
      <c r="H1143" s="10">
        <v>4</v>
      </c>
      <c r="I1143" s="7">
        <f t="shared" si="452"/>
        <v>10</v>
      </c>
      <c r="J1143" s="49">
        <v>44833</v>
      </c>
      <c r="K1143" s="11" t="s">
        <v>626</v>
      </c>
      <c r="L1143" s="8"/>
      <c r="M1143" s="9">
        <v>2</v>
      </c>
      <c r="N1143" s="10">
        <v>1</v>
      </c>
      <c r="O1143" s="7">
        <f t="shared" si="453"/>
        <v>3</v>
      </c>
      <c r="P1143" s="8"/>
      <c r="Q1143" s="9">
        <v>2</v>
      </c>
      <c r="R1143" s="10">
        <v>1</v>
      </c>
      <c r="S1143" s="7">
        <f t="shared" si="454"/>
        <v>3</v>
      </c>
      <c r="T1143" s="43">
        <v>44833</v>
      </c>
      <c r="U1143" s="3"/>
      <c r="V1143" s="8"/>
      <c r="W1143" s="9"/>
      <c r="X1143" s="10"/>
      <c r="Y1143" s="7">
        <f t="shared" si="455"/>
        <v>0</v>
      </c>
      <c r="Z1143" s="8"/>
      <c r="AA1143" s="9"/>
      <c r="AB1143" s="10"/>
      <c r="AC1143" s="7">
        <f t="shared" si="456"/>
        <v>0</v>
      </c>
      <c r="AD1143" s="8"/>
      <c r="AE1143" s="9"/>
      <c r="AF1143" s="10"/>
      <c r="AG1143" s="7">
        <f t="shared" si="457"/>
        <v>0</v>
      </c>
    </row>
    <row r="1144" spans="1:33">
      <c r="A1144" s="3" t="s">
        <v>627</v>
      </c>
      <c r="B1144" s="8">
        <v>1</v>
      </c>
      <c r="C1144" s="9"/>
      <c r="D1144" s="10"/>
      <c r="E1144" s="7">
        <f t="shared" si="451"/>
        <v>1</v>
      </c>
      <c r="F1144" s="8">
        <v>1</v>
      </c>
      <c r="G1144" s="9"/>
      <c r="H1144" s="10"/>
      <c r="I1144" s="7">
        <f t="shared" si="452"/>
        <v>1</v>
      </c>
      <c r="J1144" s="49">
        <v>44837</v>
      </c>
      <c r="K1144" s="11" t="s">
        <v>629</v>
      </c>
      <c r="L1144" s="59">
        <v>1</v>
      </c>
      <c r="M1144" s="9"/>
      <c r="N1144" s="10">
        <v>1</v>
      </c>
      <c r="O1144" s="7">
        <f t="shared" si="453"/>
        <v>2</v>
      </c>
      <c r="P1144" s="8">
        <v>1</v>
      </c>
      <c r="Q1144" s="9"/>
      <c r="R1144" s="10">
        <v>1</v>
      </c>
      <c r="S1144" s="7">
        <f t="shared" si="454"/>
        <v>2</v>
      </c>
      <c r="T1144" s="43">
        <v>44840</v>
      </c>
      <c r="U1144" s="3"/>
      <c r="V1144" s="30"/>
      <c r="W1144" s="9"/>
      <c r="X1144" s="10"/>
      <c r="Y1144" s="7">
        <f t="shared" si="455"/>
        <v>0</v>
      </c>
      <c r="Z1144" s="8"/>
      <c r="AA1144" s="9"/>
      <c r="AB1144" s="10"/>
      <c r="AC1144" s="7">
        <f t="shared" si="456"/>
        <v>0</v>
      </c>
      <c r="AD1144" s="8"/>
      <c r="AE1144" s="9"/>
      <c r="AF1144" s="10"/>
      <c r="AG1144" s="7">
        <f t="shared" si="457"/>
        <v>0</v>
      </c>
    </row>
    <row r="1145" spans="1:33">
      <c r="A1145" s="11" t="s">
        <v>628</v>
      </c>
      <c r="B1145" s="8">
        <v>1</v>
      </c>
      <c r="C1145" s="9"/>
      <c r="D1145" s="10"/>
      <c r="E1145" s="7">
        <f t="shared" si="451"/>
        <v>1</v>
      </c>
      <c r="F1145" s="8">
        <v>1</v>
      </c>
      <c r="G1145" s="9"/>
      <c r="H1145" s="10"/>
      <c r="I1145" s="7">
        <f t="shared" si="452"/>
        <v>1</v>
      </c>
      <c r="J1145" s="43">
        <v>44838</v>
      </c>
      <c r="K1145" s="11" t="s">
        <v>633</v>
      </c>
      <c r="L1145" s="8">
        <v>1</v>
      </c>
      <c r="M1145" s="9"/>
      <c r="N1145" s="10"/>
      <c r="O1145" s="7">
        <f t="shared" si="453"/>
        <v>1</v>
      </c>
      <c r="P1145" s="8">
        <v>1</v>
      </c>
      <c r="Q1145" s="9"/>
      <c r="R1145" s="10"/>
      <c r="S1145" s="7">
        <f t="shared" si="454"/>
        <v>1</v>
      </c>
      <c r="T1145" s="43">
        <v>44867</v>
      </c>
      <c r="U1145" s="3"/>
      <c r="V1145" s="8"/>
      <c r="W1145" s="9"/>
      <c r="X1145" s="10"/>
      <c r="Y1145" s="7">
        <f t="shared" si="455"/>
        <v>0</v>
      </c>
      <c r="Z1145" s="8"/>
      <c r="AA1145" s="9"/>
      <c r="AB1145" s="10"/>
      <c r="AC1145" s="7">
        <f t="shared" si="456"/>
        <v>0</v>
      </c>
      <c r="AD1145" s="8"/>
      <c r="AE1145" s="9"/>
      <c r="AF1145" s="10"/>
      <c r="AG1145" s="7">
        <f t="shared" si="457"/>
        <v>0</v>
      </c>
    </row>
    <row r="1146" spans="1:33">
      <c r="A1146" s="3" t="s">
        <v>631</v>
      </c>
      <c r="B1146" s="8"/>
      <c r="C1146" s="9">
        <v>-1</v>
      </c>
      <c r="D1146" s="10"/>
      <c r="E1146" s="7">
        <f t="shared" si="451"/>
        <v>-1</v>
      </c>
      <c r="F1146" s="8"/>
      <c r="G1146" s="9">
        <v>-1</v>
      </c>
      <c r="H1146" s="10"/>
      <c r="I1146" s="7">
        <f t="shared" si="452"/>
        <v>-1</v>
      </c>
      <c r="J1146" s="49">
        <v>44855</v>
      </c>
      <c r="K1146" s="3" t="s">
        <v>634</v>
      </c>
      <c r="L1146" s="8">
        <v>1</v>
      </c>
      <c r="M1146" s="9"/>
      <c r="N1146" s="10"/>
      <c r="O1146" s="7">
        <f t="shared" si="453"/>
        <v>1</v>
      </c>
      <c r="P1146" s="8">
        <v>1</v>
      </c>
      <c r="Q1146" s="9"/>
      <c r="R1146" s="10"/>
      <c r="S1146" s="7">
        <f t="shared" si="454"/>
        <v>1</v>
      </c>
      <c r="T1146" s="43">
        <v>44869</v>
      </c>
      <c r="U1146" s="3"/>
      <c r="V1146" s="8"/>
      <c r="W1146" s="9"/>
      <c r="X1146" s="10"/>
      <c r="Y1146" s="7">
        <f t="shared" si="455"/>
        <v>0</v>
      </c>
      <c r="Z1146" s="8"/>
      <c r="AA1146" s="9"/>
      <c r="AB1146" s="10"/>
      <c r="AC1146" s="7">
        <f t="shared" si="456"/>
        <v>0</v>
      </c>
      <c r="AD1146" s="8"/>
      <c r="AE1146" s="9"/>
      <c r="AF1146" s="10"/>
      <c r="AG1146" s="7">
        <f t="shared" si="457"/>
        <v>0</v>
      </c>
    </row>
    <row r="1147" spans="1:33">
      <c r="A1147" s="3" t="s">
        <v>632</v>
      </c>
      <c r="B1147" s="8">
        <v>1</v>
      </c>
      <c r="C1147" s="9"/>
      <c r="D1147" s="10"/>
      <c r="E1147" s="7">
        <f t="shared" si="451"/>
        <v>1</v>
      </c>
      <c r="F1147" s="8">
        <v>1</v>
      </c>
      <c r="G1147" s="9"/>
      <c r="H1147" s="10"/>
      <c r="I1147" s="7">
        <f t="shared" si="452"/>
        <v>1</v>
      </c>
      <c r="J1147" s="49">
        <v>44862</v>
      </c>
      <c r="K1147" s="3" t="s">
        <v>642</v>
      </c>
      <c r="L1147" s="8">
        <v>5</v>
      </c>
      <c r="M1147" s="9"/>
      <c r="N1147" s="10"/>
      <c r="O1147" s="7">
        <f t="shared" si="453"/>
        <v>5</v>
      </c>
      <c r="P1147" s="8">
        <v>5</v>
      </c>
      <c r="Q1147" s="9"/>
      <c r="R1147" s="10"/>
      <c r="S1147" s="7">
        <f t="shared" si="454"/>
        <v>5</v>
      </c>
      <c r="T1147" s="43">
        <v>44922</v>
      </c>
      <c r="U1147" s="3"/>
      <c r="V1147" s="8"/>
      <c r="W1147" s="9"/>
      <c r="X1147" s="10"/>
      <c r="Y1147" s="7">
        <f t="shared" si="455"/>
        <v>0</v>
      </c>
      <c r="Z1147" s="8"/>
      <c r="AA1147" s="9"/>
      <c r="AB1147" s="10"/>
      <c r="AC1147" s="7">
        <f t="shared" si="456"/>
        <v>0</v>
      </c>
      <c r="AD1147" s="8"/>
      <c r="AE1147" s="9"/>
      <c r="AF1147" s="10"/>
      <c r="AG1147" s="7">
        <f t="shared" si="457"/>
        <v>0</v>
      </c>
    </row>
    <row r="1148" spans="1:33">
      <c r="A1148" s="3" t="s">
        <v>128</v>
      </c>
      <c r="B1148" s="8">
        <v>14</v>
      </c>
      <c r="C1148" s="9">
        <v>10</v>
      </c>
      <c r="D1148" s="10">
        <v>17</v>
      </c>
      <c r="E1148" s="7">
        <f t="shared" si="451"/>
        <v>41</v>
      </c>
      <c r="F1148" s="8">
        <v>14</v>
      </c>
      <c r="G1148" s="9">
        <v>10</v>
      </c>
      <c r="H1148" s="10">
        <v>17</v>
      </c>
      <c r="I1148" s="7">
        <f t="shared" si="452"/>
        <v>41</v>
      </c>
      <c r="J1148" s="49">
        <v>44863</v>
      </c>
      <c r="K1148" s="3" t="s">
        <v>295</v>
      </c>
      <c r="L1148" s="8"/>
      <c r="M1148" s="9"/>
      <c r="N1148" s="10">
        <v>17</v>
      </c>
      <c r="O1148" s="7">
        <f t="shared" si="453"/>
        <v>17</v>
      </c>
      <c r="P1148" s="8"/>
      <c r="Q1148" s="9"/>
      <c r="R1148" s="10">
        <v>17</v>
      </c>
      <c r="S1148" s="7">
        <f t="shared" si="454"/>
        <v>17</v>
      </c>
      <c r="T1148" s="43">
        <v>44993</v>
      </c>
      <c r="U1148" s="3"/>
      <c r="V1148" s="8"/>
      <c r="W1148" s="9"/>
      <c r="X1148" s="10"/>
      <c r="Y1148" s="7">
        <f t="shared" si="455"/>
        <v>0</v>
      </c>
      <c r="Z1148" s="8"/>
      <c r="AA1148" s="9"/>
      <c r="AB1148" s="10"/>
      <c r="AC1148" s="7">
        <f t="shared" si="456"/>
        <v>0</v>
      </c>
      <c r="AD1148" s="8"/>
      <c r="AE1148" s="9"/>
      <c r="AF1148" s="10"/>
      <c r="AG1148" s="7">
        <f t="shared" si="457"/>
        <v>0</v>
      </c>
    </row>
    <row r="1149" spans="1:33">
      <c r="A1149" s="11" t="s">
        <v>636</v>
      </c>
      <c r="B1149" s="8">
        <v>1</v>
      </c>
      <c r="C1149" s="9"/>
      <c r="D1149" s="10"/>
      <c r="E1149" s="7">
        <f t="shared" si="451"/>
        <v>1</v>
      </c>
      <c r="F1149" s="8">
        <v>1</v>
      </c>
      <c r="G1149" s="9"/>
      <c r="H1149" s="10"/>
      <c r="I1149" s="7">
        <f t="shared" si="452"/>
        <v>1</v>
      </c>
      <c r="J1149" s="43">
        <v>44889</v>
      </c>
      <c r="K1149" s="3" t="s">
        <v>295</v>
      </c>
      <c r="L1149" s="8">
        <v>14</v>
      </c>
      <c r="M1149" s="9">
        <v>10</v>
      </c>
      <c r="N1149" s="10"/>
      <c r="O1149" s="7">
        <f t="shared" si="453"/>
        <v>24</v>
      </c>
      <c r="P1149" s="8">
        <v>14</v>
      </c>
      <c r="Q1149" s="9">
        <v>10</v>
      </c>
      <c r="R1149" s="10"/>
      <c r="S1149" s="7">
        <f t="shared" si="454"/>
        <v>24</v>
      </c>
      <c r="T1149" s="43">
        <v>44999</v>
      </c>
      <c r="U1149" s="3"/>
      <c r="V1149" s="8"/>
      <c r="W1149" s="9"/>
      <c r="X1149" s="10"/>
      <c r="Y1149" s="7">
        <f t="shared" si="455"/>
        <v>0</v>
      </c>
      <c r="Z1149" s="8"/>
      <c r="AA1149" s="9"/>
      <c r="AB1149" s="10"/>
      <c r="AC1149" s="7">
        <f t="shared" si="456"/>
        <v>0</v>
      </c>
      <c r="AD1149" s="8"/>
      <c r="AE1149" s="9"/>
      <c r="AF1149" s="10"/>
      <c r="AG1149" s="7">
        <f t="shared" si="457"/>
        <v>0</v>
      </c>
    </row>
    <row r="1150" spans="1:33">
      <c r="A1150" s="3" t="s">
        <v>639</v>
      </c>
      <c r="B1150" s="8">
        <v>1</v>
      </c>
      <c r="C1150" s="9"/>
      <c r="D1150" s="10"/>
      <c r="E1150" s="7">
        <f t="shared" si="451"/>
        <v>1</v>
      </c>
      <c r="F1150" s="8">
        <v>1</v>
      </c>
      <c r="G1150" s="9"/>
      <c r="H1150" s="10"/>
      <c r="I1150" s="7">
        <f t="shared" si="452"/>
        <v>1</v>
      </c>
      <c r="J1150" s="49">
        <v>44922</v>
      </c>
      <c r="K1150" s="3"/>
      <c r="L1150" s="8"/>
      <c r="M1150" s="9"/>
      <c r="N1150" s="10"/>
      <c r="O1150" s="7">
        <f t="shared" si="453"/>
        <v>0</v>
      </c>
      <c r="P1150" s="8"/>
      <c r="Q1150" s="9"/>
      <c r="R1150" s="10"/>
      <c r="S1150" s="7">
        <f t="shared" si="454"/>
        <v>0</v>
      </c>
      <c r="U1150" s="3"/>
      <c r="V1150" s="8"/>
      <c r="W1150" s="9"/>
      <c r="X1150" s="10"/>
      <c r="Y1150" s="7">
        <f t="shared" si="455"/>
        <v>0</v>
      </c>
      <c r="Z1150" s="8"/>
      <c r="AA1150" s="9"/>
      <c r="AB1150" s="10"/>
      <c r="AC1150" s="7">
        <f t="shared" si="456"/>
        <v>0</v>
      </c>
      <c r="AD1150" s="8"/>
      <c r="AE1150" s="9"/>
      <c r="AF1150" s="10"/>
      <c r="AG1150" s="7">
        <f t="shared" si="457"/>
        <v>0</v>
      </c>
    </row>
    <row r="1151" spans="1:33">
      <c r="A1151" s="3" t="s">
        <v>643</v>
      </c>
      <c r="B1151" s="8">
        <v>-5</v>
      </c>
      <c r="C1151" s="9"/>
      <c r="D1151" s="10"/>
      <c r="E1151" s="7">
        <f t="shared" si="451"/>
        <v>-5</v>
      </c>
      <c r="F1151" s="8">
        <v>-5</v>
      </c>
      <c r="G1151" s="9"/>
      <c r="H1151" s="10"/>
      <c r="I1151" s="7">
        <f t="shared" si="452"/>
        <v>-5</v>
      </c>
      <c r="J1151" s="43">
        <v>44922</v>
      </c>
      <c r="K1151" s="3"/>
      <c r="L1151" s="8"/>
      <c r="M1151" s="9"/>
      <c r="N1151" s="10"/>
      <c r="O1151" s="7">
        <f t="shared" si="453"/>
        <v>0</v>
      </c>
      <c r="P1151" s="8"/>
      <c r="Q1151" s="9"/>
      <c r="R1151" s="10"/>
      <c r="S1151" s="7">
        <f t="shared" si="454"/>
        <v>0</v>
      </c>
      <c r="U1151" s="3"/>
      <c r="V1151" s="8"/>
      <c r="W1151" s="9"/>
      <c r="X1151" s="10"/>
      <c r="Y1151" s="7">
        <f t="shared" si="455"/>
        <v>0</v>
      </c>
      <c r="Z1151" s="8"/>
      <c r="AA1151" s="9"/>
      <c r="AB1151" s="10"/>
      <c r="AC1151" s="7">
        <f t="shared" si="456"/>
        <v>0</v>
      </c>
      <c r="AD1151" s="8"/>
      <c r="AE1151" s="9"/>
      <c r="AF1151" s="10"/>
      <c r="AG1151" s="7">
        <f t="shared" si="457"/>
        <v>0</v>
      </c>
    </row>
    <row r="1152" spans="1:33">
      <c r="A1152" s="11" t="s">
        <v>647</v>
      </c>
      <c r="B1152" s="8">
        <v>1</v>
      </c>
      <c r="C1152" s="9"/>
      <c r="D1152" s="10"/>
      <c r="E1152" s="7">
        <f t="shared" si="451"/>
        <v>1</v>
      </c>
      <c r="F1152" s="8">
        <v>1</v>
      </c>
      <c r="G1152" s="9"/>
      <c r="H1152" s="10"/>
      <c r="I1152" s="7">
        <f t="shared" si="452"/>
        <v>1</v>
      </c>
      <c r="J1152" s="43">
        <v>44949</v>
      </c>
      <c r="K1152" s="11"/>
      <c r="L1152" s="8"/>
      <c r="M1152" s="9"/>
      <c r="N1152" s="10"/>
      <c r="O1152" s="7">
        <f t="shared" si="453"/>
        <v>0</v>
      </c>
      <c r="P1152" s="8"/>
      <c r="Q1152" s="9"/>
      <c r="R1152" s="10"/>
      <c r="S1152" s="7">
        <f t="shared" si="454"/>
        <v>0</v>
      </c>
      <c r="U1152" s="3"/>
      <c r="V1152" s="8"/>
      <c r="W1152" s="9"/>
      <c r="X1152" s="10"/>
      <c r="Y1152" s="7">
        <f t="shared" si="455"/>
        <v>0</v>
      </c>
      <c r="Z1152" s="8"/>
      <c r="AA1152" s="9"/>
      <c r="AB1152" s="10"/>
      <c r="AC1152" s="7">
        <f t="shared" si="456"/>
        <v>0</v>
      </c>
      <c r="AD1152" s="8"/>
      <c r="AE1152" s="9"/>
      <c r="AF1152" s="10"/>
      <c r="AG1152" s="7">
        <f t="shared" si="457"/>
        <v>0</v>
      </c>
    </row>
    <row r="1153" spans="1:34">
      <c r="A1153" s="11" t="s">
        <v>657</v>
      </c>
      <c r="B1153" s="8">
        <v>1</v>
      </c>
      <c r="C1153" s="9"/>
      <c r="D1153" s="10"/>
      <c r="E1153" s="7">
        <f t="shared" si="451"/>
        <v>1</v>
      </c>
      <c r="F1153" s="8">
        <v>1</v>
      </c>
      <c r="G1153" s="9"/>
      <c r="H1153" s="10"/>
      <c r="I1153" s="7">
        <f t="shared" si="452"/>
        <v>1</v>
      </c>
      <c r="J1153" s="49">
        <v>44972</v>
      </c>
      <c r="K1153" s="11"/>
      <c r="L1153" s="8"/>
      <c r="M1153" s="9"/>
      <c r="N1153" s="10"/>
      <c r="O1153" s="7">
        <f t="shared" si="453"/>
        <v>0</v>
      </c>
      <c r="P1153" s="8"/>
      <c r="Q1153" s="9"/>
      <c r="R1153" s="10"/>
      <c r="S1153" s="7">
        <f t="shared" si="454"/>
        <v>0</v>
      </c>
      <c r="U1153" s="3"/>
      <c r="V1153" s="8"/>
      <c r="W1153" s="9"/>
      <c r="X1153" s="10"/>
      <c r="Y1153" s="7">
        <f t="shared" si="455"/>
        <v>0</v>
      </c>
      <c r="Z1153" s="8"/>
      <c r="AA1153" s="9"/>
      <c r="AB1153" s="10"/>
      <c r="AC1153" s="7">
        <f t="shared" si="456"/>
        <v>0</v>
      </c>
      <c r="AD1153" s="8"/>
      <c r="AE1153" s="9"/>
      <c r="AF1153" s="10"/>
      <c r="AG1153" s="7">
        <f t="shared" si="457"/>
        <v>0</v>
      </c>
    </row>
    <row r="1154" spans="1:34">
      <c r="A1154" s="11" t="s">
        <v>474</v>
      </c>
      <c r="B1154" s="8">
        <v>1</v>
      </c>
      <c r="C1154" s="9"/>
      <c r="D1154" s="10"/>
      <c r="E1154" s="7">
        <f t="shared" si="451"/>
        <v>1</v>
      </c>
      <c r="F1154" s="8">
        <v>1</v>
      </c>
      <c r="G1154" s="9"/>
      <c r="H1154" s="10"/>
      <c r="I1154" s="7">
        <f t="shared" si="452"/>
        <v>1</v>
      </c>
      <c r="J1154" s="49">
        <v>44986</v>
      </c>
      <c r="K1154" s="11"/>
      <c r="L1154" s="8"/>
      <c r="M1154" s="9"/>
      <c r="N1154" s="10"/>
      <c r="O1154" s="7">
        <f t="shared" si="453"/>
        <v>0</v>
      </c>
      <c r="P1154" s="8"/>
      <c r="Q1154" s="9"/>
      <c r="R1154" s="10"/>
      <c r="S1154" s="7">
        <f t="shared" si="454"/>
        <v>0</v>
      </c>
      <c r="U1154" s="11"/>
      <c r="V1154" s="8"/>
      <c r="W1154" s="9"/>
      <c r="X1154" s="10"/>
      <c r="Y1154" s="7">
        <f t="shared" si="455"/>
        <v>0</v>
      </c>
      <c r="Z1154" s="8"/>
      <c r="AA1154" s="9"/>
      <c r="AB1154" s="10"/>
      <c r="AC1154" s="7">
        <f t="shared" si="456"/>
        <v>0</v>
      </c>
      <c r="AD1154" s="8"/>
      <c r="AE1154" s="9"/>
      <c r="AF1154" s="10"/>
      <c r="AG1154" s="7">
        <f t="shared" si="457"/>
        <v>0</v>
      </c>
    </row>
    <row r="1155" spans="1:34">
      <c r="A1155" s="11"/>
      <c r="B1155" s="8"/>
      <c r="C1155" s="9"/>
      <c r="D1155" s="10"/>
      <c r="E1155" s="7">
        <f t="shared" si="451"/>
        <v>0</v>
      </c>
      <c r="F1155" s="8"/>
      <c r="G1155" s="9"/>
      <c r="H1155" s="10"/>
      <c r="I1155" s="7">
        <f t="shared" si="452"/>
        <v>0</v>
      </c>
      <c r="K1155" s="11"/>
      <c r="L1155" s="8"/>
      <c r="M1155" s="9"/>
      <c r="N1155" s="10"/>
      <c r="O1155" s="7">
        <f t="shared" si="453"/>
        <v>0</v>
      </c>
      <c r="P1155" s="8"/>
      <c r="Q1155" s="9"/>
      <c r="R1155" s="10"/>
      <c r="S1155" s="7">
        <f t="shared" si="454"/>
        <v>0</v>
      </c>
      <c r="U1155" s="3"/>
      <c r="V1155" s="8"/>
      <c r="W1155" s="9"/>
      <c r="X1155" s="10"/>
      <c r="Y1155" s="7">
        <f t="shared" si="455"/>
        <v>0</v>
      </c>
      <c r="Z1155" s="8"/>
      <c r="AA1155" s="9"/>
      <c r="AB1155" s="10"/>
      <c r="AC1155" s="7">
        <f t="shared" si="456"/>
        <v>0</v>
      </c>
      <c r="AD1155" s="8"/>
      <c r="AE1155" s="9"/>
      <c r="AF1155" s="10"/>
      <c r="AG1155" s="7">
        <f t="shared" si="457"/>
        <v>0</v>
      </c>
    </row>
    <row r="1156" spans="1:34">
      <c r="A1156" s="11"/>
      <c r="B1156" s="8"/>
      <c r="C1156" s="9"/>
      <c r="D1156" s="10"/>
      <c r="E1156" s="7">
        <f t="shared" si="451"/>
        <v>0</v>
      </c>
      <c r="F1156" s="8"/>
      <c r="G1156" s="9"/>
      <c r="H1156" s="10"/>
      <c r="I1156" s="7">
        <f t="shared" si="452"/>
        <v>0</v>
      </c>
      <c r="K1156" s="11"/>
      <c r="L1156" s="8"/>
      <c r="M1156" s="9"/>
      <c r="N1156" s="10"/>
      <c r="O1156" s="7">
        <f t="shared" si="453"/>
        <v>0</v>
      </c>
      <c r="P1156" s="8"/>
      <c r="Q1156" s="9"/>
      <c r="R1156" s="10"/>
      <c r="S1156" s="7">
        <f t="shared" si="454"/>
        <v>0</v>
      </c>
      <c r="T1156" s="71"/>
      <c r="U1156" s="3"/>
      <c r="V1156" s="8"/>
      <c r="W1156" s="9"/>
      <c r="X1156" s="10"/>
      <c r="Y1156" s="7">
        <f t="shared" si="455"/>
        <v>0</v>
      </c>
      <c r="Z1156" s="8"/>
      <c r="AA1156" s="9"/>
      <c r="AB1156" s="10"/>
      <c r="AC1156" s="7">
        <f t="shared" si="456"/>
        <v>0</v>
      </c>
      <c r="AD1156" s="8"/>
      <c r="AE1156" s="9"/>
      <c r="AF1156" s="10"/>
      <c r="AG1156" s="7">
        <f t="shared" si="457"/>
        <v>0</v>
      </c>
    </row>
    <row r="1157" spans="1:34" ht="14.25" thickBot="1">
      <c r="A1157" s="3"/>
      <c r="B1157" s="8"/>
      <c r="C1157" s="9"/>
      <c r="D1157" s="10"/>
      <c r="E1157" s="7">
        <f t="shared" si="451"/>
        <v>0</v>
      </c>
      <c r="F1157" s="8"/>
      <c r="G1157" s="9"/>
      <c r="H1157" s="10"/>
      <c r="I1157" s="7">
        <f t="shared" si="452"/>
        <v>0</v>
      </c>
      <c r="K1157" s="11"/>
      <c r="L1157" s="8"/>
      <c r="M1157" s="9"/>
      <c r="N1157" s="10"/>
      <c r="O1157" s="7">
        <f t="shared" si="453"/>
        <v>0</v>
      </c>
      <c r="P1157" s="8"/>
      <c r="Q1157" s="9"/>
      <c r="R1157" s="10"/>
      <c r="S1157" s="7">
        <f t="shared" si="454"/>
        <v>0</v>
      </c>
      <c r="T1157" s="71"/>
      <c r="U1157" s="3"/>
      <c r="V1157" s="8"/>
      <c r="W1157" s="9"/>
      <c r="X1157" s="10"/>
      <c r="Y1157" s="7">
        <f t="shared" si="455"/>
        <v>0</v>
      </c>
      <c r="Z1157" s="8"/>
      <c r="AA1157" s="9"/>
      <c r="AB1157" s="10"/>
      <c r="AC1157" s="7">
        <f t="shared" si="456"/>
        <v>0</v>
      </c>
      <c r="AD1157" s="8"/>
      <c r="AE1157" s="9"/>
      <c r="AF1157" s="10"/>
      <c r="AG1157" s="7">
        <f t="shared" si="457"/>
        <v>0</v>
      </c>
    </row>
    <row r="1158" spans="1:34" ht="14.25" thickBot="1">
      <c r="A1158" s="2" t="s">
        <v>5</v>
      </c>
      <c r="B1158" s="14">
        <f>SUM(B1134:B1157)</f>
        <v>24</v>
      </c>
      <c r="C1158" s="14">
        <f>SUM(C1134:C1157)</f>
        <v>13</v>
      </c>
      <c r="D1158" s="14">
        <f>SUM(D1134:D1157)</f>
        <v>25</v>
      </c>
      <c r="E1158" s="15">
        <f t="shared" si="451"/>
        <v>62</v>
      </c>
      <c r="F1158" s="14">
        <f>SUM(F1134:F1157)</f>
        <v>24</v>
      </c>
      <c r="G1158" s="14">
        <f>SUM(G1134:G1157)</f>
        <v>13</v>
      </c>
      <c r="H1158" s="14">
        <f>SUM(H1134:H1157)</f>
        <v>25</v>
      </c>
      <c r="I1158" s="15">
        <f t="shared" si="452"/>
        <v>62</v>
      </c>
      <c r="K1158" s="2" t="s">
        <v>5</v>
      </c>
      <c r="L1158" s="14">
        <f>SUM(L1134:L1157)</f>
        <v>24</v>
      </c>
      <c r="M1158" s="14">
        <f>SUM(M1134:M1157)</f>
        <v>14</v>
      </c>
      <c r="N1158" s="14">
        <f>SUM(N1134:N1157)</f>
        <v>36</v>
      </c>
      <c r="O1158" s="15">
        <f t="shared" si="453"/>
        <v>74</v>
      </c>
      <c r="P1158" s="14">
        <f>SUM(P1134:P1157)</f>
        <v>24</v>
      </c>
      <c r="Q1158" s="14">
        <f>SUM(Q1134:Q1157)</f>
        <v>14</v>
      </c>
      <c r="R1158" s="14">
        <f>SUM(R1134:R1157)</f>
        <v>36</v>
      </c>
      <c r="S1158" s="15">
        <f t="shared" si="454"/>
        <v>74</v>
      </c>
      <c r="U1158" s="2" t="s">
        <v>5</v>
      </c>
      <c r="V1158" s="14">
        <f>SUM(V1134:V1157)</f>
        <v>0</v>
      </c>
      <c r="W1158" s="14">
        <f>SUM(W1134:W1157)</f>
        <v>0</v>
      </c>
      <c r="X1158" s="14">
        <f>SUM(X1134:X1157)</f>
        <v>2</v>
      </c>
      <c r="Y1158" s="15">
        <f t="shared" si="455"/>
        <v>2</v>
      </c>
      <c r="Z1158" s="14">
        <f>SUM(Z1134:Z1157)</f>
        <v>0</v>
      </c>
      <c r="AA1158" s="14">
        <f>SUM(AA1134:AA1157)</f>
        <v>0</v>
      </c>
      <c r="AB1158" s="14">
        <f>SUM(AB1134:AB1157)</f>
        <v>2</v>
      </c>
      <c r="AC1158" s="15">
        <f t="shared" si="456"/>
        <v>2</v>
      </c>
      <c r="AD1158" s="14">
        <f>SUM(AD1134:AD1157)</f>
        <v>0</v>
      </c>
      <c r="AE1158" s="14">
        <f>SUM(AE1134:AE1157)</f>
        <v>0</v>
      </c>
      <c r="AF1158" s="14">
        <f>SUM(AF1134:AF1157)</f>
        <v>2</v>
      </c>
      <c r="AG1158" s="15">
        <f t="shared" si="457"/>
        <v>2</v>
      </c>
    </row>
    <row r="1159" spans="1:34" ht="14.25" thickBot="1">
      <c r="A1159" s="27" t="s">
        <v>6</v>
      </c>
      <c r="B1159" s="28">
        <f>B1133-B1158</f>
        <v>2</v>
      </c>
      <c r="C1159" s="28">
        <f t="shared" ref="C1159:E1159" si="461">C1133-C1158</f>
        <v>9</v>
      </c>
      <c r="D1159" s="28">
        <f t="shared" si="461"/>
        <v>4</v>
      </c>
      <c r="E1159" s="28">
        <f t="shared" si="461"/>
        <v>15</v>
      </c>
      <c r="F1159" s="28">
        <f>F1133-F1158</f>
        <v>2</v>
      </c>
      <c r="G1159" s="28">
        <f t="shared" ref="G1159:I1159" si="462">G1133-G1158</f>
        <v>9</v>
      </c>
      <c r="H1159" s="28">
        <f t="shared" si="462"/>
        <v>4</v>
      </c>
      <c r="I1159" s="26">
        <f t="shared" si="462"/>
        <v>15</v>
      </c>
      <c r="K1159" s="27" t="s">
        <v>6</v>
      </c>
      <c r="L1159" s="28">
        <f>L1133-L1158</f>
        <v>118</v>
      </c>
      <c r="M1159" s="28">
        <f t="shared" ref="M1159:O1159" si="463">M1133-M1158</f>
        <v>50</v>
      </c>
      <c r="N1159" s="28">
        <f t="shared" si="463"/>
        <v>104</v>
      </c>
      <c r="O1159" s="28">
        <f t="shared" si="463"/>
        <v>272</v>
      </c>
      <c r="P1159" s="28">
        <f>P1133-P1158</f>
        <v>118</v>
      </c>
      <c r="Q1159" s="28">
        <f t="shared" ref="Q1159:S1159" si="464">Q1133-Q1158</f>
        <v>50</v>
      </c>
      <c r="R1159" s="28">
        <f t="shared" si="464"/>
        <v>104</v>
      </c>
      <c r="S1159" s="26">
        <f t="shared" si="464"/>
        <v>272</v>
      </c>
      <c r="U1159" s="27" t="s">
        <v>6</v>
      </c>
      <c r="V1159" s="28">
        <f>V1133-V1158</f>
        <v>16</v>
      </c>
      <c r="W1159" s="28">
        <f t="shared" ref="W1159:Y1159" si="465">W1133-W1158</f>
        <v>60</v>
      </c>
      <c r="X1159" s="28">
        <f t="shared" si="465"/>
        <v>15</v>
      </c>
      <c r="Y1159" s="28">
        <f t="shared" si="465"/>
        <v>91</v>
      </c>
      <c r="Z1159" s="28">
        <f>Z1133-Z1158</f>
        <v>16</v>
      </c>
      <c r="AA1159" s="28">
        <f t="shared" ref="AA1159:AC1159" si="466">AA1133-AA1158</f>
        <v>60</v>
      </c>
      <c r="AB1159" s="28">
        <f t="shared" si="466"/>
        <v>15</v>
      </c>
      <c r="AC1159" s="26">
        <f t="shared" si="466"/>
        <v>91</v>
      </c>
      <c r="AD1159" s="28">
        <f>AD1133-AD1158</f>
        <v>16</v>
      </c>
      <c r="AE1159" s="28">
        <f t="shared" ref="AE1159:AG1159" si="467">AE1133-AE1158</f>
        <v>60</v>
      </c>
      <c r="AF1159" s="28">
        <f t="shared" si="467"/>
        <v>15</v>
      </c>
      <c r="AG1159" s="26">
        <f t="shared" si="467"/>
        <v>91</v>
      </c>
    </row>
    <row r="1161" spans="1:34" ht="32.25">
      <c r="K1161" s="186" t="s">
        <v>792</v>
      </c>
      <c r="L1161" s="186"/>
      <c r="M1161" s="186"/>
      <c r="N1161" s="186"/>
    </row>
    <row r="1162" spans="1:34" ht="26.25" thickBot="1">
      <c r="A1162" s="125" t="s">
        <v>621</v>
      </c>
      <c r="B1162" s="126"/>
      <c r="C1162" s="126"/>
      <c r="D1162" s="126"/>
      <c r="E1162" s="126"/>
      <c r="F1162" s="127"/>
      <c r="G1162" s="127"/>
      <c r="H1162" s="127"/>
      <c r="I1162" s="127"/>
      <c r="J1162" s="128"/>
      <c r="K1162" s="125" t="s">
        <v>620</v>
      </c>
      <c r="L1162" s="126"/>
      <c r="M1162" s="126"/>
      <c r="N1162" s="126"/>
      <c r="O1162" s="126"/>
      <c r="P1162" s="127"/>
      <c r="Q1162" s="127"/>
      <c r="R1162" s="127"/>
      <c r="S1162" s="127"/>
      <c r="T1162" s="128"/>
      <c r="U1162" s="125" t="s">
        <v>622</v>
      </c>
      <c r="V1162" s="126"/>
      <c r="W1162" s="126"/>
      <c r="X1162" s="126"/>
      <c r="Y1162" s="126"/>
      <c r="Z1162" s="127"/>
      <c r="AA1162" s="127"/>
      <c r="AB1162" s="127"/>
      <c r="AC1162" s="127"/>
      <c r="AD1162" s="129"/>
      <c r="AE1162" s="129"/>
      <c r="AF1162" s="129"/>
      <c r="AG1162" s="129"/>
    </row>
    <row r="1163" spans="1:34" ht="14.25" thickBot="1">
      <c r="A1163" s="1" t="s">
        <v>0</v>
      </c>
      <c r="B1163" s="182" t="s">
        <v>17</v>
      </c>
      <c r="C1163" s="182"/>
      <c r="D1163" s="182"/>
      <c r="E1163" s="183"/>
      <c r="F1163" s="182" t="s">
        <v>13</v>
      </c>
      <c r="G1163" s="182"/>
      <c r="H1163" s="182"/>
      <c r="I1163" s="183"/>
      <c r="K1163" s="1" t="s">
        <v>0</v>
      </c>
      <c r="L1163" s="182" t="s">
        <v>17</v>
      </c>
      <c r="M1163" s="182"/>
      <c r="N1163" s="182"/>
      <c r="O1163" s="183"/>
      <c r="P1163" s="182" t="s">
        <v>13</v>
      </c>
      <c r="Q1163" s="182"/>
      <c r="R1163" s="182"/>
      <c r="S1163" s="183"/>
      <c r="U1163" s="1" t="s">
        <v>0</v>
      </c>
      <c r="V1163" s="182" t="s">
        <v>17</v>
      </c>
      <c r="W1163" s="182"/>
      <c r="X1163" s="182"/>
      <c r="Y1163" s="183"/>
      <c r="Z1163" s="182" t="s">
        <v>13</v>
      </c>
      <c r="AA1163" s="182"/>
      <c r="AB1163" s="182"/>
      <c r="AC1163" s="183"/>
      <c r="AD1163" s="182" t="s">
        <v>242</v>
      </c>
      <c r="AE1163" s="182"/>
      <c r="AF1163" s="182"/>
      <c r="AG1163" s="183"/>
    </row>
    <row r="1164" spans="1:34" ht="14.25" thickBot="1">
      <c r="A1164" s="1" t="s">
        <v>1</v>
      </c>
      <c r="B1164" s="2" t="s">
        <v>8</v>
      </c>
      <c r="C1164" s="1" t="s">
        <v>9</v>
      </c>
      <c r="D1164" s="19" t="s">
        <v>10</v>
      </c>
      <c r="E1164" s="1" t="s">
        <v>2</v>
      </c>
      <c r="F1164" s="2" t="s">
        <v>8</v>
      </c>
      <c r="G1164" s="1" t="s">
        <v>9</v>
      </c>
      <c r="H1164" s="19" t="s">
        <v>10</v>
      </c>
      <c r="I1164" s="1" t="s">
        <v>2</v>
      </c>
      <c r="K1164" s="1" t="s">
        <v>1</v>
      </c>
      <c r="L1164" s="2" t="s">
        <v>8</v>
      </c>
      <c r="M1164" s="1" t="s">
        <v>9</v>
      </c>
      <c r="N1164" s="19" t="s">
        <v>10</v>
      </c>
      <c r="O1164" s="1" t="s">
        <v>2</v>
      </c>
      <c r="P1164" s="2" t="s">
        <v>8</v>
      </c>
      <c r="Q1164" s="1" t="s">
        <v>9</v>
      </c>
      <c r="R1164" s="19" t="s">
        <v>10</v>
      </c>
      <c r="S1164" s="1" t="s">
        <v>2</v>
      </c>
      <c r="U1164" s="1" t="s">
        <v>1</v>
      </c>
      <c r="V1164" s="2" t="s">
        <v>8</v>
      </c>
      <c r="W1164" s="1" t="s">
        <v>9</v>
      </c>
      <c r="X1164" s="19" t="s">
        <v>10</v>
      </c>
      <c r="Y1164" s="1" t="s">
        <v>2</v>
      </c>
      <c r="Z1164" s="2" t="s">
        <v>8</v>
      </c>
      <c r="AA1164" s="1" t="s">
        <v>9</v>
      </c>
      <c r="AB1164" s="19" t="s">
        <v>10</v>
      </c>
      <c r="AC1164" s="1" t="s">
        <v>2</v>
      </c>
      <c r="AD1164" s="2" t="s">
        <v>8</v>
      </c>
      <c r="AE1164" s="1" t="s">
        <v>9</v>
      </c>
      <c r="AF1164" s="19" t="s">
        <v>10</v>
      </c>
      <c r="AG1164" s="1" t="s">
        <v>2</v>
      </c>
    </row>
    <row r="1165" spans="1:34">
      <c r="A1165" s="21" t="s">
        <v>7</v>
      </c>
      <c r="B1165" s="18">
        <f>B1159</f>
        <v>2</v>
      </c>
      <c r="C1165" s="22">
        <f>C1159</f>
        <v>9</v>
      </c>
      <c r="D1165" s="22">
        <f>D1159</f>
        <v>4</v>
      </c>
      <c r="E1165" s="17">
        <f t="shared" ref="E1165:E1201" si="468">SUM(B1165:D1165)</f>
        <v>15</v>
      </c>
      <c r="F1165" s="22">
        <f>F1159</f>
        <v>2</v>
      </c>
      <c r="G1165" s="22">
        <f>G1159</f>
        <v>9</v>
      </c>
      <c r="H1165" s="22">
        <f>H1159</f>
        <v>4</v>
      </c>
      <c r="I1165" s="17">
        <f t="shared" ref="I1165:I1201" si="469">SUM(F1165:H1165)</f>
        <v>15</v>
      </c>
      <c r="K1165" s="21" t="s">
        <v>7</v>
      </c>
      <c r="L1165" s="18">
        <f>L1159</f>
        <v>118</v>
      </c>
      <c r="M1165" s="22">
        <f>M1159</f>
        <v>50</v>
      </c>
      <c r="N1165" s="22">
        <f>N1159</f>
        <v>104</v>
      </c>
      <c r="O1165" s="17">
        <f t="shared" ref="O1165:O1201" si="470">SUM(L1165:N1165)</f>
        <v>272</v>
      </c>
      <c r="P1165" s="22">
        <f>P1159</f>
        <v>118</v>
      </c>
      <c r="Q1165" s="22">
        <f>Q1159</f>
        <v>50</v>
      </c>
      <c r="R1165" s="22">
        <f>R1159</f>
        <v>104</v>
      </c>
      <c r="S1165" s="17">
        <f t="shared" ref="S1165:S1201" si="471">SUM(P1165:R1165)</f>
        <v>272</v>
      </c>
      <c r="U1165" s="21" t="s">
        <v>7</v>
      </c>
      <c r="V1165" s="18">
        <f>V1159</f>
        <v>16</v>
      </c>
      <c r="W1165" s="22">
        <f>W1159</f>
        <v>60</v>
      </c>
      <c r="X1165" s="22">
        <f>X1159</f>
        <v>15</v>
      </c>
      <c r="Y1165" s="17">
        <f t="shared" ref="Y1165:Y1201" si="472">SUM(V1165:X1165)</f>
        <v>91</v>
      </c>
      <c r="Z1165" s="22">
        <f>Z1159</f>
        <v>16</v>
      </c>
      <c r="AA1165" s="22">
        <f>AA1159</f>
        <v>60</v>
      </c>
      <c r="AB1165" s="22">
        <f>AB1159</f>
        <v>15</v>
      </c>
      <c r="AC1165" s="17">
        <f t="shared" ref="AC1165:AC1201" si="473">SUM(Z1165:AB1165)</f>
        <v>91</v>
      </c>
      <c r="AD1165" s="22">
        <f>AD1159</f>
        <v>16</v>
      </c>
      <c r="AE1165" s="22">
        <f>AE1159</f>
        <v>60</v>
      </c>
      <c r="AF1165" s="22">
        <f>AF1159</f>
        <v>15</v>
      </c>
      <c r="AG1165" s="17">
        <f t="shared" ref="AG1165:AG1201" si="474">SUM(AD1165:AF1165)</f>
        <v>91</v>
      </c>
    </row>
    <row r="1166" spans="1:34">
      <c r="A1166" s="5" t="s">
        <v>3</v>
      </c>
      <c r="B1166" s="30"/>
      <c r="C1166" s="31"/>
      <c r="D1166" s="32"/>
      <c r="E1166" s="4">
        <f t="shared" si="468"/>
        <v>0</v>
      </c>
      <c r="F1166" s="30"/>
      <c r="G1166" s="31"/>
      <c r="H1166" s="32"/>
      <c r="I1166" s="4">
        <f t="shared" si="469"/>
        <v>0</v>
      </c>
      <c r="K1166" s="5" t="s">
        <v>3</v>
      </c>
      <c r="L1166" s="16">
        <v>5</v>
      </c>
      <c r="M1166" s="11">
        <v>5</v>
      </c>
      <c r="N1166" s="16">
        <v>5</v>
      </c>
      <c r="O1166" s="4">
        <f t="shared" si="470"/>
        <v>15</v>
      </c>
      <c r="P1166" s="16">
        <v>5</v>
      </c>
      <c r="Q1166" s="11">
        <v>5</v>
      </c>
      <c r="R1166" s="16">
        <v>5</v>
      </c>
      <c r="S1166" s="4">
        <f t="shared" si="471"/>
        <v>15</v>
      </c>
      <c r="T1166" s="49">
        <v>45017</v>
      </c>
      <c r="U1166" s="5" t="s">
        <v>3</v>
      </c>
      <c r="V1166" s="16">
        <v>1</v>
      </c>
      <c r="W1166" s="11"/>
      <c r="X1166" s="16">
        <v>1</v>
      </c>
      <c r="Y1166" s="4">
        <f t="shared" si="472"/>
        <v>2</v>
      </c>
      <c r="Z1166" s="16">
        <v>1</v>
      </c>
      <c r="AA1166" s="11"/>
      <c r="AB1166" s="16">
        <v>1</v>
      </c>
      <c r="AC1166" s="4">
        <f t="shared" si="473"/>
        <v>2</v>
      </c>
      <c r="AD1166" s="16">
        <v>1</v>
      </c>
      <c r="AE1166" s="11"/>
      <c r="AF1166" s="16">
        <v>1</v>
      </c>
      <c r="AG1166" s="4">
        <f t="shared" si="474"/>
        <v>2</v>
      </c>
      <c r="AH1166" s="49">
        <v>45031</v>
      </c>
    </row>
    <row r="1167" spans="1:34">
      <c r="A1167" s="5" t="s">
        <v>3</v>
      </c>
      <c r="B1167" s="30"/>
      <c r="C1167" s="31"/>
      <c r="D1167" s="32">
        <v>17</v>
      </c>
      <c r="E1167" s="4">
        <f t="shared" si="468"/>
        <v>17</v>
      </c>
      <c r="F1167" s="30"/>
      <c r="G1167" s="31"/>
      <c r="H1167" s="32">
        <v>17</v>
      </c>
      <c r="I1167" s="4">
        <f t="shared" si="469"/>
        <v>17</v>
      </c>
      <c r="J1167" s="43">
        <v>44993</v>
      </c>
      <c r="K1167" s="5" t="s">
        <v>3</v>
      </c>
      <c r="L1167" s="16"/>
      <c r="M1167" s="11"/>
      <c r="N1167" s="16"/>
      <c r="O1167" s="4">
        <f t="shared" ref="O1167:O1170" si="475">SUM(L1167:N1167)</f>
        <v>0</v>
      </c>
      <c r="P1167" s="16"/>
      <c r="Q1167" s="11"/>
      <c r="R1167" s="16"/>
      <c r="S1167" s="4">
        <f t="shared" ref="S1167:S1170" si="476">SUM(P1167:R1167)</f>
        <v>0</v>
      </c>
      <c r="U1167" s="5" t="s">
        <v>3</v>
      </c>
      <c r="V1167" s="32"/>
      <c r="W1167" s="31"/>
      <c r="X1167" s="32"/>
      <c r="Y1167" s="4">
        <f t="shared" si="472"/>
        <v>0</v>
      </c>
      <c r="Z1167" s="32"/>
      <c r="AA1167" s="31"/>
      <c r="AB1167" s="32"/>
      <c r="AC1167" s="4">
        <f t="shared" si="473"/>
        <v>0</v>
      </c>
      <c r="AD1167" s="32"/>
      <c r="AE1167" s="31"/>
      <c r="AF1167" s="32"/>
      <c r="AG1167" s="4">
        <f t="shared" si="474"/>
        <v>0</v>
      </c>
    </row>
    <row r="1168" spans="1:34">
      <c r="A1168" s="91" t="s">
        <v>662</v>
      </c>
      <c r="B1168" s="8">
        <v>1</v>
      </c>
      <c r="C1168" s="9"/>
      <c r="D1168" s="10"/>
      <c r="E1168" s="7">
        <f t="shared" ref="E1168" si="477">SUM(B1168:D1168)</f>
        <v>1</v>
      </c>
      <c r="F1168" s="8">
        <v>1</v>
      </c>
      <c r="G1168" s="9"/>
      <c r="H1168" s="10"/>
      <c r="I1168" s="7">
        <f t="shared" si="469"/>
        <v>1</v>
      </c>
      <c r="J1168" s="49">
        <v>44988</v>
      </c>
      <c r="K1168" s="5" t="s">
        <v>3</v>
      </c>
      <c r="L1168" s="16"/>
      <c r="M1168" s="11"/>
      <c r="N1168" s="16"/>
      <c r="O1168" s="4">
        <f t="shared" si="475"/>
        <v>0</v>
      </c>
      <c r="P1168" s="16"/>
      <c r="Q1168" s="11"/>
      <c r="R1168" s="16"/>
      <c r="S1168" s="4">
        <f t="shared" si="476"/>
        <v>0</v>
      </c>
      <c r="U1168" s="5" t="s">
        <v>3</v>
      </c>
      <c r="V1168" s="32">
        <v>60</v>
      </c>
      <c r="W1168" s="31"/>
      <c r="X1168" s="32">
        <v>25</v>
      </c>
      <c r="Y1168" s="4">
        <f t="shared" ref="Y1168" si="478">SUM(V1168:X1168)</f>
        <v>85</v>
      </c>
      <c r="Z1168" s="32">
        <v>60</v>
      </c>
      <c r="AA1168" s="31"/>
      <c r="AB1168" s="32">
        <v>25</v>
      </c>
      <c r="AC1168" s="4">
        <f t="shared" ref="AC1168" si="479">SUM(Z1168:AB1168)</f>
        <v>85</v>
      </c>
      <c r="AD1168" s="32">
        <v>60</v>
      </c>
      <c r="AE1168" s="31"/>
      <c r="AF1168" s="32">
        <v>25</v>
      </c>
      <c r="AG1168" s="4">
        <f t="shared" ref="AG1168" si="480">SUM(AD1168:AF1168)</f>
        <v>85</v>
      </c>
      <c r="AH1168" s="43" t="s">
        <v>658</v>
      </c>
    </row>
    <row r="1169" spans="1:34">
      <c r="A1169" s="5" t="s">
        <v>3</v>
      </c>
      <c r="B1169" s="16">
        <v>14</v>
      </c>
      <c r="C1169" s="11">
        <v>10</v>
      </c>
      <c r="D1169" s="16"/>
      <c r="E1169" s="4">
        <f t="shared" si="468"/>
        <v>24</v>
      </c>
      <c r="F1169" s="16">
        <v>14</v>
      </c>
      <c r="G1169" s="11">
        <v>10</v>
      </c>
      <c r="H1169" s="16"/>
      <c r="I1169" s="4">
        <f t="shared" si="469"/>
        <v>24</v>
      </c>
      <c r="J1169" s="43">
        <v>44999</v>
      </c>
      <c r="K1169" s="5" t="s">
        <v>129</v>
      </c>
      <c r="L1169" s="16"/>
      <c r="M1169" s="11">
        <v>10</v>
      </c>
      <c r="N1169" s="16"/>
      <c r="O1169" s="4">
        <f t="shared" si="475"/>
        <v>10</v>
      </c>
      <c r="P1169" s="16"/>
      <c r="Q1169" s="11">
        <v>10</v>
      </c>
      <c r="R1169" s="16"/>
      <c r="S1169" s="4">
        <f t="shared" si="476"/>
        <v>10</v>
      </c>
      <c r="T1169" s="43">
        <v>45036</v>
      </c>
      <c r="U1169" s="5" t="s">
        <v>3</v>
      </c>
      <c r="V1169" s="16"/>
      <c r="W1169" s="11"/>
      <c r="X1169" s="16"/>
      <c r="Y1169" s="4">
        <f t="shared" si="472"/>
        <v>0</v>
      </c>
      <c r="Z1169" s="16"/>
      <c r="AA1169" s="11"/>
      <c r="AB1169" s="16"/>
      <c r="AC1169" s="4">
        <f t="shared" si="473"/>
        <v>0</v>
      </c>
      <c r="AD1169" s="16"/>
      <c r="AE1169" s="11"/>
      <c r="AF1169" s="16"/>
      <c r="AG1169" s="4">
        <f t="shared" si="474"/>
        <v>0</v>
      </c>
    </row>
    <row r="1170" spans="1:34">
      <c r="A1170" s="5" t="s">
        <v>462</v>
      </c>
      <c r="B1170" s="16">
        <v>5</v>
      </c>
      <c r="C1170" s="11">
        <v>5</v>
      </c>
      <c r="D1170" s="16">
        <v>5</v>
      </c>
      <c r="E1170" s="4">
        <f t="shared" si="468"/>
        <v>15</v>
      </c>
      <c r="F1170" s="16">
        <v>5</v>
      </c>
      <c r="G1170" s="11">
        <v>5</v>
      </c>
      <c r="H1170" s="16">
        <v>5</v>
      </c>
      <c r="I1170" s="4">
        <f t="shared" si="469"/>
        <v>15</v>
      </c>
      <c r="J1170" s="49">
        <v>45015</v>
      </c>
      <c r="K1170" s="5" t="s">
        <v>3</v>
      </c>
      <c r="L1170" s="16"/>
      <c r="M1170" s="11"/>
      <c r="N1170" s="16"/>
      <c r="O1170" s="4">
        <f t="shared" si="475"/>
        <v>0</v>
      </c>
      <c r="P1170" s="16"/>
      <c r="Q1170" s="11"/>
      <c r="R1170" s="16"/>
      <c r="S1170" s="4">
        <f t="shared" si="476"/>
        <v>0</v>
      </c>
      <c r="U1170" s="5" t="s">
        <v>3</v>
      </c>
      <c r="V1170" s="32"/>
      <c r="W1170" s="31"/>
      <c r="X1170" s="32"/>
      <c r="Y1170" s="4">
        <f t="shared" si="472"/>
        <v>0</v>
      </c>
      <c r="Z1170" s="32"/>
      <c r="AA1170" s="31"/>
      <c r="AB1170" s="32"/>
      <c r="AC1170" s="4">
        <f t="shared" si="473"/>
        <v>0</v>
      </c>
      <c r="AD1170" s="32"/>
      <c r="AE1170" s="31"/>
      <c r="AF1170" s="32"/>
      <c r="AG1170" s="4">
        <f t="shared" si="474"/>
        <v>0</v>
      </c>
    </row>
    <row r="1171" spans="1:34">
      <c r="A1171" s="5" t="s">
        <v>78</v>
      </c>
      <c r="B1171" s="16">
        <v>1</v>
      </c>
      <c r="C1171" s="11"/>
      <c r="D1171" s="16"/>
      <c r="E1171" s="4">
        <f t="shared" si="468"/>
        <v>1</v>
      </c>
      <c r="F1171" s="16">
        <v>1</v>
      </c>
      <c r="G1171" s="11"/>
      <c r="H1171" s="16"/>
      <c r="I1171" s="4">
        <f t="shared" si="469"/>
        <v>1</v>
      </c>
      <c r="J1171" s="49">
        <v>45019</v>
      </c>
      <c r="K1171" s="5" t="s">
        <v>3</v>
      </c>
      <c r="L1171" s="16"/>
      <c r="M1171" s="11"/>
      <c r="N1171" s="16"/>
      <c r="O1171" s="4">
        <f t="shared" si="470"/>
        <v>0</v>
      </c>
      <c r="P1171" s="16"/>
      <c r="Q1171" s="11"/>
      <c r="R1171" s="16"/>
      <c r="S1171" s="4">
        <f t="shared" si="471"/>
        <v>0</v>
      </c>
      <c r="U1171" s="5" t="s">
        <v>3</v>
      </c>
      <c r="V1171" s="16"/>
      <c r="W1171" s="11"/>
      <c r="X1171" s="16"/>
      <c r="Y1171" s="4">
        <f t="shared" si="472"/>
        <v>0</v>
      </c>
      <c r="Z1171" s="16"/>
      <c r="AA1171" s="11"/>
      <c r="AB1171" s="16"/>
      <c r="AC1171" s="4">
        <f t="shared" si="473"/>
        <v>0</v>
      </c>
      <c r="AD1171" s="16"/>
      <c r="AE1171" s="11"/>
      <c r="AF1171" s="16"/>
      <c r="AG1171" s="4">
        <f t="shared" si="474"/>
        <v>0</v>
      </c>
    </row>
    <row r="1172" spans="1:34">
      <c r="A1172" s="5" t="s">
        <v>78</v>
      </c>
      <c r="B1172" s="32"/>
      <c r="C1172" s="31"/>
      <c r="D1172" s="32">
        <v>1</v>
      </c>
      <c r="E1172" s="4">
        <f t="shared" si="468"/>
        <v>1</v>
      </c>
      <c r="F1172" s="32"/>
      <c r="G1172" s="31"/>
      <c r="H1172" s="32">
        <v>1</v>
      </c>
      <c r="I1172" s="4">
        <f t="shared" si="469"/>
        <v>1</v>
      </c>
      <c r="J1172" s="49">
        <v>45026</v>
      </c>
      <c r="K1172" s="5" t="s">
        <v>3</v>
      </c>
      <c r="L1172" s="32"/>
      <c r="M1172" s="31"/>
      <c r="N1172" s="32"/>
      <c r="O1172" s="4">
        <f t="shared" si="470"/>
        <v>0</v>
      </c>
      <c r="P1172" s="32"/>
      <c r="Q1172" s="31"/>
      <c r="R1172" s="32"/>
      <c r="S1172" s="4">
        <f t="shared" si="471"/>
        <v>0</v>
      </c>
      <c r="U1172" s="5" t="s">
        <v>3</v>
      </c>
      <c r="V1172" s="32"/>
      <c r="W1172" s="31"/>
      <c r="X1172" s="32"/>
      <c r="Y1172" s="4">
        <f t="shared" si="472"/>
        <v>0</v>
      </c>
      <c r="Z1172" s="32"/>
      <c r="AA1172" s="31"/>
      <c r="AB1172" s="32"/>
      <c r="AC1172" s="4">
        <f t="shared" si="473"/>
        <v>0</v>
      </c>
      <c r="AD1172" s="32"/>
      <c r="AE1172" s="31"/>
      <c r="AF1172" s="32"/>
      <c r="AG1172" s="4">
        <f t="shared" si="474"/>
        <v>0</v>
      </c>
    </row>
    <row r="1173" spans="1:34">
      <c r="A1173" s="3" t="s">
        <v>693</v>
      </c>
      <c r="B1173" s="8">
        <v>1</v>
      </c>
      <c r="C1173" s="9"/>
      <c r="D1173" s="10"/>
      <c r="E1173" s="7">
        <f t="shared" ref="E1173" si="481">SUM(B1173:D1173)</f>
        <v>1</v>
      </c>
      <c r="F1173" s="8">
        <v>1</v>
      </c>
      <c r="G1173" s="9"/>
      <c r="H1173" s="10"/>
      <c r="I1173" s="7">
        <f t="shared" si="469"/>
        <v>1</v>
      </c>
      <c r="J1173" s="49">
        <v>45054</v>
      </c>
      <c r="K1173" s="5" t="s">
        <v>3</v>
      </c>
      <c r="L1173" s="32"/>
      <c r="M1173" s="31"/>
      <c r="N1173" s="32"/>
      <c r="O1173" s="4">
        <f t="shared" si="470"/>
        <v>0</v>
      </c>
      <c r="P1173" s="32"/>
      <c r="Q1173" s="31"/>
      <c r="R1173" s="32"/>
      <c r="S1173" s="4">
        <f t="shared" si="471"/>
        <v>0</v>
      </c>
      <c r="U1173" s="5" t="s">
        <v>3</v>
      </c>
      <c r="V1173" s="32"/>
      <c r="W1173" s="31"/>
      <c r="X1173" s="32"/>
      <c r="Y1173" s="4">
        <f t="shared" si="472"/>
        <v>0</v>
      </c>
      <c r="Z1173" s="32"/>
      <c r="AA1173" s="31"/>
      <c r="AB1173" s="32"/>
      <c r="AC1173" s="4">
        <f t="shared" si="473"/>
        <v>0</v>
      </c>
      <c r="AD1173" s="32"/>
      <c r="AE1173" s="31"/>
      <c r="AF1173" s="32"/>
      <c r="AG1173" s="4">
        <f t="shared" si="474"/>
        <v>0</v>
      </c>
    </row>
    <row r="1174" spans="1:34">
      <c r="A1174" s="5" t="s">
        <v>3</v>
      </c>
      <c r="B1174" s="30"/>
      <c r="C1174" s="31"/>
      <c r="D1174" s="32"/>
      <c r="E1174" s="4">
        <f t="shared" si="468"/>
        <v>0</v>
      </c>
      <c r="F1174" s="30"/>
      <c r="G1174" s="31"/>
      <c r="H1174" s="32"/>
      <c r="I1174" s="4">
        <f t="shared" si="469"/>
        <v>0</v>
      </c>
      <c r="K1174" s="5" t="s">
        <v>3</v>
      </c>
      <c r="L1174" s="32"/>
      <c r="M1174" s="31"/>
      <c r="N1174" s="32"/>
      <c r="O1174" s="4">
        <f t="shared" si="470"/>
        <v>0</v>
      </c>
      <c r="P1174" s="32"/>
      <c r="Q1174" s="31"/>
      <c r="R1174" s="32"/>
      <c r="S1174" s="4">
        <f t="shared" si="471"/>
        <v>0</v>
      </c>
      <c r="U1174" s="5" t="s">
        <v>3</v>
      </c>
      <c r="V1174" s="30"/>
      <c r="W1174" s="31"/>
      <c r="X1174" s="32"/>
      <c r="Y1174" s="4">
        <f t="shared" si="472"/>
        <v>0</v>
      </c>
      <c r="Z1174" s="30"/>
      <c r="AA1174" s="31"/>
      <c r="AB1174" s="32"/>
      <c r="AC1174" s="4">
        <f t="shared" si="473"/>
        <v>0</v>
      </c>
      <c r="AD1174" s="30"/>
      <c r="AE1174" s="31"/>
      <c r="AF1174" s="32"/>
      <c r="AG1174" s="4">
        <f t="shared" si="474"/>
        <v>0</v>
      </c>
    </row>
    <row r="1175" spans="1:34" ht="14.25" thickBot="1">
      <c r="A1175" s="6" t="s">
        <v>3</v>
      </c>
      <c r="B1175" s="36"/>
      <c r="C1175" s="37"/>
      <c r="D1175" s="36"/>
      <c r="E1175" s="20">
        <f t="shared" si="468"/>
        <v>0</v>
      </c>
      <c r="F1175" s="13"/>
      <c r="G1175" s="12"/>
      <c r="H1175" s="13"/>
      <c r="I1175" s="20">
        <f t="shared" si="469"/>
        <v>0</v>
      </c>
      <c r="K1175" s="6" t="s">
        <v>3</v>
      </c>
      <c r="L1175" s="36"/>
      <c r="M1175" s="37"/>
      <c r="N1175" s="36"/>
      <c r="O1175" s="20">
        <f t="shared" si="470"/>
        <v>0</v>
      </c>
      <c r="P1175" s="13"/>
      <c r="Q1175" s="12"/>
      <c r="R1175" s="13"/>
      <c r="S1175" s="20">
        <f t="shared" si="471"/>
        <v>0</v>
      </c>
      <c r="U1175" s="6" t="s">
        <v>3</v>
      </c>
      <c r="V1175" s="13"/>
      <c r="W1175" s="12"/>
      <c r="X1175" s="13"/>
      <c r="Y1175" s="20">
        <f t="shared" si="472"/>
        <v>0</v>
      </c>
      <c r="Z1175" s="13"/>
      <c r="AA1175" s="12"/>
      <c r="AB1175" s="13"/>
      <c r="AC1175" s="20">
        <f t="shared" si="473"/>
        <v>0</v>
      </c>
      <c r="AD1175" s="13"/>
      <c r="AE1175" s="12"/>
      <c r="AF1175" s="13"/>
      <c r="AG1175" s="20">
        <f t="shared" si="474"/>
        <v>0</v>
      </c>
    </row>
    <row r="1176" spans="1:34" ht="14.25" thickBot="1">
      <c r="A1176" s="23" t="s">
        <v>4</v>
      </c>
      <c r="B1176" s="24">
        <f>SUM(B1165:B1175)</f>
        <v>24</v>
      </c>
      <c r="C1176" s="24">
        <f>SUM(C1165:C1175)</f>
        <v>24</v>
      </c>
      <c r="D1176" s="25">
        <f>SUM(D1165:D1175)</f>
        <v>27</v>
      </c>
      <c r="E1176" s="26">
        <f t="shared" si="468"/>
        <v>75</v>
      </c>
      <c r="F1176" s="24">
        <f>SUM(F1165:F1175)</f>
        <v>24</v>
      </c>
      <c r="G1176" s="24">
        <f>SUM(G1165:G1175)</f>
        <v>24</v>
      </c>
      <c r="H1176" s="25">
        <f>SUM(H1165:H1175)</f>
        <v>27</v>
      </c>
      <c r="I1176" s="26">
        <f t="shared" si="469"/>
        <v>75</v>
      </c>
      <c r="K1176" s="23" t="s">
        <v>4</v>
      </c>
      <c r="L1176" s="24">
        <f>SUM(L1165:L1175)</f>
        <v>123</v>
      </c>
      <c r="M1176" s="24">
        <f>SUM(M1165:M1175)</f>
        <v>65</v>
      </c>
      <c r="N1176" s="25">
        <f>SUM(N1165:N1175)</f>
        <v>109</v>
      </c>
      <c r="O1176" s="26">
        <f t="shared" si="470"/>
        <v>297</v>
      </c>
      <c r="P1176" s="24">
        <f>SUM(P1165:P1175)</f>
        <v>123</v>
      </c>
      <c r="Q1176" s="24">
        <f>SUM(Q1165:Q1175)</f>
        <v>65</v>
      </c>
      <c r="R1176" s="25">
        <f>SUM(R1165:R1175)</f>
        <v>109</v>
      </c>
      <c r="S1176" s="26">
        <f t="shared" si="471"/>
        <v>297</v>
      </c>
      <c r="U1176" s="23" t="s">
        <v>4</v>
      </c>
      <c r="V1176" s="24">
        <f>SUM(V1165:V1175)</f>
        <v>77</v>
      </c>
      <c r="W1176" s="24">
        <f>SUM(W1165:W1175)</f>
        <v>60</v>
      </c>
      <c r="X1176" s="25">
        <f>SUM(X1165:X1175)</f>
        <v>41</v>
      </c>
      <c r="Y1176" s="26">
        <f t="shared" si="472"/>
        <v>178</v>
      </c>
      <c r="Z1176" s="24">
        <f>SUM(Z1165:Z1175)</f>
        <v>77</v>
      </c>
      <c r="AA1176" s="24">
        <f>SUM(AA1165:AA1175)</f>
        <v>60</v>
      </c>
      <c r="AB1176" s="25">
        <f>SUM(AB1165:AB1175)</f>
        <v>41</v>
      </c>
      <c r="AC1176" s="26">
        <f t="shared" si="473"/>
        <v>178</v>
      </c>
      <c r="AD1176" s="24">
        <f>SUM(AD1165:AD1175)</f>
        <v>77</v>
      </c>
      <c r="AE1176" s="24">
        <f>SUM(AE1165:AE1175)</f>
        <v>60</v>
      </c>
      <c r="AF1176" s="25">
        <f>SUM(AF1165:AF1175)</f>
        <v>41</v>
      </c>
      <c r="AG1176" s="26">
        <f t="shared" si="474"/>
        <v>178</v>
      </c>
    </row>
    <row r="1177" spans="1:34">
      <c r="A1177" s="84" t="s">
        <v>663</v>
      </c>
      <c r="B1177" s="8">
        <v>1</v>
      </c>
      <c r="C1177" s="9"/>
      <c r="D1177" s="10"/>
      <c r="E1177" s="4">
        <f t="shared" si="468"/>
        <v>1</v>
      </c>
      <c r="F1177" s="8">
        <v>1</v>
      </c>
      <c r="G1177" s="9"/>
      <c r="H1177" s="10"/>
      <c r="I1177" s="4">
        <f t="shared" si="469"/>
        <v>1</v>
      </c>
      <c r="J1177" s="49">
        <v>44992</v>
      </c>
      <c r="K1177" s="11" t="s">
        <v>665</v>
      </c>
      <c r="L1177" s="8">
        <v>20</v>
      </c>
      <c r="M1177" s="9">
        <v>20</v>
      </c>
      <c r="N1177" s="10">
        <v>14</v>
      </c>
      <c r="O1177" s="7">
        <f t="shared" si="470"/>
        <v>54</v>
      </c>
      <c r="P1177" s="8">
        <v>20</v>
      </c>
      <c r="Q1177" s="9">
        <v>20</v>
      </c>
      <c r="R1177" s="10">
        <v>14</v>
      </c>
      <c r="S1177" s="7">
        <f t="shared" si="471"/>
        <v>54</v>
      </c>
      <c r="T1177" s="43">
        <v>45007</v>
      </c>
      <c r="U1177" s="3" t="s">
        <v>666</v>
      </c>
      <c r="V1177" s="32">
        <v>22</v>
      </c>
      <c r="W1177" s="31">
        <v>25</v>
      </c>
      <c r="X1177" s="32">
        <v>18</v>
      </c>
      <c r="Y1177" s="4">
        <f t="shared" si="472"/>
        <v>65</v>
      </c>
      <c r="Z1177" s="32">
        <v>22</v>
      </c>
      <c r="AA1177" s="31">
        <v>25</v>
      </c>
      <c r="AB1177" s="32">
        <v>18</v>
      </c>
      <c r="AC1177" s="4">
        <f t="shared" si="473"/>
        <v>65</v>
      </c>
      <c r="AD1177" s="8">
        <v>22</v>
      </c>
      <c r="AE1177" s="9">
        <v>25</v>
      </c>
      <c r="AF1177" s="10">
        <v>18</v>
      </c>
      <c r="AG1177" s="7">
        <f t="shared" si="474"/>
        <v>65</v>
      </c>
      <c r="AH1177" s="43">
        <v>45005</v>
      </c>
    </row>
    <row r="1178" spans="1:34">
      <c r="A1178" s="3" t="s">
        <v>664</v>
      </c>
      <c r="B1178" s="8">
        <v>1</v>
      </c>
      <c r="C1178" s="9">
        <v>1</v>
      </c>
      <c r="D1178" s="10">
        <v>1</v>
      </c>
      <c r="E1178" s="4">
        <f t="shared" si="468"/>
        <v>3</v>
      </c>
      <c r="F1178" s="8">
        <v>1</v>
      </c>
      <c r="G1178" s="9">
        <v>1</v>
      </c>
      <c r="H1178" s="10">
        <v>1</v>
      </c>
      <c r="I1178" s="4">
        <f t="shared" si="469"/>
        <v>3</v>
      </c>
      <c r="J1178" s="43">
        <v>45012</v>
      </c>
      <c r="K1178" s="68" t="s">
        <v>669</v>
      </c>
      <c r="L1178" s="8">
        <v>5</v>
      </c>
      <c r="M1178" s="9">
        <v>5</v>
      </c>
      <c r="N1178" s="10">
        <v>5</v>
      </c>
      <c r="O1178" s="4">
        <f t="shared" si="470"/>
        <v>15</v>
      </c>
      <c r="P1178" s="8">
        <v>5</v>
      </c>
      <c r="Q1178" s="9">
        <v>5</v>
      </c>
      <c r="R1178" s="10">
        <v>5</v>
      </c>
      <c r="S1178" s="4">
        <f t="shared" si="471"/>
        <v>15</v>
      </c>
      <c r="T1178" s="43">
        <v>45009</v>
      </c>
      <c r="U1178" s="3" t="s">
        <v>688</v>
      </c>
      <c r="V1178" s="8"/>
      <c r="W1178" s="9"/>
      <c r="X1178" s="10">
        <v>1</v>
      </c>
      <c r="Y1178" s="4">
        <f t="shared" si="472"/>
        <v>1</v>
      </c>
      <c r="Z1178" s="8"/>
      <c r="AA1178" s="9"/>
      <c r="AB1178" s="10">
        <v>1</v>
      </c>
      <c r="AC1178" s="4">
        <f t="shared" si="473"/>
        <v>1</v>
      </c>
      <c r="AD1178" s="8"/>
      <c r="AE1178" s="9"/>
      <c r="AF1178" s="10">
        <v>1</v>
      </c>
      <c r="AG1178" s="4">
        <f t="shared" si="474"/>
        <v>1</v>
      </c>
      <c r="AH1178" s="43">
        <v>45043</v>
      </c>
    </row>
    <row r="1179" spans="1:34">
      <c r="A1179" s="3" t="s">
        <v>671</v>
      </c>
      <c r="B1179" s="8">
        <v>5</v>
      </c>
      <c r="C1179" s="9">
        <v>5</v>
      </c>
      <c r="D1179" s="10">
        <v>5</v>
      </c>
      <c r="E1179" s="7">
        <f t="shared" si="468"/>
        <v>15</v>
      </c>
      <c r="F1179" s="8">
        <v>5</v>
      </c>
      <c r="G1179" s="9">
        <v>5</v>
      </c>
      <c r="H1179" s="10">
        <v>5</v>
      </c>
      <c r="I1179" s="7">
        <f t="shared" si="469"/>
        <v>15</v>
      </c>
      <c r="J1179" s="49">
        <v>45017</v>
      </c>
      <c r="K1179" s="68" t="s">
        <v>670</v>
      </c>
      <c r="L1179" s="8">
        <v>15</v>
      </c>
      <c r="M1179" s="9">
        <v>15</v>
      </c>
      <c r="N1179" s="10">
        <v>10</v>
      </c>
      <c r="O1179" s="7">
        <f t="shared" si="470"/>
        <v>40</v>
      </c>
      <c r="P1179" s="8">
        <v>15</v>
      </c>
      <c r="Q1179" s="9">
        <v>15</v>
      </c>
      <c r="R1179" s="10">
        <v>10</v>
      </c>
      <c r="S1179" s="7">
        <f t="shared" si="471"/>
        <v>40</v>
      </c>
      <c r="T1179" s="43">
        <v>45019</v>
      </c>
      <c r="U1179" s="3" t="s">
        <v>689</v>
      </c>
      <c r="V1179" s="8">
        <v>-1</v>
      </c>
      <c r="W1179" s="9"/>
      <c r="X1179" s="10"/>
      <c r="Y1179" s="7">
        <f t="shared" si="472"/>
        <v>-1</v>
      </c>
      <c r="Z1179" s="8">
        <v>-1</v>
      </c>
      <c r="AA1179" s="9"/>
      <c r="AB1179" s="10"/>
      <c r="AC1179" s="7">
        <f t="shared" si="473"/>
        <v>-1</v>
      </c>
      <c r="AD1179" s="8">
        <v>-1</v>
      </c>
      <c r="AE1179" s="9"/>
      <c r="AF1179" s="10"/>
      <c r="AG1179" s="7">
        <f t="shared" si="474"/>
        <v>-1</v>
      </c>
      <c r="AH1179" s="71"/>
    </row>
    <row r="1180" spans="1:34">
      <c r="A1180" s="3" t="s">
        <v>210</v>
      </c>
      <c r="B1180" s="8">
        <v>1</v>
      </c>
      <c r="C1180" s="9"/>
      <c r="D1180" s="10">
        <v>1</v>
      </c>
      <c r="E1180" s="4">
        <f t="shared" si="468"/>
        <v>2</v>
      </c>
      <c r="F1180" s="8">
        <v>1</v>
      </c>
      <c r="G1180" s="9"/>
      <c r="H1180" s="10">
        <v>1</v>
      </c>
      <c r="I1180" s="4">
        <f t="shared" si="469"/>
        <v>2</v>
      </c>
      <c r="J1180" s="49">
        <v>45031</v>
      </c>
      <c r="K1180" s="68" t="s">
        <v>672</v>
      </c>
      <c r="L1180" s="8">
        <v>13</v>
      </c>
      <c r="M1180" s="9">
        <v>4</v>
      </c>
      <c r="N1180" s="10">
        <v>5</v>
      </c>
      <c r="O1180" s="4">
        <f t="shared" si="470"/>
        <v>22</v>
      </c>
      <c r="P1180" s="8">
        <v>13</v>
      </c>
      <c r="Q1180" s="9">
        <v>4</v>
      </c>
      <c r="R1180" s="10">
        <v>5</v>
      </c>
      <c r="S1180" s="4">
        <f t="shared" si="471"/>
        <v>22</v>
      </c>
      <c r="T1180" s="43">
        <v>45020</v>
      </c>
      <c r="U1180" s="40"/>
      <c r="V1180" s="8"/>
      <c r="W1180" s="9"/>
      <c r="X1180" s="10"/>
      <c r="Y1180" s="4">
        <f t="shared" si="472"/>
        <v>0</v>
      </c>
      <c r="Z1180" s="8"/>
      <c r="AA1180" s="9"/>
      <c r="AB1180" s="10"/>
      <c r="AC1180" s="4">
        <f t="shared" si="473"/>
        <v>0</v>
      </c>
      <c r="AD1180" s="8"/>
      <c r="AE1180" s="9"/>
      <c r="AF1180" s="10"/>
      <c r="AG1180" s="4">
        <f t="shared" si="474"/>
        <v>0</v>
      </c>
    </row>
    <row r="1181" spans="1:34">
      <c r="A1181" s="3" t="s">
        <v>677</v>
      </c>
      <c r="B1181" s="8">
        <v>3</v>
      </c>
      <c r="C1181" s="9">
        <v>2</v>
      </c>
      <c r="D1181" s="10">
        <v>2</v>
      </c>
      <c r="E1181" s="4">
        <f t="shared" si="468"/>
        <v>7</v>
      </c>
      <c r="F1181" s="8">
        <v>3</v>
      </c>
      <c r="G1181" s="9">
        <v>2</v>
      </c>
      <c r="H1181" s="10">
        <v>2</v>
      </c>
      <c r="I1181" s="4">
        <f t="shared" si="469"/>
        <v>7</v>
      </c>
      <c r="J1181" s="43">
        <v>45036</v>
      </c>
      <c r="K1181" s="3" t="s">
        <v>675</v>
      </c>
      <c r="L1181" s="8">
        <v>2</v>
      </c>
      <c r="M1181" s="9"/>
      <c r="N1181" s="10"/>
      <c r="O1181" s="4">
        <f t="shared" si="470"/>
        <v>2</v>
      </c>
      <c r="P1181" s="8">
        <v>2</v>
      </c>
      <c r="Q1181" s="9"/>
      <c r="R1181" s="10"/>
      <c r="S1181" s="4">
        <f t="shared" si="471"/>
        <v>2</v>
      </c>
      <c r="T1181" s="43">
        <v>45034</v>
      </c>
      <c r="U1181" s="3"/>
      <c r="V1181" s="8"/>
      <c r="W1181" s="9"/>
      <c r="X1181" s="10"/>
      <c r="Y1181" s="4">
        <f t="shared" si="472"/>
        <v>0</v>
      </c>
      <c r="Z1181" s="8"/>
      <c r="AA1181" s="9"/>
      <c r="AB1181" s="10"/>
      <c r="AC1181" s="4">
        <f t="shared" si="473"/>
        <v>0</v>
      </c>
      <c r="AD1181" s="8"/>
      <c r="AE1181" s="9"/>
      <c r="AF1181" s="10"/>
      <c r="AG1181" s="4">
        <f t="shared" si="474"/>
        <v>0</v>
      </c>
    </row>
    <row r="1182" spans="1:34">
      <c r="A1182" s="3" t="s">
        <v>680</v>
      </c>
      <c r="B1182" s="8"/>
      <c r="C1182" s="9">
        <v>10</v>
      </c>
      <c r="D1182" s="10"/>
      <c r="E1182" s="7">
        <f t="shared" si="468"/>
        <v>10</v>
      </c>
      <c r="F1182" s="8"/>
      <c r="G1182" s="9">
        <v>10</v>
      </c>
      <c r="H1182" s="10"/>
      <c r="I1182" s="7">
        <f t="shared" si="469"/>
        <v>10</v>
      </c>
      <c r="J1182" s="43">
        <v>45036</v>
      </c>
      <c r="K1182" s="3" t="s">
        <v>676</v>
      </c>
      <c r="L1182" s="8"/>
      <c r="M1182" s="9"/>
      <c r="N1182" s="10">
        <v>2</v>
      </c>
      <c r="O1182" s="7">
        <f t="shared" si="470"/>
        <v>2</v>
      </c>
      <c r="P1182" s="8"/>
      <c r="Q1182" s="9"/>
      <c r="R1182" s="10">
        <v>2</v>
      </c>
      <c r="S1182" s="7">
        <f t="shared" si="471"/>
        <v>2</v>
      </c>
      <c r="T1182" s="43">
        <v>45034</v>
      </c>
      <c r="U1182" s="3"/>
      <c r="V1182" s="8"/>
      <c r="W1182" s="9"/>
      <c r="X1182" s="10"/>
      <c r="Y1182" s="7">
        <f t="shared" si="472"/>
        <v>0</v>
      </c>
      <c r="Z1182" s="8"/>
      <c r="AA1182" s="9"/>
      <c r="AB1182" s="10"/>
      <c r="AC1182" s="7">
        <f t="shared" si="473"/>
        <v>0</v>
      </c>
      <c r="AD1182" s="8"/>
      <c r="AE1182" s="9"/>
      <c r="AF1182" s="10"/>
      <c r="AG1182" s="7">
        <f t="shared" si="474"/>
        <v>0</v>
      </c>
    </row>
    <row r="1183" spans="1:34">
      <c r="A1183" s="3"/>
      <c r="B1183" s="8"/>
      <c r="C1183" s="9"/>
      <c r="D1183" s="10"/>
      <c r="E1183" s="7">
        <f t="shared" ref="E1183" si="482">SUM(B1183:D1183)</f>
        <v>0</v>
      </c>
      <c r="F1183" s="8"/>
      <c r="G1183" s="9"/>
      <c r="H1183" s="10"/>
      <c r="I1183" s="7">
        <f t="shared" ref="I1183" si="483">SUM(F1183:H1183)</f>
        <v>0</v>
      </c>
      <c r="K1183" s="11" t="s">
        <v>679</v>
      </c>
      <c r="L1183" s="8">
        <v>10</v>
      </c>
      <c r="M1183" s="9">
        <v>10</v>
      </c>
      <c r="N1183" s="10">
        <v>10</v>
      </c>
      <c r="O1183" s="7">
        <f t="shared" si="470"/>
        <v>30</v>
      </c>
      <c r="P1183" s="8">
        <v>10</v>
      </c>
      <c r="Q1183" s="9">
        <v>10</v>
      </c>
      <c r="R1183" s="10">
        <v>10</v>
      </c>
      <c r="S1183" s="7">
        <f t="shared" si="471"/>
        <v>30</v>
      </c>
      <c r="T1183" s="43">
        <v>45041</v>
      </c>
      <c r="U1183" s="3"/>
      <c r="V1183" s="8"/>
      <c r="W1183" s="9"/>
      <c r="X1183" s="10"/>
      <c r="Y1183" s="7">
        <f t="shared" si="472"/>
        <v>0</v>
      </c>
      <c r="Z1183" s="8"/>
      <c r="AA1183" s="9"/>
      <c r="AB1183" s="10"/>
      <c r="AC1183" s="7">
        <f t="shared" si="473"/>
        <v>0</v>
      </c>
      <c r="AD1183" s="8"/>
      <c r="AE1183" s="9"/>
      <c r="AF1183" s="10"/>
      <c r="AG1183" s="7">
        <f t="shared" si="474"/>
        <v>0</v>
      </c>
    </row>
    <row r="1184" spans="1:34">
      <c r="A1184" s="3"/>
      <c r="B1184" s="8"/>
      <c r="C1184" s="9"/>
      <c r="D1184" s="10"/>
      <c r="E1184" s="7">
        <f t="shared" si="468"/>
        <v>0</v>
      </c>
      <c r="F1184" s="8"/>
      <c r="G1184" s="9"/>
      <c r="H1184" s="10"/>
      <c r="I1184" s="7">
        <f t="shared" si="469"/>
        <v>0</v>
      </c>
      <c r="K1184" s="3"/>
      <c r="L1184" s="8"/>
      <c r="M1184" s="9"/>
      <c r="N1184" s="10"/>
      <c r="O1184" s="7">
        <f t="shared" si="470"/>
        <v>0</v>
      </c>
      <c r="P1184" s="8"/>
      <c r="Q1184" s="9"/>
      <c r="R1184" s="10"/>
      <c r="S1184" s="7">
        <f t="shared" si="471"/>
        <v>0</v>
      </c>
      <c r="U1184" s="3"/>
      <c r="V1184" s="8"/>
      <c r="W1184" s="9"/>
      <c r="X1184" s="10"/>
      <c r="Y1184" s="7">
        <f t="shared" si="472"/>
        <v>0</v>
      </c>
      <c r="Z1184" s="8"/>
      <c r="AA1184" s="9"/>
      <c r="AB1184" s="10"/>
      <c r="AC1184" s="7">
        <f t="shared" si="473"/>
        <v>0</v>
      </c>
      <c r="AD1184" s="8"/>
      <c r="AE1184" s="9"/>
      <c r="AF1184" s="10"/>
      <c r="AG1184" s="7">
        <f t="shared" si="474"/>
        <v>0</v>
      </c>
    </row>
    <row r="1185" spans="1:34">
      <c r="A1185" s="3"/>
      <c r="B1185" s="8"/>
      <c r="C1185" s="9"/>
      <c r="D1185" s="10"/>
      <c r="E1185" s="7">
        <f t="shared" si="468"/>
        <v>0</v>
      </c>
      <c r="F1185" s="8"/>
      <c r="G1185" s="9"/>
      <c r="H1185" s="10"/>
      <c r="I1185" s="7">
        <f t="shared" si="469"/>
        <v>0</v>
      </c>
      <c r="K1185" s="3"/>
      <c r="L1185" s="8"/>
      <c r="M1185" s="9"/>
      <c r="N1185" s="10"/>
      <c r="O1185" s="7">
        <f t="shared" si="470"/>
        <v>0</v>
      </c>
      <c r="P1185" s="8"/>
      <c r="Q1185" s="9"/>
      <c r="R1185" s="10"/>
      <c r="S1185" s="7">
        <f t="shared" si="471"/>
        <v>0</v>
      </c>
      <c r="U1185" s="3"/>
      <c r="V1185" s="8"/>
      <c r="W1185" s="9"/>
      <c r="X1185" s="10"/>
      <c r="Y1185" s="7">
        <f t="shared" si="472"/>
        <v>0</v>
      </c>
      <c r="Z1185" s="8"/>
      <c r="AA1185" s="9"/>
      <c r="AB1185" s="10"/>
      <c r="AC1185" s="7">
        <f t="shared" si="473"/>
        <v>0</v>
      </c>
      <c r="AD1185" s="8"/>
      <c r="AE1185" s="9"/>
      <c r="AF1185" s="10"/>
      <c r="AG1185" s="7">
        <f t="shared" si="474"/>
        <v>0</v>
      </c>
    </row>
    <row r="1186" spans="1:34">
      <c r="A1186" s="3"/>
      <c r="B1186" s="8"/>
      <c r="C1186" s="9"/>
      <c r="D1186" s="10"/>
      <c r="E1186" s="7">
        <f t="shared" si="468"/>
        <v>0</v>
      </c>
      <c r="F1186" s="8"/>
      <c r="G1186" s="9"/>
      <c r="H1186" s="10"/>
      <c r="I1186" s="7">
        <f t="shared" si="469"/>
        <v>0</v>
      </c>
      <c r="K1186" s="3"/>
      <c r="L1186" s="8"/>
      <c r="M1186" s="9"/>
      <c r="N1186" s="10"/>
      <c r="O1186" s="7">
        <f t="shared" si="470"/>
        <v>0</v>
      </c>
      <c r="P1186" s="8"/>
      <c r="Q1186" s="9"/>
      <c r="R1186" s="10"/>
      <c r="S1186" s="7">
        <f t="shared" si="471"/>
        <v>0</v>
      </c>
      <c r="U1186" s="3"/>
      <c r="V1186" s="8"/>
      <c r="W1186" s="9"/>
      <c r="X1186" s="10"/>
      <c r="Y1186" s="7">
        <f t="shared" si="472"/>
        <v>0</v>
      </c>
      <c r="Z1186" s="8"/>
      <c r="AA1186" s="9"/>
      <c r="AB1186" s="10"/>
      <c r="AC1186" s="7">
        <f t="shared" si="473"/>
        <v>0</v>
      </c>
      <c r="AD1186" s="8"/>
      <c r="AE1186" s="9"/>
      <c r="AF1186" s="10"/>
      <c r="AG1186" s="7">
        <f t="shared" si="474"/>
        <v>0</v>
      </c>
    </row>
    <row r="1187" spans="1:34">
      <c r="A1187" s="3"/>
      <c r="B1187" s="8"/>
      <c r="C1187" s="9"/>
      <c r="D1187" s="10"/>
      <c r="E1187" s="7">
        <f t="shared" si="468"/>
        <v>0</v>
      </c>
      <c r="F1187" s="8"/>
      <c r="G1187" s="9"/>
      <c r="H1187" s="10"/>
      <c r="I1187" s="7">
        <f t="shared" si="469"/>
        <v>0</v>
      </c>
      <c r="K1187" s="3"/>
      <c r="L1187" s="30"/>
      <c r="M1187" s="9"/>
      <c r="N1187" s="10"/>
      <c r="O1187" s="7">
        <f t="shared" si="470"/>
        <v>0</v>
      </c>
      <c r="P1187" s="8"/>
      <c r="Q1187" s="9"/>
      <c r="R1187" s="10"/>
      <c r="S1187" s="7">
        <f t="shared" si="471"/>
        <v>0</v>
      </c>
      <c r="U1187" s="3"/>
      <c r="V1187" s="30"/>
      <c r="W1187" s="9"/>
      <c r="X1187" s="10"/>
      <c r="Y1187" s="7">
        <f t="shared" si="472"/>
        <v>0</v>
      </c>
      <c r="Z1187" s="8"/>
      <c r="AA1187" s="9"/>
      <c r="AB1187" s="10"/>
      <c r="AC1187" s="7">
        <f t="shared" si="473"/>
        <v>0</v>
      </c>
      <c r="AD1187" s="8"/>
      <c r="AE1187" s="9"/>
      <c r="AF1187" s="10"/>
      <c r="AG1187" s="7">
        <f t="shared" si="474"/>
        <v>0</v>
      </c>
    </row>
    <row r="1188" spans="1:34">
      <c r="A1188" s="3"/>
      <c r="B1188" s="8"/>
      <c r="C1188" s="9"/>
      <c r="D1188" s="10"/>
      <c r="E1188" s="7">
        <f t="shared" si="468"/>
        <v>0</v>
      </c>
      <c r="F1188" s="8"/>
      <c r="G1188" s="9"/>
      <c r="H1188" s="10"/>
      <c r="I1188" s="7">
        <f t="shared" si="469"/>
        <v>0</v>
      </c>
      <c r="K1188" s="3"/>
      <c r="L1188" s="8"/>
      <c r="M1188" s="9"/>
      <c r="N1188" s="10"/>
      <c r="O1188" s="7">
        <f t="shared" si="470"/>
        <v>0</v>
      </c>
      <c r="P1188" s="8"/>
      <c r="Q1188" s="9"/>
      <c r="R1188" s="10"/>
      <c r="S1188" s="7">
        <f t="shared" si="471"/>
        <v>0</v>
      </c>
      <c r="U1188" s="3"/>
      <c r="V1188" s="8"/>
      <c r="W1188" s="9"/>
      <c r="X1188" s="10"/>
      <c r="Y1188" s="7">
        <f t="shared" si="472"/>
        <v>0</v>
      </c>
      <c r="Z1188" s="8"/>
      <c r="AA1188" s="9"/>
      <c r="AB1188" s="10"/>
      <c r="AC1188" s="7">
        <f t="shared" si="473"/>
        <v>0</v>
      </c>
      <c r="AD1188" s="8"/>
      <c r="AE1188" s="9"/>
      <c r="AF1188" s="10"/>
      <c r="AG1188" s="7">
        <f t="shared" si="474"/>
        <v>0</v>
      </c>
    </row>
    <row r="1189" spans="1:34">
      <c r="A1189" s="3"/>
      <c r="B1189" s="8"/>
      <c r="C1189" s="9"/>
      <c r="D1189" s="10"/>
      <c r="E1189" s="7">
        <f t="shared" si="468"/>
        <v>0</v>
      </c>
      <c r="F1189" s="8"/>
      <c r="G1189" s="9"/>
      <c r="H1189" s="10"/>
      <c r="I1189" s="7">
        <f t="shared" si="469"/>
        <v>0</v>
      </c>
      <c r="K1189" s="3"/>
      <c r="L1189" s="8"/>
      <c r="M1189" s="9"/>
      <c r="N1189" s="10"/>
      <c r="O1189" s="7">
        <f t="shared" si="470"/>
        <v>0</v>
      </c>
      <c r="P1189" s="8"/>
      <c r="Q1189" s="9"/>
      <c r="R1189" s="10"/>
      <c r="S1189" s="7">
        <f t="shared" si="471"/>
        <v>0</v>
      </c>
      <c r="U1189" s="3"/>
      <c r="V1189" s="8"/>
      <c r="W1189" s="9"/>
      <c r="X1189" s="10"/>
      <c r="Y1189" s="7">
        <f t="shared" si="472"/>
        <v>0</v>
      </c>
      <c r="Z1189" s="8"/>
      <c r="AA1189" s="9"/>
      <c r="AB1189" s="10"/>
      <c r="AC1189" s="7">
        <f t="shared" si="473"/>
        <v>0</v>
      </c>
      <c r="AD1189" s="8"/>
      <c r="AE1189" s="9"/>
      <c r="AF1189" s="10"/>
      <c r="AG1189" s="7">
        <f t="shared" si="474"/>
        <v>0</v>
      </c>
    </row>
    <row r="1190" spans="1:34">
      <c r="A1190" s="3"/>
      <c r="B1190" s="8"/>
      <c r="C1190" s="9"/>
      <c r="D1190" s="10"/>
      <c r="E1190" s="7">
        <f t="shared" si="468"/>
        <v>0</v>
      </c>
      <c r="F1190" s="8"/>
      <c r="G1190" s="9"/>
      <c r="H1190" s="10"/>
      <c r="I1190" s="7">
        <f t="shared" si="469"/>
        <v>0</v>
      </c>
      <c r="K1190" s="3"/>
      <c r="L1190" s="8"/>
      <c r="M1190" s="9"/>
      <c r="N1190" s="10"/>
      <c r="O1190" s="7">
        <f t="shared" si="470"/>
        <v>0</v>
      </c>
      <c r="P1190" s="8"/>
      <c r="Q1190" s="9"/>
      <c r="R1190" s="10"/>
      <c r="S1190" s="7">
        <f t="shared" si="471"/>
        <v>0</v>
      </c>
      <c r="U1190" s="3"/>
      <c r="V1190" s="8"/>
      <c r="W1190" s="9"/>
      <c r="X1190" s="10"/>
      <c r="Y1190" s="7">
        <f t="shared" si="472"/>
        <v>0</v>
      </c>
      <c r="Z1190" s="8"/>
      <c r="AA1190" s="9"/>
      <c r="AB1190" s="10"/>
      <c r="AC1190" s="7">
        <f t="shared" si="473"/>
        <v>0</v>
      </c>
      <c r="AD1190" s="8"/>
      <c r="AE1190" s="9"/>
      <c r="AF1190" s="10"/>
      <c r="AG1190" s="7">
        <f t="shared" si="474"/>
        <v>0</v>
      </c>
    </row>
    <row r="1191" spans="1:34">
      <c r="A1191" s="3"/>
      <c r="B1191" s="8"/>
      <c r="C1191" s="9"/>
      <c r="D1191" s="10"/>
      <c r="E1191" s="7">
        <f t="shared" si="468"/>
        <v>0</v>
      </c>
      <c r="F1191" s="8"/>
      <c r="G1191" s="9"/>
      <c r="H1191" s="10"/>
      <c r="I1191" s="7">
        <f t="shared" si="469"/>
        <v>0</v>
      </c>
      <c r="K1191" s="3"/>
      <c r="L1191" s="8"/>
      <c r="M1191" s="9"/>
      <c r="N1191" s="10"/>
      <c r="O1191" s="7">
        <f t="shared" si="470"/>
        <v>0</v>
      </c>
      <c r="P1191" s="8"/>
      <c r="Q1191" s="9"/>
      <c r="R1191" s="10"/>
      <c r="S1191" s="7">
        <f t="shared" si="471"/>
        <v>0</v>
      </c>
      <c r="U1191" s="3"/>
      <c r="V1191" s="8"/>
      <c r="W1191" s="9"/>
      <c r="X1191" s="10"/>
      <c r="Y1191" s="7">
        <f t="shared" si="472"/>
        <v>0</v>
      </c>
      <c r="Z1191" s="8"/>
      <c r="AA1191" s="9"/>
      <c r="AB1191" s="10"/>
      <c r="AC1191" s="7">
        <f t="shared" si="473"/>
        <v>0</v>
      </c>
      <c r="AD1191" s="8"/>
      <c r="AE1191" s="9"/>
      <c r="AF1191" s="10"/>
      <c r="AG1191" s="7">
        <f t="shared" si="474"/>
        <v>0</v>
      </c>
    </row>
    <row r="1192" spans="1:34">
      <c r="A1192" s="3"/>
      <c r="B1192" s="8"/>
      <c r="C1192" s="9"/>
      <c r="D1192" s="10"/>
      <c r="E1192" s="7">
        <f t="shared" si="468"/>
        <v>0</v>
      </c>
      <c r="F1192" s="8"/>
      <c r="G1192" s="9"/>
      <c r="H1192" s="10"/>
      <c r="I1192" s="7">
        <f t="shared" si="469"/>
        <v>0</v>
      </c>
      <c r="K1192" s="3"/>
      <c r="L1192" s="8"/>
      <c r="M1192" s="9"/>
      <c r="N1192" s="10"/>
      <c r="O1192" s="7">
        <f t="shared" si="470"/>
        <v>0</v>
      </c>
      <c r="P1192" s="8"/>
      <c r="Q1192" s="9"/>
      <c r="R1192" s="10"/>
      <c r="S1192" s="7">
        <f t="shared" si="471"/>
        <v>0</v>
      </c>
      <c r="U1192" s="3"/>
      <c r="V1192" s="8"/>
      <c r="W1192" s="9"/>
      <c r="X1192" s="10"/>
      <c r="Y1192" s="7">
        <f t="shared" si="472"/>
        <v>0</v>
      </c>
      <c r="Z1192" s="8"/>
      <c r="AA1192" s="9"/>
      <c r="AB1192" s="10"/>
      <c r="AC1192" s="7">
        <f t="shared" si="473"/>
        <v>0</v>
      </c>
      <c r="AD1192" s="8"/>
      <c r="AE1192" s="9"/>
      <c r="AF1192" s="10"/>
      <c r="AG1192" s="7">
        <f t="shared" si="474"/>
        <v>0</v>
      </c>
    </row>
    <row r="1193" spans="1:34">
      <c r="A1193" s="3"/>
      <c r="B1193" s="8"/>
      <c r="C1193" s="9"/>
      <c r="D1193" s="10"/>
      <c r="E1193" s="7">
        <f t="shared" si="468"/>
        <v>0</v>
      </c>
      <c r="F1193" s="8"/>
      <c r="G1193" s="9"/>
      <c r="H1193" s="10"/>
      <c r="I1193" s="7">
        <f t="shared" si="469"/>
        <v>0</v>
      </c>
      <c r="K1193" s="3"/>
      <c r="L1193" s="8"/>
      <c r="M1193" s="9"/>
      <c r="N1193" s="10"/>
      <c r="O1193" s="7">
        <f t="shared" si="470"/>
        <v>0</v>
      </c>
      <c r="P1193" s="8"/>
      <c r="Q1193" s="9"/>
      <c r="R1193" s="10"/>
      <c r="S1193" s="7">
        <f t="shared" si="471"/>
        <v>0</v>
      </c>
      <c r="U1193" s="3"/>
      <c r="V1193" s="8"/>
      <c r="W1193" s="9"/>
      <c r="X1193" s="10"/>
      <c r="Y1193" s="7">
        <f t="shared" si="472"/>
        <v>0</v>
      </c>
      <c r="Z1193" s="8"/>
      <c r="AA1193" s="9"/>
      <c r="AB1193" s="10"/>
      <c r="AC1193" s="7">
        <f t="shared" si="473"/>
        <v>0</v>
      </c>
      <c r="AD1193" s="8"/>
      <c r="AE1193" s="9"/>
      <c r="AF1193" s="10"/>
      <c r="AG1193" s="7">
        <f t="shared" si="474"/>
        <v>0</v>
      </c>
    </row>
    <row r="1194" spans="1:34">
      <c r="A1194" s="3"/>
      <c r="B1194" s="8"/>
      <c r="C1194" s="9"/>
      <c r="D1194" s="10"/>
      <c r="E1194" s="7">
        <f t="shared" si="468"/>
        <v>0</v>
      </c>
      <c r="F1194" s="8"/>
      <c r="G1194" s="9"/>
      <c r="H1194" s="10"/>
      <c r="I1194" s="7">
        <f t="shared" si="469"/>
        <v>0</v>
      </c>
      <c r="K1194" s="3"/>
      <c r="L1194" s="8"/>
      <c r="M1194" s="9"/>
      <c r="N1194" s="10"/>
      <c r="O1194" s="7">
        <f t="shared" si="470"/>
        <v>0</v>
      </c>
      <c r="P1194" s="8"/>
      <c r="Q1194" s="9"/>
      <c r="R1194" s="10"/>
      <c r="S1194" s="7">
        <f t="shared" si="471"/>
        <v>0</v>
      </c>
      <c r="U1194" s="3"/>
      <c r="V1194" s="8"/>
      <c r="W1194" s="9"/>
      <c r="X1194" s="10"/>
      <c r="Y1194" s="7">
        <f t="shared" si="472"/>
        <v>0</v>
      </c>
      <c r="Z1194" s="8"/>
      <c r="AA1194" s="9"/>
      <c r="AB1194" s="10"/>
      <c r="AC1194" s="7">
        <f t="shared" si="473"/>
        <v>0</v>
      </c>
      <c r="AD1194" s="8"/>
      <c r="AE1194" s="9"/>
      <c r="AF1194" s="10"/>
      <c r="AG1194" s="7">
        <f t="shared" si="474"/>
        <v>0</v>
      </c>
    </row>
    <row r="1195" spans="1:34">
      <c r="A1195" s="11"/>
      <c r="B1195" s="8"/>
      <c r="C1195" s="9"/>
      <c r="D1195" s="10"/>
      <c r="E1195" s="7">
        <f t="shared" si="468"/>
        <v>0</v>
      </c>
      <c r="F1195" s="8"/>
      <c r="G1195" s="9"/>
      <c r="H1195" s="10"/>
      <c r="I1195" s="7">
        <f t="shared" si="469"/>
        <v>0</v>
      </c>
      <c r="K1195" s="3"/>
      <c r="L1195" s="8"/>
      <c r="M1195" s="9"/>
      <c r="N1195" s="10"/>
      <c r="O1195" s="7">
        <f t="shared" ref="O1195:O1196" si="484">SUM(L1195:N1195)</f>
        <v>0</v>
      </c>
      <c r="P1195" s="8"/>
      <c r="Q1195" s="9"/>
      <c r="R1195" s="10"/>
      <c r="S1195" s="7">
        <f t="shared" ref="S1195:S1196" si="485">SUM(P1195:R1195)</f>
        <v>0</v>
      </c>
      <c r="U1195" s="3"/>
      <c r="V1195" s="8"/>
      <c r="W1195" s="9"/>
      <c r="X1195" s="10"/>
      <c r="Y1195" s="7">
        <f t="shared" si="472"/>
        <v>0</v>
      </c>
      <c r="Z1195" s="8"/>
      <c r="AA1195" s="9"/>
      <c r="AB1195" s="10"/>
      <c r="AC1195" s="7">
        <f t="shared" si="473"/>
        <v>0</v>
      </c>
      <c r="AD1195" s="8"/>
      <c r="AE1195" s="9"/>
      <c r="AF1195" s="10"/>
      <c r="AG1195" s="7">
        <f t="shared" si="474"/>
        <v>0</v>
      </c>
    </row>
    <row r="1196" spans="1:34">
      <c r="A1196" s="11"/>
      <c r="B1196" s="8"/>
      <c r="C1196" s="9"/>
      <c r="D1196" s="10"/>
      <c r="E1196" s="7">
        <f t="shared" si="468"/>
        <v>0</v>
      </c>
      <c r="F1196" s="8"/>
      <c r="G1196" s="9"/>
      <c r="H1196" s="10"/>
      <c r="I1196" s="7">
        <f t="shared" si="469"/>
        <v>0</v>
      </c>
      <c r="K1196" s="3"/>
      <c r="L1196" s="8"/>
      <c r="M1196" s="9"/>
      <c r="N1196" s="10"/>
      <c r="O1196" s="7">
        <f t="shared" si="484"/>
        <v>0</v>
      </c>
      <c r="P1196" s="8"/>
      <c r="Q1196" s="9"/>
      <c r="R1196" s="10"/>
      <c r="S1196" s="7">
        <f t="shared" si="485"/>
        <v>0</v>
      </c>
      <c r="U1196" s="3"/>
      <c r="V1196" s="8"/>
      <c r="W1196" s="9"/>
      <c r="X1196" s="10"/>
      <c r="Y1196" s="7">
        <f t="shared" si="472"/>
        <v>0</v>
      </c>
      <c r="Z1196" s="8"/>
      <c r="AA1196" s="9"/>
      <c r="AB1196" s="10"/>
      <c r="AC1196" s="7">
        <f t="shared" si="473"/>
        <v>0</v>
      </c>
      <c r="AD1196" s="8"/>
      <c r="AE1196" s="9"/>
      <c r="AF1196" s="10"/>
      <c r="AG1196" s="7">
        <f t="shared" si="474"/>
        <v>0</v>
      </c>
    </row>
    <row r="1197" spans="1:34">
      <c r="A1197" s="11"/>
      <c r="B1197" s="8"/>
      <c r="C1197" s="9"/>
      <c r="D1197" s="10"/>
      <c r="E1197" s="7">
        <f t="shared" si="468"/>
        <v>0</v>
      </c>
      <c r="F1197" s="8"/>
      <c r="G1197" s="9"/>
      <c r="H1197" s="10"/>
      <c r="I1197" s="7">
        <f t="shared" si="469"/>
        <v>0</v>
      </c>
      <c r="K1197" s="11"/>
      <c r="L1197" s="8"/>
      <c r="M1197" s="9"/>
      <c r="N1197" s="10"/>
      <c r="O1197" s="7">
        <f t="shared" si="470"/>
        <v>0</v>
      </c>
      <c r="P1197" s="8"/>
      <c r="Q1197" s="9"/>
      <c r="R1197" s="10"/>
      <c r="S1197" s="7">
        <f t="shared" si="471"/>
        <v>0</v>
      </c>
      <c r="T1197" s="71"/>
      <c r="U1197" s="11"/>
      <c r="V1197" s="8"/>
      <c r="W1197" s="9"/>
      <c r="X1197" s="10"/>
      <c r="Y1197" s="7">
        <f t="shared" si="472"/>
        <v>0</v>
      </c>
      <c r="Z1197" s="8"/>
      <c r="AA1197" s="9"/>
      <c r="AB1197" s="10"/>
      <c r="AC1197" s="7">
        <f t="shared" si="473"/>
        <v>0</v>
      </c>
      <c r="AD1197" s="8"/>
      <c r="AE1197" s="9"/>
      <c r="AF1197" s="10"/>
      <c r="AG1197" s="7">
        <f t="shared" si="474"/>
        <v>0</v>
      </c>
    </row>
    <row r="1198" spans="1:34">
      <c r="A1198" s="11"/>
      <c r="B1198" s="8"/>
      <c r="C1198" s="9"/>
      <c r="D1198" s="10"/>
      <c r="E1198" s="7">
        <f t="shared" si="468"/>
        <v>0</v>
      </c>
      <c r="F1198" s="8"/>
      <c r="G1198" s="9"/>
      <c r="H1198" s="10"/>
      <c r="I1198" s="7">
        <f t="shared" si="469"/>
        <v>0</v>
      </c>
      <c r="K1198" s="11" t="s">
        <v>659</v>
      </c>
      <c r="L1198" s="8"/>
      <c r="M1198" s="9"/>
      <c r="N1198" s="10"/>
      <c r="O1198" s="7">
        <f t="shared" ref="O1198" si="486">SUM(L1198:N1198)</f>
        <v>0</v>
      </c>
      <c r="P1198" s="8"/>
      <c r="Q1198" s="9"/>
      <c r="R1198" s="10"/>
      <c r="S1198" s="7">
        <f t="shared" ref="S1198" si="487">SUM(P1198:R1198)</f>
        <v>0</v>
      </c>
      <c r="T1198" s="71" t="s">
        <v>682</v>
      </c>
      <c r="U1198" s="3"/>
      <c r="V1198" s="8"/>
      <c r="W1198" s="9"/>
      <c r="X1198" s="10"/>
      <c r="Y1198" s="7">
        <f t="shared" si="472"/>
        <v>0</v>
      </c>
      <c r="Z1198" s="8"/>
      <c r="AA1198" s="9"/>
      <c r="AB1198" s="10"/>
      <c r="AC1198" s="7">
        <f t="shared" si="473"/>
        <v>0</v>
      </c>
      <c r="AD1198" s="8"/>
      <c r="AE1198" s="9"/>
      <c r="AF1198" s="10"/>
      <c r="AG1198" s="7">
        <f t="shared" si="474"/>
        <v>0</v>
      </c>
    </row>
    <row r="1199" spans="1:34">
      <c r="A1199" s="11"/>
      <c r="B1199" s="8"/>
      <c r="C1199" s="9"/>
      <c r="D1199" s="10"/>
      <c r="E1199" s="7">
        <f t="shared" si="468"/>
        <v>0</v>
      </c>
      <c r="F1199" s="8"/>
      <c r="G1199" s="9"/>
      <c r="H1199" s="10"/>
      <c r="I1199" s="7">
        <f t="shared" si="469"/>
        <v>0</v>
      </c>
      <c r="K1199" s="5" t="s">
        <v>646</v>
      </c>
      <c r="L1199" s="79"/>
      <c r="M1199" s="80"/>
      <c r="N1199" s="81"/>
      <c r="O1199" s="82">
        <f t="shared" si="470"/>
        <v>0</v>
      </c>
      <c r="P1199" s="79"/>
      <c r="Q1199" s="80"/>
      <c r="R1199" s="81"/>
      <c r="S1199" s="82">
        <f t="shared" si="471"/>
        <v>0</v>
      </c>
      <c r="T1199" s="92"/>
      <c r="U1199" s="3"/>
      <c r="V1199" s="8"/>
      <c r="W1199" s="9"/>
      <c r="X1199" s="10"/>
      <c r="Y1199" s="7">
        <f t="shared" si="472"/>
        <v>0</v>
      </c>
      <c r="Z1199" s="8"/>
      <c r="AA1199" s="9"/>
      <c r="AB1199" s="10"/>
      <c r="AC1199" s="7">
        <f t="shared" si="473"/>
        <v>0</v>
      </c>
      <c r="AD1199" s="8"/>
      <c r="AE1199" s="9"/>
      <c r="AF1199" s="10"/>
      <c r="AG1199" s="7">
        <f t="shared" si="474"/>
        <v>0</v>
      </c>
    </row>
    <row r="1200" spans="1:34" ht="14.25" thickBot="1">
      <c r="A1200" s="3"/>
      <c r="B1200" s="8"/>
      <c r="C1200" s="9"/>
      <c r="D1200" s="10"/>
      <c r="E1200" s="7">
        <f t="shared" si="468"/>
        <v>0</v>
      </c>
      <c r="F1200" s="8"/>
      <c r="G1200" s="9"/>
      <c r="H1200" s="10"/>
      <c r="I1200" s="7">
        <f t="shared" si="469"/>
        <v>0</v>
      </c>
      <c r="K1200" s="119" t="s">
        <v>668</v>
      </c>
      <c r="L1200" s="8"/>
      <c r="M1200" s="9"/>
      <c r="N1200" s="10"/>
      <c r="O1200" s="7">
        <f t="shared" si="470"/>
        <v>0</v>
      </c>
      <c r="P1200" s="8"/>
      <c r="Q1200" s="9"/>
      <c r="R1200" s="10"/>
      <c r="S1200" s="7">
        <f t="shared" si="471"/>
        <v>0</v>
      </c>
      <c r="T1200" s="71" t="s">
        <v>645</v>
      </c>
      <c r="U1200" s="3" t="s">
        <v>640</v>
      </c>
      <c r="V1200" s="8"/>
      <c r="W1200" s="9"/>
      <c r="X1200" s="10"/>
      <c r="Y1200" s="7">
        <f t="shared" ref="Y1200" si="488">SUM(V1200:X1200)</f>
        <v>0</v>
      </c>
      <c r="Z1200" s="8"/>
      <c r="AA1200" s="9"/>
      <c r="AB1200" s="10"/>
      <c r="AC1200" s="7">
        <f t="shared" ref="AC1200" si="489">SUM(Z1200:AB1200)</f>
        <v>0</v>
      </c>
      <c r="AD1200" s="8"/>
      <c r="AE1200" s="9"/>
      <c r="AF1200" s="10"/>
      <c r="AG1200" s="7">
        <f t="shared" ref="AG1200" si="490">SUM(AD1200:AF1200)</f>
        <v>0</v>
      </c>
      <c r="AH1200" s="71" t="s">
        <v>641</v>
      </c>
    </row>
    <row r="1201" spans="1:33" ht="14.25" thickBot="1">
      <c r="A1201" s="2" t="s">
        <v>5</v>
      </c>
      <c r="B1201" s="14">
        <f>SUM(B1177:B1200)</f>
        <v>11</v>
      </c>
      <c r="C1201" s="14">
        <f>SUM(C1177:C1200)</f>
        <v>18</v>
      </c>
      <c r="D1201" s="14">
        <f>SUM(D1177:D1200)</f>
        <v>9</v>
      </c>
      <c r="E1201" s="15">
        <f t="shared" si="468"/>
        <v>38</v>
      </c>
      <c r="F1201" s="14">
        <f>SUM(F1177:F1200)</f>
        <v>11</v>
      </c>
      <c r="G1201" s="14">
        <f>SUM(G1177:G1200)</f>
        <v>18</v>
      </c>
      <c r="H1201" s="14">
        <f>SUM(H1177:H1200)</f>
        <v>9</v>
      </c>
      <c r="I1201" s="15">
        <f t="shared" si="469"/>
        <v>38</v>
      </c>
      <c r="K1201" s="2" t="s">
        <v>5</v>
      </c>
      <c r="L1201" s="14">
        <f>SUM(L1177:L1200)</f>
        <v>65</v>
      </c>
      <c r="M1201" s="14">
        <f>SUM(M1177:M1200)</f>
        <v>54</v>
      </c>
      <c r="N1201" s="14">
        <f>SUM(N1177:N1200)</f>
        <v>46</v>
      </c>
      <c r="O1201" s="15">
        <f t="shared" si="470"/>
        <v>165</v>
      </c>
      <c r="P1201" s="14">
        <f>SUM(P1177:P1200)</f>
        <v>65</v>
      </c>
      <c r="Q1201" s="14">
        <f>SUM(Q1177:Q1200)</f>
        <v>54</v>
      </c>
      <c r="R1201" s="14">
        <f>SUM(R1177:R1200)</f>
        <v>46</v>
      </c>
      <c r="S1201" s="15">
        <f t="shared" si="471"/>
        <v>165</v>
      </c>
      <c r="U1201" s="2" t="s">
        <v>5</v>
      </c>
      <c r="V1201" s="14">
        <f>SUM(V1177:V1200)</f>
        <v>21</v>
      </c>
      <c r="W1201" s="14">
        <f>SUM(W1177:W1200)</f>
        <v>25</v>
      </c>
      <c r="X1201" s="14">
        <f>SUM(X1177:X1200)</f>
        <v>19</v>
      </c>
      <c r="Y1201" s="15">
        <f t="shared" si="472"/>
        <v>65</v>
      </c>
      <c r="Z1201" s="14">
        <f>SUM(Z1177:Z1200)</f>
        <v>21</v>
      </c>
      <c r="AA1201" s="14">
        <f>SUM(AA1177:AA1200)</f>
        <v>25</v>
      </c>
      <c r="AB1201" s="14">
        <f>SUM(AB1177:AB1200)</f>
        <v>19</v>
      </c>
      <c r="AC1201" s="15">
        <f t="shared" si="473"/>
        <v>65</v>
      </c>
      <c r="AD1201" s="14">
        <f>SUM(AD1177:AD1200)</f>
        <v>21</v>
      </c>
      <c r="AE1201" s="14">
        <f>SUM(AE1177:AE1200)</f>
        <v>25</v>
      </c>
      <c r="AF1201" s="14">
        <f>SUM(AF1177:AF1200)</f>
        <v>19</v>
      </c>
      <c r="AG1201" s="15">
        <f t="shared" si="474"/>
        <v>65</v>
      </c>
    </row>
    <row r="1202" spans="1:33" ht="14.25" thickBot="1">
      <c r="A1202" s="27" t="s">
        <v>6</v>
      </c>
      <c r="B1202" s="28">
        <f>B1176-B1201</f>
        <v>13</v>
      </c>
      <c r="C1202" s="28">
        <f t="shared" ref="C1202:E1202" si="491">C1176-C1201</f>
        <v>6</v>
      </c>
      <c r="D1202" s="28">
        <f t="shared" si="491"/>
        <v>18</v>
      </c>
      <c r="E1202" s="28">
        <f t="shared" si="491"/>
        <v>37</v>
      </c>
      <c r="F1202" s="28">
        <f>F1176-F1201</f>
        <v>13</v>
      </c>
      <c r="G1202" s="28">
        <f t="shared" ref="G1202:I1202" si="492">G1176-G1201</f>
        <v>6</v>
      </c>
      <c r="H1202" s="28">
        <f t="shared" si="492"/>
        <v>18</v>
      </c>
      <c r="I1202" s="26">
        <f t="shared" si="492"/>
        <v>37</v>
      </c>
      <c r="K1202" s="27" t="s">
        <v>6</v>
      </c>
      <c r="L1202" s="28">
        <f>L1176-L1201</f>
        <v>58</v>
      </c>
      <c r="M1202" s="28">
        <f t="shared" ref="M1202:O1202" si="493">M1176-M1201</f>
        <v>11</v>
      </c>
      <c r="N1202" s="28">
        <f t="shared" si="493"/>
        <v>63</v>
      </c>
      <c r="O1202" s="28">
        <f t="shared" si="493"/>
        <v>132</v>
      </c>
      <c r="P1202" s="28">
        <f>P1176-P1201</f>
        <v>58</v>
      </c>
      <c r="Q1202" s="28">
        <f t="shared" ref="Q1202:S1202" si="494">Q1176-Q1201</f>
        <v>11</v>
      </c>
      <c r="R1202" s="28">
        <f t="shared" si="494"/>
        <v>63</v>
      </c>
      <c r="S1202" s="26">
        <f t="shared" si="494"/>
        <v>132</v>
      </c>
      <c r="U1202" s="27" t="s">
        <v>6</v>
      </c>
      <c r="V1202" s="28">
        <f>V1176-V1201</f>
        <v>56</v>
      </c>
      <c r="W1202" s="28">
        <f t="shared" ref="W1202:Y1202" si="495">W1176-W1201</f>
        <v>35</v>
      </c>
      <c r="X1202" s="28">
        <f t="shared" si="495"/>
        <v>22</v>
      </c>
      <c r="Y1202" s="28">
        <f t="shared" si="495"/>
        <v>113</v>
      </c>
      <c r="Z1202" s="28">
        <f>Z1176-Z1201</f>
        <v>56</v>
      </c>
      <c r="AA1202" s="28">
        <f t="shared" ref="AA1202:AC1202" si="496">AA1176-AA1201</f>
        <v>35</v>
      </c>
      <c r="AB1202" s="28">
        <f t="shared" si="496"/>
        <v>22</v>
      </c>
      <c r="AC1202" s="26">
        <f t="shared" si="496"/>
        <v>113</v>
      </c>
      <c r="AD1202" s="28">
        <f>AD1176-AD1201</f>
        <v>56</v>
      </c>
      <c r="AE1202" s="28">
        <f t="shared" ref="AE1202:AG1202" si="497">AE1176-AE1201</f>
        <v>35</v>
      </c>
      <c r="AF1202" s="28">
        <f t="shared" si="497"/>
        <v>22</v>
      </c>
      <c r="AG1202" s="26">
        <f t="shared" si="497"/>
        <v>113</v>
      </c>
    </row>
    <row r="1203" spans="1:33">
      <c r="L1203" s="106"/>
      <c r="M1203" s="106"/>
      <c r="N1203" s="106"/>
      <c r="O1203" s="106"/>
      <c r="U1203" s="94" t="s">
        <v>653</v>
      </c>
      <c r="V1203">
        <f>V1048+V964+V963+V962</f>
        <v>51</v>
      </c>
      <c r="W1203">
        <f>W1048+W964+W962</f>
        <v>41</v>
      </c>
      <c r="X1203">
        <f>X1048+X964+X963+X962</f>
        <v>34</v>
      </c>
    </row>
    <row r="1204" spans="1:33">
      <c r="L1204" s="107"/>
      <c r="M1204" s="108"/>
      <c r="N1204" s="108"/>
      <c r="O1204" s="107"/>
    </row>
    <row r="1205" spans="1:33" ht="26.25" thickBot="1">
      <c r="A1205" s="33" t="s">
        <v>621</v>
      </c>
      <c r="B1205" s="34"/>
      <c r="C1205" s="34"/>
      <c r="D1205" s="34"/>
      <c r="E1205" s="34"/>
      <c r="F1205" s="35"/>
      <c r="G1205" s="35"/>
      <c r="H1205" s="35"/>
      <c r="I1205" s="35"/>
      <c r="K1205" s="33" t="s">
        <v>620</v>
      </c>
      <c r="L1205" s="34"/>
      <c r="M1205" s="34"/>
      <c r="N1205" s="34"/>
      <c r="O1205" s="34"/>
      <c r="P1205" s="35"/>
      <c r="Q1205" s="35"/>
      <c r="R1205" s="35"/>
      <c r="S1205" s="35"/>
      <c r="T1205" s="117"/>
      <c r="U1205" s="113" t="s">
        <v>622</v>
      </c>
      <c r="V1205" s="114"/>
      <c r="W1205" s="114"/>
      <c r="X1205" s="114"/>
      <c r="Y1205" s="114"/>
      <c r="Z1205" s="115"/>
      <c r="AA1205" s="115"/>
      <c r="AB1205" s="115"/>
      <c r="AC1205" s="115"/>
      <c r="AD1205" s="116"/>
      <c r="AE1205" s="116"/>
    </row>
    <row r="1206" spans="1:33" ht="14.25" thickBot="1">
      <c r="A1206" s="1" t="s">
        <v>0</v>
      </c>
      <c r="B1206" s="182" t="s">
        <v>17</v>
      </c>
      <c r="C1206" s="182"/>
      <c r="D1206" s="182"/>
      <c r="E1206" s="183"/>
      <c r="F1206" s="182" t="s">
        <v>13</v>
      </c>
      <c r="G1206" s="182"/>
      <c r="H1206" s="182"/>
      <c r="I1206" s="183"/>
      <c r="K1206" s="1" t="s">
        <v>0</v>
      </c>
      <c r="L1206" s="182" t="s">
        <v>17</v>
      </c>
      <c r="M1206" s="182"/>
      <c r="N1206" s="182"/>
      <c r="O1206" s="183"/>
      <c r="P1206" s="182" t="s">
        <v>13</v>
      </c>
      <c r="Q1206" s="182"/>
      <c r="R1206" s="182"/>
      <c r="S1206" s="183"/>
      <c r="U1206" s="1" t="s">
        <v>0</v>
      </c>
      <c r="V1206" s="182" t="s">
        <v>17</v>
      </c>
      <c r="W1206" s="182"/>
      <c r="X1206" s="182"/>
      <c r="Y1206" s="183"/>
      <c r="Z1206" s="182" t="s">
        <v>13</v>
      </c>
      <c r="AA1206" s="182"/>
      <c r="AB1206" s="182"/>
      <c r="AC1206" s="183"/>
      <c r="AD1206" s="182" t="s">
        <v>242</v>
      </c>
      <c r="AE1206" s="182"/>
      <c r="AF1206" s="182"/>
      <c r="AG1206" s="183"/>
    </row>
    <row r="1207" spans="1:33" ht="14.25" thickBot="1">
      <c r="A1207" s="1" t="s">
        <v>1</v>
      </c>
      <c r="B1207" s="2" t="s">
        <v>8</v>
      </c>
      <c r="C1207" s="1" t="s">
        <v>9</v>
      </c>
      <c r="D1207" s="19" t="s">
        <v>10</v>
      </c>
      <c r="E1207" s="1" t="s">
        <v>2</v>
      </c>
      <c r="F1207" s="2" t="s">
        <v>8</v>
      </c>
      <c r="G1207" s="1" t="s">
        <v>9</v>
      </c>
      <c r="H1207" s="19" t="s">
        <v>10</v>
      </c>
      <c r="I1207" s="1" t="s">
        <v>2</v>
      </c>
      <c r="K1207" s="1" t="s">
        <v>1</v>
      </c>
      <c r="L1207" s="2" t="s">
        <v>8</v>
      </c>
      <c r="M1207" s="1" t="s">
        <v>9</v>
      </c>
      <c r="N1207" s="19" t="s">
        <v>10</v>
      </c>
      <c r="O1207" s="1" t="s">
        <v>2</v>
      </c>
      <c r="P1207" s="2" t="s">
        <v>8</v>
      </c>
      <c r="Q1207" s="1" t="s">
        <v>9</v>
      </c>
      <c r="R1207" s="19" t="s">
        <v>10</v>
      </c>
      <c r="S1207" s="1" t="s">
        <v>2</v>
      </c>
      <c r="U1207" s="1" t="s">
        <v>1</v>
      </c>
      <c r="V1207" s="2" t="s">
        <v>8</v>
      </c>
      <c r="W1207" s="1" t="s">
        <v>9</v>
      </c>
      <c r="X1207" s="19" t="s">
        <v>10</v>
      </c>
      <c r="Y1207" s="1" t="s">
        <v>2</v>
      </c>
      <c r="Z1207" s="2" t="s">
        <v>8</v>
      </c>
      <c r="AA1207" s="1" t="s">
        <v>9</v>
      </c>
      <c r="AB1207" s="19" t="s">
        <v>10</v>
      </c>
      <c r="AC1207" s="1" t="s">
        <v>2</v>
      </c>
      <c r="AD1207" s="2" t="s">
        <v>8</v>
      </c>
      <c r="AE1207" s="1" t="s">
        <v>9</v>
      </c>
      <c r="AF1207" s="19" t="s">
        <v>10</v>
      </c>
      <c r="AG1207" s="1" t="s">
        <v>2</v>
      </c>
    </row>
    <row r="1208" spans="1:33">
      <c r="A1208" s="21" t="s">
        <v>7</v>
      </c>
      <c r="B1208" s="18">
        <f>B1202</f>
        <v>13</v>
      </c>
      <c r="C1208" s="22">
        <f>C1202</f>
        <v>6</v>
      </c>
      <c r="D1208" s="22">
        <f>D1202</f>
        <v>18</v>
      </c>
      <c r="E1208" s="17">
        <f t="shared" ref="E1208:E1244" si="498">SUM(B1208:D1208)</f>
        <v>37</v>
      </c>
      <c r="F1208" s="22">
        <f>F1202</f>
        <v>13</v>
      </c>
      <c r="G1208" s="22">
        <f>G1202</f>
        <v>6</v>
      </c>
      <c r="H1208" s="22">
        <f>H1202</f>
        <v>18</v>
      </c>
      <c r="I1208" s="17">
        <f t="shared" ref="I1208:I1244" si="499">SUM(F1208:H1208)</f>
        <v>37</v>
      </c>
      <c r="K1208" s="21" t="s">
        <v>7</v>
      </c>
      <c r="L1208" s="18">
        <f>L1202</f>
        <v>58</v>
      </c>
      <c r="M1208" s="22">
        <f>M1202</f>
        <v>11</v>
      </c>
      <c r="N1208" s="22">
        <f>N1202</f>
        <v>63</v>
      </c>
      <c r="O1208" s="17">
        <f t="shared" ref="O1208:O1244" si="500">SUM(L1208:N1208)</f>
        <v>132</v>
      </c>
      <c r="P1208" s="22">
        <f>P1202</f>
        <v>58</v>
      </c>
      <c r="Q1208" s="22">
        <f>Q1202</f>
        <v>11</v>
      </c>
      <c r="R1208" s="22">
        <f>R1202</f>
        <v>63</v>
      </c>
      <c r="S1208" s="17">
        <f t="shared" ref="S1208:S1244" si="501">SUM(P1208:R1208)</f>
        <v>132</v>
      </c>
      <c r="U1208" s="21" t="s">
        <v>7</v>
      </c>
      <c r="V1208" s="18">
        <f>V1202</f>
        <v>56</v>
      </c>
      <c r="W1208" s="22">
        <f>W1202</f>
        <v>35</v>
      </c>
      <c r="X1208" s="22">
        <f>X1202</f>
        <v>22</v>
      </c>
      <c r="Y1208" s="17">
        <f t="shared" ref="Y1208:Y1244" si="502">SUM(V1208:X1208)</f>
        <v>113</v>
      </c>
      <c r="Z1208" s="22">
        <f>Z1202</f>
        <v>56</v>
      </c>
      <c r="AA1208" s="22">
        <f>AA1202</f>
        <v>35</v>
      </c>
      <c r="AB1208" s="22">
        <f>AB1202</f>
        <v>22</v>
      </c>
      <c r="AC1208" s="17">
        <f t="shared" ref="AC1208:AC1244" si="503">SUM(Z1208:AB1208)</f>
        <v>113</v>
      </c>
      <c r="AD1208" s="22">
        <f>AD1202</f>
        <v>56</v>
      </c>
      <c r="AE1208" s="22">
        <f>AE1202</f>
        <v>35</v>
      </c>
      <c r="AF1208" s="22">
        <f>AF1202</f>
        <v>22</v>
      </c>
      <c r="AG1208" s="17">
        <f t="shared" ref="AG1208:AG1244" si="504">SUM(AD1208:AF1208)</f>
        <v>113</v>
      </c>
    </row>
    <row r="1209" spans="1:33">
      <c r="A1209" s="5" t="s">
        <v>3</v>
      </c>
      <c r="B1209" s="30">
        <v>5</v>
      </c>
      <c r="C1209" s="31">
        <v>5</v>
      </c>
      <c r="D1209" s="32"/>
      <c r="E1209" s="4">
        <f t="shared" si="498"/>
        <v>10</v>
      </c>
      <c r="F1209" s="30">
        <v>5</v>
      </c>
      <c r="G1209" s="31">
        <v>5</v>
      </c>
      <c r="H1209" s="32"/>
      <c r="I1209" s="4">
        <f t="shared" si="499"/>
        <v>10</v>
      </c>
      <c r="J1209" s="43">
        <v>45072</v>
      </c>
      <c r="K1209" s="5" t="s">
        <v>3</v>
      </c>
      <c r="L1209" s="16"/>
      <c r="M1209" s="11"/>
      <c r="N1209" s="16"/>
      <c r="O1209" s="4">
        <f t="shared" si="500"/>
        <v>0</v>
      </c>
      <c r="P1209" s="16"/>
      <c r="Q1209" s="11"/>
      <c r="R1209" s="16"/>
      <c r="S1209" s="4">
        <f t="shared" si="501"/>
        <v>0</v>
      </c>
      <c r="U1209" s="5" t="s">
        <v>3</v>
      </c>
      <c r="V1209" s="16"/>
      <c r="W1209" s="11"/>
      <c r="X1209" s="16"/>
      <c r="Y1209" s="4">
        <f t="shared" si="502"/>
        <v>0</v>
      </c>
      <c r="Z1209" s="16"/>
      <c r="AA1209" s="11"/>
      <c r="AB1209" s="16"/>
      <c r="AC1209" s="4">
        <f t="shared" si="503"/>
        <v>0</v>
      </c>
      <c r="AD1209" s="16"/>
      <c r="AE1209" s="11"/>
      <c r="AF1209" s="16"/>
      <c r="AG1209" s="4">
        <f t="shared" si="504"/>
        <v>0</v>
      </c>
    </row>
    <row r="1210" spans="1:33">
      <c r="A1210" s="123" t="s">
        <v>729</v>
      </c>
      <c r="B1210" s="8">
        <v>1</v>
      </c>
      <c r="C1210" s="9"/>
      <c r="D1210" s="10"/>
      <c r="E1210" s="4">
        <f t="shared" ref="E1210" si="505">SUM(B1210:D1210)</f>
        <v>1</v>
      </c>
      <c r="F1210" s="8">
        <v>1</v>
      </c>
      <c r="G1210" s="9"/>
      <c r="H1210" s="10"/>
      <c r="I1210" s="4">
        <f t="shared" ref="I1210" si="506">SUM(F1210:H1210)</f>
        <v>1</v>
      </c>
      <c r="J1210" s="49">
        <v>45084</v>
      </c>
      <c r="K1210" s="5" t="s">
        <v>3</v>
      </c>
      <c r="L1210" s="32"/>
      <c r="M1210" s="31"/>
      <c r="N1210" s="32"/>
      <c r="O1210" s="4">
        <f t="shared" si="500"/>
        <v>0</v>
      </c>
      <c r="P1210" s="32"/>
      <c r="Q1210" s="31"/>
      <c r="R1210" s="32"/>
      <c r="S1210" s="4">
        <f t="shared" si="501"/>
        <v>0</v>
      </c>
      <c r="T1210" s="43"/>
      <c r="U1210" s="5" t="s">
        <v>3</v>
      </c>
      <c r="V1210" s="32"/>
      <c r="W1210" s="31"/>
      <c r="X1210" s="32"/>
      <c r="Y1210" s="4">
        <f t="shared" ref="Y1210:Y1212" si="507">SUM(V1210:X1210)</f>
        <v>0</v>
      </c>
      <c r="Z1210" s="32"/>
      <c r="AA1210" s="31"/>
      <c r="AB1210" s="32"/>
      <c r="AC1210" s="4">
        <f t="shared" ref="AC1210:AC1212" si="508">SUM(Z1210:AB1210)</f>
        <v>0</v>
      </c>
      <c r="AD1210" s="32"/>
      <c r="AE1210" s="31"/>
      <c r="AF1210" s="32"/>
      <c r="AG1210" s="4">
        <f t="shared" ref="AG1210:AG1212" si="509">SUM(AD1210:AF1210)</f>
        <v>0</v>
      </c>
    </row>
    <row r="1211" spans="1:33">
      <c r="A1211" s="5" t="s">
        <v>37</v>
      </c>
      <c r="B1211" s="30">
        <v>1</v>
      </c>
      <c r="C1211" s="31"/>
      <c r="D1211" s="32"/>
      <c r="E1211" s="4">
        <f t="shared" si="498"/>
        <v>1</v>
      </c>
      <c r="F1211" s="30">
        <v>1</v>
      </c>
      <c r="G1211" s="31"/>
      <c r="H1211" s="32"/>
      <c r="I1211" s="4">
        <f t="shared" si="499"/>
        <v>1</v>
      </c>
      <c r="J1211" s="49">
        <v>45086</v>
      </c>
      <c r="K1211" s="5" t="s">
        <v>650</v>
      </c>
      <c r="L1211" s="32">
        <v>140</v>
      </c>
      <c r="M1211" s="31">
        <v>250</v>
      </c>
      <c r="N1211" s="32">
        <v>140</v>
      </c>
      <c r="O1211" s="4">
        <f t="shared" si="500"/>
        <v>530</v>
      </c>
      <c r="P1211" s="32">
        <v>140</v>
      </c>
      <c r="Q1211" s="31">
        <v>250</v>
      </c>
      <c r="R1211" s="32">
        <v>140</v>
      </c>
      <c r="S1211" s="4">
        <f t="shared" si="501"/>
        <v>530</v>
      </c>
      <c r="T1211" s="43" t="s">
        <v>691</v>
      </c>
      <c r="U1211" s="5" t="s">
        <v>3</v>
      </c>
      <c r="V1211" s="32"/>
      <c r="W1211" s="31"/>
      <c r="X1211" s="32"/>
      <c r="Y1211" s="4">
        <f t="shared" si="507"/>
        <v>0</v>
      </c>
      <c r="Z1211" s="32"/>
      <c r="AA1211" s="31"/>
      <c r="AB1211" s="32"/>
      <c r="AC1211" s="4">
        <f t="shared" si="508"/>
        <v>0</v>
      </c>
      <c r="AD1211" s="32"/>
      <c r="AE1211" s="31"/>
      <c r="AF1211" s="32"/>
      <c r="AG1211" s="4">
        <f t="shared" si="509"/>
        <v>0</v>
      </c>
    </row>
    <row r="1212" spans="1:33">
      <c r="A1212" s="5" t="s">
        <v>3</v>
      </c>
      <c r="B1212" s="16"/>
      <c r="C1212" s="11"/>
      <c r="D1212" s="16"/>
      <c r="E1212" s="4">
        <f t="shared" si="498"/>
        <v>0</v>
      </c>
      <c r="F1212" s="16"/>
      <c r="G1212" s="11"/>
      <c r="H1212" s="16"/>
      <c r="I1212" s="4">
        <f t="shared" si="499"/>
        <v>0</v>
      </c>
      <c r="K1212" s="5" t="s">
        <v>3</v>
      </c>
      <c r="L1212" s="32"/>
      <c r="M1212" s="31"/>
      <c r="N1212" s="32"/>
      <c r="O1212" s="4">
        <f t="shared" ref="O1212:O1217" si="510">SUM(L1212:N1212)</f>
        <v>0</v>
      </c>
      <c r="P1212" s="32"/>
      <c r="Q1212" s="31"/>
      <c r="R1212" s="32"/>
      <c r="S1212" s="4">
        <f t="shared" ref="S1212:S1217" si="511">SUM(P1212:R1212)</f>
        <v>0</v>
      </c>
      <c r="T1212" s="43"/>
      <c r="U1212" s="5" t="s">
        <v>3</v>
      </c>
      <c r="V1212" s="32"/>
      <c r="W1212" s="31"/>
      <c r="X1212" s="32"/>
      <c r="Y1212" s="4">
        <f t="shared" si="507"/>
        <v>0</v>
      </c>
      <c r="Z1212" s="32"/>
      <c r="AA1212" s="31"/>
      <c r="AB1212" s="32"/>
      <c r="AC1212" s="4">
        <f t="shared" si="508"/>
        <v>0</v>
      </c>
      <c r="AD1212" s="32"/>
      <c r="AE1212" s="31"/>
      <c r="AF1212" s="32"/>
      <c r="AG1212" s="4">
        <f t="shared" si="509"/>
        <v>0</v>
      </c>
    </row>
    <row r="1213" spans="1:33">
      <c r="A1213" s="5" t="s">
        <v>3</v>
      </c>
      <c r="B1213" s="16"/>
      <c r="C1213" s="11"/>
      <c r="D1213" s="16"/>
      <c r="E1213" s="4">
        <f t="shared" si="498"/>
        <v>0</v>
      </c>
      <c r="F1213" s="16"/>
      <c r="G1213" s="11"/>
      <c r="H1213" s="16"/>
      <c r="I1213" s="4">
        <f t="shared" si="499"/>
        <v>0</v>
      </c>
      <c r="K1213" s="5" t="s">
        <v>3</v>
      </c>
      <c r="L1213" s="32"/>
      <c r="M1213" s="31"/>
      <c r="N1213" s="32"/>
      <c r="O1213" s="4">
        <f t="shared" si="510"/>
        <v>0</v>
      </c>
      <c r="P1213" s="32"/>
      <c r="Q1213" s="31"/>
      <c r="R1213" s="32"/>
      <c r="S1213" s="4">
        <f t="shared" si="511"/>
        <v>0</v>
      </c>
      <c r="T1213" s="43"/>
      <c r="U1213" s="5" t="s">
        <v>3</v>
      </c>
      <c r="V1213" s="32"/>
      <c r="W1213" s="31"/>
      <c r="X1213" s="32"/>
      <c r="Y1213" s="4">
        <f t="shared" si="502"/>
        <v>0</v>
      </c>
      <c r="Z1213" s="32"/>
      <c r="AA1213" s="31"/>
      <c r="AB1213" s="32"/>
      <c r="AC1213" s="4">
        <f t="shared" si="503"/>
        <v>0</v>
      </c>
      <c r="AD1213" s="32"/>
      <c r="AE1213" s="31"/>
      <c r="AF1213" s="32"/>
      <c r="AG1213" s="4">
        <f t="shared" si="504"/>
        <v>0</v>
      </c>
    </row>
    <row r="1214" spans="1:33">
      <c r="A1214" s="5" t="s">
        <v>3</v>
      </c>
      <c r="B1214" s="16"/>
      <c r="C1214" s="11"/>
      <c r="D1214" s="16"/>
      <c r="E1214" s="4">
        <f t="shared" si="498"/>
        <v>0</v>
      </c>
      <c r="F1214" s="16"/>
      <c r="G1214" s="11"/>
      <c r="H1214" s="16"/>
      <c r="I1214" s="4">
        <f t="shared" si="499"/>
        <v>0</v>
      </c>
      <c r="K1214" s="5" t="s">
        <v>3</v>
      </c>
      <c r="L1214" s="32"/>
      <c r="M1214" s="31"/>
      <c r="N1214" s="32"/>
      <c r="O1214" s="4">
        <f t="shared" si="510"/>
        <v>0</v>
      </c>
      <c r="P1214" s="32"/>
      <c r="Q1214" s="31"/>
      <c r="R1214" s="32"/>
      <c r="S1214" s="4">
        <f t="shared" si="511"/>
        <v>0</v>
      </c>
      <c r="T1214" s="43"/>
      <c r="U1214" s="5" t="s">
        <v>3</v>
      </c>
      <c r="V1214" s="16"/>
      <c r="W1214" s="11"/>
      <c r="X1214" s="16"/>
      <c r="Y1214" s="4">
        <f t="shared" si="502"/>
        <v>0</v>
      </c>
      <c r="Z1214" s="16"/>
      <c r="AA1214" s="11"/>
      <c r="AB1214" s="16"/>
      <c r="AC1214" s="4">
        <f t="shared" si="503"/>
        <v>0</v>
      </c>
      <c r="AD1214" s="16"/>
      <c r="AE1214" s="11"/>
      <c r="AF1214" s="16"/>
      <c r="AG1214" s="4">
        <f t="shared" si="504"/>
        <v>0</v>
      </c>
    </row>
    <row r="1215" spans="1:33">
      <c r="A1215" s="5" t="s">
        <v>3</v>
      </c>
      <c r="B1215" s="32"/>
      <c r="C1215" s="31"/>
      <c r="D1215" s="32"/>
      <c r="E1215" s="4">
        <f t="shared" si="498"/>
        <v>0</v>
      </c>
      <c r="F1215" s="32"/>
      <c r="G1215" s="31"/>
      <c r="H1215" s="32"/>
      <c r="I1215" s="4">
        <f t="shared" si="499"/>
        <v>0</v>
      </c>
      <c r="K1215" s="5" t="s">
        <v>3</v>
      </c>
      <c r="L1215" s="32"/>
      <c r="M1215" s="31"/>
      <c r="N1215" s="32"/>
      <c r="O1215" s="4">
        <f t="shared" si="510"/>
        <v>0</v>
      </c>
      <c r="P1215" s="32"/>
      <c r="Q1215" s="31"/>
      <c r="R1215" s="32"/>
      <c r="S1215" s="4">
        <f t="shared" si="511"/>
        <v>0</v>
      </c>
      <c r="T1215" s="43"/>
      <c r="U1215" s="5" t="s">
        <v>3</v>
      </c>
      <c r="V1215" s="32"/>
      <c r="W1215" s="31"/>
      <c r="X1215" s="32"/>
      <c r="Y1215" s="4">
        <f t="shared" si="502"/>
        <v>0</v>
      </c>
      <c r="Z1215" s="32"/>
      <c r="AA1215" s="31"/>
      <c r="AB1215" s="32"/>
      <c r="AC1215" s="4">
        <f t="shared" si="503"/>
        <v>0</v>
      </c>
      <c r="AD1215" s="32"/>
      <c r="AE1215" s="31"/>
      <c r="AF1215" s="32"/>
      <c r="AG1215" s="4">
        <f t="shared" si="504"/>
        <v>0</v>
      </c>
    </row>
    <row r="1216" spans="1:33">
      <c r="A1216" s="5" t="s">
        <v>3</v>
      </c>
      <c r="B1216" s="32"/>
      <c r="C1216" s="31"/>
      <c r="D1216" s="32"/>
      <c r="E1216" s="4">
        <f t="shared" si="498"/>
        <v>0</v>
      </c>
      <c r="F1216" s="32"/>
      <c r="G1216" s="31"/>
      <c r="H1216" s="32"/>
      <c r="I1216" s="4">
        <f t="shared" si="499"/>
        <v>0</v>
      </c>
      <c r="K1216" s="5" t="s">
        <v>3</v>
      </c>
      <c r="L1216" s="32"/>
      <c r="M1216" s="31"/>
      <c r="N1216" s="32"/>
      <c r="O1216" s="4">
        <f t="shared" si="510"/>
        <v>0</v>
      </c>
      <c r="P1216" s="32"/>
      <c r="Q1216" s="31"/>
      <c r="R1216" s="32"/>
      <c r="S1216" s="4">
        <f t="shared" si="511"/>
        <v>0</v>
      </c>
      <c r="T1216" s="43"/>
      <c r="U1216" s="5" t="s">
        <v>3</v>
      </c>
      <c r="V1216" s="32"/>
      <c r="W1216" s="31"/>
      <c r="X1216" s="32"/>
      <c r="Y1216" s="4">
        <f t="shared" si="502"/>
        <v>0</v>
      </c>
      <c r="Z1216" s="32"/>
      <c r="AA1216" s="31"/>
      <c r="AB1216" s="32"/>
      <c r="AC1216" s="4">
        <f t="shared" si="503"/>
        <v>0</v>
      </c>
      <c r="AD1216" s="32"/>
      <c r="AE1216" s="31"/>
      <c r="AF1216" s="32"/>
      <c r="AG1216" s="4">
        <f t="shared" si="504"/>
        <v>0</v>
      </c>
    </row>
    <row r="1217" spans="1:34">
      <c r="A1217" s="5" t="s">
        <v>3</v>
      </c>
      <c r="B1217" s="30"/>
      <c r="C1217" s="31"/>
      <c r="D1217" s="32"/>
      <c r="E1217" s="4">
        <f t="shared" si="498"/>
        <v>0</v>
      </c>
      <c r="F1217" s="30"/>
      <c r="G1217" s="31"/>
      <c r="H1217" s="32"/>
      <c r="I1217" s="4">
        <f t="shared" si="499"/>
        <v>0</v>
      </c>
      <c r="K1217" s="5" t="s">
        <v>3</v>
      </c>
      <c r="L1217" s="32"/>
      <c r="M1217" s="31"/>
      <c r="N1217" s="32"/>
      <c r="O1217" s="4">
        <f t="shared" si="510"/>
        <v>0</v>
      </c>
      <c r="P1217" s="32"/>
      <c r="Q1217" s="31"/>
      <c r="R1217" s="32"/>
      <c r="S1217" s="4">
        <f t="shared" si="511"/>
        <v>0</v>
      </c>
      <c r="T1217" s="43"/>
      <c r="U1217" s="5" t="s">
        <v>3</v>
      </c>
      <c r="V1217" s="30"/>
      <c r="W1217" s="31"/>
      <c r="X1217" s="32"/>
      <c r="Y1217" s="4">
        <f t="shared" si="502"/>
        <v>0</v>
      </c>
      <c r="Z1217" s="30"/>
      <c r="AA1217" s="31"/>
      <c r="AB1217" s="32"/>
      <c r="AC1217" s="4">
        <f t="shared" si="503"/>
        <v>0</v>
      </c>
      <c r="AD1217" s="30"/>
      <c r="AE1217" s="31"/>
      <c r="AF1217" s="32"/>
      <c r="AG1217" s="4">
        <f t="shared" si="504"/>
        <v>0</v>
      </c>
    </row>
    <row r="1218" spans="1:34" ht="14.25" thickBot="1">
      <c r="A1218" s="6" t="s">
        <v>3</v>
      </c>
      <c r="B1218" s="36"/>
      <c r="C1218" s="37"/>
      <c r="D1218" s="36"/>
      <c r="E1218" s="20">
        <f t="shared" si="498"/>
        <v>0</v>
      </c>
      <c r="F1218" s="13"/>
      <c r="G1218" s="12"/>
      <c r="H1218" s="13"/>
      <c r="I1218" s="20">
        <f t="shared" si="499"/>
        <v>0</v>
      </c>
      <c r="K1218" s="5" t="s">
        <v>3</v>
      </c>
      <c r="L1218" s="36"/>
      <c r="M1218" s="37"/>
      <c r="N1218" s="36"/>
      <c r="O1218" s="20">
        <f t="shared" si="500"/>
        <v>0</v>
      </c>
      <c r="P1218" s="13"/>
      <c r="Q1218" s="12"/>
      <c r="R1218" s="13"/>
      <c r="S1218" s="20">
        <f t="shared" si="501"/>
        <v>0</v>
      </c>
      <c r="T1218" s="71"/>
      <c r="U1218" s="6" t="s">
        <v>3</v>
      </c>
      <c r="V1218" s="13"/>
      <c r="W1218" s="12"/>
      <c r="X1218" s="13"/>
      <c r="Y1218" s="20">
        <f t="shared" si="502"/>
        <v>0</v>
      </c>
      <c r="Z1218" s="13"/>
      <c r="AA1218" s="12"/>
      <c r="AB1218" s="13"/>
      <c r="AC1218" s="20">
        <f t="shared" si="503"/>
        <v>0</v>
      </c>
      <c r="AD1218" s="13"/>
      <c r="AE1218" s="12"/>
      <c r="AF1218" s="13"/>
      <c r="AG1218" s="20">
        <f t="shared" si="504"/>
        <v>0</v>
      </c>
    </row>
    <row r="1219" spans="1:34" ht="14.25" thickBot="1">
      <c r="A1219" s="23" t="s">
        <v>4</v>
      </c>
      <c r="B1219" s="24">
        <f>SUM(B1208:B1218)</f>
        <v>20</v>
      </c>
      <c r="C1219" s="24">
        <f>SUM(C1208:C1218)</f>
        <v>11</v>
      </c>
      <c r="D1219" s="25">
        <f>SUM(D1208:D1218)</f>
        <v>18</v>
      </c>
      <c r="E1219" s="26">
        <f t="shared" si="498"/>
        <v>49</v>
      </c>
      <c r="F1219" s="24">
        <f>SUM(F1208:F1218)</f>
        <v>20</v>
      </c>
      <c r="G1219" s="24">
        <f>SUM(G1208:G1218)</f>
        <v>11</v>
      </c>
      <c r="H1219" s="25">
        <f>SUM(H1208:H1218)</f>
        <v>18</v>
      </c>
      <c r="I1219" s="26">
        <f t="shared" si="499"/>
        <v>49</v>
      </c>
      <c r="K1219" s="23" t="s">
        <v>4</v>
      </c>
      <c r="L1219" s="24">
        <f>SUM(L1208:L1218)</f>
        <v>198</v>
      </c>
      <c r="M1219" s="24">
        <f>SUM(M1208:M1218)</f>
        <v>261</v>
      </c>
      <c r="N1219" s="25">
        <f>SUM(N1208:N1218)</f>
        <v>203</v>
      </c>
      <c r="O1219" s="26">
        <f t="shared" si="500"/>
        <v>662</v>
      </c>
      <c r="P1219" s="24">
        <f>SUM(P1208:P1218)</f>
        <v>198</v>
      </c>
      <c r="Q1219" s="24">
        <f>SUM(Q1208:Q1218)</f>
        <v>261</v>
      </c>
      <c r="R1219" s="25">
        <f>SUM(R1208:R1218)</f>
        <v>203</v>
      </c>
      <c r="S1219" s="26">
        <f t="shared" si="501"/>
        <v>662</v>
      </c>
      <c r="U1219" s="23" t="s">
        <v>4</v>
      </c>
      <c r="V1219" s="24">
        <f>SUM(V1208:V1218)</f>
        <v>56</v>
      </c>
      <c r="W1219" s="24">
        <f>SUM(W1208:W1218)</f>
        <v>35</v>
      </c>
      <c r="X1219" s="25">
        <f>SUM(X1208:X1218)</f>
        <v>22</v>
      </c>
      <c r="Y1219" s="26">
        <f t="shared" si="502"/>
        <v>113</v>
      </c>
      <c r="Z1219" s="24">
        <f>SUM(Z1208:Z1218)</f>
        <v>56</v>
      </c>
      <c r="AA1219" s="24">
        <f>SUM(AA1208:AA1218)</f>
        <v>35</v>
      </c>
      <c r="AB1219" s="25">
        <f>SUM(AB1208:AB1218)</f>
        <v>22</v>
      </c>
      <c r="AC1219" s="26">
        <f t="shared" si="503"/>
        <v>113</v>
      </c>
      <c r="AD1219" s="24">
        <f>SUM(AD1208:AD1218)</f>
        <v>56</v>
      </c>
      <c r="AE1219" s="24">
        <f>SUM(AE1208:AE1218)</f>
        <v>35</v>
      </c>
      <c r="AF1219" s="25">
        <f>SUM(AF1208:AF1218)</f>
        <v>22</v>
      </c>
      <c r="AG1219" s="26">
        <f t="shared" si="504"/>
        <v>113</v>
      </c>
    </row>
    <row r="1220" spans="1:34">
      <c r="A1220" s="11" t="s">
        <v>24</v>
      </c>
      <c r="B1220" s="8">
        <v>1</v>
      </c>
      <c r="C1220" s="9">
        <v>1</v>
      </c>
      <c r="D1220" s="10">
        <v>1</v>
      </c>
      <c r="E1220" s="7">
        <f t="shared" ref="E1220" si="512">SUM(B1220:D1220)</f>
        <v>3</v>
      </c>
      <c r="F1220" s="8">
        <v>1</v>
      </c>
      <c r="G1220" s="9">
        <v>1</v>
      </c>
      <c r="H1220" s="10">
        <v>1</v>
      </c>
      <c r="I1220" s="7">
        <f t="shared" ref="I1220" si="513">SUM(F1220:H1220)</f>
        <v>3</v>
      </c>
      <c r="J1220" s="43">
        <v>45055</v>
      </c>
      <c r="K1220" s="11" t="s">
        <v>678</v>
      </c>
      <c r="L1220" s="8">
        <v>60</v>
      </c>
      <c r="M1220" s="9">
        <v>70</v>
      </c>
      <c r="N1220" s="10">
        <v>50</v>
      </c>
      <c r="O1220" s="7">
        <f t="shared" si="500"/>
        <v>180</v>
      </c>
      <c r="P1220" s="8">
        <v>60</v>
      </c>
      <c r="Q1220" s="9">
        <v>70</v>
      </c>
      <c r="R1220" s="10">
        <v>50</v>
      </c>
      <c r="S1220" s="7">
        <f t="shared" si="501"/>
        <v>180</v>
      </c>
      <c r="T1220" s="43">
        <v>45054</v>
      </c>
      <c r="U1220" s="3" t="s">
        <v>687</v>
      </c>
      <c r="V1220" s="61"/>
      <c r="W1220" s="60">
        <v>6</v>
      </c>
      <c r="X1220" s="61">
        <v>3</v>
      </c>
      <c r="Y1220" s="4">
        <f t="shared" si="502"/>
        <v>9</v>
      </c>
      <c r="Z1220" s="61"/>
      <c r="AA1220" s="60">
        <v>6</v>
      </c>
      <c r="AB1220" s="61">
        <v>3</v>
      </c>
      <c r="AC1220" s="4">
        <f t="shared" si="503"/>
        <v>9</v>
      </c>
      <c r="AD1220" s="59"/>
      <c r="AE1220" s="60">
        <v>6</v>
      </c>
      <c r="AF1220" s="61">
        <v>3</v>
      </c>
      <c r="AG1220" s="7">
        <f t="shared" si="504"/>
        <v>9</v>
      </c>
      <c r="AH1220" s="43">
        <v>45047</v>
      </c>
    </row>
    <row r="1221" spans="1:34">
      <c r="A1221" s="11" t="s">
        <v>694</v>
      </c>
      <c r="B1221" s="8"/>
      <c r="C1221" s="9">
        <v>1</v>
      </c>
      <c r="D1221" s="10"/>
      <c r="E1221" s="4">
        <f t="shared" si="498"/>
        <v>1</v>
      </c>
      <c r="F1221" s="8"/>
      <c r="G1221" s="9">
        <v>1</v>
      </c>
      <c r="H1221" s="10"/>
      <c r="I1221" s="4">
        <f t="shared" si="499"/>
        <v>1</v>
      </c>
      <c r="J1221" s="43">
        <v>45056</v>
      </c>
      <c r="K1221" s="11" t="s">
        <v>696</v>
      </c>
      <c r="L1221" s="8"/>
      <c r="M1221" s="9">
        <v>11</v>
      </c>
      <c r="N1221" s="10"/>
      <c r="O1221" s="4">
        <f t="shared" si="500"/>
        <v>11</v>
      </c>
      <c r="P1221" s="8"/>
      <c r="Q1221" s="9">
        <v>11</v>
      </c>
      <c r="R1221" s="10"/>
      <c r="S1221" s="4">
        <f t="shared" si="501"/>
        <v>11</v>
      </c>
      <c r="T1221" s="43">
        <v>45057</v>
      </c>
      <c r="U1221" s="3" t="s">
        <v>695</v>
      </c>
      <c r="V1221" s="59">
        <v>10</v>
      </c>
      <c r="W1221" s="60">
        <v>8</v>
      </c>
      <c r="X1221" s="61">
        <v>5</v>
      </c>
      <c r="Y1221" s="4">
        <f t="shared" si="502"/>
        <v>23</v>
      </c>
      <c r="Z1221" s="59">
        <v>10</v>
      </c>
      <c r="AA1221" s="60">
        <v>8</v>
      </c>
      <c r="AB1221" s="61">
        <v>5</v>
      </c>
      <c r="AC1221" s="4">
        <f t="shared" si="503"/>
        <v>23</v>
      </c>
      <c r="AD1221" s="59">
        <v>10</v>
      </c>
      <c r="AE1221" s="60">
        <v>8</v>
      </c>
      <c r="AF1221" s="61">
        <v>5</v>
      </c>
      <c r="AG1221" s="4">
        <f t="shared" si="504"/>
        <v>23</v>
      </c>
      <c r="AH1221" s="43">
        <v>45058</v>
      </c>
    </row>
    <row r="1222" spans="1:34">
      <c r="A1222" s="11" t="s">
        <v>698</v>
      </c>
      <c r="B1222" s="8"/>
      <c r="C1222" s="9"/>
      <c r="D1222" s="10">
        <v>1</v>
      </c>
      <c r="E1222" s="7">
        <f t="shared" si="498"/>
        <v>1</v>
      </c>
      <c r="F1222" s="8"/>
      <c r="G1222" s="9"/>
      <c r="H1222" s="10">
        <v>1</v>
      </c>
      <c r="I1222" s="7">
        <f t="shared" si="499"/>
        <v>1</v>
      </c>
      <c r="J1222" s="43">
        <v>45058</v>
      </c>
      <c r="K1222" s="3" t="s">
        <v>697</v>
      </c>
      <c r="L1222" s="8">
        <v>5</v>
      </c>
      <c r="M1222" s="9">
        <v>5</v>
      </c>
      <c r="N1222" s="10">
        <v>5</v>
      </c>
      <c r="O1222" s="7">
        <f t="shared" si="500"/>
        <v>15</v>
      </c>
      <c r="P1222" s="8">
        <v>5</v>
      </c>
      <c r="Q1222" s="9">
        <v>5</v>
      </c>
      <c r="R1222" s="10">
        <v>5</v>
      </c>
      <c r="S1222" s="7">
        <f t="shared" si="501"/>
        <v>15</v>
      </c>
      <c r="T1222" s="43">
        <v>45063</v>
      </c>
      <c r="U1222" s="40"/>
      <c r="V1222" s="59"/>
      <c r="W1222" s="60"/>
      <c r="X1222" s="61"/>
      <c r="Y1222" s="7">
        <f t="shared" si="502"/>
        <v>0</v>
      </c>
      <c r="Z1222" s="59"/>
      <c r="AA1222" s="60"/>
      <c r="AB1222" s="61"/>
      <c r="AC1222" s="7">
        <f t="shared" si="503"/>
        <v>0</v>
      </c>
      <c r="AD1222" s="59"/>
      <c r="AE1222" s="60"/>
      <c r="AF1222" s="61"/>
      <c r="AG1222" s="7">
        <f t="shared" si="504"/>
        <v>0</v>
      </c>
    </row>
    <row r="1223" spans="1:34">
      <c r="A1223" s="11" t="s">
        <v>699</v>
      </c>
      <c r="B1223" s="8">
        <v>8</v>
      </c>
      <c r="C1223" s="9">
        <v>1</v>
      </c>
      <c r="D1223" s="10">
        <v>5</v>
      </c>
      <c r="E1223" s="4">
        <f t="shared" si="498"/>
        <v>14</v>
      </c>
      <c r="F1223" s="8">
        <v>8</v>
      </c>
      <c r="G1223" s="9">
        <v>1</v>
      </c>
      <c r="H1223" s="10">
        <v>5</v>
      </c>
      <c r="I1223" s="4">
        <f t="shared" si="499"/>
        <v>14</v>
      </c>
      <c r="J1223" s="43">
        <v>45061</v>
      </c>
      <c r="K1223" s="11" t="s">
        <v>703</v>
      </c>
      <c r="L1223" s="8">
        <v>1</v>
      </c>
      <c r="M1223" s="9"/>
      <c r="N1223" s="10"/>
      <c r="O1223" s="7">
        <f t="shared" si="500"/>
        <v>1</v>
      </c>
      <c r="P1223" s="8">
        <v>1</v>
      </c>
      <c r="Q1223" s="9"/>
      <c r="R1223" s="10"/>
      <c r="S1223" s="7">
        <f t="shared" si="501"/>
        <v>1</v>
      </c>
      <c r="T1223" s="43">
        <v>45063</v>
      </c>
      <c r="U1223" s="40"/>
      <c r="V1223" s="59"/>
      <c r="W1223" s="60"/>
      <c r="X1223" s="61"/>
      <c r="Y1223" s="4">
        <f t="shared" si="502"/>
        <v>0</v>
      </c>
      <c r="Z1223" s="59"/>
      <c r="AA1223" s="60"/>
      <c r="AB1223" s="61"/>
      <c r="AC1223" s="4">
        <f t="shared" si="503"/>
        <v>0</v>
      </c>
      <c r="AD1223" s="59"/>
      <c r="AE1223" s="60"/>
      <c r="AF1223" s="61"/>
      <c r="AG1223" s="4">
        <f t="shared" si="504"/>
        <v>0</v>
      </c>
    </row>
    <row r="1224" spans="1:34">
      <c r="A1224" s="11" t="s">
        <v>702</v>
      </c>
      <c r="B1224" s="8">
        <v>2</v>
      </c>
      <c r="C1224" s="9"/>
      <c r="D1224" s="10">
        <v>1</v>
      </c>
      <c r="E1224" s="4">
        <f t="shared" si="498"/>
        <v>3</v>
      </c>
      <c r="F1224" s="8">
        <v>2</v>
      </c>
      <c r="G1224" s="9"/>
      <c r="H1224" s="10">
        <v>1</v>
      </c>
      <c r="I1224" s="4">
        <f t="shared" si="499"/>
        <v>3</v>
      </c>
      <c r="J1224" s="43">
        <v>45062</v>
      </c>
      <c r="K1224" s="11" t="s">
        <v>705</v>
      </c>
      <c r="L1224" s="8"/>
      <c r="M1224" s="9"/>
      <c r="N1224" s="10">
        <v>2</v>
      </c>
      <c r="O1224" s="4">
        <f t="shared" si="500"/>
        <v>2</v>
      </c>
      <c r="P1224" s="8"/>
      <c r="Q1224" s="9"/>
      <c r="R1224" s="10">
        <v>2</v>
      </c>
      <c r="S1224" s="4">
        <f t="shared" si="501"/>
        <v>2</v>
      </c>
      <c r="T1224" s="43">
        <v>45064</v>
      </c>
      <c r="U1224" s="3"/>
      <c r="V1224" s="59"/>
      <c r="W1224" s="60"/>
      <c r="X1224" s="61"/>
      <c r="Y1224" s="4">
        <f t="shared" si="502"/>
        <v>0</v>
      </c>
      <c r="Z1224" s="59"/>
      <c r="AA1224" s="60"/>
      <c r="AB1224" s="61"/>
      <c r="AC1224" s="4">
        <f t="shared" si="503"/>
        <v>0</v>
      </c>
      <c r="AD1224" s="59"/>
      <c r="AE1224" s="60"/>
      <c r="AF1224" s="61"/>
      <c r="AG1224" s="4">
        <f t="shared" si="504"/>
        <v>0</v>
      </c>
    </row>
    <row r="1225" spans="1:34">
      <c r="A1225" s="3" t="s">
        <v>711</v>
      </c>
      <c r="B1225" s="8"/>
      <c r="C1225" s="9">
        <v>2</v>
      </c>
      <c r="D1225" s="10"/>
      <c r="E1225" s="7">
        <f t="shared" ref="E1225" si="514">SUM(B1225:D1225)</f>
        <v>2</v>
      </c>
      <c r="F1225" s="8"/>
      <c r="G1225" s="9">
        <v>2</v>
      </c>
      <c r="H1225" s="10"/>
      <c r="I1225" s="7">
        <f t="shared" ref="I1225" si="515">SUM(F1225:H1225)</f>
        <v>2</v>
      </c>
      <c r="J1225" s="43">
        <v>45071</v>
      </c>
      <c r="K1225" s="11" t="s">
        <v>706</v>
      </c>
      <c r="L1225" s="8"/>
      <c r="M1225" s="9"/>
      <c r="N1225" s="10">
        <v>10</v>
      </c>
      <c r="O1225" s="7">
        <f t="shared" si="500"/>
        <v>10</v>
      </c>
      <c r="P1225" s="8"/>
      <c r="Q1225" s="9"/>
      <c r="R1225" s="10">
        <v>10</v>
      </c>
      <c r="S1225" s="7">
        <f t="shared" si="501"/>
        <v>10</v>
      </c>
      <c r="T1225" s="43">
        <v>45072</v>
      </c>
      <c r="U1225" s="3"/>
      <c r="V1225" s="59"/>
      <c r="W1225" s="60"/>
      <c r="X1225" s="61"/>
      <c r="Y1225" s="7">
        <f t="shared" si="502"/>
        <v>0</v>
      </c>
      <c r="Z1225" s="59"/>
      <c r="AA1225" s="60"/>
      <c r="AB1225" s="61"/>
      <c r="AC1225" s="7">
        <f t="shared" si="503"/>
        <v>0</v>
      </c>
      <c r="AD1225" s="59"/>
      <c r="AE1225" s="60"/>
      <c r="AF1225" s="61"/>
      <c r="AG1225" s="7">
        <f t="shared" si="504"/>
        <v>0</v>
      </c>
    </row>
    <row r="1226" spans="1:34">
      <c r="A1226" s="11" t="s">
        <v>713</v>
      </c>
      <c r="B1226" s="8"/>
      <c r="C1226" s="9"/>
      <c r="D1226" s="10">
        <v>1</v>
      </c>
      <c r="E1226" s="7">
        <f t="shared" si="498"/>
        <v>1</v>
      </c>
      <c r="F1226" s="8"/>
      <c r="G1226" s="9"/>
      <c r="H1226" s="10">
        <v>1</v>
      </c>
      <c r="I1226" s="7">
        <f t="shared" si="499"/>
        <v>1</v>
      </c>
      <c r="J1226" s="43">
        <v>45075</v>
      </c>
      <c r="K1226" s="11" t="s">
        <v>707</v>
      </c>
      <c r="L1226" s="8">
        <v>9</v>
      </c>
      <c r="M1226" s="9"/>
      <c r="N1226" s="10">
        <v>7</v>
      </c>
      <c r="O1226" s="7">
        <f t="shared" si="500"/>
        <v>16</v>
      </c>
      <c r="P1226" s="8">
        <v>9</v>
      </c>
      <c r="Q1226" s="9"/>
      <c r="R1226" s="10">
        <v>7</v>
      </c>
      <c r="S1226" s="7">
        <f t="shared" si="501"/>
        <v>16</v>
      </c>
      <c r="T1226" s="43">
        <v>45065</v>
      </c>
      <c r="U1226" s="3"/>
      <c r="V1226" s="59"/>
      <c r="W1226" s="60"/>
      <c r="X1226" s="61"/>
      <c r="Y1226" s="7">
        <f t="shared" si="502"/>
        <v>0</v>
      </c>
      <c r="Z1226" s="59"/>
      <c r="AA1226" s="60"/>
      <c r="AB1226" s="61"/>
      <c r="AC1226" s="7">
        <f t="shared" si="503"/>
        <v>0</v>
      </c>
      <c r="AD1226" s="59"/>
      <c r="AE1226" s="60"/>
      <c r="AF1226" s="61"/>
      <c r="AG1226" s="7">
        <f t="shared" si="504"/>
        <v>0</v>
      </c>
    </row>
    <row r="1227" spans="1:34">
      <c r="A1227" s="11" t="s">
        <v>49</v>
      </c>
      <c r="B1227" s="8">
        <v>2</v>
      </c>
      <c r="C1227" s="9"/>
      <c r="D1227" s="10"/>
      <c r="E1227" s="7">
        <f t="shared" si="498"/>
        <v>2</v>
      </c>
      <c r="F1227" s="8">
        <v>2</v>
      </c>
      <c r="G1227" s="9"/>
      <c r="H1227" s="10"/>
      <c r="I1227" s="7">
        <f t="shared" si="499"/>
        <v>2</v>
      </c>
      <c r="J1227" s="43">
        <v>45086</v>
      </c>
      <c r="K1227" s="11" t="s">
        <v>708</v>
      </c>
      <c r="L1227" s="8"/>
      <c r="M1227" s="9">
        <v>3</v>
      </c>
      <c r="N1227" s="10"/>
      <c r="O1227" s="7">
        <f t="shared" si="500"/>
        <v>3</v>
      </c>
      <c r="P1227" s="8"/>
      <c r="Q1227" s="9">
        <v>3</v>
      </c>
      <c r="R1227" s="10"/>
      <c r="S1227" s="7">
        <f t="shared" si="501"/>
        <v>3</v>
      </c>
      <c r="T1227" s="43">
        <v>45070</v>
      </c>
      <c r="U1227" s="3"/>
      <c r="V1227" s="59"/>
      <c r="W1227" s="60"/>
      <c r="X1227" s="61"/>
      <c r="Y1227" s="7">
        <f t="shared" si="502"/>
        <v>0</v>
      </c>
      <c r="Z1227" s="59"/>
      <c r="AA1227" s="60"/>
      <c r="AB1227" s="61"/>
      <c r="AC1227" s="7">
        <f t="shared" si="503"/>
        <v>0</v>
      </c>
      <c r="AD1227" s="59"/>
      <c r="AE1227" s="60"/>
      <c r="AF1227" s="61"/>
      <c r="AG1227" s="7">
        <f t="shared" si="504"/>
        <v>0</v>
      </c>
    </row>
    <row r="1228" spans="1:34">
      <c r="A1228" s="3"/>
      <c r="B1228" s="8"/>
      <c r="C1228" s="9"/>
      <c r="D1228" s="10"/>
      <c r="E1228" s="7">
        <f t="shared" si="498"/>
        <v>0</v>
      </c>
      <c r="F1228" s="8"/>
      <c r="G1228" s="9"/>
      <c r="H1228" s="10"/>
      <c r="I1228" s="7">
        <f t="shared" si="499"/>
        <v>0</v>
      </c>
      <c r="K1228" s="11" t="s">
        <v>709</v>
      </c>
      <c r="L1228" s="8"/>
      <c r="M1228" s="9">
        <v>15</v>
      </c>
      <c r="N1228" s="10">
        <v>5</v>
      </c>
      <c r="O1228" s="7">
        <f t="shared" si="500"/>
        <v>20</v>
      </c>
      <c r="P1228" s="8"/>
      <c r="Q1228" s="9">
        <v>15</v>
      </c>
      <c r="R1228" s="10">
        <v>5</v>
      </c>
      <c r="S1228" s="7">
        <f t="shared" si="501"/>
        <v>20</v>
      </c>
      <c r="T1228" s="43">
        <v>45071</v>
      </c>
      <c r="U1228" s="3"/>
      <c r="V1228" s="59"/>
      <c r="W1228" s="60"/>
      <c r="X1228" s="61"/>
      <c r="Y1228" s="7">
        <f t="shared" si="502"/>
        <v>0</v>
      </c>
      <c r="Z1228" s="59"/>
      <c r="AA1228" s="60"/>
      <c r="AB1228" s="61"/>
      <c r="AC1228" s="7">
        <f t="shared" si="503"/>
        <v>0</v>
      </c>
      <c r="AD1228" s="59"/>
      <c r="AE1228" s="60"/>
      <c r="AF1228" s="61"/>
      <c r="AG1228" s="7">
        <f t="shared" si="504"/>
        <v>0</v>
      </c>
    </row>
    <row r="1229" spans="1:34">
      <c r="A1229" s="3"/>
      <c r="B1229" s="8"/>
      <c r="C1229" s="9"/>
      <c r="D1229" s="10"/>
      <c r="E1229" s="7">
        <f t="shared" si="498"/>
        <v>0</v>
      </c>
      <c r="F1229" s="8"/>
      <c r="G1229" s="9"/>
      <c r="H1229" s="10"/>
      <c r="I1229" s="7">
        <f t="shared" si="499"/>
        <v>0</v>
      </c>
      <c r="K1229" s="11" t="s">
        <v>710</v>
      </c>
      <c r="L1229" s="8">
        <v>3</v>
      </c>
      <c r="M1229" s="9">
        <v>16</v>
      </c>
      <c r="N1229" s="10">
        <v>4</v>
      </c>
      <c r="O1229" s="7">
        <f t="shared" si="500"/>
        <v>23</v>
      </c>
      <c r="P1229" s="8">
        <v>3</v>
      </c>
      <c r="Q1229" s="9">
        <v>16</v>
      </c>
      <c r="R1229" s="10">
        <v>4</v>
      </c>
      <c r="S1229" s="7">
        <f t="shared" si="501"/>
        <v>23</v>
      </c>
      <c r="T1229" s="43">
        <v>45072</v>
      </c>
      <c r="U1229" s="3"/>
      <c r="V1229" s="59"/>
      <c r="W1229" s="60"/>
      <c r="X1229" s="61"/>
      <c r="Y1229" s="7">
        <f t="shared" si="502"/>
        <v>0</v>
      </c>
      <c r="Z1229" s="59"/>
      <c r="AA1229" s="60"/>
      <c r="AB1229" s="61"/>
      <c r="AC1229" s="7">
        <f t="shared" si="503"/>
        <v>0</v>
      </c>
      <c r="AD1229" s="59"/>
      <c r="AE1229" s="60"/>
      <c r="AF1229" s="61"/>
      <c r="AG1229" s="7">
        <f t="shared" si="504"/>
        <v>0</v>
      </c>
    </row>
    <row r="1230" spans="1:34">
      <c r="A1230" s="3"/>
      <c r="B1230" s="8"/>
      <c r="C1230" s="9"/>
      <c r="D1230" s="10"/>
      <c r="E1230" s="7">
        <f t="shared" si="498"/>
        <v>0</v>
      </c>
      <c r="F1230" s="8"/>
      <c r="G1230" s="9"/>
      <c r="H1230" s="10"/>
      <c r="I1230" s="7">
        <f t="shared" si="499"/>
        <v>0</v>
      </c>
      <c r="K1230" s="3" t="s">
        <v>712</v>
      </c>
      <c r="L1230" s="8">
        <v>5</v>
      </c>
      <c r="M1230" s="9">
        <v>5</v>
      </c>
      <c r="N1230" s="10"/>
      <c r="O1230" s="7">
        <f t="shared" si="500"/>
        <v>10</v>
      </c>
      <c r="P1230" s="8">
        <v>5</v>
      </c>
      <c r="Q1230" s="9">
        <v>5</v>
      </c>
      <c r="R1230" s="10"/>
      <c r="S1230" s="7">
        <f t="shared" si="501"/>
        <v>10</v>
      </c>
      <c r="T1230" s="43">
        <v>45072</v>
      </c>
      <c r="U1230" s="3"/>
      <c r="V1230" s="59"/>
      <c r="W1230" s="60"/>
      <c r="X1230" s="61"/>
      <c r="Y1230" s="7">
        <f t="shared" si="502"/>
        <v>0</v>
      </c>
      <c r="Z1230" s="59"/>
      <c r="AA1230" s="60"/>
      <c r="AB1230" s="61"/>
      <c r="AC1230" s="7">
        <f t="shared" si="503"/>
        <v>0</v>
      </c>
      <c r="AD1230" s="59"/>
      <c r="AE1230" s="60"/>
      <c r="AF1230" s="61"/>
      <c r="AG1230" s="7">
        <f t="shared" si="504"/>
        <v>0</v>
      </c>
    </row>
    <row r="1231" spans="1:34">
      <c r="A1231" s="3"/>
      <c r="B1231" s="8"/>
      <c r="C1231" s="9"/>
      <c r="D1231" s="10"/>
      <c r="E1231" s="7">
        <f t="shared" si="498"/>
        <v>0</v>
      </c>
      <c r="F1231" s="8"/>
      <c r="G1231" s="9"/>
      <c r="H1231" s="10"/>
      <c r="I1231" s="7">
        <f t="shared" si="499"/>
        <v>0</v>
      </c>
      <c r="K1231" s="11" t="s">
        <v>714</v>
      </c>
      <c r="L1231" s="8">
        <v>2</v>
      </c>
      <c r="M1231" s="9">
        <v>7</v>
      </c>
      <c r="N1231" s="10">
        <v>5</v>
      </c>
      <c r="O1231" s="7">
        <f t="shared" si="500"/>
        <v>14</v>
      </c>
      <c r="P1231" s="8">
        <v>2</v>
      </c>
      <c r="Q1231" s="9">
        <v>7</v>
      </c>
      <c r="R1231" s="10">
        <v>5</v>
      </c>
      <c r="S1231" s="7">
        <f t="shared" si="501"/>
        <v>14</v>
      </c>
      <c r="T1231" s="43">
        <v>45075</v>
      </c>
      <c r="U1231" s="3"/>
      <c r="V1231" s="59"/>
      <c r="W1231" s="60"/>
      <c r="X1231" s="61"/>
      <c r="Y1231" s="7">
        <f t="shared" si="502"/>
        <v>0</v>
      </c>
      <c r="Z1231" s="59"/>
      <c r="AA1231" s="60"/>
      <c r="AB1231" s="61"/>
      <c r="AC1231" s="7">
        <f t="shared" si="503"/>
        <v>0</v>
      </c>
      <c r="AD1231" s="59"/>
      <c r="AE1231" s="60"/>
      <c r="AF1231" s="61"/>
      <c r="AG1231" s="7">
        <f t="shared" si="504"/>
        <v>0</v>
      </c>
    </row>
    <row r="1232" spans="1:34">
      <c r="A1232" s="3"/>
      <c r="B1232" s="8"/>
      <c r="C1232" s="9"/>
      <c r="D1232" s="10"/>
      <c r="E1232" s="7">
        <f t="shared" si="498"/>
        <v>0</v>
      </c>
      <c r="F1232" s="8"/>
      <c r="G1232" s="9"/>
      <c r="H1232" s="10"/>
      <c r="I1232" s="7">
        <f t="shared" si="499"/>
        <v>0</v>
      </c>
      <c r="K1232" s="11" t="s">
        <v>715</v>
      </c>
      <c r="L1232" s="8">
        <v>1</v>
      </c>
      <c r="M1232" s="9">
        <v>3</v>
      </c>
      <c r="N1232" s="10"/>
      <c r="O1232" s="7">
        <f t="shared" si="500"/>
        <v>4</v>
      </c>
      <c r="P1232" s="8">
        <v>1</v>
      </c>
      <c r="Q1232" s="9">
        <v>3</v>
      </c>
      <c r="R1232" s="10"/>
      <c r="S1232" s="7">
        <f t="shared" si="501"/>
        <v>4</v>
      </c>
      <c r="T1232" s="43">
        <v>45076</v>
      </c>
      <c r="U1232" s="3"/>
      <c r="V1232" s="59"/>
      <c r="W1232" s="60"/>
      <c r="X1232" s="61"/>
      <c r="Y1232" s="7">
        <f t="shared" si="502"/>
        <v>0</v>
      </c>
      <c r="Z1232" s="59"/>
      <c r="AA1232" s="60"/>
      <c r="AB1232" s="61"/>
      <c r="AC1232" s="7">
        <f t="shared" si="503"/>
        <v>0</v>
      </c>
      <c r="AD1232" s="59"/>
      <c r="AE1232" s="60"/>
      <c r="AF1232" s="61"/>
      <c r="AG1232" s="7">
        <f t="shared" si="504"/>
        <v>0</v>
      </c>
    </row>
    <row r="1233" spans="1:34">
      <c r="A1233" s="3"/>
      <c r="B1233" s="8"/>
      <c r="C1233" s="9"/>
      <c r="D1233" s="10"/>
      <c r="E1233" s="7">
        <f t="shared" si="498"/>
        <v>0</v>
      </c>
      <c r="F1233" s="8"/>
      <c r="G1233" s="9"/>
      <c r="H1233" s="10"/>
      <c r="I1233" s="7">
        <f t="shared" si="499"/>
        <v>0</v>
      </c>
      <c r="K1233" s="11" t="s">
        <v>716</v>
      </c>
      <c r="L1233" s="8">
        <v>15</v>
      </c>
      <c r="M1233" s="9">
        <v>3</v>
      </c>
      <c r="N1233" s="10">
        <v>1</v>
      </c>
      <c r="O1233" s="7">
        <f t="shared" si="500"/>
        <v>19</v>
      </c>
      <c r="P1233" s="8">
        <v>15</v>
      </c>
      <c r="Q1233" s="9">
        <v>3</v>
      </c>
      <c r="R1233" s="10">
        <v>1</v>
      </c>
      <c r="S1233" s="7">
        <f t="shared" si="501"/>
        <v>19</v>
      </c>
      <c r="T1233" s="43">
        <v>45077</v>
      </c>
      <c r="U1233" s="3"/>
      <c r="V1233" s="59"/>
      <c r="W1233" s="60"/>
      <c r="X1233" s="61"/>
      <c r="Y1233" s="7">
        <f t="shared" si="502"/>
        <v>0</v>
      </c>
      <c r="Z1233" s="59"/>
      <c r="AA1233" s="60"/>
      <c r="AB1233" s="61"/>
      <c r="AC1233" s="7">
        <f t="shared" si="503"/>
        <v>0</v>
      </c>
      <c r="AD1233" s="59"/>
      <c r="AE1233" s="60"/>
      <c r="AF1233" s="61"/>
      <c r="AG1233" s="7">
        <f t="shared" si="504"/>
        <v>0</v>
      </c>
    </row>
    <row r="1234" spans="1:34">
      <c r="A1234" s="3"/>
      <c r="B1234" s="8"/>
      <c r="C1234" s="9"/>
      <c r="D1234" s="10"/>
      <c r="E1234" s="7">
        <f t="shared" si="498"/>
        <v>0</v>
      </c>
      <c r="F1234" s="8"/>
      <c r="G1234" s="9"/>
      <c r="H1234" s="10"/>
      <c r="I1234" s="7">
        <f t="shared" si="499"/>
        <v>0</v>
      </c>
      <c r="K1234" s="11" t="s">
        <v>717</v>
      </c>
      <c r="L1234" s="8">
        <v>3</v>
      </c>
      <c r="M1234" s="9">
        <v>3</v>
      </c>
      <c r="N1234" s="10">
        <v>3</v>
      </c>
      <c r="O1234" s="7">
        <f t="shared" si="500"/>
        <v>9</v>
      </c>
      <c r="P1234" s="8">
        <v>3</v>
      </c>
      <c r="Q1234" s="9">
        <v>3</v>
      </c>
      <c r="R1234" s="10">
        <v>3</v>
      </c>
      <c r="S1234" s="7">
        <f t="shared" si="501"/>
        <v>9</v>
      </c>
      <c r="T1234" s="43">
        <v>45080</v>
      </c>
      <c r="U1234" s="3"/>
      <c r="V1234" s="59"/>
      <c r="W1234" s="60"/>
      <c r="X1234" s="61"/>
      <c r="Y1234" s="7">
        <f t="shared" si="502"/>
        <v>0</v>
      </c>
      <c r="Z1234" s="59"/>
      <c r="AA1234" s="60"/>
      <c r="AB1234" s="61"/>
      <c r="AC1234" s="7">
        <f t="shared" si="503"/>
        <v>0</v>
      </c>
      <c r="AD1234" s="59"/>
      <c r="AE1234" s="60"/>
      <c r="AF1234" s="61"/>
      <c r="AG1234" s="7">
        <f t="shared" si="504"/>
        <v>0</v>
      </c>
    </row>
    <row r="1235" spans="1:34">
      <c r="A1235" s="3"/>
      <c r="B1235" s="8"/>
      <c r="C1235" s="9"/>
      <c r="D1235" s="10"/>
      <c r="E1235" s="7">
        <f t="shared" si="498"/>
        <v>0</v>
      </c>
      <c r="F1235" s="8"/>
      <c r="G1235" s="9"/>
      <c r="H1235" s="10"/>
      <c r="I1235" s="7">
        <f t="shared" si="499"/>
        <v>0</v>
      </c>
      <c r="K1235" s="11" t="s">
        <v>718</v>
      </c>
      <c r="L1235" s="8"/>
      <c r="M1235" s="9"/>
      <c r="N1235" s="10">
        <v>5</v>
      </c>
      <c r="O1235" s="7">
        <f t="shared" si="500"/>
        <v>5</v>
      </c>
      <c r="P1235" s="8"/>
      <c r="Q1235" s="9"/>
      <c r="R1235" s="10">
        <v>5</v>
      </c>
      <c r="S1235" s="7">
        <f t="shared" si="501"/>
        <v>5</v>
      </c>
      <c r="T1235" s="43">
        <v>45085</v>
      </c>
      <c r="U1235" s="3"/>
      <c r="V1235" s="59"/>
      <c r="W1235" s="60"/>
      <c r="X1235" s="61"/>
      <c r="Y1235" s="7">
        <f t="shared" si="502"/>
        <v>0</v>
      </c>
      <c r="Z1235" s="59"/>
      <c r="AA1235" s="60"/>
      <c r="AB1235" s="61"/>
      <c r="AC1235" s="7">
        <f t="shared" si="503"/>
        <v>0</v>
      </c>
      <c r="AD1235" s="59"/>
      <c r="AE1235" s="60"/>
      <c r="AF1235" s="61"/>
      <c r="AG1235" s="7">
        <f t="shared" si="504"/>
        <v>0</v>
      </c>
    </row>
    <row r="1236" spans="1:34">
      <c r="A1236" s="3"/>
      <c r="B1236" s="8"/>
      <c r="C1236" s="9"/>
      <c r="D1236" s="10"/>
      <c r="E1236" s="7">
        <f t="shared" si="498"/>
        <v>0</v>
      </c>
      <c r="F1236" s="8"/>
      <c r="G1236" s="9"/>
      <c r="H1236" s="10"/>
      <c r="I1236" s="7">
        <f t="shared" si="499"/>
        <v>0</v>
      </c>
      <c r="K1236" s="11" t="s">
        <v>719</v>
      </c>
      <c r="L1236" s="8">
        <v>1</v>
      </c>
      <c r="M1236" s="9">
        <v>2</v>
      </c>
      <c r="N1236" s="10">
        <v>3</v>
      </c>
      <c r="O1236" s="7">
        <f t="shared" ref="O1236:O1238" si="516">SUM(L1236:N1236)</f>
        <v>6</v>
      </c>
      <c r="P1236" s="8">
        <v>1</v>
      </c>
      <c r="Q1236" s="9">
        <v>2</v>
      </c>
      <c r="R1236" s="10">
        <v>3</v>
      </c>
      <c r="S1236" s="7">
        <f t="shared" ref="S1236:S1238" si="517">SUM(P1236:R1236)</f>
        <v>6</v>
      </c>
      <c r="T1236" s="43">
        <v>45079</v>
      </c>
      <c r="U1236" s="3"/>
      <c r="V1236" s="59"/>
      <c r="W1236" s="60"/>
      <c r="X1236" s="61"/>
      <c r="Y1236" s="7">
        <f t="shared" si="502"/>
        <v>0</v>
      </c>
      <c r="Z1236" s="59"/>
      <c r="AA1236" s="60"/>
      <c r="AB1236" s="61"/>
      <c r="AC1236" s="7">
        <f t="shared" si="503"/>
        <v>0</v>
      </c>
      <c r="AD1236" s="59"/>
      <c r="AE1236" s="60"/>
      <c r="AF1236" s="61"/>
      <c r="AG1236" s="7">
        <f t="shared" si="504"/>
        <v>0</v>
      </c>
    </row>
    <row r="1237" spans="1:34">
      <c r="A1237" s="3"/>
      <c r="B1237" s="8"/>
      <c r="C1237" s="9"/>
      <c r="D1237" s="10"/>
      <c r="E1237" s="7">
        <f t="shared" si="498"/>
        <v>0</v>
      </c>
      <c r="F1237" s="8"/>
      <c r="G1237" s="9"/>
      <c r="H1237" s="10"/>
      <c r="I1237" s="7">
        <f t="shared" si="499"/>
        <v>0</v>
      </c>
      <c r="K1237" s="11" t="s">
        <v>720</v>
      </c>
      <c r="L1237" s="8"/>
      <c r="M1237" s="9">
        <v>1</v>
      </c>
      <c r="N1237" s="10">
        <v>3</v>
      </c>
      <c r="O1237" s="7">
        <f t="shared" si="516"/>
        <v>4</v>
      </c>
      <c r="P1237" s="8"/>
      <c r="Q1237" s="9">
        <v>1</v>
      </c>
      <c r="R1237" s="10">
        <v>3</v>
      </c>
      <c r="S1237" s="7">
        <f t="shared" si="517"/>
        <v>4</v>
      </c>
      <c r="T1237" s="43">
        <v>45082</v>
      </c>
      <c r="U1237" s="3"/>
      <c r="V1237" s="59"/>
      <c r="W1237" s="60"/>
      <c r="X1237" s="61"/>
      <c r="Y1237" s="7">
        <f t="shared" si="502"/>
        <v>0</v>
      </c>
      <c r="Z1237" s="59"/>
      <c r="AA1237" s="60"/>
      <c r="AB1237" s="61"/>
      <c r="AC1237" s="7">
        <f t="shared" si="503"/>
        <v>0</v>
      </c>
      <c r="AD1237" s="59"/>
      <c r="AE1237" s="60"/>
      <c r="AF1237" s="61"/>
      <c r="AG1237" s="7">
        <f t="shared" si="504"/>
        <v>0</v>
      </c>
    </row>
    <row r="1238" spans="1:34">
      <c r="A1238" s="11"/>
      <c r="B1238" s="8"/>
      <c r="C1238" s="9"/>
      <c r="D1238" s="10"/>
      <c r="E1238" s="7">
        <f t="shared" si="498"/>
        <v>0</v>
      </c>
      <c r="F1238" s="8"/>
      <c r="G1238" s="9"/>
      <c r="H1238" s="10"/>
      <c r="I1238" s="7">
        <f t="shared" si="499"/>
        <v>0</v>
      </c>
      <c r="K1238" s="11" t="s">
        <v>723</v>
      </c>
      <c r="L1238" s="8">
        <v>2</v>
      </c>
      <c r="M1238" s="9"/>
      <c r="N1238" s="10"/>
      <c r="O1238" s="7">
        <f t="shared" si="516"/>
        <v>2</v>
      </c>
      <c r="P1238" s="8">
        <v>2</v>
      </c>
      <c r="Q1238" s="9"/>
      <c r="R1238" s="10"/>
      <c r="S1238" s="7">
        <f t="shared" si="517"/>
        <v>2</v>
      </c>
      <c r="T1238" s="43">
        <v>45083</v>
      </c>
      <c r="U1238" s="3"/>
      <c r="V1238" s="59"/>
      <c r="W1238" s="60"/>
      <c r="X1238" s="61"/>
      <c r="Y1238" s="7">
        <f t="shared" si="502"/>
        <v>0</v>
      </c>
      <c r="Z1238" s="59"/>
      <c r="AA1238" s="60"/>
      <c r="AB1238" s="61"/>
      <c r="AC1238" s="7">
        <f t="shared" si="503"/>
        <v>0</v>
      </c>
      <c r="AD1238" s="59"/>
      <c r="AE1238" s="60"/>
      <c r="AF1238" s="61"/>
      <c r="AG1238" s="7">
        <f t="shared" si="504"/>
        <v>0</v>
      </c>
    </row>
    <row r="1239" spans="1:34">
      <c r="A1239" s="11"/>
      <c r="B1239" s="8"/>
      <c r="C1239" s="9"/>
      <c r="D1239" s="10"/>
      <c r="E1239" s="7">
        <f t="shared" si="498"/>
        <v>0</v>
      </c>
      <c r="F1239" s="8"/>
      <c r="G1239" s="9"/>
      <c r="H1239" s="10"/>
      <c r="I1239" s="7">
        <f t="shared" si="499"/>
        <v>0</v>
      </c>
      <c r="K1239" s="11" t="s">
        <v>724</v>
      </c>
      <c r="L1239" s="8">
        <v>3</v>
      </c>
      <c r="M1239" s="9"/>
      <c r="N1239" s="10"/>
      <c r="O1239" s="7">
        <f t="shared" ref="O1239" si="518">SUM(L1239:N1239)</f>
        <v>3</v>
      </c>
      <c r="P1239" s="8">
        <v>3</v>
      </c>
      <c r="Q1239" s="9"/>
      <c r="R1239" s="10"/>
      <c r="S1239" s="7">
        <f t="shared" ref="S1239" si="519">SUM(P1239:R1239)</f>
        <v>3</v>
      </c>
      <c r="T1239" s="43">
        <v>45085</v>
      </c>
      <c r="U1239" s="3"/>
      <c r="V1239" s="59"/>
      <c r="W1239" s="60"/>
      <c r="X1239" s="61"/>
      <c r="Y1239" s="7">
        <f t="shared" si="502"/>
        <v>0</v>
      </c>
      <c r="Z1239" s="59"/>
      <c r="AA1239" s="60"/>
      <c r="AB1239" s="61"/>
      <c r="AC1239" s="7">
        <f t="shared" si="503"/>
        <v>0</v>
      </c>
      <c r="AD1239" s="59"/>
      <c r="AE1239" s="60"/>
      <c r="AF1239" s="61"/>
      <c r="AG1239" s="7">
        <f t="shared" si="504"/>
        <v>0</v>
      </c>
    </row>
    <row r="1240" spans="1:34">
      <c r="A1240" s="11"/>
      <c r="B1240" s="8"/>
      <c r="C1240" s="9"/>
      <c r="D1240" s="10"/>
      <c r="E1240" s="7">
        <f t="shared" si="498"/>
        <v>0</v>
      </c>
      <c r="F1240" s="8"/>
      <c r="G1240" s="9"/>
      <c r="H1240" s="10"/>
      <c r="I1240" s="7">
        <f t="shared" si="499"/>
        <v>0</v>
      </c>
      <c r="K1240" s="11"/>
      <c r="L1240" s="8"/>
      <c r="M1240" s="9"/>
      <c r="N1240" s="10"/>
      <c r="O1240" s="7">
        <f t="shared" ref="O1240:O1243" si="520">SUM(L1240:N1240)</f>
        <v>0</v>
      </c>
      <c r="P1240" s="8"/>
      <c r="Q1240" s="9"/>
      <c r="R1240" s="10"/>
      <c r="S1240" s="7">
        <f t="shared" ref="S1240:S1243" si="521">SUM(P1240:R1240)</f>
        <v>0</v>
      </c>
      <c r="T1240" s="71"/>
      <c r="U1240" s="11"/>
      <c r="V1240" s="59"/>
      <c r="W1240" s="60"/>
      <c r="X1240" s="61"/>
      <c r="Y1240" s="7">
        <f t="shared" si="502"/>
        <v>0</v>
      </c>
      <c r="Z1240" s="59"/>
      <c r="AA1240" s="60"/>
      <c r="AB1240" s="61"/>
      <c r="AC1240" s="7">
        <f t="shared" si="503"/>
        <v>0</v>
      </c>
      <c r="AD1240" s="59"/>
      <c r="AE1240" s="60"/>
      <c r="AF1240" s="61"/>
      <c r="AG1240" s="7">
        <f t="shared" si="504"/>
        <v>0</v>
      </c>
    </row>
    <row r="1241" spans="1:34">
      <c r="A1241" s="11"/>
      <c r="B1241" s="8"/>
      <c r="C1241" s="9"/>
      <c r="D1241" s="10"/>
      <c r="E1241" s="7">
        <f t="shared" si="498"/>
        <v>0</v>
      </c>
      <c r="F1241" s="8"/>
      <c r="G1241" s="9"/>
      <c r="H1241" s="10"/>
      <c r="I1241" s="7">
        <f t="shared" si="499"/>
        <v>0</v>
      </c>
      <c r="K1241" s="11" t="s">
        <v>149</v>
      </c>
      <c r="L1241" s="8"/>
      <c r="M1241" s="9"/>
      <c r="N1241" s="10"/>
      <c r="O1241" s="7">
        <f t="shared" si="520"/>
        <v>0</v>
      </c>
      <c r="P1241" s="8"/>
      <c r="Q1241" s="9"/>
      <c r="R1241" s="10"/>
      <c r="S1241" s="7">
        <f t="shared" si="521"/>
        <v>0</v>
      </c>
      <c r="T1241" s="71" t="s">
        <v>150</v>
      </c>
      <c r="U1241" s="3"/>
      <c r="V1241" s="59"/>
      <c r="W1241" s="60"/>
      <c r="X1241" s="61"/>
      <c r="Y1241" s="7">
        <f t="shared" si="502"/>
        <v>0</v>
      </c>
      <c r="Z1241" s="59"/>
      <c r="AA1241" s="60"/>
      <c r="AB1241" s="61"/>
      <c r="AC1241" s="7">
        <f t="shared" si="503"/>
        <v>0</v>
      </c>
      <c r="AD1241" s="59"/>
      <c r="AE1241" s="60"/>
      <c r="AF1241" s="61"/>
      <c r="AG1241" s="7">
        <f t="shared" si="504"/>
        <v>0</v>
      </c>
    </row>
    <row r="1242" spans="1:34">
      <c r="A1242" s="11"/>
      <c r="B1242" s="8"/>
      <c r="C1242" s="9"/>
      <c r="D1242" s="10"/>
      <c r="E1242" s="7">
        <f t="shared" si="498"/>
        <v>0</v>
      </c>
      <c r="F1242" s="8"/>
      <c r="G1242" s="9"/>
      <c r="H1242" s="10"/>
      <c r="I1242" s="7">
        <f t="shared" si="499"/>
        <v>0</v>
      </c>
      <c r="K1242" s="11" t="s">
        <v>260</v>
      </c>
      <c r="L1242" s="8"/>
      <c r="M1242" s="9"/>
      <c r="N1242" s="10"/>
      <c r="O1242" s="7">
        <f t="shared" si="520"/>
        <v>0</v>
      </c>
      <c r="P1242" s="8"/>
      <c r="Q1242" s="9"/>
      <c r="R1242" s="10"/>
      <c r="S1242" s="7">
        <f t="shared" si="521"/>
        <v>0</v>
      </c>
      <c r="T1242" s="71" t="s">
        <v>261</v>
      </c>
      <c r="U1242" s="40" t="s">
        <v>683</v>
      </c>
      <c r="V1242" s="120"/>
      <c r="W1242" s="121"/>
      <c r="X1242" s="122"/>
      <c r="Y1242" s="82">
        <f t="shared" ref="Y1242:Y1243" si="522">SUM(V1242:X1242)</f>
        <v>0</v>
      </c>
      <c r="Z1242" s="120"/>
      <c r="AA1242" s="121"/>
      <c r="AB1242" s="122"/>
      <c r="AC1242" s="82">
        <f t="shared" ref="AC1242:AC1243" si="523">SUM(Z1242:AB1242)</f>
        <v>0</v>
      </c>
      <c r="AD1242" s="120"/>
      <c r="AE1242" s="121"/>
      <c r="AF1242" s="122"/>
      <c r="AG1242" s="82">
        <f t="shared" ref="AG1242:AG1243" si="524">SUM(AD1242:AF1242)</f>
        <v>0</v>
      </c>
      <c r="AH1242" s="92"/>
    </row>
    <row r="1243" spans="1:34" ht="14.25" thickBot="1">
      <c r="A1243" s="11"/>
      <c r="B1243" s="8"/>
      <c r="C1243" s="9"/>
      <c r="D1243" s="10"/>
      <c r="E1243" s="7">
        <f t="shared" ref="E1243" si="525">SUM(B1243:D1243)</f>
        <v>0</v>
      </c>
      <c r="F1243" s="8"/>
      <c r="G1243" s="9"/>
      <c r="H1243" s="10"/>
      <c r="I1243" s="7">
        <f t="shared" ref="I1243" si="526">SUM(F1243:H1243)</f>
        <v>0</v>
      </c>
      <c r="K1243" s="11" t="s">
        <v>660</v>
      </c>
      <c r="L1243" s="8">
        <f>4-4</f>
        <v>0</v>
      </c>
      <c r="M1243" s="9">
        <f>5-5</f>
        <v>0</v>
      </c>
      <c r="N1243" s="10">
        <f>3-3</f>
        <v>0</v>
      </c>
      <c r="O1243" s="7">
        <f t="shared" si="520"/>
        <v>0</v>
      </c>
      <c r="P1243" s="8">
        <f>4-4</f>
        <v>0</v>
      </c>
      <c r="Q1243" s="9">
        <f>5-5</f>
        <v>0</v>
      </c>
      <c r="R1243" s="10">
        <f>3-3</f>
        <v>0</v>
      </c>
      <c r="S1243" s="7">
        <f t="shared" si="521"/>
        <v>0</v>
      </c>
      <c r="T1243" s="71" t="s">
        <v>661</v>
      </c>
      <c r="U1243" s="3" t="s">
        <v>648</v>
      </c>
      <c r="V1243" s="59"/>
      <c r="W1243" s="60"/>
      <c r="X1243" s="61"/>
      <c r="Y1243" s="7">
        <f t="shared" si="522"/>
        <v>0</v>
      </c>
      <c r="Z1243" s="59"/>
      <c r="AA1243" s="60"/>
      <c r="AB1243" s="61"/>
      <c r="AC1243" s="7">
        <f t="shared" si="523"/>
        <v>0</v>
      </c>
      <c r="AD1243" s="59"/>
      <c r="AE1243" s="60"/>
      <c r="AF1243" s="61"/>
      <c r="AG1243" s="7">
        <f t="shared" si="524"/>
        <v>0</v>
      </c>
      <c r="AH1243" s="71" t="s">
        <v>649</v>
      </c>
    </row>
    <row r="1244" spans="1:34" ht="14.25" thickBot="1">
      <c r="A1244" s="2" t="s">
        <v>5</v>
      </c>
      <c r="B1244" s="14">
        <f>SUM(B1220:B1243)</f>
        <v>13</v>
      </c>
      <c r="C1244" s="14">
        <f>SUM(C1220:C1243)</f>
        <v>5</v>
      </c>
      <c r="D1244" s="14">
        <f>SUM(D1220:D1243)</f>
        <v>9</v>
      </c>
      <c r="E1244" s="15">
        <f t="shared" si="498"/>
        <v>27</v>
      </c>
      <c r="F1244" s="14">
        <f>SUM(F1220:F1243)</f>
        <v>13</v>
      </c>
      <c r="G1244" s="14">
        <f>SUM(G1220:G1243)</f>
        <v>5</v>
      </c>
      <c r="H1244" s="14">
        <f>SUM(H1220:H1243)</f>
        <v>9</v>
      </c>
      <c r="I1244" s="15">
        <f t="shared" si="499"/>
        <v>27</v>
      </c>
      <c r="K1244" s="2" t="s">
        <v>5</v>
      </c>
      <c r="L1244" s="14">
        <f>SUM(L1220:L1243)</f>
        <v>110</v>
      </c>
      <c r="M1244" s="14">
        <f>SUM(M1220:M1243)</f>
        <v>144</v>
      </c>
      <c r="N1244" s="14">
        <f>SUM(N1220:N1243)</f>
        <v>103</v>
      </c>
      <c r="O1244" s="15">
        <f t="shared" si="500"/>
        <v>357</v>
      </c>
      <c r="P1244" s="14">
        <f>SUM(P1220:P1243)</f>
        <v>110</v>
      </c>
      <c r="Q1244" s="14">
        <f>SUM(Q1220:Q1243)</f>
        <v>144</v>
      </c>
      <c r="R1244" s="14">
        <f>SUM(R1220:R1243)</f>
        <v>103</v>
      </c>
      <c r="S1244" s="15">
        <f t="shared" si="501"/>
        <v>357</v>
      </c>
      <c r="U1244" s="2" t="s">
        <v>5</v>
      </c>
      <c r="V1244" s="14">
        <f>SUM(V1220:V1243)</f>
        <v>10</v>
      </c>
      <c r="W1244" s="14">
        <f>SUM(W1220:W1243)</f>
        <v>14</v>
      </c>
      <c r="X1244" s="14">
        <f>SUM(X1220:X1243)</f>
        <v>8</v>
      </c>
      <c r="Y1244" s="15">
        <f t="shared" si="502"/>
        <v>32</v>
      </c>
      <c r="Z1244" s="14">
        <f>SUM(Z1220:Z1243)</f>
        <v>10</v>
      </c>
      <c r="AA1244" s="14">
        <f>SUM(AA1220:AA1243)</f>
        <v>14</v>
      </c>
      <c r="AB1244" s="14">
        <f>SUM(AB1220:AB1243)</f>
        <v>8</v>
      </c>
      <c r="AC1244" s="15">
        <f t="shared" si="503"/>
        <v>32</v>
      </c>
      <c r="AD1244" s="14">
        <f>SUM(AD1220:AD1243)</f>
        <v>10</v>
      </c>
      <c r="AE1244" s="14">
        <f>SUM(AE1220:AE1243)</f>
        <v>14</v>
      </c>
      <c r="AF1244" s="14">
        <f>SUM(AF1220:AF1243)</f>
        <v>8</v>
      </c>
      <c r="AG1244" s="15">
        <f t="shared" si="504"/>
        <v>32</v>
      </c>
    </row>
    <row r="1245" spans="1:34" ht="14.25" thickBot="1">
      <c r="A1245" s="27" t="s">
        <v>6</v>
      </c>
      <c r="B1245" s="28">
        <f>B1219-B1244</f>
        <v>7</v>
      </c>
      <c r="C1245" s="28">
        <f t="shared" ref="C1245:E1245" si="527">C1219-C1244</f>
        <v>6</v>
      </c>
      <c r="D1245" s="28">
        <f t="shared" si="527"/>
        <v>9</v>
      </c>
      <c r="E1245" s="28">
        <f t="shared" si="527"/>
        <v>22</v>
      </c>
      <c r="F1245" s="28">
        <f>F1219-F1244</f>
        <v>7</v>
      </c>
      <c r="G1245" s="28">
        <f t="shared" ref="G1245:I1245" si="528">G1219-G1244</f>
        <v>6</v>
      </c>
      <c r="H1245" s="28">
        <f t="shared" si="528"/>
        <v>9</v>
      </c>
      <c r="I1245" s="26">
        <f t="shared" si="528"/>
        <v>22</v>
      </c>
      <c r="K1245" s="27" t="s">
        <v>6</v>
      </c>
      <c r="L1245" s="28">
        <f>L1219-L1244</f>
        <v>88</v>
      </c>
      <c r="M1245" s="28">
        <f t="shared" ref="M1245:O1245" si="529">M1219-M1244</f>
        <v>117</v>
      </c>
      <c r="N1245" s="28">
        <f t="shared" si="529"/>
        <v>100</v>
      </c>
      <c r="O1245" s="28">
        <f t="shared" si="529"/>
        <v>305</v>
      </c>
      <c r="P1245" s="28">
        <f>P1219-P1244</f>
        <v>88</v>
      </c>
      <c r="Q1245" s="28">
        <f t="shared" ref="Q1245:S1245" si="530">Q1219-Q1244</f>
        <v>117</v>
      </c>
      <c r="R1245" s="28">
        <f t="shared" si="530"/>
        <v>100</v>
      </c>
      <c r="S1245" s="26">
        <f t="shared" si="530"/>
        <v>305</v>
      </c>
      <c r="U1245" s="27" t="s">
        <v>6</v>
      </c>
      <c r="V1245" s="28">
        <f>V1219-V1244</f>
        <v>46</v>
      </c>
      <c r="W1245" s="28">
        <f t="shared" ref="W1245:Y1245" si="531">W1219-W1244</f>
        <v>21</v>
      </c>
      <c r="X1245" s="28">
        <f t="shared" si="531"/>
        <v>14</v>
      </c>
      <c r="Y1245" s="28">
        <f t="shared" si="531"/>
        <v>81</v>
      </c>
      <c r="Z1245" s="28">
        <f>Z1219-Z1244</f>
        <v>46</v>
      </c>
      <c r="AA1245" s="28">
        <f t="shared" ref="AA1245:AC1245" si="532">AA1219-AA1244</f>
        <v>21</v>
      </c>
      <c r="AB1245" s="28">
        <f t="shared" si="532"/>
        <v>14</v>
      </c>
      <c r="AC1245" s="26">
        <f t="shared" si="532"/>
        <v>81</v>
      </c>
      <c r="AD1245" s="28">
        <f>AD1219-AD1244</f>
        <v>46</v>
      </c>
      <c r="AE1245" s="28">
        <f t="shared" ref="AE1245:AG1245" si="533">AE1219-AE1244</f>
        <v>21</v>
      </c>
      <c r="AF1245" s="28">
        <f t="shared" si="533"/>
        <v>14</v>
      </c>
      <c r="AG1245" s="26">
        <f t="shared" si="533"/>
        <v>81</v>
      </c>
    </row>
    <row r="1248" spans="1:34" ht="26.25" thickBot="1">
      <c r="A1248" s="33" t="s">
        <v>621</v>
      </c>
      <c r="B1248" s="34"/>
      <c r="C1248" s="34"/>
      <c r="D1248" s="34"/>
      <c r="E1248" s="34"/>
      <c r="F1248" s="35"/>
      <c r="G1248" s="35"/>
      <c r="H1248" s="35"/>
      <c r="I1248" s="35"/>
      <c r="K1248" s="33" t="s">
        <v>620</v>
      </c>
      <c r="L1248" s="34"/>
      <c r="M1248" s="34"/>
      <c r="N1248" s="34"/>
      <c r="O1248" s="34"/>
      <c r="P1248" s="35"/>
      <c r="Q1248" s="35"/>
      <c r="R1248" s="35"/>
      <c r="S1248" s="35"/>
      <c r="T1248" s="117"/>
      <c r="U1248" s="113" t="s">
        <v>622</v>
      </c>
      <c r="V1248" s="114"/>
      <c r="W1248" s="114"/>
      <c r="X1248" s="114"/>
      <c r="Y1248" s="114"/>
      <c r="Z1248" s="115"/>
      <c r="AA1248" s="115"/>
      <c r="AB1248" s="115"/>
      <c r="AC1248" s="115"/>
      <c r="AD1248" s="116"/>
      <c r="AE1248" s="116"/>
    </row>
    <row r="1249" spans="1:34" ht="14.25" thickBot="1">
      <c r="A1249" s="1" t="s">
        <v>0</v>
      </c>
      <c r="B1249" s="182" t="s">
        <v>17</v>
      </c>
      <c r="C1249" s="182"/>
      <c r="D1249" s="182"/>
      <c r="E1249" s="183"/>
      <c r="F1249" s="182" t="s">
        <v>13</v>
      </c>
      <c r="G1249" s="182"/>
      <c r="H1249" s="182"/>
      <c r="I1249" s="183"/>
      <c r="K1249" s="1" t="s">
        <v>0</v>
      </c>
      <c r="L1249" s="182" t="s">
        <v>17</v>
      </c>
      <c r="M1249" s="182"/>
      <c r="N1249" s="182"/>
      <c r="O1249" s="183"/>
      <c r="P1249" s="182" t="s">
        <v>13</v>
      </c>
      <c r="Q1249" s="182"/>
      <c r="R1249" s="182"/>
      <c r="S1249" s="183"/>
      <c r="U1249" s="1" t="s">
        <v>0</v>
      </c>
      <c r="V1249" s="182" t="s">
        <v>17</v>
      </c>
      <c r="W1249" s="182"/>
      <c r="X1249" s="182"/>
      <c r="Y1249" s="183"/>
      <c r="Z1249" s="182" t="s">
        <v>13</v>
      </c>
      <c r="AA1249" s="182"/>
      <c r="AB1249" s="182"/>
      <c r="AC1249" s="183"/>
      <c r="AD1249" s="182" t="s">
        <v>242</v>
      </c>
      <c r="AE1249" s="182"/>
      <c r="AF1249" s="182"/>
      <c r="AG1249" s="183"/>
    </row>
    <row r="1250" spans="1:34" ht="14.25" thickBot="1">
      <c r="A1250" s="1" t="s">
        <v>1</v>
      </c>
      <c r="B1250" s="2" t="s">
        <v>8</v>
      </c>
      <c r="C1250" s="1" t="s">
        <v>9</v>
      </c>
      <c r="D1250" s="19" t="s">
        <v>10</v>
      </c>
      <c r="E1250" s="1" t="s">
        <v>2</v>
      </c>
      <c r="F1250" s="2" t="s">
        <v>8</v>
      </c>
      <c r="G1250" s="1" t="s">
        <v>9</v>
      </c>
      <c r="H1250" s="19" t="s">
        <v>10</v>
      </c>
      <c r="I1250" s="1" t="s">
        <v>2</v>
      </c>
      <c r="K1250" s="1" t="s">
        <v>1</v>
      </c>
      <c r="L1250" s="2" t="s">
        <v>8</v>
      </c>
      <c r="M1250" s="1" t="s">
        <v>9</v>
      </c>
      <c r="N1250" s="19" t="s">
        <v>10</v>
      </c>
      <c r="O1250" s="1" t="s">
        <v>2</v>
      </c>
      <c r="P1250" s="2" t="s">
        <v>8</v>
      </c>
      <c r="Q1250" s="1" t="s">
        <v>9</v>
      </c>
      <c r="R1250" s="19" t="s">
        <v>10</v>
      </c>
      <c r="S1250" s="1" t="s">
        <v>2</v>
      </c>
      <c r="U1250" s="1" t="s">
        <v>1</v>
      </c>
      <c r="V1250" s="2" t="s">
        <v>8</v>
      </c>
      <c r="W1250" s="1" t="s">
        <v>9</v>
      </c>
      <c r="X1250" s="19" t="s">
        <v>10</v>
      </c>
      <c r="Y1250" s="1" t="s">
        <v>2</v>
      </c>
      <c r="Z1250" s="2" t="s">
        <v>8</v>
      </c>
      <c r="AA1250" s="1" t="s">
        <v>9</v>
      </c>
      <c r="AB1250" s="19" t="s">
        <v>10</v>
      </c>
      <c r="AC1250" s="1" t="s">
        <v>2</v>
      </c>
      <c r="AD1250" s="2" t="s">
        <v>8</v>
      </c>
      <c r="AE1250" s="1" t="s">
        <v>9</v>
      </c>
      <c r="AF1250" s="19" t="s">
        <v>10</v>
      </c>
      <c r="AG1250" s="1" t="s">
        <v>2</v>
      </c>
    </row>
    <row r="1251" spans="1:34">
      <c r="A1251" s="21" t="s">
        <v>7</v>
      </c>
      <c r="B1251" s="18">
        <f>B1245</f>
        <v>7</v>
      </c>
      <c r="C1251" s="22">
        <f>C1245</f>
        <v>6</v>
      </c>
      <c r="D1251" s="22">
        <f>D1245</f>
        <v>9</v>
      </c>
      <c r="E1251" s="17">
        <f t="shared" ref="E1251:E1287" si="534">SUM(B1251:D1251)</f>
        <v>22</v>
      </c>
      <c r="F1251" s="22">
        <f>F1245</f>
        <v>7</v>
      </c>
      <c r="G1251" s="22">
        <f>G1245</f>
        <v>6</v>
      </c>
      <c r="H1251" s="22">
        <f>H1245</f>
        <v>9</v>
      </c>
      <c r="I1251" s="17">
        <f t="shared" ref="I1251:I1287" si="535">SUM(F1251:H1251)</f>
        <v>22</v>
      </c>
      <c r="K1251" s="21" t="s">
        <v>7</v>
      </c>
      <c r="L1251" s="18">
        <f>L1245</f>
        <v>88</v>
      </c>
      <c r="M1251" s="22">
        <f>M1245</f>
        <v>117</v>
      </c>
      <c r="N1251" s="22">
        <f>N1245</f>
        <v>100</v>
      </c>
      <c r="O1251" s="17">
        <f t="shared" ref="O1251:O1287" si="536">SUM(L1251:N1251)</f>
        <v>305</v>
      </c>
      <c r="P1251" s="22">
        <f>P1245</f>
        <v>88</v>
      </c>
      <c r="Q1251" s="22">
        <f>Q1245</f>
        <v>117</v>
      </c>
      <c r="R1251" s="22">
        <f>R1245</f>
        <v>100</v>
      </c>
      <c r="S1251" s="17">
        <f t="shared" ref="S1251:S1287" si="537">SUM(P1251:R1251)</f>
        <v>305</v>
      </c>
      <c r="U1251" s="21" t="s">
        <v>7</v>
      </c>
      <c r="V1251" s="18">
        <f>V1245</f>
        <v>46</v>
      </c>
      <c r="W1251" s="22">
        <f>W1245</f>
        <v>21</v>
      </c>
      <c r="X1251" s="22">
        <f>X1245</f>
        <v>14</v>
      </c>
      <c r="Y1251" s="17">
        <f t="shared" ref="Y1251:Y1287" si="538">SUM(V1251:X1251)</f>
        <v>81</v>
      </c>
      <c r="Z1251" s="22">
        <f>Z1245</f>
        <v>46</v>
      </c>
      <c r="AA1251" s="22">
        <f>AA1245</f>
        <v>21</v>
      </c>
      <c r="AB1251" s="22">
        <f>AB1245</f>
        <v>14</v>
      </c>
      <c r="AC1251" s="17">
        <f t="shared" ref="AC1251:AC1287" si="539">SUM(Z1251:AB1251)</f>
        <v>81</v>
      </c>
      <c r="AD1251" s="22">
        <f>AD1245</f>
        <v>46</v>
      </c>
      <c r="AE1251" s="22">
        <f>AE1245</f>
        <v>21</v>
      </c>
      <c r="AF1251" s="22">
        <f>AF1245</f>
        <v>14</v>
      </c>
      <c r="AG1251" s="17">
        <f t="shared" ref="AG1251:AG1287" si="540">SUM(AD1251:AF1251)</f>
        <v>81</v>
      </c>
    </row>
    <row r="1252" spans="1:34">
      <c r="A1252" s="5" t="s">
        <v>3</v>
      </c>
      <c r="B1252" s="30">
        <v>5</v>
      </c>
      <c r="C1252" s="31"/>
      <c r="D1252" s="32">
        <v>5</v>
      </c>
      <c r="E1252" s="4">
        <f t="shared" si="534"/>
        <v>10</v>
      </c>
      <c r="F1252" s="30">
        <v>5</v>
      </c>
      <c r="G1252" s="31"/>
      <c r="H1252" s="32">
        <v>5</v>
      </c>
      <c r="I1252" s="4">
        <f t="shared" si="535"/>
        <v>10</v>
      </c>
      <c r="J1252" s="43">
        <v>45094</v>
      </c>
      <c r="K1252" s="5" t="s">
        <v>3</v>
      </c>
      <c r="L1252" s="16"/>
      <c r="M1252" s="11"/>
      <c r="N1252" s="16"/>
      <c r="O1252" s="4">
        <f t="shared" si="536"/>
        <v>0</v>
      </c>
      <c r="P1252" s="16"/>
      <c r="Q1252" s="11"/>
      <c r="R1252" s="16"/>
      <c r="S1252" s="4">
        <f t="shared" si="537"/>
        <v>0</v>
      </c>
      <c r="U1252" s="5" t="s">
        <v>3</v>
      </c>
      <c r="V1252" s="16"/>
      <c r="W1252" s="11"/>
      <c r="X1252" s="16"/>
      <c r="Y1252" s="4">
        <f t="shared" si="538"/>
        <v>0</v>
      </c>
      <c r="Z1252" s="16"/>
      <c r="AA1252" s="11"/>
      <c r="AB1252" s="16"/>
      <c r="AC1252" s="4">
        <f t="shared" si="539"/>
        <v>0</v>
      </c>
      <c r="AD1252" s="16"/>
      <c r="AE1252" s="11"/>
      <c r="AF1252" s="16"/>
      <c r="AG1252" s="4">
        <f t="shared" si="540"/>
        <v>0</v>
      </c>
    </row>
    <row r="1253" spans="1:34">
      <c r="A1253" s="5" t="s">
        <v>3</v>
      </c>
      <c r="B1253" s="30"/>
      <c r="C1253" s="31">
        <v>5</v>
      </c>
      <c r="D1253" s="32"/>
      <c r="E1253" s="4">
        <f t="shared" si="534"/>
        <v>5</v>
      </c>
      <c r="F1253" s="30"/>
      <c r="G1253" s="31">
        <v>5</v>
      </c>
      <c r="H1253" s="32"/>
      <c r="I1253" s="4">
        <f t="shared" si="535"/>
        <v>5</v>
      </c>
      <c r="J1253" s="43">
        <v>45100</v>
      </c>
      <c r="K1253" s="5" t="s">
        <v>3</v>
      </c>
      <c r="L1253" s="32"/>
      <c r="M1253" s="31"/>
      <c r="N1253" s="32"/>
      <c r="O1253" s="4">
        <f t="shared" ref="O1253:O1255" si="541">SUM(L1253:N1253)</f>
        <v>0</v>
      </c>
      <c r="P1253" s="32"/>
      <c r="Q1253" s="31"/>
      <c r="R1253" s="32"/>
      <c r="S1253" s="4">
        <f t="shared" ref="S1253:S1255" si="542">SUM(P1253:R1253)</f>
        <v>0</v>
      </c>
      <c r="T1253" s="43"/>
      <c r="U1253" s="5" t="s">
        <v>3</v>
      </c>
      <c r="V1253" s="16"/>
      <c r="W1253" s="11"/>
      <c r="X1253" s="16"/>
      <c r="Y1253" s="4">
        <f t="shared" ref="Y1253:Y1255" si="543">SUM(V1253:X1253)</f>
        <v>0</v>
      </c>
      <c r="Z1253" s="16"/>
      <c r="AA1253" s="11"/>
      <c r="AB1253" s="16"/>
      <c r="AC1253" s="4">
        <f t="shared" ref="AC1253:AC1255" si="544">SUM(Z1253:AB1253)</f>
        <v>0</v>
      </c>
      <c r="AD1253" s="16"/>
      <c r="AE1253" s="11"/>
      <c r="AF1253" s="16"/>
      <c r="AG1253" s="4">
        <f t="shared" ref="AG1253:AG1255" si="545">SUM(AD1253:AF1253)</f>
        <v>0</v>
      </c>
    </row>
    <row r="1254" spans="1:34">
      <c r="A1254" s="5" t="s">
        <v>37</v>
      </c>
      <c r="B1254" s="30"/>
      <c r="C1254" s="31">
        <v>1</v>
      </c>
      <c r="D1254" s="32"/>
      <c r="E1254" s="4">
        <f t="shared" si="534"/>
        <v>1</v>
      </c>
      <c r="F1254" s="30"/>
      <c r="G1254" s="31">
        <v>1</v>
      </c>
      <c r="H1254" s="32"/>
      <c r="I1254" s="4">
        <f t="shared" si="535"/>
        <v>1</v>
      </c>
      <c r="J1254" s="43">
        <v>45100</v>
      </c>
      <c r="K1254" s="5" t="s">
        <v>651</v>
      </c>
      <c r="L1254" s="32">
        <v>130</v>
      </c>
      <c r="M1254" s="31">
        <v>200</v>
      </c>
      <c r="N1254" s="32">
        <v>100</v>
      </c>
      <c r="O1254" s="4">
        <f t="shared" si="541"/>
        <v>430</v>
      </c>
      <c r="P1254" s="32">
        <v>130</v>
      </c>
      <c r="Q1254" s="31">
        <v>200</v>
      </c>
      <c r="R1254" s="32">
        <v>100</v>
      </c>
      <c r="S1254" s="4">
        <f t="shared" si="542"/>
        <v>430</v>
      </c>
      <c r="T1254" s="43" t="s">
        <v>737</v>
      </c>
      <c r="U1254" s="5" t="s">
        <v>692</v>
      </c>
      <c r="V1254" s="30">
        <v>10</v>
      </c>
      <c r="W1254" s="31">
        <v>50</v>
      </c>
      <c r="X1254" s="32">
        <v>40</v>
      </c>
      <c r="Y1254" s="4">
        <f t="shared" si="543"/>
        <v>100</v>
      </c>
      <c r="Z1254" s="30">
        <v>10</v>
      </c>
      <c r="AA1254" s="31">
        <v>50</v>
      </c>
      <c r="AB1254" s="32">
        <v>40</v>
      </c>
      <c r="AC1254" s="4">
        <f t="shared" si="544"/>
        <v>100</v>
      </c>
      <c r="AD1254" s="30">
        <v>10</v>
      </c>
      <c r="AE1254" s="31">
        <v>50</v>
      </c>
      <c r="AF1254" s="32">
        <v>40</v>
      </c>
      <c r="AG1254" s="4">
        <f t="shared" si="545"/>
        <v>100</v>
      </c>
      <c r="AH1254" s="43" t="s">
        <v>738</v>
      </c>
    </row>
    <row r="1255" spans="1:34">
      <c r="A1255" s="5" t="s">
        <v>196</v>
      </c>
      <c r="B1255" s="16">
        <v>1</v>
      </c>
      <c r="C1255" s="11">
        <v>2</v>
      </c>
      <c r="D1255" s="16"/>
      <c r="E1255" s="4">
        <f t="shared" si="534"/>
        <v>3</v>
      </c>
      <c r="F1255" s="16">
        <v>1</v>
      </c>
      <c r="G1255" s="11">
        <v>2</v>
      </c>
      <c r="H1255" s="16"/>
      <c r="I1255" s="4">
        <f t="shared" si="535"/>
        <v>3</v>
      </c>
      <c r="J1255" s="49">
        <v>45104</v>
      </c>
      <c r="K1255" s="5" t="s">
        <v>3</v>
      </c>
      <c r="L1255" s="32"/>
      <c r="M1255" s="31"/>
      <c r="N1255" s="32"/>
      <c r="O1255" s="4">
        <f t="shared" si="541"/>
        <v>0</v>
      </c>
      <c r="P1255" s="32"/>
      <c r="Q1255" s="31"/>
      <c r="R1255" s="32"/>
      <c r="S1255" s="4">
        <f t="shared" si="542"/>
        <v>0</v>
      </c>
      <c r="T1255" s="71"/>
      <c r="U1255" s="5" t="s">
        <v>3</v>
      </c>
      <c r="V1255" s="16"/>
      <c r="W1255" s="11"/>
      <c r="X1255" s="16"/>
      <c r="Y1255" s="4">
        <f t="shared" si="543"/>
        <v>0</v>
      </c>
      <c r="Z1255" s="16"/>
      <c r="AA1255" s="11"/>
      <c r="AB1255" s="16"/>
      <c r="AC1255" s="4">
        <f t="shared" si="544"/>
        <v>0</v>
      </c>
      <c r="AD1255" s="16"/>
      <c r="AE1255" s="11"/>
      <c r="AF1255" s="16"/>
      <c r="AG1255" s="4">
        <f t="shared" si="545"/>
        <v>0</v>
      </c>
      <c r="AH1255" s="124" t="s">
        <v>728</v>
      </c>
    </row>
    <row r="1256" spans="1:34">
      <c r="A1256" s="5" t="s">
        <v>3</v>
      </c>
      <c r="B1256" s="16"/>
      <c r="C1256" s="11"/>
      <c r="D1256" s="16"/>
      <c r="E1256" s="4">
        <f t="shared" si="534"/>
        <v>0</v>
      </c>
      <c r="F1256" s="16"/>
      <c r="G1256" s="11"/>
      <c r="H1256" s="16"/>
      <c r="I1256" s="4">
        <f t="shared" si="535"/>
        <v>0</v>
      </c>
      <c r="K1256" s="5" t="s">
        <v>3</v>
      </c>
      <c r="L1256" s="32"/>
      <c r="M1256" s="31"/>
      <c r="N1256" s="32"/>
      <c r="O1256" s="4">
        <f t="shared" si="536"/>
        <v>0</v>
      </c>
      <c r="P1256" s="32"/>
      <c r="Q1256" s="31"/>
      <c r="R1256" s="32"/>
      <c r="S1256" s="4">
        <f t="shared" si="537"/>
        <v>0</v>
      </c>
      <c r="T1256" s="71"/>
      <c r="U1256" s="5" t="s">
        <v>3</v>
      </c>
      <c r="V1256" s="32"/>
      <c r="W1256" s="31"/>
      <c r="X1256" s="32"/>
      <c r="Y1256" s="4">
        <f t="shared" si="538"/>
        <v>0</v>
      </c>
      <c r="Z1256" s="32"/>
      <c r="AA1256" s="31"/>
      <c r="AB1256" s="32"/>
      <c r="AC1256" s="4">
        <f t="shared" si="539"/>
        <v>0</v>
      </c>
      <c r="AD1256" s="32"/>
      <c r="AE1256" s="31"/>
      <c r="AF1256" s="32"/>
      <c r="AG1256" s="4">
        <f t="shared" si="540"/>
        <v>0</v>
      </c>
    </row>
    <row r="1257" spans="1:34">
      <c r="A1257" s="5" t="s">
        <v>3</v>
      </c>
      <c r="B1257" s="16"/>
      <c r="C1257" s="11"/>
      <c r="D1257" s="16"/>
      <c r="E1257" s="4">
        <f t="shared" si="534"/>
        <v>0</v>
      </c>
      <c r="F1257" s="16"/>
      <c r="G1257" s="11"/>
      <c r="H1257" s="16"/>
      <c r="I1257" s="4">
        <f t="shared" si="535"/>
        <v>0</v>
      </c>
      <c r="K1257" s="5" t="s">
        <v>3</v>
      </c>
      <c r="L1257" s="16"/>
      <c r="M1257" s="11"/>
      <c r="N1257" s="16"/>
      <c r="O1257" s="4">
        <f t="shared" si="536"/>
        <v>0</v>
      </c>
      <c r="P1257" s="16"/>
      <c r="Q1257" s="11"/>
      <c r="R1257" s="16"/>
      <c r="S1257" s="4">
        <f t="shared" si="537"/>
        <v>0</v>
      </c>
      <c r="T1257" s="71"/>
      <c r="U1257" s="5" t="s">
        <v>3</v>
      </c>
      <c r="V1257" s="16"/>
      <c r="W1257" s="11"/>
      <c r="X1257" s="16"/>
      <c r="Y1257" s="4">
        <f t="shared" si="538"/>
        <v>0</v>
      </c>
      <c r="Z1257" s="16"/>
      <c r="AA1257" s="11"/>
      <c r="AB1257" s="16"/>
      <c r="AC1257" s="4">
        <f t="shared" si="539"/>
        <v>0</v>
      </c>
      <c r="AD1257" s="16"/>
      <c r="AE1257" s="11"/>
      <c r="AF1257" s="16"/>
      <c r="AG1257" s="4">
        <f t="shared" si="540"/>
        <v>0</v>
      </c>
    </row>
    <row r="1258" spans="1:34">
      <c r="A1258" s="5" t="s">
        <v>3</v>
      </c>
      <c r="B1258" s="32"/>
      <c r="C1258" s="31"/>
      <c r="D1258" s="32"/>
      <c r="E1258" s="4">
        <f t="shared" si="534"/>
        <v>0</v>
      </c>
      <c r="F1258" s="32"/>
      <c r="G1258" s="31"/>
      <c r="H1258" s="32"/>
      <c r="I1258" s="4">
        <f t="shared" si="535"/>
        <v>0</v>
      </c>
      <c r="K1258" s="5" t="s">
        <v>3</v>
      </c>
      <c r="L1258" s="32"/>
      <c r="M1258" s="31"/>
      <c r="N1258" s="32"/>
      <c r="O1258" s="4">
        <f t="shared" si="536"/>
        <v>0</v>
      </c>
      <c r="P1258" s="32"/>
      <c r="Q1258" s="31"/>
      <c r="R1258" s="32"/>
      <c r="S1258" s="4">
        <f t="shared" si="537"/>
        <v>0</v>
      </c>
      <c r="T1258" s="71"/>
      <c r="U1258" s="5" t="s">
        <v>3</v>
      </c>
      <c r="V1258" s="32"/>
      <c r="W1258" s="31"/>
      <c r="X1258" s="32"/>
      <c r="Y1258" s="4">
        <f t="shared" si="538"/>
        <v>0</v>
      </c>
      <c r="Z1258" s="32"/>
      <c r="AA1258" s="31"/>
      <c r="AB1258" s="32"/>
      <c r="AC1258" s="4">
        <f t="shared" si="539"/>
        <v>0</v>
      </c>
      <c r="AD1258" s="32"/>
      <c r="AE1258" s="31"/>
      <c r="AF1258" s="32"/>
      <c r="AG1258" s="4">
        <f t="shared" si="540"/>
        <v>0</v>
      </c>
    </row>
    <row r="1259" spans="1:34">
      <c r="A1259" s="5" t="s">
        <v>3</v>
      </c>
      <c r="B1259" s="32"/>
      <c r="C1259" s="31"/>
      <c r="D1259" s="32"/>
      <c r="E1259" s="4">
        <f t="shared" si="534"/>
        <v>0</v>
      </c>
      <c r="F1259" s="32"/>
      <c r="G1259" s="31"/>
      <c r="H1259" s="32"/>
      <c r="I1259" s="4">
        <f t="shared" si="535"/>
        <v>0</v>
      </c>
      <c r="K1259" s="5" t="s">
        <v>3</v>
      </c>
      <c r="L1259" s="32"/>
      <c r="M1259" s="31"/>
      <c r="N1259" s="32"/>
      <c r="O1259" s="4">
        <f t="shared" si="536"/>
        <v>0</v>
      </c>
      <c r="P1259" s="32"/>
      <c r="Q1259" s="31"/>
      <c r="R1259" s="32"/>
      <c r="S1259" s="4">
        <f t="shared" si="537"/>
        <v>0</v>
      </c>
      <c r="T1259" s="43"/>
      <c r="U1259" s="5" t="s">
        <v>3</v>
      </c>
      <c r="V1259" s="32"/>
      <c r="W1259" s="31"/>
      <c r="X1259" s="32"/>
      <c r="Y1259" s="4">
        <f t="shared" si="538"/>
        <v>0</v>
      </c>
      <c r="Z1259" s="32"/>
      <c r="AA1259" s="31"/>
      <c r="AB1259" s="32"/>
      <c r="AC1259" s="4">
        <f t="shared" si="539"/>
        <v>0</v>
      </c>
      <c r="AD1259" s="32"/>
      <c r="AE1259" s="31"/>
      <c r="AF1259" s="32"/>
      <c r="AG1259" s="4">
        <f t="shared" si="540"/>
        <v>0</v>
      </c>
    </row>
    <row r="1260" spans="1:34">
      <c r="A1260" s="5" t="s">
        <v>3</v>
      </c>
      <c r="B1260" s="30"/>
      <c r="C1260" s="31"/>
      <c r="D1260" s="32"/>
      <c r="E1260" s="4">
        <f t="shared" si="534"/>
        <v>0</v>
      </c>
      <c r="F1260" s="30"/>
      <c r="G1260" s="31"/>
      <c r="H1260" s="32"/>
      <c r="I1260" s="4">
        <f t="shared" si="535"/>
        <v>0</v>
      </c>
      <c r="K1260" s="5" t="s">
        <v>3</v>
      </c>
      <c r="L1260" s="32"/>
      <c r="M1260" s="31"/>
      <c r="N1260" s="32"/>
      <c r="O1260" s="4">
        <f t="shared" si="536"/>
        <v>0</v>
      </c>
      <c r="P1260" s="32"/>
      <c r="Q1260" s="31"/>
      <c r="R1260" s="32"/>
      <c r="S1260" s="4">
        <f t="shared" si="537"/>
        <v>0</v>
      </c>
      <c r="T1260" s="71"/>
      <c r="U1260" s="5" t="s">
        <v>3</v>
      </c>
      <c r="V1260" s="30"/>
      <c r="W1260" s="31"/>
      <c r="X1260" s="32"/>
      <c r="Y1260" s="4">
        <f t="shared" si="538"/>
        <v>0</v>
      </c>
      <c r="Z1260" s="30"/>
      <c r="AA1260" s="31"/>
      <c r="AB1260" s="32"/>
      <c r="AC1260" s="4">
        <f t="shared" si="539"/>
        <v>0</v>
      </c>
      <c r="AD1260" s="30"/>
      <c r="AE1260" s="31"/>
      <c r="AF1260" s="32"/>
      <c r="AG1260" s="4">
        <f t="shared" si="540"/>
        <v>0</v>
      </c>
    </row>
    <row r="1261" spans="1:34" ht="14.25" thickBot="1">
      <c r="A1261" s="6" t="s">
        <v>3</v>
      </c>
      <c r="B1261" s="36"/>
      <c r="C1261" s="37"/>
      <c r="D1261" s="36"/>
      <c r="E1261" s="20">
        <f t="shared" si="534"/>
        <v>0</v>
      </c>
      <c r="F1261" s="13"/>
      <c r="G1261" s="12"/>
      <c r="H1261" s="13"/>
      <c r="I1261" s="20">
        <f t="shared" si="535"/>
        <v>0</v>
      </c>
      <c r="K1261" s="5" t="s">
        <v>3</v>
      </c>
      <c r="L1261" s="36"/>
      <c r="M1261" s="37"/>
      <c r="N1261" s="36"/>
      <c r="O1261" s="20">
        <f t="shared" si="536"/>
        <v>0</v>
      </c>
      <c r="P1261" s="13"/>
      <c r="Q1261" s="12"/>
      <c r="R1261" s="13"/>
      <c r="S1261" s="20">
        <f t="shared" si="537"/>
        <v>0</v>
      </c>
      <c r="T1261" s="71"/>
      <c r="U1261" s="6" t="s">
        <v>3</v>
      </c>
      <c r="V1261" s="13"/>
      <c r="W1261" s="12"/>
      <c r="X1261" s="13"/>
      <c r="Y1261" s="20">
        <f t="shared" si="538"/>
        <v>0</v>
      </c>
      <c r="Z1261" s="13"/>
      <c r="AA1261" s="12"/>
      <c r="AB1261" s="13"/>
      <c r="AC1261" s="20">
        <f t="shared" si="539"/>
        <v>0</v>
      </c>
      <c r="AD1261" s="13"/>
      <c r="AE1261" s="12"/>
      <c r="AF1261" s="13"/>
      <c r="AG1261" s="20">
        <f t="shared" si="540"/>
        <v>0</v>
      </c>
    </row>
    <row r="1262" spans="1:34" ht="14.25" thickBot="1">
      <c r="A1262" s="23" t="s">
        <v>4</v>
      </c>
      <c r="B1262" s="24">
        <f>SUM(B1251:B1261)</f>
        <v>13</v>
      </c>
      <c r="C1262" s="24">
        <f>SUM(C1251:C1261)</f>
        <v>14</v>
      </c>
      <c r="D1262" s="25">
        <f>SUM(D1251:D1261)</f>
        <v>14</v>
      </c>
      <c r="E1262" s="26">
        <f t="shared" si="534"/>
        <v>41</v>
      </c>
      <c r="F1262" s="24">
        <f>SUM(F1251:F1261)</f>
        <v>13</v>
      </c>
      <c r="G1262" s="24">
        <f>SUM(G1251:G1261)</f>
        <v>14</v>
      </c>
      <c r="H1262" s="25">
        <f>SUM(H1251:H1261)</f>
        <v>14</v>
      </c>
      <c r="I1262" s="26">
        <f t="shared" si="535"/>
        <v>41</v>
      </c>
      <c r="K1262" s="23" t="s">
        <v>4</v>
      </c>
      <c r="L1262" s="24">
        <f>SUM(L1251:L1261)</f>
        <v>218</v>
      </c>
      <c r="M1262" s="24">
        <f>SUM(M1251:M1261)</f>
        <v>317</v>
      </c>
      <c r="N1262" s="25">
        <f>SUM(N1251:N1261)</f>
        <v>200</v>
      </c>
      <c r="O1262" s="26">
        <f t="shared" si="536"/>
        <v>735</v>
      </c>
      <c r="P1262" s="24">
        <f>SUM(P1251:P1261)</f>
        <v>218</v>
      </c>
      <c r="Q1262" s="24">
        <f>SUM(Q1251:Q1261)</f>
        <v>317</v>
      </c>
      <c r="R1262" s="25">
        <f>SUM(R1251:R1261)</f>
        <v>200</v>
      </c>
      <c r="S1262" s="26">
        <f t="shared" si="537"/>
        <v>735</v>
      </c>
      <c r="U1262" s="23" t="s">
        <v>4</v>
      </c>
      <c r="V1262" s="24">
        <f>SUM(V1251:V1261)</f>
        <v>56</v>
      </c>
      <c r="W1262" s="24">
        <f>SUM(W1251:W1261)</f>
        <v>71</v>
      </c>
      <c r="X1262" s="25">
        <f>SUM(X1251:X1261)</f>
        <v>54</v>
      </c>
      <c r="Y1262" s="26">
        <f t="shared" si="538"/>
        <v>181</v>
      </c>
      <c r="Z1262" s="24">
        <f>SUM(Z1251:Z1261)</f>
        <v>56</v>
      </c>
      <c r="AA1262" s="24">
        <f>SUM(AA1251:AA1261)</f>
        <v>71</v>
      </c>
      <c r="AB1262" s="25">
        <f>SUM(AB1251:AB1261)</f>
        <v>54</v>
      </c>
      <c r="AC1262" s="26">
        <f t="shared" si="539"/>
        <v>181</v>
      </c>
      <c r="AD1262" s="24">
        <f>SUM(AD1251:AD1261)</f>
        <v>56</v>
      </c>
      <c r="AE1262" s="24">
        <f>SUM(AE1251:AE1261)</f>
        <v>71</v>
      </c>
      <c r="AF1262" s="25">
        <f>SUM(AF1251:AF1261)</f>
        <v>54</v>
      </c>
      <c r="AG1262" s="26">
        <f t="shared" si="540"/>
        <v>181</v>
      </c>
    </row>
    <row r="1263" spans="1:34">
      <c r="A1263" s="11" t="s">
        <v>741</v>
      </c>
      <c r="B1263" s="8">
        <v>5</v>
      </c>
      <c r="C1263" s="9"/>
      <c r="D1263" s="10">
        <v>5</v>
      </c>
      <c r="E1263" s="4">
        <f t="shared" si="534"/>
        <v>10</v>
      </c>
      <c r="F1263" s="8">
        <v>5</v>
      </c>
      <c r="G1263" s="9"/>
      <c r="H1263" s="10">
        <v>5</v>
      </c>
      <c r="I1263" s="4">
        <f t="shared" si="535"/>
        <v>10</v>
      </c>
      <c r="J1263" s="43">
        <v>45097</v>
      </c>
      <c r="K1263" s="11" t="s">
        <v>730</v>
      </c>
      <c r="L1263" s="8">
        <v>15</v>
      </c>
      <c r="M1263" s="9">
        <v>20</v>
      </c>
      <c r="N1263" s="10">
        <v>22</v>
      </c>
      <c r="O1263" s="7">
        <f t="shared" si="536"/>
        <v>57</v>
      </c>
      <c r="P1263" s="8">
        <v>15</v>
      </c>
      <c r="Q1263" s="9">
        <v>20</v>
      </c>
      <c r="R1263" s="10">
        <v>22</v>
      </c>
      <c r="S1263" s="7">
        <f t="shared" si="537"/>
        <v>57</v>
      </c>
      <c r="T1263" s="43">
        <v>45089</v>
      </c>
      <c r="U1263" s="3" t="s">
        <v>734</v>
      </c>
      <c r="V1263" s="61">
        <v>20</v>
      </c>
      <c r="W1263" s="60">
        <v>15</v>
      </c>
      <c r="X1263" s="61">
        <v>15</v>
      </c>
      <c r="Y1263" s="4">
        <f t="shared" si="538"/>
        <v>50</v>
      </c>
      <c r="Z1263" s="61">
        <v>20</v>
      </c>
      <c r="AA1263" s="60">
        <v>15</v>
      </c>
      <c r="AB1263" s="61">
        <v>15</v>
      </c>
      <c r="AC1263" s="4">
        <f t="shared" si="539"/>
        <v>50</v>
      </c>
      <c r="AD1263" s="8">
        <v>20</v>
      </c>
      <c r="AE1263" s="9">
        <v>15</v>
      </c>
      <c r="AF1263" s="10">
        <v>15</v>
      </c>
      <c r="AG1263" s="7">
        <f t="shared" si="540"/>
        <v>50</v>
      </c>
      <c r="AH1263" s="43">
        <v>45096</v>
      </c>
    </row>
    <row r="1264" spans="1:34">
      <c r="A1264" s="3" t="s">
        <v>742</v>
      </c>
      <c r="B1264" s="8"/>
      <c r="C1264" s="9"/>
      <c r="D1264" s="10">
        <v>1</v>
      </c>
      <c r="E1264" s="4">
        <f t="shared" si="534"/>
        <v>1</v>
      </c>
      <c r="F1264" s="8"/>
      <c r="G1264" s="9"/>
      <c r="H1264" s="10">
        <v>1</v>
      </c>
      <c r="I1264" s="4">
        <f t="shared" si="535"/>
        <v>1</v>
      </c>
      <c r="J1264" s="49">
        <v>45093</v>
      </c>
      <c r="K1264" s="11" t="s">
        <v>731</v>
      </c>
      <c r="L1264" s="8">
        <v>21</v>
      </c>
      <c r="M1264" s="9">
        <v>28</v>
      </c>
      <c r="N1264" s="10">
        <v>12</v>
      </c>
      <c r="O1264" s="4">
        <f t="shared" si="536"/>
        <v>61</v>
      </c>
      <c r="P1264" s="8">
        <v>21</v>
      </c>
      <c r="Q1264" s="9">
        <v>28</v>
      </c>
      <c r="R1264" s="10">
        <v>12</v>
      </c>
      <c r="S1264" s="4">
        <f t="shared" si="537"/>
        <v>61</v>
      </c>
      <c r="T1264" s="43">
        <v>45099</v>
      </c>
      <c r="U1264" s="40"/>
      <c r="V1264" s="8"/>
      <c r="W1264" s="9"/>
      <c r="X1264" s="10"/>
      <c r="Y1264" s="4">
        <f t="shared" si="538"/>
        <v>0</v>
      </c>
      <c r="Z1264" s="8"/>
      <c r="AA1264" s="9"/>
      <c r="AB1264" s="10"/>
      <c r="AC1264" s="4">
        <f t="shared" si="539"/>
        <v>0</v>
      </c>
      <c r="AD1264" s="8"/>
      <c r="AE1264" s="9"/>
      <c r="AF1264" s="10"/>
      <c r="AG1264" s="4">
        <f t="shared" si="540"/>
        <v>0</v>
      </c>
    </row>
    <row r="1265" spans="1:33">
      <c r="A1265" s="11" t="s">
        <v>744</v>
      </c>
      <c r="B1265" s="8"/>
      <c r="C1265" s="9">
        <v>5</v>
      </c>
      <c r="D1265" s="10"/>
      <c r="E1265" s="4">
        <f t="shared" ref="E1265:E1266" si="546">SUM(B1265:D1265)</f>
        <v>5</v>
      </c>
      <c r="F1265" s="8"/>
      <c r="G1265" s="9">
        <v>5</v>
      </c>
      <c r="H1265" s="10"/>
      <c r="I1265" s="4">
        <f t="shared" ref="I1265:I1266" si="547">SUM(F1265:H1265)</f>
        <v>5</v>
      </c>
      <c r="J1265" s="43">
        <v>45099</v>
      </c>
      <c r="K1265" s="11" t="s">
        <v>732</v>
      </c>
      <c r="L1265" s="8">
        <v>3</v>
      </c>
      <c r="M1265" s="9">
        <v>1</v>
      </c>
      <c r="N1265" s="10">
        <v>2</v>
      </c>
      <c r="O1265" s="7">
        <f t="shared" si="536"/>
        <v>6</v>
      </c>
      <c r="P1265" s="8">
        <v>3</v>
      </c>
      <c r="Q1265" s="9">
        <v>1</v>
      </c>
      <c r="R1265" s="10">
        <v>2</v>
      </c>
      <c r="S1265" s="7">
        <f t="shared" si="537"/>
        <v>6</v>
      </c>
      <c r="T1265" s="43">
        <v>45090</v>
      </c>
      <c r="U1265" s="40"/>
      <c r="V1265" s="8"/>
      <c r="W1265" s="9"/>
      <c r="X1265" s="10"/>
      <c r="Y1265" s="7">
        <f t="shared" si="538"/>
        <v>0</v>
      </c>
      <c r="Z1265" s="8"/>
      <c r="AA1265" s="9"/>
      <c r="AB1265" s="10"/>
      <c r="AC1265" s="7">
        <f t="shared" si="539"/>
        <v>0</v>
      </c>
      <c r="AD1265" s="8"/>
      <c r="AE1265" s="9"/>
      <c r="AF1265" s="10"/>
      <c r="AG1265" s="7">
        <f t="shared" si="540"/>
        <v>0</v>
      </c>
    </row>
    <row r="1266" spans="1:33">
      <c r="A1266" s="3" t="s">
        <v>758</v>
      </c>
      <c r="B1266" s="8"/>
      <c r="C1266" s="9">
        <v>1</v>
      </c>
      <c r="D1266" s="10"/>
      <c r="E1266" s="4">
        <f t="shared" si="546"/>
        <v>1</v>
      </c>
      <c r="F1266" s="8"/>
      <c r="G1266" s="9">
        <v>1</v>
      </c>
      <c r="H1266" s="10"/>
      <c r="I1266" s="4">
        <f t="shared" si="547"/>
        <v>1</v>
      </c>
      <c r="J1266" s="49">
        <v>45110</v>
      </c>
      <c r="K1266" s="11" t="s">
        <v>733</v>
      </c>
      <c r="L1266" s="8">
        <v>7</v>
      </c>
      <c r="M1266" s="9">
        <v>2</v>
      </c>
      <c r="N1266" s="10">
        <v>8</v>
      </c>
      <c r="O1266" s="4">
        <f t="shared" si="536"/>
        <v>17</v>
      </c>
      <c r="P1266" s="8">
        <v>7</v>
      </c>
      <c r="Q1266" s="9">
        <v>2</v>
      </c>
      <c r="R1266" s="10">
        <v>8</v>
      </c>
      <c r="S1266" s="4">
        <f t="shared" si="537"/>
        <v>17</v>
      </c>
      <c r="T1266" s="43">
        <v>45091</v>
      </c>
      <c r="U1266" s="40"/>
      <c r="V1266" s="8"/>
      <c r="W1266" s="9"/>
      <c r="X1266" s="10"/>
      <c r="Y1266" s="4">
        <f t="shared" si="538"/>
        <v>0</v>
      </c>
      <c r="Z1266" s="8"/>
      <c r="AA1266" s="9"/>
      <c r="AB1266" s="10"/>
      <c r="AC1266" s="4">
        <f t="shared" si="539"/>
        <v>0</v>
      </c>
      <c r="AD1266" s="8"/>
      <c r="AE1266" s="9"/>
      <c r="AF1266" s="10"/>
      <c r="AG1266" s="4">
        <f t="shared" si="540"/>
        <v>0</v>
      </c>
    </row>
    <row r="1267" spans="1:33">
      <c r="A1267" s="3"/>
      <c r="B1267" s="8"/>
      <c r="C1267" s="9"/>
      <c r="D1267" s="10"/>
      <c r="E1267" s="4">
        <f t="shared" si="534"/>
        <v>0</v>
      </c>
      <c r="F1267" s="8"/>
      <c r="G1267" s="9"/>
      <c r="H1267" s="10"/>
      <c r="I1267" s="4">
        <f t="shared" si="535"/>
        <v>0</v>
      </c>
      <c r="K1267" s="11" t="s">
        <v>735</v>
      </c>
      <c r="L1267" s="8">
        <v>6</v>
      </c>
      <c r="M1267" s="9">
        <v>12</v>
      </c>
      <c r="N1267" s="10">
        <v>6</v>
      </c>
      <c r="O1267" s="4">
        <f t="shared" si="536"/>
        <v>24</v>
      </c>
      <c r="P1267" s="8">
        <v>6</v>
      </c>
      <c r="Q1267" s="9">
        <v>12</v>
      </c>
      <c r="R1267" s="10">
        <v>6</v>
      </c>
      <c r="S1267" s="4">
        <f t="shared" si="537"/>
        <v>24</v>
      </c>
      <c r="T1267" s="43">
        <v>45092</v>
      </c>
      <c r="U1267" s="3"/>
      <c r="V1267" s="8"/>
      <c r="W1267" s="9"/>
      <c r="X1267" s="10"/>
      <c r="Y1267" s="4">
        <f t="shared" si="538"/>
        <v>0</v>
      </c>
      <c r="Z1267" s="8"/>
      <c r="AA1267" s="9"/>
      <c r="AB1267" s="10"/>
      <c r="AC1267" s="4">
        <f t="shared" si="539"/>
        <v>0</v>
      </c>
      <c r="AD1267" s="8"/>
      <c r="AE1267" s="9"/>
      <c r="AF1267" s="10"/>
      <c r="AG1267" s="4">
        <f t="shared" si="540"/>
        <v>0</v>
      </c>
    </row>
    <row r="1268" spans="1:33">
      <c r="A1268" s="3"/>
      <c r="B1268" s="8"/>
      <c r="C1268" s="9"/>
      <c r="D1268" s="10"/>
      <c r="E1268" s="7">
        <f t="shared" si="534"/>
        <v>0</v>
      </c>
      <c r="F1268" s="8"/>
      <c r="G1268" s="9"/>
      <c r="H1268" s="10"/>
      <c r="I1268" s="7">
        <f t="shared" si="535"/>
        <v>0</v>
      </c>
      <c r="K1268" s="11" t="s">
        <v>736</v>
      </c>
      <c r="L1268" s="8"/>
      <c r="M1268" s="9"/>
      <c r="N1268" s="10">
        <v>6</v>
      </c>
      <c r="O1268" s="7">
        <f t="shared" ref="O1268:O1272" si="548">SUM(L1268:N1268)</f>
        <v>6</v>
      </c>
      <c r="P1268" s="8"/>
      <c r="Q1268" s="9"/>
      <c r="R1268" s="10">
        <v>6</v>
      </c>
      <c r="S1268" s="7">
        <f t="shared" ref="S1268:S1272" si="549">SUM(P1268:R1268)</f>
        <v>6</v>
      </c>
      <c r="T1268" s="43">
        <v>45099</v>
      </c>
      <c r="U1268" s="3"/>
      <c r="V1268" s="8"/>
      <c r="W1268" s="9"/>
      <c r="X1268" s="10"/>
      <c r="Y1268" s="7">
        <f t="shared" si="538"/>
        <v>0</v>
      </c>
      <c r="Z1268" s="8"/>
      <c r="AA1268" s="9"/>
      <c r="AB1268" s="10"/>
      <c r="AC1268" s="7">
        <f t="shared" si="539"/>
        <v>0</v>
      </c>
      <c r="AD1268" s="8"/>
      <c r="AE1268" s="9"/>
      <c r="AF1268" s="10"/>
      <c r="AG1268" s="7">
        <f t="shared" si="540"/>
        <v>0</v>
      </c>
    </row>
    <row r="1269" spans="1:33">
      <c r="A1269" s="3"/>
      <c r="B1269" s="8"/>
      <c r="C1269" s="9"/>
      <c r="D1269" s="10"/>
      <c r="E1269" s="7">
        <f t="shared" si="534"/>
        <v>0</v>
      </c>
      <c r="F1269" s="8"/>
      <c r="G1269" s="9"/>
      <c r="H1269" s="10"/>
      <c r="I1269" s="7">
        <f t="shared" si="535"/>
        <v>0</v>
      </c>
      <c r="K1269" s="11" t="s">
        <v>54</v>
      </c>
      <c r="L1269" s="8"/>
      <c r="M1269" s="9">
        <v>4</v>
      </c>
      <c r="N1269" s="10"/>
      <c r="O1269" s="7">
        <f t="shared" si="548"/>
        <v>4</v>
      </c>
      <c r="P1269" s="8"/>
      <c r="Q1269" s="9">
        <v>4</v>
      </c>
      <c r="R1269" s="10"/>
      <c r="S1269" s="7">
        <f t="shared" si="549"/>
        <v>4</v>
      </c>
      <c r="T1269" s="43">
        <v>45093</v>
      </c>
      <c r="U1269" s="3"/>
      <c r="V1269" s="8"/>
      <c r="W1269" s="9"/>
      <c r="X1269" s="10"/>
      <c r="Y1269" s="7">
        <f t="shared" si="538"/>
        <v>0</v>
      </c>
      <c r="Z1269" s="8"/>
      <c r="AA1269" s="9"/>
      <c r="AB1269" s="10"/>
      <c r="AC1269" s="7">
        <f t="shared" si="539"/>
        <v>0</v>
      </c>
      <c r="AD1269" s="8"/>
      <c r="AE1269" s="9"/>
      <c r="AF1269" s="10"/>
      <c r="AG1269" s="7">
        <f t="shared" si="540"/>
        <v>0</v>
      </c>
    </row>
    <row r="1270" spans="1:33">
      <c r="A1270" s="3"/>
      <c r="B1270" s="8"/>
      <c r="C1270" s="9"/>
      <c r="D1270" s="10"/>
      <c r="E1270" s="7">
        <f t="shared" si="534"/>
        <v>0</v>
      </c>
      <c r="F1270" s="8"/>
      <c r="G1270" s="9"/>
      <c r="H1270" s="10"/>
      <c r="I1270" s="7">
        <f t="shared" si="535"/>
        <v>0</v>
      </c>
      <c r="K1270" s="11" t="s">
        <v>739</v>
      </c>
      <c r="L1270" s="8">
        <v>19</v>
      </c>
      <c r="M1270" s="9">
        <v>14</v>
      </c>
      <c r="N1270" s="10"/>
      <c r="O1270" s="7">
        <f t="shared" si="548"/>
        <v>33</v>
      </c>
      <c r="P1270" s="8">
        <v>19</v>
      </c>
      <c r="Q1270" s="9">
        <v>14</v>
      </c>
      <c r="R1270" s="10"/>
      <c r="S1270" s="7">
        <f t="shared" si="549"/>
        <v>33</v>
      </c>
      <c r="T1270" s="43">
        <v>45100</v>
      </c>
      <c r="U1270" s="3"/>
      <c r="V1270" s="8"/>
      <c r="W1270" s="9"/>
      <c r="X1270" s="10"/>
      <c r="Y1270" s="7">
        <f t="shared" si="538"/>
        <v>0</v>
      </c>
      <c r="Z1270" s="8"/>
      <c r="AA1270" s="9"/>
      <c r="AB1270" s="10"/>
      <c r="AC1270" s="7">
        <f t="shared" si="539"/>
        <v>0</v>
      </c>
      <c r="AD1270" s="8"/>
      <c r="AE1270" s="9"/>
      <c r="AF1270" s="10"/>
      <c r="AG1270" s="7">
        <f t="shared" si="540"/>
        <v>0</v>
      </c>
    </row>
    <row r="1271" spans="1:33">
      <c r="A1271" s="3"/>
      <c r="B1271" s="8"/>
      <c r="C1271" s="9"/>
      <c r="D1271" s="10"/>
      <c r="E1271" s="7">
        <f t="shared" si="534"/>
        <v>0</v>
      </c>
      <c r="F1271" s="8"/>
      <c r="G1271" s="9"/>
      <c r="H1271" s="10"/>
      <c r="I1271" s="7">
        <f t="shared" si="535"/>
        <v>0</v>
      </c>
      <c r="K1271" s="11" t="s">
        <v>740</v>
      </c>
      <c r="L1271" s="8">
        <v>2</v>
      </c>
      <c r="M1271" s="9">
        <v>10</v>
      </c>
      <c r="N1271" s="10">
        <v>7</v>
      </c>
      <c r="O1271" s="7">
        <f t="shared" si="548"/>
        <v>19</v>
      </c>
      <c r="P1271" s="8">
        <v>2</v>
      </c>
      <c r="Q1271" s="9">
        <v>10</v>
      </c>
      <c r="R1271" s="10">
        <v>7</v>
      </c>
      <c r="S1271" s="7">
        <f t="shared" si="549"/>
        <v>19</v>
      </c>
      <c r="T1271" s="43">
        <v>45096</v>
      </c>
      <c r="U1271" s="3"/>
      <c r="V1271" s="8"/>
      <c r="W1271" s="9"/>
      <c r="X1271" s="10"/>
      <c r="Y1271" s="7">
        <f t="shared" si="538"/>
        <v>0</v>
      </c>
      <c r="Z1271" s="8"/>
      <c r="AA1271" s="9"/>
      <c r="AB1271" s="10"/>
      <c r="AC1271" s="7">
        <f t="shared" si="539"/>
        <v>0</v>
      </c>
      <c r="AD1271" s="8"/>
      <c r="AE1271" s="9"/>
      <c r="AF1271" s="10"/>
      <c r="AG1271" s="7">
        <f t="shared" si="540"/>
        <v>0</v>
      </c>
    </row>
    <row r="1272" spans="1:33">
      <c r="A1272" s="3"/>
      <c r="B1272" s="8"/>
      <c r="C1272" s="9"/>
      <c r="D1272" s="10"/>
      <c r="E1272" s="7">
        <f t="shared" si="534"/>
        <v>0</v>
      </c>
      <c r="F1272" s="8"/>
      <c r="G1272" s="9"/>
      <c r="H1272" s="10"/>
      <c r="I1272" s="7">
        <f t="shared" si="535"/>
        <v>0</v>
      </c>
      <c r="K1272" s="3" t="s">
        <v>743</v>
      </c>
      <c r="L1272" s="59">
        <v>5</v>
      </c>
      <c r="M1272" s="9"/>
      <c r="N1272" s="10">
        <v>5</v>
      </c>
      <c r="O1272" s="7">
        <f t="shared" si="548"/>
        <v>10</v>
      </c>
      <c r="P1272" s="8">
        <v>5</v>
      </c>
      <c r="Q1272" s="9"/>
      <c r="R1272" s="10">
        <v>5</v>
      </c>
      <c r="S1272" s="7">
        <f t="shared" si="549"/>
        <v>10</v>
      </c>
      <c r="T1272" s="43">
        <v>45094</v>
      </c>
      <c r="U1272" s="3"/>
      <c r="V1272" s="8"/>
      <c r="W1272" s="9"/>
      <c r="X1272" s="10"/>
      <c r="Y1272" s="7">
        <f t="shared" si="538"/>
        <v>0</v>
      </c>
      <c r="Z1272" s="8"/>
      <c r="AA1272" s="9"/>
      <c r="AB1272" s="10"/>
      <c r="AC1272" s="7">
        <f t="shared" si="539"/>
        <v>0</v>
      </c>
      <c r="AD1272" s="8"/>
      <c r="AE1272" s="9"/>
      <c r="AF1272" s="10"/>
      <c r="AG1272" s="7">
        <f t="shared" si="540"/>
        <v>0</v>
      </c>
    </row>
    <row r="1273" spans="1:33">
      <c r="A1273" s="3"/>
      <c r="B1273" s="8"/>
      <c r="C1273" s="9"/>
      <c r="D1273" s="10"/>
      <c r="E1273" s="7">
        <f t="shared" si="534"/>
        <v>0</v>
      </c>
      <c r="F1273" s="8"/>
      <c r="G1273" s="9"/>
      <c r="H1273" s="10"/>
      <c r="I1273" s="7">
        <f t="shared" si="535"/>
        <v>0</v>
      </c>
      <c r="K1273" s="11" t="s">
        <v>745</v>
      </c>
      <c r="L1273" s="59">
        <v>6</v>
      </c>
      <c r="M1273" s="9">
        <v>10</v>
      </c>
      <c r="N1273" s="10">
        <v>11</v>
      </c>
      <c r="O1273" s="7">
        <f t="shared" si="536"/>
        <v>27</v>
      </c>
      <c r="P1273" s="8">
        <v>6</v>
      </c>
      <c r="Q1273" s="9">
        <v>10</v>
      </c>
      <c r="R1273" s="10">
        <v>11</v>
      </c>
      <c r="S1273" s="7">
        <f t="shared" si="537"/>
        <v>27</v>
      </c>
      <c r="T1273" s="43">
        <v>45098</v>
      </c>
      <c r="U1273" s="3"/>
      <c r="V1273" s="30"/>
      <c r="W1273" s="9"/>
      <c r="X1273" s="10"/>
      <c r="Y1273" s="7">
        <f t="shared" si="538"/>
        <v>0</v>
      </c>
      <c r="Z1273" s="8"/>
      <c r="AA1273" s="9"/>
      <c r="AB1273" s="10"/>
      <c r="AC1273" s="7">
        <f t="shared" si="539"/>
        <v>0</v>
      </c>
      <c r="AD1273" s="8"/>
      <c r="AE1273" s="9"/>
      <c r="AF1273" s="10"/>
      <c r="AG1273" s="7">
        <f t="shared" si="540"/>
        <v>0</v>
      </c>
    </row>
    <row r="1274" spans="1:33">
      <c r="A1274" s="3"/>
      <c r="B1274" s="8"/>
      <c r="C1274" s="9"/>
      <c r="D1274" s="10"/>
      <c r="E1274" s="7">
        <f t="shared" si="534"/>
        <v>0</v>
      </c>
      <c r="F1274" s="8"/>
      <c r="G1274" s="9"/>
      <c r="H1274" s="10"/>
      <c r="I1274" s="7">
        <f t="shared" si="535"/>
        <v>0</v>
      </c>
      <c r="K1274" s="11" t="s">
        <v>746</v>
      </c>
      <c r="L1274" s="8">
        <v>3</v>
      </c>
      <c r="M1274" s="9"/>
      <c r="N1274" s="10">
        <v>2</v>
      </c>
      <c r="O1274" s="7">
        <f t="shared" si="536"/>
        <v>5</v>
      </c>
      <c r="P1274" s="8">
        <v>3</v>
      </c>
      <c r="Q1274" s="9"/>
      <c r="R1274" s="10">
        <v>2</v>
      </c>
      <c r="S1274" s="7">
        <f t="shared" si="537"/>
        <v>5</v>
      </c>
      <c r="T1274" s="43">
        <v>45099</v>
      </c>
      <c r="U1274" s="3"/>
      <c r="V1274" s="8"/>
      <c r="W1274" s="9"/>
      <c r="X1274" s="10"/>
      <c r="Y1274" s="7">
        <f t="shared" si="538"/>
        <v>0</v>
      </c>
      <c r="Z1274" s="8"/>
      <c r="AA1274" s="9"/>
      <c r="AB1274" s="10"/>
      <c r="AC1274" s="7">
        <f t="shared" si="539"/>
        <v>0</v>
      </c>
      <c r="AD1274" s="8"/>
      <c r="AE1274" s="9"/>
      <c r="AF1274" s="10"/>
      <c r="AG1274" s="7">
        <f t="shared" si="540"/>
        <v>0</v>
      </c>
    </row>
    <row r="1275" spans="1:33">
      <c r="A1275" s="3"/>
      <c r="B1275" s="8"/>
      <c r="C1275" s="9"/>
      <c r="D1275" s="10"/>
      <c r="E1275" s="7">
        <f t="shared" si="534"/>
        <v>0</v>
      </c>
      <c r="F1275" s="8"/>
      <c r="G1275" s="9"/>
      <c r="H1275" s="10"/>
      <c r="I1275" s="7">
        <f t="shared" si="535"/>
        <v>0</v>
      </c>
      <c r="K1275" s="11" t="s">
        <v>747</v>
      </c>
      <c r="L1275" s="8">
        <v>1</v>
      </c>
      <c r="M1275" s="9">
        <v>1</v>
      </c>
      <c r="N1275" s="10">
        <v>6</v>
      </c>
      <c r="O1275" s="7">
        <f t="shared" si="536"/>
        <v>8</v>
      </c>
      <c r="P1275" s="8">
        <v>1</v>
      </c>
      <c r="Q1275" s="9">
        <v>1</v>
      </c>
      <c r="R1275" s="10">
        <v>6</v>
      </c>
      <c r="S1275" s="7">
        <f t="shared" si="537"/>
        <v>8</v>
      </c>
      <c r="T1275" s="43">
        <v>45100</v>
      </c>
      <c r="U1275" s="3"/>
      <c r="V1275" s="8"/>
      <c r="W1275" s="9"/>
      <c r="X1275" s="10"/>
      <c r="Y1275" s="7">
        <f t="shared" si="538"/>
        <v>0</v>
      </c>
      <c r="Z1275" s="8"/>
      <c r="AA1275" s="9"/>
      <c r="AB1275" s="10"/>
      <c r="AC1275" s="7">
        <f t="shared" si="539"/>
        <v>0</v>
      </c>
      <c r="AD1275" s="8"/>
      <c r="AE1275" s="9"/>
      <c r="AF1275" s="10"/>
      <c r="AG1275" s="7">
        <f t="shared" si="540"/>
        <v>0</v>
      </c>
    </row>
    <row r="1276" spans="1:33">
      <c r="A1276" s="3"/>
      <c r="B1276" s="8"/>
      <c r="C1276" s="9"/>
      <c r="D1276" s="10"/>
      <c r="E1276" s="7">
        <f t="shared" si="534"/>
        <v>0</v>
      </c>
      <c r="F1276" s="8"/>
      <c r="G1276" s="9"/>
      <c r="H1276" s="10"/>
      <c r="I1276" s="7">
        <f t="shared" si="535"/>
        <v>0</v>
      </c>
      <c r="K1276" s="11" t="s">
        <v>748</v>
      </c>
      <c r="L1276" s="8">
        <v>4</v>
      </c>
      <c r="M1276" s="9">
        <v>4</v>
      </c>
      <c r="N1276" s="10"/>
      <c r="O1276" s="7">
        <f t="shared" si="536"/>
        <v>8</v>
      </c>
      <c r="P1276" s="8">
        <v>4</v>
      </c>
      <c r="Q1276" s="9">
        <v>4</v>
      </c>
      <c r="R1276" s="10"/>
      <c r="S1276" s="7">
        <f t="shared" si="537"/>
        <v>8</v>
      </c>
      <c r="T1276" s="43">
        <v>45104</v>
      </c>
      <c r="U1276" s="3"/>
      <c r="V1276" s="8"/>
      <c r="W1276" s="9"/>
      <c r="X1276" s="10"/>
      <c r="Y1276" s="7">
        <f t="shared" si="538"/>
        <v>0</v>
      </c>
      <c r="Z1276" s="8"/>
      <c r="AA1276" s="9"/>
      <c r="AB1276" s="10"/>
      <c r="AC1276" s="7">
        <f t="shared" si="539"/>
        <v>0</v>
      </c>
      <c r="AD1276" s="8"/>
      <c r="AE1276" s="9"/>
      <c r="AF1276" s="10"/>
      <c r="AG1276" s="7">
        <f t="shared" si="540"/>
        <v>0</v>
      </c>
    </row>
    <row r="1277" spans="1:33">
      <c r="A1277" s="3"/>
      <c r="B1277" s="8"/>
      <c r="C1277" s="9"/>
      <c r="D1277" s="10"/>
      <c r="E1277" s="7">
        <f t="shared" si="534"/>
        <v>0</v>
      </c>
      <c r="F1277" s="8"/>
      <c r="G1277" s="9"/>
      <c r="H1277" s="10"/>
      <c r="I1277" s="7">
        <f t="shared" si="535"/>
        <v>0</v>
      </c>
      <c r="K1277" s="3" t="s">
        <v>295</v>
      </c>
      <c r="L1277" s="8"/>
      <c r="M1277" s="9">
        <v>5</v>
      </c>
      <c r="N1277" s="10"/>
      <c r="O1277" s="7">
        <f t="shared" si="536"/>
        <v>5</v>
      </c>
      <c r="P1277" s="8"/>
      <c r="Q1277" s="9">
        <v>5</v>
      </c>
      <c r="R1277" s="10"/>
      <c r="S1277" s="7">
        <f t="shared" si="537"/>
        <v>5</v>
      </c>
      <c r="T1277" s="43">
        <v>45100</v>
      </c>
      <c r="U1277" s="3"/>
      <c r="V1277" s="8"/>
      <c r="W1277" s="9"/>
      <c r="X1277" s="10"/>
      <c r="Y1277" s="7">
        <f t="shared" si="538"/>
        <v>0</v>
      </c>
      <c r="Z1277" s="8"/>
      <c r="AA1277" s="9"/>
      <c r="AB1277" s="10"/>
      <c r="AC1277" s="7">
        <f t="shared" si="539"/>
        <v>0</v>
      </c>
      <c r="AD1277" s="8"/>
      <c r="AE1277" s="9"/>
      <c r="AF1277" s="10"/>
      <c r="AG1277" s="7">
        <f t="shared" si="540"/>
        <v>0</v>
      </c>
    </row>
    <row r="1278" spans="1:33">
      <c r="A1278" s="3"/>
      <c r="B1278" s="8"/>
      <c r="C1278" s="9"/>
      <c r="D1278" s="10"/>
      <c r="E1278" s="7">
        <f t="shared" si="534"/>
        <v>0</v>
      </c>
      <c r="F1278" s="8"/>
      <c r="G1278" s="9"/>
      <c r="H1278" s="10"/>
      <c r="I1278" s="7">
        <f t="shared" si="535"/>
        <v>0</v>
      </c>
      <c r="K1278" s="11" t="s">
        <v>749</v>
      </c>
      <c r="L1278" s="8">
        <v>2</v>
      </c>
      <c r="M1278" s="9">
        <v>3</v>
      </c>
      <c r="N1278" s="10">
        <v>3</v>
      </c>
      <c r="O1278" s="7">
        <f t="shared" si="536"/>
        <v>8</v>
      </c>
      <c r="P1278" s="8">
        <v>2</v>
      </c>
      <c r="Q1278" s="9">
        <v>3</v>
      </c>
      <c r="R1278" s="10">
        <v>3</v>
      </c>
      <c r="S1278" s="7">
        <f t="shared" si="537"/>
        <v>8</v>
      </c>
      <c r="T1278" s="43">
        <v>45103</v>
      </c>
      <c r="U1278" s="3"/>
      <c r="V1278" s="8"/>
      <c r="W1278" s="9"/>
      <c r="X1278" s="10"/>
      <c r="Y1278" s="7">
        <f t="shared" si="538"/>
        <v>0</v>
      </c>
      <c r="Z1278" s="8"/>
      <c r="AA1278" s="9"/>
      <c r="AB1278" s="10"/>
      <c r="AC1278" s="7">
        <f t="shared" si="539"/>
        <v>0</v>
      </c>
      <c r="AD1278" s="8"/>
      <c r="AE1278" s="9"/>
      <c r="AF1278" s="10"/>
      <c r="AG1278" s="7">
        <f t="shared" si="540"/>
        <v>0</v>
      </c>
    </row>
    <row r="1279" spans="1:33">
      <c r="A1279" s="3"/>
      <c r="B1279" s="8"/>
      <c r="C1279" s="9"/>
      <c r="D1279" s="10"/>
      <c r="E1279" s="7">
        <f t="shared" si="534"/>
        <v>0</v>
      </c>
      <c r="F1279" s="8"/>
      <c r="G1279" s="9"/>
      <c r="H1279" s="10"/>
      <c r="I1279" s="7">
        <f t="shared" si="535"/>
        <v>0</v>
      </c>
      <c r="K1279" s="11" t="s">
        <v>750</v>
      </c>
      <c r="L1279" s="8">
        <v>10</v>
      </c>
      <c r="M1279" s="9">
        <v>14</v>
      </c>
      <c r="N1279" s="10">
        <v>11</v>
      </c>
      <c r="O1279" s="7">
        <f t="shared" si="536"/>
        <v>35</v>
      </c>
      <c r="P1279" s="8">
        <v>10</v>
      </c>
      <c r="Q1279" s="9">
        <v>14</v>
      </c>
      <c r="R1279" s="10">
        <v>11</v>
      </c>
      <c r="S1279" s="7">
        <f t="shared" si="537"/>
        <v>35</v>
      </c>
      <c r="T1279" s="43">
        <v>45106</v>
      </c>
      <c r="U1279" s="3"/>
      <c r="V1279" s="8"/>
      <c r="W1279" s="9"/>
      <c r="X1279" s="10"/>
      <c r="Y1279" s="7">
        <f t="shared" si="538"/>
        <v>0</v>
      </c>
      <c r="Z1279" s="8"/>
      <c r="AA1279" s="9"/>
      <c r="AB1279" s="10"/>
      <c r="AC1279" s="7">
        <f t="shared" si="539"/>
        <v>0</v>
      </c>
      <c r="AD1279" s="8"/>
      <c r="AE1279" s="9"/>
      <c r="AF1279" s="10"/>
      <c r="AG1279" s="7">
        <f t="shared" si="540"/>
        <v>0</v>
      </c>
    </row>
    <row r="1280" spans="1:33">
      <c r="A1280" s="3"/>
      <c r="B1280" s="8"/>
      <c r="C1280" s="9"/>
      <c r="D1280" s="10"/>
      <c r="E1280" s="7">
        <f t="shared" si="534"/>
        <v>0</v>
      </c>
      <c r="F1280" s="8"/>
      <c r="G1280" s="9"/>
      <c r="H1280" s="10"/>
      <c r="I1280" s="7">
        <f t="shared" si="535"/>
        <v>0</v>
      </c>
      <c r="K1280" s="11" t="s">
        <v>751</v>
      </c>
      <c r="L1280" s="8">
        <v>5</v>
      </c>
      <c r="M1280" s="9">
        <v>2</v>
      </c>
      <c r="N1280" s="10">
        <v>3</v>
      </c>
      <c r="O1280" s="7">
        <f t="shared" si="536"/>
        <v>10</v>
      </c>
      <c r="P1280" s="8">
        <v>5</v>
      </c>
      <c r="Q1280" s="9">
        <v>2</v>
      </c>
      <c r="R1280" s="10">
        <v>3</v>
      </c>
      <c r="S1280" s="7">
        <f t="shared" si="537"/>
        <v>10</v>
      </c>
      <c r="T1280" s="43">
        <v>45104</v>
      </c>
      <c r="U1280" s="3"/>
      <c r="V1280" s="8"/>
      <c r="W1280" s="9"/>
      <c r="X1280" s="10"/>
      <c r="Y1280" s="7">
        <f t="shared" si="538"/>
        <v>0</v>
      </c>
      <c r="Z1280" s="8"/>
      <c r="AA1280" s="9"/>
      <c r="AB1280" s="10"/>
      <c r="AC1280" s="7">
        <f t="shared" si="539"/>
        <v>0</v>
      </c>
      <c r="AD1280" s="8"/>
      <c r="AE1280" s="9"/>
      <c r="AF1280" s="10"/>
      <c r="AG1280" s="7">
        <f t="shared" si="540"/>
        <v>0</v>
      </c>
    </row>
    <row r="1281" spans="1:34">
      <c r="A1281" s="11"/>
      <c r="B1281" s="8"/>
      <c r="C1281" s="9"/>
      <c r="D1281" s="10"/>
      <c r="E1281" s="7">
        <f t="shared" si="534"/>
        <v>0</v>
      </c>
      <c r="F1281" s="8"/>
      <c r="G1281" s="9"/>
      <c r="H1281" s="10"/>
      <c r="I1281" s="7">
        <f t="shared" si="535"/>
        <v>0</v>
      </c>
      <c r="K1281" s="11" t="s">
        <v>752</v>
      </c>
      <c r="L1281" s="8">
        <v>5</v>
      </c>
      <c r="M1281" s="9">
        <v>5</v>
      </c>
      <c r="N1281" s="10">
        <v>2</v>
      </c>
      <c r="O1281" s="7">
        <f t="shared" si="536"/>
        <v>12</v>
      </c>
      <c r="P1281" s="8">
        <v>5</v>
      </c>
      <c r="Q1281" s="9">
        <v>5</v>
      </c>
      <c r="R1281" s="10">
        <v>2</v>
      </c>
      <c r="S1281" s="7">
        <f t="shared" si="537"/>
        <v>12</v>
      </c>
      <c r="T1281" s="43">
        <v>45105</v>
      </c>
      <c r="U1281" s="3"/>
      <c r="V1281" s="8"/>
      <c r="W1281" s="9"/>
      <c r="X1281" s="10"/>
      <c r="Y1281" s="7">
        <f t="shared" si="538"/>
        <v>0</v>
      </c>
      <c r="Z1281" s="8"/>
      <c r="AA1281" s="9"/>
      <c r="AB1281" s="10"/>
      <c r="AC1281" s="7">
        <f t="shared" si="539"/>
        <v>0</v>
      </c>
      <c r="AD1281" s="8"/>
      <c r="AE1281" s="9"/>
      <c r="AF1281" s="10"/>
      <c r="AG1281" s="7">
        <f t="shared" si="540"/>
        <v>0</v>
      </c>
    </row>
    <row r="1282" spans="1:34">
      <c r="A1282" s="11"/>
      <c r="B1282" s="8"/>
      <c r="C1282" s="9"/>
      <c r="D1282" s="10"/>
      <c r="E1282" s="7">
        <f t="shared" si="534"/>
        <v>0</v>
      </c>
      <c r="F1282" s="8"/>
      <c r="G1282" s="9"/>
      <c r="H1282" s="10"/>
      <c r="I1282" s="7">
        <f t="shared" si="535"/>
        <v>0</v>
      </c>
      <c r="K1282" s="3"/>
      <c r="L1282" s="8"/>
      <c r="M1282" s="9"/>
      <c r="N1282" s="10"/>
      <c r="O1282" s="7">
        <f t="shared" ref="O1282:O1284" si="550">SUM(L1282:N1282)</f>
        <v>0</v>
      </c>
      <c r="P1282" s="8"/>
      <c r="Q1282" s="9"/>
      <c r="R1282" s="10"/>
      <c r="S1282" s="7">
        <f t="shared" ref="S1282:S1284" si="551">SUM(P1282:R1282)</f>
        <v>0</v>
      </c>
      <c r="U1282" s="3"/>
      <c r="V1282" s="8"/>
      <c r="W1282" s="9"/>
      <c r="X1282" s="10"/>
      <c r="Y1282" s="7">
        <f t="shared" si="538"/>
        <v>0</v>
      </c>
      <c r="Z1282" s="8"/>
      <c r="AA1282" s="9"/>
      <c r="AB1282" s="10"/>
      <c r="AC1282" s="7">
        <f t="shared" si="539"/>
        <v>0</v>
      </c>
      <c r="AD1282" s="8"/>
      <c r="AE1282" s="9"/>
      <c r="AF1282" s="10"/>
      <c r="AG1282" s="7">
        <f t="shared" si="540"/>
        <v>0</v>
      </c>
    </row>
    <row r="1283" spans="1:34">
      <c r="A1283" s="11"/>
      <c r="B1283" s="8"/>
      <c r="C1283" s="9"/>
      <c r="D1283" s="10"/>
      <c r="E1283" s="7">
        <f t="shared" si="534"/>
        <v>0</v>
      </c>
      <c r="F1283" s="8"/>
      <c r="G1283" s="9"/>
      <c r="H1283" s="10"/>
      <c r="I1283" s="7">
        <f t="shared" si="535"/>
        <v>0</v>
      </c>
      <c r="K1283" s="11" t="s">
        <v>667</v>
      </c>
      <c r="L1283" s="8"/>
      <c r="M1283" s="9"/>
      <c r="N1283" s="10"/>
      <c r="O1283" s="7">
        <f t="shared" si="550"/>
        <v>0</v>
      </c>
      <c r="P1283" s="8"/>
      <c r="Q1283" s="9"/>
      <c r="R1283" s="10"/>
      <c r="S1283" s="7">
        <f t="shared" si="551"/>
        <v>0</v>
      </c>
      <c r="T1283" s="71" t="s">
        <v>259</v>
      </c>
      <c r="U1283" s="11"/>
      <c r="V1283" s="8"/>
      <c r="W1283" s="9"/>
      <c r="X1283" s="10"/>
      <c r="Y1283" s="7">
        <f t="shared" si="538"/>
        <v>0</v>
      </c>
      <c r="Z1283" s="8"/>
      <c r="AA1283" s="9"/>
      <c r="AB1283" s="10"/>
      <c r="AC1283" s="7">
        <f t="shared" si="539"/>
        <v>0</v>
      </c>
      <c r="AD1283" s="8"/>
      <c r="AE1283" s="9"/>
      <c r="AF1283" s="10"/>
      <c r="AG1283" s="7">
        <f t="shared" si="540"/>
        <v>0</v>
      </c>
    </row>
    <row r="1284" spans="1:34">
      <c r="A1284" s="11"/>
      <c r="B1284" s="8"/>
      <c r="C1284" s="9"/>
      <c r="D1284" s="10"/>
      <c r="E1284" s="7">
        <f t="shared" si="534"/>
        <v>0</v>
      </c>
      <c r="F1284" s="8"/>
      <c r="G1284" s="9"/>
      <c r="H1284" s="10"/>
      <c r="I1284" s="7">
        <f t="shared" si="535"/>
        <v>0</v>
      </c>
      <c r="K1284" s="11" t="s">
        <v>686</v>
      </c>
      <c r="L1284" s="8"/>
      <c r="M1284" s="9"/>
      <c r="N1284" s="10"/>
      <c r="O1284" s="7">
        <f t="shared" si="550"/>
        <v>0</v>
      </c>
      <c r="P1284" s="8"/>
      <c r="Q1284" s="9"/>
      <c r="R1284" s="10"/>
      <c r="S1284" s="7">
        <f t="shared" si="551"/>
        <v>0</v>
      </c>
      <c r="T1284" s="71" t="s">
        <v>275</v>
      </c>
      <c r="U1284" s="3"/>
      <c r="V1284" s="8"/>
      <c r="W1284" s="9"/>
      <c r="X1284" s="10"/>
      <c r="Y1284" s="7">
        <f t="shared" si="538"/>
        <v>0</v>
      </c>
      <c r="Z1284" s="8"/>
      <c r="AA1284" s="9"/>
      <c r="AB1284" s="10"/>
      <c r="AC1284" s="7">
        <f t="shared" si="539"/>
        <v>0</v>
      </c>
      <c r="AD1284" s="8"/>
      <c r="AE1284" s="9"/>
      <c r="AF1284" s="10"/>
      <c r="AG1284" s="7">
        <f t="shared" si="540"/>
        <v>0</v>
      </c>
    </row>
    <row r="1285" spans="1:34">
      <c r="A1285" s="11"/>
      <c r="B1285" s="8"/>
      <c r="C1285" s="9"/>
      <c r="D1285" s="10"/>
      <c r="E1285" s="7">
        <f t="shared" si="534"/>
        <v>0</v>
      </c>
      <c r="F1285" s="8"/>
      <c r="G1285" s="9"/>
      <c r="H1285" s="10"/>
      <c r="I1285" s="7">
        <f t="shared" si="535"/>
        <v>0</v>
      </c>
      <c r="K1285" s="11" t="s">
        <v>681</v>
      </c>
      <c r="L1285" s="8"/>
      <c r="M1285" s="9"/>
      <c r="N1285" s="10"/>
      <c r="O1285" s="7">
        <f t="shared" ref="O1285:O1286" si="552">SUM(L1285:N1285)</f>
        <v>0</v>
      </c>
      <c r="P1285" s="8"/>
      <c r="Q1285" s="9"/>
      <c r="R1285" s="10"/>
      <c r="S1285" s="7">
        <f t="shared" ref="S1285:S1286" si="553">SUM(P1285:R1285)</f>
        <v>0</v>
      </c>
      <c r="T1285" s="71" t="s">
        <v>164</v>
      </c>
      <c r="U1285" s="3"/>
      <c r="V1285" s="8"/>
      <c r="W1285" s="9"/>
      <c r="X1285" s="10"/>
      <c r="Y1285" s="7">
        <f t="shared" ref="Y1285:Y1286" si="554">SUM(V1285:X1285)</f>
        <v>0</v>
      </c>
      <c r="Z1285" s="8"/>
      <c r="AA1285" s="9"/>
      <c r="AB1285" s="10"/>
      <c r="AC1285" s="7">
        <f t="shared" ref="AC1285:AC1286" si="555">SUM(Z1285:AB1285)</f>
        <v>0</v>
      </c>
      <c r="AD1285" s="8"/>
      <c r="AE1285" s="9"/>
      <c r="AF1285" s="10"/>
      <c r="AG1285" s="7">
        <f t="shared" ref="AG1285:AG1286" si="556">SUM(AD1285:AF1285)</f>
        <v>0</v>
      </c>
    </row>
    <row r="1286" spans="1:34" ht="14.25" thickBot="1">
      <c r="A1286" s="3"/>
      <c r="B1286" s="8"/>
      <c r="C1286" s="9"/>
      <c r="D1286" s="10"/>
      <c r="E1286" s="7">
        <f t="shared" si="534"/>
        <v>0</v>
      </c>
      <c r="F1286" s="8"/>
      <c r="G1286" s="9"/>
      <c r="H1286" s="10"/>
      <c r="I1286" s="7">
        <f t="shared" si="535"/>
        <v>0</v>
      </c>
      <c r="K1286" s="11" t="s">
        <v>674</v>
      </c>
      <c r="L1286" s="8"/>
      <c r="M1286" s="9"/>
      <c r="N1286" s="10"/>
      <c r="O1286" s="7">
        <f t="shared" si="552"/>
        <v>0</v>
      </c>
      <c r="P1286" s="8"/>
      <c r="Q1286" s="9"/>
      <c r="R1286" s="10"/>
      <c r="S1286" s="7">
        <f t="shared" si="553"/>
        <v>0</v>
      </c>
      <c r="T1286" s="71" t="s">
        <v>101</v>
      </c>
      <c r="U1286" s="3" t="s">
        <v>673</v>
      </c>
      <c r="V1286" s="8"/>
      <c r="W1286" s="9"/>
      <c r="X1286" s="10"/>
      <c r="Y1286" s="7">
        <f t="shared" si="554"/>
        <v>0</v>
      </c>
      <c r="Z1286" s="8"/>
      <c r="AA1286" s="9"/>
      <c r="AB1286" s="10"/>
      <c r="AC1286" s="7">
        <f t="shared" si="555"/>
        <v>0</v>
      </c>
      <c r="AD1286" s="8"/>
      <c r="AE1286" s="9"/>
      <c r="AF1286" s="10"/>
      <c r="AG1286" s="7">
        <f t="shared" si="556"/>
        <v>0</v>
      </c>
      <c r="AH1286" s="71" t="s">
        <v>164</v>
      </c>
    </row>
    <row r="1287" spans="1:34" ht="14.25" thickBot="1">
      <c r="A1287" s="2" t="s">
        <v>5</v>
      </c>
      <c r="B1287" s="14">
        <f>SUM(B1263:B1286)</f>
        <v>5</v>
      </c>
      <c r="C1287" s="14">
        <f>SUM(C1263:C1286)</f>
        <v>6</v>
      </c>
      <c r="D1287" s="14">
        <f>SUM(D1263:D1286)</f>
        <v>6</v>
      </c>
      <c r="E1287" s="15">
        <f t="shared" si="534"/>
        <v>17</v>
      </c>
      <c r="F1287" s="14">
        <f>SUM(F1263:F1286)</f>
        <v>5</v>
      </c>
      <c r="G1287" s="14">
        <f>SUM(G1263:G1286)</f>
        <v>6</v>
      </c>
      <c r="H1287" s="14">
        <f>SUM(H1263:H1286)</f>
        <v>6</v>
      </c>
      <c r="I1287" s="15">
        <f t="shared" si="535"/>
        <v>17</v>
      </c>
      <c r="K1287" s="2" t="s">
        <v>5</v>
      </c>
      <c r="L1287" s="14">
        <f>SUM(L1263:L1286)</f>
        <v>114</v>
      </c>
      <c r="M1287" s="14">
        <f>SUM(M1263:M1286)</f>
        <v>135</v>
      </c>
      <c r="N1287" s="14">
        <f>SUM(N1263:N1286)</f>
        <v>106</v>
      </c>
      <c r="O1287" s="15">
        <f t="shared" si="536"/>
        <v>355</v>
      </c>
      <c r="P1287" s="14">
        <f>SUM(P1263:P1286)</f>
        <v>114</v>
      </c>
      <c r="Q1287" s="14">
        <f>SUM(Q1263:Q1286)</f>
        <v>135</v>
      </c>
      <c r="R1287" s="14">
        <f>SUM(R1263:R1286)</f>
        <v>106</v>
      </c>
      <c r="S1287" s="15">
        <f t="shared" si="537"/>
        <v>355</v>
      </c>
      <c r="U1287" s="2" t="s">
        <v>5</v>
      </c>
      <c r="V1287" s="14">
        <f>SUM(V1263:V1286)</f>
        <v>20</v>
      </c>
      <c r="W1287" s="14">
        <f>SUM(W1263:W1286)</f>
        <v>15</v>
      </c>
      <c r="X1287" s="14">
        <f>SUM(X1263:X1286)</f>
        <v>15</v>
      </c>
      <c r="Y1287" s="15">
        <f t="shared" si="538"/>
        <v>50</v>
      </c>
      <c r="Z1287" s="14">
        <f>SUM(Z1263:Z1286)</f>
        <v>20</v>
      </c>
      <c r="AA1287" s="14">
        <f>SUM(AA1263:AA1286)</f>
        <v>15</v>
      </c>
      <c r="AB1287" s="14">
        <f>SUM(AB1263:AB1286)</f>
        <v>15</v>
      </c>
      <c r="AC1287" s="15">
        <f t="shared" si="539"/>
        <v>50</v>
      </c>
      <c r="AD1287" s="14">
        <f>SUM(AD1263:AD1286)</f>
        <v>20</v>
      </c>
      <c r="AE1287" s="14">
        <f>SUM(AE1263:AE1286)</f>
        <v>15</v>
      </c>
      <c r="AF1287" s="14">
        <f>SUM(AF1263:AF1286)</f>
        <v>15</v>
      </c>
      <c r="AG1287" s="15">
        <f t="shared" si="540"/>
        <v>50</v>
      </c>
    </row>
    <row r="1288" spans="1:34" ht="14.25" thickBot="1">
      <c r="A1288" s="27" t="s">
        <v>6</v>
      </c>
      <c r="B1288" s="28">
        <f>B1262-B1287</f>
        <v>8</v>
      </c>
      <c r="C1288" s="28">
        <f t="shared" ref="C1288:E1288" si="557">C1262-C1287</f>
        <v>8</v>
      </c>
      <c r="D1288" s="28">
        <f t="shared" si="557"/>
        <v>8</v>
      </c>
      <c r="E1288" s="28">
        <f t="shared" si="557"/>
        <v>24</v>
      </c>
      <c r="F1288" s="28">
        <f>F1262-F1287</f>
        <v>8</v>
      </c>
      <c r="G1288" s="28">
        <f t="shared" ref="G1288:I1288" si="558">G1262-G1287</f>
        <v>8</v>
      </c>
      <c r="H1288" s="28">
        <f t="shared" si="558"/>
        <v>8</v>
      </c>
      <c r="I1288" s="26">
        <f t="shared" si="558"/>
        <v>24</v>
      </c>
      <c r="K1288" s="27" t="s">
        <v>6</v>
      </c>
      <c r="L1288" s="28">
        <f>L1262-L1287</f>
        <v>104</v>
      </c>
      <c r="M1288" s="28">
        <f t="shared" ref="M1288:O1288" si="559">M1262-M1287</f>
        <v>182</v>
      </c>
      <c r="N1288" s="28">
        <f t="shared" si="559"/>
        <v>94</v>
      </c>
      <c r="O1288" s="28">
        <f t="shared" si="559"/>
        <v>380</v>
      </c>
      <c r="P1288" s="28">
        <f>P1262-P1287</f>
        <v>104</v>
      </c>
      <c r="Q1288" s="28">
        <f t="shared" ref="Q1288:S1288" si="560">Q1262-Q1287</f>
        <v>182</v>
      </c>
      <c r="R1288" s="28">
        <f t="shared" si="560"/>
        <v>94</v>
      </c>
      <c r="S1288" s="26">
        <f t="shared" si="560"/>
        <v>380</v>
      </c>
      <c r="U1288" s="27" t="s">
        <v>6</v>
      </c>
      <c r="V1288" s="28">
        <f>V1262-V1287</f>
        <v>36</v>
      </c>
      <c r="W1288" s="28">
        <f t="shared" ref="W1288:Y1288" si="561">W1262-W1287</f>
        <v>56</v>
      </c>
      <c r="X1288" s="28">
        <f t="shared" si="561"/>
        <v>39</v>
      </c>
      <c r="Y1288" s="28">
        <f t="shared" si="561"/>
        <v>131</v>
      </c>
      <c r="Z1288" s="28">
        <f>Z1262-Z1287</f>
        <v>36</v>
      </c>
      <c r="AA1288" s="28">
        <f t="shared" ref="AA1288:AC1288" si="562">AA1262-AA1287</f>
        <v>56</v>
      </c>
      <c r="AB1288" s="28">
        <f t="shared" si="562"/>
        <v>39</v>
      </c>
      <c r="AC1288" s="26">
        <f t="shared" si="562"/>
        <v>131</v>
      </c>
      <c r="AD1288" s="28">
        <f>AD1262-AD1287</f>
        <v>36</v>
      </c>
      <c r="AE1288" s="28">
        <f t="shared" ref="AE1288:AG1288" si="563">AE1262-AE1287</f>
        <v>56</v>
      </c>
      <c r="AF1288" s="28">
        <f t="shared" si="563"/>
        <v>39</v>
      </c>
      <c r="AG1288" s="26">
        <f t="shared" si="563"/>
        <v>131</v>
      </c>
    </row>
    <row r="1289" spans="1:34">
      <c r="U1289" s="70" t="s">
        <v>684</v>
      </c>
      <c r="V1289" s="66">
        <v>99</v>
      </c>
      <c r="W1289" s="66">
        <v>110</v>
      </c>
      <c r="X1289" s="66">
        <v>94</v>
      </c>
    </row>
    <row r="1290" spans="1:34">
      <c r="U1290" s="66" t="s">
        <v>685</v>
      </c>
      <c r="V1290" s="66"/>
      <c r="W1290" s="66"/>
      <c r="X1290" s="66"/>
    </row>
    <row r="1291" spans="1:34" ht="26.25" thickBot="1">
      <c r="A1291" s="33" t="s">
        <v>621</v>
      </c>
      <c r="B1291" s="34"/>
      <c r="C1291" s="34"/>
      <c r="D1291" s="34"/>
      <c r="E1291" s="34"/>
      <c r="F1291" s="35"/>
      <c r="G1291" s="35"/>
      <c r="H1291" s="35"/>
      <c r="I1291" s="35"/>
      <c r="K1291" s="33" t="s">
        <v>620</v>
      </c>
      <c r="L1291" s="34"/>
      <c r="M1291" s="34"/>
      <c r="N1291" s="34"/>
      <c r="O1291" s="34"/>
      <c r="P1291" s="35"/>
      <c r="Q1291" s="35"/>
      <c r="R1291" s="35"/>
      <c r="S1291" s="35"/>
      <c r="U1291" s="113" t="s">
        <v>622</v>
      </c>
      <c r="V1291" s="114"/>
      <c r="W1291" s="114"/>
      <c r="X1291" s="114"/>
      <c r="Y1291" s="114"/>
      <c r="Z1291" s="115"/>
      <c r="AA1291" s="115"/>
      <c r="AB1291" s="115"/>
      <c r="AC1291" s="115"/>
      <c r="AD1291" s="116"/>
      <c r="AE1291" s="116"/>
    </row>
    <row r="1292" spans="1:34" ht="14.25" thickBot="1">
      <c r="A1292" s="1" t="s">
        <v>0</v>
      </c>
      <c r="B1292" s="182" t="s">
        <v>17</v>
      </c>
      <c r="C1292" s="182"/>
      <c r="D1292" s="182"/>
      <c r="E1292" s="183"/>
      <c r="F1292" s="182" t="s">
        <v>13</v>
      </c>
      <c r="G1292" s="182"/>
      <c r="H1292" s="182"/>
      <c r="I1292" s="183"/>
      <c r="K1292" s="1" t="s">
        <v>0</v>
      </c>
      <c r="L1292" s="182" t="s">
        <v>17</v>
      </c>
      <c r="M1292" s="182"/>
      <c r="N1292" s="182"/>
      <c r="O1292" s="183"/>
      <c r="P1292" s="182" t="s">
        <v>13</v>
      </c>
      <c r="Q1292" s="182"/>
      <c r="R1292" s="182"/>
      <c r="S1292" s="183"/>
      <c r="U1292" s="1" t="s">
        <v>0</v>
      </c>
      <c r="V1292" s="182" t="s">
        <v>17</v>
      </c>
      <c r="W1292" s="182"/>
      <c r="X1292" s="182"/>
      <c r="Y1292" s="183"/>
      <c r="Z1292" s="182" t="s">
        <v>13</v>
      </c>
      <c r="AA1292" s="182"/>
      <c r="AB1292" s="182"/>
      <c r="AC1292" s="183"/>
      <c r="AD1292" s="182" t="s">
        <v>242</v>
      </c>
      <c r="AE1292" s="182"/>
      <c r="AF1292" s="182"/>
      <c r="AG1292" s="183"/>
    </row>
    <row r="1293" spans="1:34" ht="14.25" thickBot="1">
      <c r="A1293" s="1" t="s">
        <v>1</v>
      </c>
      <c r="B1293" s="2" t="s">
        <v>8</v>
      </c>
      <c r="C1293" s="1" t="s">
        <v>9</v>
      </c>
      <c r="D1293" s="19" t="s">
        <v>10</v>
      </c>
      <c r="E1293" s="1" t="s">
        <v>2</v>
      </c>
      <c r="F1293" s="2" t="s">
        <v>8</v>
      </c>
      <c r="G1293" s="1" t="s">
        <v>9</v>
      </c>
      <c r="H1293" s="19" t="s">
        <v>10</v>
      </c>
      <c r="I1293" s="1" t="s">
        <v>2</v>
      </c>
      <c r="K1293" s="1" t="s">
        <v>1</v>
      </c>
      <c r="L1293" s="2" t="s">
        <v>8</v>
      </c>
      <c r="M1293" s="1" t="s">
        <v>9</v>
      </c>
      <c r="N1293" s="19" t="s">
        <v>10</v>
      </c>
      <c r="O1293" s="1" t="s">
        <v>2</v>
      </c>
      <c r="P1293" s="2" t="s">
        <v>8</v>
      </c>
      <c r="Q1293" s="1" t="s">
        <v>9</v>
      </c>
      <c r="R1293" s="19" t="s">
        <v>10</v>
      </c>
      <c r="S1293" s="1" t="s">
        <v>2</v>
      </c>
      <c r="U1293" s="1" t="s">
        <v>1</v>
      </c>
      <c r="V1293" s="2" t="s">
        <v>8</v>
      </c>
      <c r="W1293" s="1" t="s">
        <v>9</v>
      </c>
      <c r="X1293" s="19" t="s">
        <v>10</v>
      </c>
      <c r="Y1293" s="1" t="s">
        <v>2</v>
      </c>
      <c r="Z1293" s="2" t="s">
        <v>8</v>
      </c>
      <c r="AA1293" s="1" t="s">
        <v>9</v>
      </c>
      <c r="AB1293" s="19" t="s">
        <v>10</v>
      </c>
      <c r="AC1293" s="1" t="s">
        <v>2</v>
      </c>
      <c r="AD1293" s="2" t="s">
        <v>8</v>
      </c>
      <c r="AE1293" s="1" t="s">
        <v>9</v>
      </c>
      <c r="AF1293" s="19" t="s">
        <v>10</v>
      </c>
      <c r="AG1293" s="1" t="s">
        <v>2</v>
      </c>
    </row>
    <row r="1294" spans="1:34">
      <c r="A1294" s="21" t="s">
        <v>7</v>
      </c>
      <c r="B1294" s="18">
        <f>B1288</f>
        <v>8</v>
      </c>
      <c r="C1294" s="22">
        <f>C1288</f>
        <v>8</v>
      </c>
      <c r="D1294" s="22">
        <f>D1288</f>
        <v>8</v>
      </c>
      <c r="E1294" s="17">
        <f t="shared" ref="E1294:E1330" si="564">SUM(B1294:D1294)</f>
        <v>24</v>
      </c>
      <c r="F1294" s="22">
        <f>F1288</f>
        <v>8</v>
      </c>
      <c r="G1294" s="22">
        <f>G1288</f>
        <v>8</v>
      </c>
      <c r="H1294" s="22">
        <f>H1288</f>
        <v>8</v>
      </c>
      <c r="I1294" s="17">
        <f t="shared" ref="I1294:I1330" si="565">SUM(F1294:H1294)</f>
        <v>24</v>
      </c>
      <c r="K1294" s="21" t="s">
        <v>7</v>
      </c>
      <c r="L1294" s="18">
        <f>L1288</f>
        <v>104</v>
      </c>
      <c r="M1294" s="22">
        <f>M1288</f>
        <v>182</v>
      </c>
      <c r="N1294" s="22">
        <f>N1288</f>
        <v>94</v>
      </c>
      <c r="O1294" s="17">
        <f t="shared" ref="O1294:O1330" si="566">SUM(L1294:N1294)</f>
        <v>380</v>
      </c>
      <c r="P1294" s="22">
        <f>P1288</f>
        <v>104</v>
      </c>
      <c r="Q1294" s="22">
        <f>Q1288</f>
        <v>182</v>
      </c>
      <c r="R1294" s="22">
        <f>R1288</f>
        <v>94</v>
      </c>
      <c r="S1294" s="17">
        <f t="shared" ref="S1294:S1330" si="567">SUM(P1294:R1294)</f>
        <v>380</v>
      </c>
      <c r="U1294" s="21" t="s">
        <v>7</v>
      </c>
      <c r="V1294" s="18">
        <f>V1288</f>
        <v>36</v>
      </c>
      <c r="W1294" s="22">
        <f>W1288</f>
        <v>56</v>
      </c>
      <c r="X1294" s="22">
        <f>X1288</f>
        <v>39</v>
      </c>
      <c r="Y1294" s="17">
        <f t="shared" ref="Y1294:Y1330" si="568">SUM(V1294:X1294)</f>
        <v>131</v>
      </c>
      <c r="Z1294" s="22">
        <f>Z1288</f>
        <v>36</v>
      </c>
      <c r="AA1294" s="22">
        <f>AA1288</f>
        <v>56</v>
      </c>
      <c r="AB1294" s="22">
        <f>AB1288</f>
        <v>39</v>
      </c>
      <c r="AC1294" s="17">
        <f t="shared" ref="AC1294:AC1330" si="569">SUM(Z1294:AB1294)</f>
        <v>131</v>
      </c>
      <c r="AD1294" s="22">
        <f>AD1288</f>
        <v>36</v>
      </c>
      <c r="AE1294" s="22">
        <f>AE1288</f>
        <v>56</v>
      </c>
      <c r="AF1294" s="22">
        <f>AF1288</f>
        <v>39</v>
      </c>
      <c r="AG1294" s="17">
        <f t="shared" ref="AG1294:AG1330" si="570">SUM(AD1294:AF1294)</f>
        <v>131</v>
      </c>
    </row>
    <row r="1295" spans="1:34">
      <c r="A1295" s="5" t="s">
        <v>37</v>
      </c>
      <c r="B1295" s="30">
        <v>4</v>
      </c>
      <c r="C1295" s="31"/>
      <c r="D1295" s="32"/>
      <c r="E1295" s="4">
        <f t="shared" si="564"/>
        <v>4</v>
      </c>
      <c r="F1295" s="30">
        <v>4</v>
      </c>
      <c r="G1295" s="31"/>
      <c r="H1295" s="32"/>
      <c r="I1295" s="4">
        <f t="shared" si="565"/>
        <v>4</v>
      </c>
      <c r="J1295" s="49">
        <v>45112</v>
      </c>
      <c r="K1295" s="5" t="s">
        <v>3</v>
      </c>
      <c r="L1295" s="16"/>
      <c r="M1295" s="11"/>
      <c r="N1295" s="16"/>
      <c r="O1295" s="4">
        <f t="shared" si="566"/>
        <v>0</v>
      </c>
      <c r="P1295" s="16"/>
      <c r="Q1295" s="11"/>
      <c r="R1295" s="16"/>
      <c r="S1295" s="4">
        <f t="shared" si="567"/>
        <v>0</v>
      </c>
      <c r="U1295" s="5" t="s">
        <v>78</v>
      </c>
      <c r="V1295" s="16">
        <v>1</v>
      </c>
      <c r="W1295" s="11"/>
      <c r="X1295" s="16"/>
      <c r="Y1295" s="4">
        <f t="shared" si="568"/>
        <v>1</v>
      </c>
      <c r="Z1295" s="16">
        <v>1</v>
      </c>
      <c r="AA1295" s="11"/>
      <c r="AB1295" s="16"/>
      <c r="AC1295" s="4">
        <f t="shared" si="569"/>
        <v>1</v>
      </c>
      <c r="AD1295" s="16">
        <v>1</v>
      </c>
      <c r="AE1295" s="11"/>
      <c r="AF1295" s="16"/>
      <c r="AG1295" s="4">
        <f t="shared" si="570"/>
        <v>1</v>
      </c>
      <c r="AH1295" s="49">
        <v>45111</v>
      </c>
    </row>
    <row r="1296" spans="1:34">
      <c r="A1296" s="5" t="s">
        <v>196</v>
      </c>
      <c r="B1296" s="30">
        <v>1</v>
      </c>
      <c r="C1296" s="31">
        <v>1</v>
      </c>
      <c r="D1296" s="32">
        <v>1</v>
      </c>
      <c r="E1296" s="4">
        <f t="shared" si="564"/>
        <v>3</v>
      </c>
      <c r="F1296" s="30">
        <v>1</v>
      </c>
      <c r="G1296" s="31">
        <v>1</v>
      </c>
      <c r="H1296" s="32">
        <v>1</v>
      </c>
      <c r="I1296" s="4">
        <f t="shared" si="565"/>
        <v>3</v>
      </c>
      <c r="J1296" s="49">
        <v>45126</v>
      </c>
      <c r="K1296" s="5" t="s">
        <v>3</v>
      </c>
      <c r="L1296" s="16"/>
      <c r="M1296" s="11"/>
      <c r="N1296" s="16"/>
      <c r="O1296" s="4">
        <f t="shared" ref="O1296:O1298" si="571">SUM(L1296:N1296)</f>
        <v>0</v>
      </c>
      <c r="P1296" s="16"/>
      <c r="Q1296" s="11"/>
      <c r="R1296" s="16"/>
      <c r="S1296" s="4">
        <f t="shared" ref="S1296:S1298" si="572">SUM(P1296:R1296)</f>
        <v>0</v>
      </c>
      <c r="U1296" s="5" t="s">
        <v>3</v>
      </c>
      <c r="V1296" s="16"/>
      <c r="W1296" s="11"/>
      <c r="X1296" s="16"/>
      <c r="Y1296" s="4">
        <f t="shared" ref="Y1296:Y1297" si="573">SUM(V1296:X1296)</f>
        <v>0</v>
      </c>
      <c r="Z1296" s="16"/>
      <c r="AA1296" s="11"/>
      <c r="AB1296" s="16"/>
      <c r="AC1296" s="4">
        <f t="shared" ref="AC1296:AC1297" si="574">SUM(Z1296:AB1296)</f>
        <v>0</v>
      </c>
      <c r="AD1296" s="16"/>
      <c r="AE1296" s="11"/>
      <c r="AF1296" s="16"/>
      <c r="AG1296" s="4">
        <f t="shared" ref="AG1296:AG1297" si="575">SUM(AD1296:AF1296)</f>
        <v>0</v>
      </c>
    </row>
    <row r="1297" spans="1:33">
      <c r="A1297" s="3" t="s">
        <v>198</v>
      </c>
      <c r="B1297" s="8">
        <v>1</v>
      </c>
      <c r="C1297" s="9"/>
      <c r="D1297" s="10"/>
      <c r="E1297" s="7">
        <f t="shared" ref="E1297" si="576">SUM(B1297:D1297)</f>
        <v>1</v>
      </c>
      <c r="F1297" s="8">
        <v>1</v>
      </c>
      <c r="G1297" s="9"/>
      <c r="H1297" s="10"/>
      <c r="I1297" s="7">
        <f t="shared" ref="I1297" si="577">SUM(F1297:H1297)</f>
        <v>1</v>
      </c>
      <c r="J1297" s="49">
        <v>45132</v>
      </c>
      <c r="K1297" s="5" t="s">
        <v>652</v>
      </c>
      <c r="L1297" s="32">
        <v>150</v>
      </c>
      <c r="M1297" s="31">
        <v>210</v>
      </c>
      <c r="N1297" s="32">
        <v>140</v>
      </c>
      <c r="O1297" s="4">
        <f t="shared" si="571"/>
        <v>500</v>
      </c>
      <c r="P1297" s="32">
        <v>150</v>
      </c>
      <c r="Q1297" s="31">
        <v>210</v>
      </c>
      <c r="R1297" s="32">
        <v>140</v>
      </c>
      <c r="S1297" s="4">
        <f t="shared" si="572"/>
        <v>500</v>
      </c>
      <c r="T1297" s="43" t="s">
        <v>756</v>
      </c>
      <c r="U1297" s="5" t="s">
        <v>3</v>
      </c>
      <c r="V1297" s="16"/>
      <c r="W1297" s="11"/>
      <c r="X1297" s="16"/>
      <c r="Y1297" s="4">
        <f t="shared" si="573"/>
        <v>0</v>
      </c>
      <c r="Z1297" s="16"/>
      <c r="AA1297" s="11"/>
      <c r="AB1297" s="16"/>
      <c r="AC1297" s="4">
        <f t="shared" si="574"/>
        <v>0</v>
      </c>
      <c r="AD1297" s="16"/>
      <c r="AE1297" s="11"/>
      <c r="AF1297" s="16"/>
      <c r="AG1297" s="4">
        <f t="shared" si="575"/>
        <v>0</v>
      </c>
    </row>
    <row r="1298" spans="1:33">
      <c r="A1298" s="5" t="s">
        <v>3</v>
      </c>
      <c r="B1298" s="16"/>
      <c r="C1298" s="11"/>
      <c r="D1298" s="16"/>
      <c r="E1298" s="4">
        <f t="shared" si="564"/>
        <v>0</v>
      </c>
      <c r="F1298" s="16"/>
      <c r="G1298" s="11"/>
      <c r="H1298" s="16"/>
      <c r="I1298" s="4">
        <f t="shared" si="565"/>
        <v>0</v>
      </c>
      <c r="K1298" s="5" t="s">
        <v>3</v>
      </c>
      <c r="L1298" s="16"/>
      <c r="M1298" s="11"/>
      <c r="N1298" s="16"/>
      <c r="O1298" s="4">
        <f t="shared" si="571"/>
        <v>0</v>
      </c>
      <c r="P1298" s="16"/>
      <c r="Q1298" s="11"/>
      <c r="R1298" s="16"/>
      <c r="S1298" s="4">
        <f t="shared" si="572"/>
        <v>0</v>
      </c>
      <c r="T1298" s="71" t="s">
        <v>727</v>
      </c>
      <c r="U1298" s="5" t="s">
        <v>3</v>
      </c>
      <c r="V1298" s="16"/>
      <c r="W1298" s="11"/>
      <c r="X1298" s="16"/>
      <c r="Y1298" s="4">
        <f t="shared" si="568"/>
        <v>0</v>
      </c>
      <c r="Z1298" s="16"/>
      <c r="AA1298" s="11"/>
      <c r="AB1298" s="16"/>
      <c r="AC1298" s="4">
        <f t="shared" si="569"/>
        <v>0</v>
      </c>
      <c r="AD1298" s="16"/>
      <c r="AE1298" s="11"/>
      <c r="AF1298" s="16"/>
      <c r="AG1298" s="4">
        <f t="shared" si="570"/>
        <v>0</v>
      </c>
    </row>
    <row r="1299" spans="1:33">
      <c r="A1299" s="5" t="s">
        <v>3</v>
      </c>
      <c r="B1299" s="16"/>
      <c r="C1299" s="11"/>
      <c r="D1299" s="16"/>
      <c r="E1299" s="4">
        <f t="shared" si="564"/>
        <v>0</v>
      </c>
      <c r="F1299" s="16"/>
      <c r="G1299" s="11"/>
      <c r="H1299" s="16"/>
      <c r="I1299" s="4">
        <f t="shared" si="565"/>
        <v>0</v>
      </c>
      <c r="K1299" s="5" t="s">
        <v>3</v>
      </c>
      <c r="L1299" s="32"/>
      <c r="M1299" s="31"/>
      <c r="N1299" s="32"/>
      <c r="O1299" s="4">
        <f t="shared" si="566"/>
        <v>0</v>
      </c>
      <c r="P1299" s="32"/>
      <c r="Q1299" s="31"/>
      <c r="R1299" s="32"/>
      <c r="S1299" s="4">
        <f t="shared" si="567"/>
        <v>0</v>
      </c>
      <c r="T1299" s="71"/>
      <c r="U1299" s="5" t="s">
        <v>3</v>
      </c>
      <c r="V1299" s="32"/>
      <c r="W1299" s="31"/>
      <c r="X1299" s="32"/>
      <c r="Y1299" s="4">
        <f t="shared" si="568"/>
        <v>0</v>
      </c>
      <c r="Z1299" s="32"/>
      <c r="AA1299" s="31"/>
      <c r="AB1299" s="32"/>
      <c r="AC1299" s="4">
        <f t="shared" si="569"/>
        <v>0</v>
      </c>
      <c r="AD1299" s="32"/>
      <c r="AE1299" s="31"/>
      <c r="AF1299" s="32"/>
      <c r="AG1299" s="4">
        <f t="shared" si="570"/>
        <v>0</v>
      </c>
    </row>
    <row r="1300" spans="1:33">
      <c r="A1300" s="5" t="s">
        <v>3</v>
      </c>
      <c r="B1300" s="16"/>
      <c r="C1300" s="11"/>
      <c r="D1300" s="16"/>
      <c r="E1300" s="4">
        <f t="shared" si="564"/>
        <v>0</v>
      </c>
      <c r="F1300" s="16"/>
      <c r="G1300" s="11"/>
      <c r="H1300" s="16"/>
      <c r="I1300" s="4">
        <f t="shared" si="565"/>
        <v>0</v>
      </c>
      <c r="K1300" s="5" t="s">
        <v>3</v>
      </c>
      <c r="L1300" s="16"/>
      <c r="M1300" s="11"/>
      <c r="N1300" s="16"/>
      <c r="O1300" s="4">
        <f t="shared" si="566"/>
        <v>0</v>
      </c>
      <c r="P1300" s="16"/>
      <c r="Q1300" s="11"/>
      <c r="R1300" s="16"/>
      <c r="S1300" s="4">
        <f t="shared" si="567"/>
        <v>0</v>
      </c>
      <c r="U1300" s="5" t="s">
        <v>3</v>
      </c>
      <c r="V1300" s="16"/>
      <c r="W1300" s="11"/>
      <c r="X1300" s="16"/>
      <c r="Y1300" s="4">
        <f t="shared" si="568"/>
        <v>0</v>
      </c>
      <c r="Z1300" s="16"/>
      <c r="AA1300" s="11"/>
      <c r="AB1300" s="16"/>
      <c r="AC1300" s="4">
        <f t="shared" si="569"/>
        <v>0</v>
      </c>
      <c r="AD1300" s="16"/>
      <c r="AE1300" s="11"/>
      <c r="AF1300" s="16"/>
      <c r="AG1300" s="4">
        <f t="shared" si="570"/>
        <v>0</v>
      </c>
    </row>
    <row r="1301" spans="1:33">
      <c r="A1301" s="5" t="s">
        <v>3</v>
      </c>
      <c r="B1301" s="32"/>
      <c r="C1301" s="31"/>
      <c r="D1301" s="32"/>
      <c r="E1301" s="4">
        <f t="shared" si="564"/>
        <v>0</v>
      </c>
      <c r="F1301" s="32"/>
      <c r="G1301" s="31"/>
      <c r="H1301" s="32"/>
      <c r="I1301" s="4">
        <f t="shared" si="565"/>
        <v>0</v>
      </c>
      <c r="K1301" s="5" t="s">
        <v>3</v>
      </c>
      <c r="L1301" s="16"/>
      <c r="M1301" s="11"/>
      <c r="N1301" s="16"/>
      <c r="O1301" s="4">
        <f t="shared" ref="O1301" si="578">SUM(L1301:N1301)</f>
        <v>0</v>
      </c>
      <c r="P1301" s="16"/>
      <c r="Q1301" s="11"/>
      <c r="R1301" s="16"/>
      <c r="S1301" s="4">
        <f t="shared" ref="S1301" si="579">SUM(P1301:R1301)</f>
        <v>0</v>
      </c>
      <c r="U1301" s="5" t="s">
        <v>3</v>
      </c>
      <c r="V1301" s="32"/>
      <c r="W1301" s="31"/>
      <c r="X1301" s="32"/>
      <c r="Y1301" s="4">
        <f t="shared" si="568"/>
        <v>0</v>
      </c>
      <c r="Z1301" s="32"/>
      <c r="AA1301" s="31"/>
      <c r="AB1301" s="32"/>
      <c r="AC1301" s="4">
        <f t="shared" si="569"/>
        <v>0</v>
      </c>
      <c r="AD1301" s="32"/>
      <c r="AE1301" s="31"/>
      <c r="AF1301" s="32"/>
      <c r="AG1301" s="4">
        <f t="shared" si="570"/>
        <v>0</v>
      </c>
    </row>
    <row r="1302" spans="1:33">
      <c r="A1302" s="5" t="s">
        <v>3</v>
      </c>
      <c r="B1302" s="32"/>
      <c r="C1302" s="31"/>
      <c r="D1302" s="32"/>
      <c r="E1302" s="4">
        <f t="shared" si="564"/>
        <v>0</v>
      </c>
      <c r="F1302" s="32"/>
      <c r="G1302" s="31"/>
      <c r="H1302" s="32"/>
      <c r="I1302" s="4">
        <f t="shared" si="565"/>
        <v>0</v>
      </c>
      <c r="K1302" s="5" t="s">
        <v>3</v>
      </c>
      <c r="L1302" s="32"/>
      <c r="M1302" s="31"/>
      <c r="N1302" s="32"/>
      <c r="O1302" s="4">
        <f t="shared" si="566"/>
        <v>0</v>
      </c>
      <c r="P1302" s="32"/>
      <c r="Q1302" s="31"/>
      <c r="R1302" s="32"/>
      <c r="S1302" s="4">
        <f t="shared" si="567"/>
        <v>0</v>
      </c>
      <c r="T1302" s="43"/>
      <c r="U1302" s="5" t="s">
        <v>3</v>
      </c>
      <c r="V1302" s="32"/>
      <c r="W1302" s="31"/>
      <c r="X1302" s="32"/>
      <c r="Y1302" s="4">
        <f t="shared" si="568"/>
        <v>0</v>
      </c>
      <c r="Z1302" s="32"/>
      <c r="AA1302" s="31"/>
      <c r="AB1302" s="32"/>
      <c r="AC1302" s="4">
        <f t="shared" si="569"/>
        <v>0</v>
      </c>
      <c r="AD1302" s="32"/>
      <c r="AE1302" s="31"/>
      <c r="AF1302" s="32"/>
      <c r="AG1302" s="4">
        <f t="shared" si="570"/>
        <v>0</v>
      </c>
    </row>
    <row r="1303" spans="1:33">
      <c r="A1303" s="5" t="s">
        <v>3</v>
      </c>
      <c r="B1303" s="30"/>
      <c r="C1303" s="31"/>
      <c r="D1303" s="32"/>
      <c r="E1303" s="4">
        <f t="shared" si="564"/>
        <v>0</v>
      </c>
      <c r="F1303" s="30"/>
      <c r="G1303" s="31"/>
      <c r="H1303" s="32"/>
      <c r="I1303" s="4">
        <f t="shared" si="565"/>
        <v>0</v>
      </c>
      <c r="K1303" s="5" t="s">
        <v>3</v>
      </c>
      <c r="L1303" s="32"/>
      <c r="M1303" s="31"/>
      <c r="N1303" s="32"/>
      <c r="O1303" s="4">
        <f t="shared" si="566"/>
        <v>0</v>
      </c>
      <c r="P1303" s="32"/>
      <c r="Q1303" s="31"/>
      <c r="R1303" s="32"/>
      <c r="S1303" s="4">
        <f t="shared" si="567"/>
        <v>0</v>
      </c>
      <c r="U1303" s="5" t="s">
        <v>3</v>
      </c>
      <c r="V1303" s="30"/>
      <c r="W1303" s="31"/>
      <c r="X1303" s="32"/>
      <c r="Y1303" s="4">
        <f t="shared" si="568"/>
        <v>0</v>
      </c>
      <c r="Z1303" s="30"/>
      <c r="AA1303" s="31"/>
      <c r="AB1303" s="32"/>
      <c r="AC1303" s="4">
        <f t="shared" si="569"/>
        <v>0</v>
      </c>
      <c r="AD1303" s="30"/>
      <c r="AE1303" s="31"/>
      <c r="AF1303" s="32"/>
      <c r="AG1303" s="4">
        <f t="shared" si="570"/>
        <v>0</v>
      </c>
    </row>
    <row r="1304" spans="1:33" ht="14.25" thickBot="1">
      <c r="A1304" s="6" t="s">
        <v>3</v>
      </c>
      <c r="B1304" s="36"/>
      <c r="C1304" s="37"/>
      <c r="D1304" s="36"/>
      <c r="E1304" s="20">
        <f t="shared" si="564"/>
        <v>0</v>
      </c>
      <c r="F1304" s="13"/>
      <c r="G1304" s="12"/>
      <c r="H1304" s="13"/>
      <c r="I1304" s="20">
        <f t="shared" si="565"/>
        <v>0</v>
      </c>
      <c r="K1304" s="5" t="s">
        <v>3</v>
      </c>
      <c r="L1304" s="36"/>
      <c r="M1304" s="37"/>
      <c r="N1304" s="36"/>
      <c r="O1304" s="20">
        <f t="shared" si="566"/>
        <v>0</v>
      </c>
      <c r="P1304" s="13"/>
      <c r="Q1304" s="12"/>
      <c r="R1304" s="13"/>
      <c r="S1304" s="20">
        <f t="shared" si="567"/>
        <v>0</v>
      </c>
      <c r="U1304" s="6" t="s">
        <v>3</v>
      </c>
      <c r="V1304" s="13"/>
      <c r="W1304" s="12"/>
      <c r="X1304" s="13"/>
      <c r="Y1304" s="20">
        <f t="shared" si="568"/>
        <v>0</v>
      </c>
      <c r="Z1304" s="13"/>
      <c r="AA1304" s="12"/>
      <c r="AB1304" s="13"/>
      <c r="AC1304" s="20">
        <f t="shared" si="569"/>
        <v>0</v>
      </c>
      <c r="AD1304" s="13"/>
      <c r="AE1304" s="12"/>
      <c r="AF1304" s="13"/>
      <c r="AG1304" s="20">
        <f t="shared" si="570"/>
        <v>0</v>
      </c>
    </row>
    <row r="1305" spans="1:33" ht="14.25" thickBot="1">
      <c r="A1305" s="23" t="s">
        <v>4</v>
      </c>
      <c r="B1305" s="24">
        <f>SUM(B1294:B1304)</f>
        <v>14</v>
      </c>
      <c r="C1305" s="24">
        <f>SUM(C1294:C1304)</f>
        <v>9</v>
      </c>
      <c r="D1305" s="25">
        <f>SUM(D1294:D1304)</f>
        <v>9</v>
      </c>
      <c r="E1305" s="26">
        <f t="shared" si="564"/>
        <v>32</v>
      </c>
      <c r="F1305" s="24">
        <f>SUM(F1294:F1304)</f>
        <v>14</v>
      </c>
      <c r="G1305" s="24">
        <f>SUM(G1294:G1304)</f>
        <v>9</v>
      </c>
      <c r="H1305" s="25">
        <f>SUM(H1294:H1304)</f>
        <v>9</v>
      </c>
      <c r="I1305" s="26">
        <f t="shared" si="565"/>
        <v>32</v>
      </c>
      <c r="K1305" s="23" t="s">
        <v>4</v>
      </c>
      <c r="L1305" s="24">
        <f>SUM(L1294:L1304)</f>
        <v>254</v>
      </c>
      <c r="M1305" s="24">
        <f>SUM(M1294:M1304)</f>
        <v>392</v>
      </c>
      <c r="N1305" s="25">
        <f>SUM(N1294:N1304)</f>
        <v>234</v>
      </c>
      <c r="O1305" s="26">
        <f t="shared" si="566"/>
        <v>880</v>
      </c>
      <c r="P1305" s="24">
        <f>SUM(P1294:P1304)</f>
        <v>254</v>
      </c>
      <c r="Q1305" s="24">
        <f>SUM(Q1294:Q1304)</f>
        <v>392</v>
      </c>
      <c r="R1305" s="25">
        <f>SUM(R1294:R1304)</f>
        <v>234</v>
      </c>
      <c r="S1305" s="26">
        <f t="shared" si="567"/>
        <v>880</v>
      </c>
      <c r="U1305" s="23" t="s">
        <v>4</v>
      </c>
      <c r="V1305" s="24">
        <f>SUM(V1294:V1304)</f>
        <v>37</v>
      </c>
      <c r="W1305" s="24">
        <f>SUM(W1294:W1304)</f>
        <v>56</v>
      </c>
      <c r="X1305" s="25">
        <f>SUM(X1294:X1304)</f>
        <v>39</v>
      </c>
      <c r="Y1305" s="26">
        <f t="shared" si="568"/>
        <v>132</v>
      </c>
      <c r="Z1305" s="24">
        <f>SUM(Z1294:Z1304)</f>
        <v>37</v>
      </c>
      <c r="AA1305" s="24">
        <f>SUM(AA1294:AA1304)</f>
        <v>56</v>
      </c>
      <c r="AB1305" s="25">
        <f>SUM(AB1294:AB1304)</f>
        <v>39</v>
      </c>
      <c r="AC1305" s="26">
        <f t="shared" si="569"/>
        <v>132</v>
      </c>
      <c r="AD1305" s="24">
        <f>SUM(AD1294:AD1304)</f>
        <v>37</v>
      </c>
      <c r="AE1305" s="24">
        <f>SUM(AE1294:AE1304)</f>
        <v>56</v>
      </c>
      <c r="AF1305" s="25">
        <f>SUM(AF1294:AF1304)</f>
        <v>39</v>
      </c>
      <c r="AG1305" s="26">
        <f t="shared" si="570"/>
        <v>132</v>
      </c>
    </row>
    <row r="1306" spans="1:33">
      <c r="A1306" s="3"/>
      <c r="B1306" s="8"/>
      <c r="C1306" s="9"/>
      <c r="D1306" s="10"/>
      <c r="E1306" s="4">
        <f t="shared" si="564"/>
        <v>0</v>
      </c>
      <c r="F1306" s="8"/>
      <c r="G1306" s="9"/>
      <c r="H1306" s="10"/>
      <c r="I1306" s="4">
        <f t="shared" si="565"/>
        <v>0</v>
      </c>
      <c r="K1306" s="11" t="s">
        <v>753</v>
      </c>
      <c r="L1306" s="8">
        <v>5</v>
      </c>
      <c r="M1306" s="9">
        <v>11</v>
      </c>
      <c r="N1306" s="10">
        <v>4</v>
      </c>
      <c r="O1306" s="4">
        <f t="shared" ref="O1306" si="580">SUM(L1306:N1306)</f>
        <v>20</v>
      </c>
      <c r="P1306" s="8">
        <v>5</v>
      </c>
      <c r="Q1306" s="9">
        <v>11</v>
      </c>
      <c r="R1306" s="10">
        <v>4</v>
      </c>
      <c r="S1306" s="4">
        <f t="shared" ref="S1306" si="581">SUM(P1306:R1306)</f>
        <v>20</v>
      </c>
      <c r="T1306" s="43">
        <v>45106</v>
      </c>
      <c r="U1306" s="40"/>
      <c r="V1306" s="32"/>
      <c r="W1306" s="31"/>
      <c r="X1306" s="32"/>
      <c r="Y1306" s="4">
        <f t="shared" si="568"/>
        <v>0</v>
      </c>
      <c r="Z1306" s="32"/>
      <c r="AA1306" s="31"/>
      <c r="AB1306" s="32"/>
      <c r="AC1306" s="4">
        <f t="shared" si="569"/>
        <v>0</v>
      </c>
      <c r="AD1306" s="8"/>
      <c r="AE1306" s="9"/>
      <c r="AF1306" s="10"/>
      <c r="AG1306" s="7">
        <f t="shared" si="570"/>
        <v>0</v>
      </c>
    </row>
    <row r="1307" spans="1:33">
      <c r="A1307" s="3"/>
      <c r="B1307" s="8"/>
      <c r="C1307" s="9"/>
      <c r="D1307" s="10"/>
      <c r="E1307" s="4">
        <f t="shared" si="564"/>
        <v>0</v>
      </c>
      <c r="F1307" s="8"/>
      <c r="G1307" s="9"/>
      <c r="H1307" s="10"/>
      <c r="I1307" s="4">
        <f t="shared" si="565"/>
        <v>0</v>
      </c>
      <c r="K1307" s="11" t="s">
        <v>754</v>
      </c>
      <c r="L1307" s="8">
        <v>3</v>
      </c>
      <c r="M1307" s="9">
        <v>7</v>
      </c>
      <c r="N1307" s="10">
        <v>7</v>
      </c>
      <c r="O1307" s="4">
        <f t="shared" si="566"/>
        <v>17</v>
      </c>
      <c r="P1307" s="8">
        <v>3</v>
      </c>
      <c r="Q1307" s="9">
        <v>7</v>
      </c>
      <c r="R1307" s="10">
        <v>7</v>
      </c>
      <c r="S1307" s="4">
        <f t="shared" si="567"/>
        <v>17</v>
      </c>
      <c r="T1307" s="43">
        <v>45111</v>
      </c>
      <c r="U1307" s="40"/>
      <c r="V1307" s="8"/>
      <c r="W1307" s="9"/>
      <c r="X1307" s="10"/>
      <c r="Y1307" s="4">
        <f t="shared" si="568"/>
        <v>0</v>
      </c>
      <c r="Z1307" s="8"/>
      <c r="AA1307" s="9"/>
      <c r="AB1307" s="10"/>
      <c r="AC1307" s="4">
        <f t="shared" si="569"/>
        <v>0</v>
      </c>
      <c r="AD1307" s="8"/>
      <c r="AE1307" s="9"/>
      <c r="AF1307" s="10"/>
      <c r="AG1307" s="4">
        <f t="shared" si="570"/>
        <v>0</v>
      </c>
    </row>
    <row r="1308" spans="1:33">
      <c r="A1308" s="3"/>
      <c r="B1308" s="8"/>
      <c r="C1308" s="9"/>
      <c r="D1308" s="10"/>
      <c r="E1308" s="7">
        <f t="shared" si="564"/>
        <v>0</v>
      </c>
      <c r="F1308" s="8"/>
      <c r="G1308" s="9"/>
      <c r="H1308" s="10"/>
      <c r="I1308" s="7">
        <f t="shared" si="565"/>
        <v>0</v>
      </c>
      <c r="K1308" s="11" t="s">
        <v>755</v>
      </c>
      <c r="L1308" s="8">
        <v>5</v>
      </c>
      <c r="M1308" s="9">
        <v>1</v>
      </c>
      <c r="N1308" s="10"/>
      <c r="O1308" s="7">
        <f t="shared" si="566"/>
        <v>6</v>
      </c>
      <c r="P1308" s="8">
        <v>5</v>
      </c>
      <c r="Q1308" s="9">
        <v>1</v>
      </c>
      <c r="R1308" s="10"/>
      <c r="S1308" s="7">
        <f t="shared" si="567"/>
        <v>6</v>
      </c>
      <c r="T1308" s="43">
        <v>45112</v>
      </c>
      <c r="U1308" s="40"/>
      <c r="V1308" s="8"/>
      <c r="W1308" s="9"/>
      <c r="X1308" s="10"/>
      <c r="Y1308" s="7">
        <f t="shared" si="568"/>
        <v>0</v>
      </c>
      <c r="Z1308" s="8"/>
      <c r="AA1308" s="9"/>
      <c r="AB1308" s="10"/>
      <c r="AC1308" s="7">
        <f t="shared" si="569"/>
        <v>0</v>
      </c>
      <c r="AD1308" s="8"/>
      <c r="AE1308" s="9"/>
      <c r="AF1308" s="10"/>
      <c r="AG1308" s="7">
        <f t="shared" si="570"/>
        <v>0</v>
      </c>
    </row>
    <row r="1309" spans="1:33">
      <c r="A1309" s="3"/>
      <c r="B1309" s="8"/>
      <c r="C1309" s="9"/>
      <c r="D1309" s="10"/>
      <c r="E1309" s="4">
        <f t="shared" si="564"/>
        <v>0</v>
      </c>
      <c r="F1309" s="8"/>
      <c r="G1309" s="9"/>
      <c r="H1309" s="10"/>
      <c r="I1309" s="4">
        <f t="shared" si="565"/>
        <v>0</v>
      </c>
      <c r="K1309" s="11" t="s">
        <v>757</v>
      </c>
      <c r="L1309" s="8">
        <v>3</v>
      </c>
      <c r="M1309" s="9">
        <v>6</v>
      </c>
      <c r="N1309" s="10">
        <v>2</v>
      </c>
      <c r="O1309" s="4">
        <f t="shared" si="566"/>
        <v>11</v>
      </c>
      <c r="P1309" s="8">
        <v>3</v>
      </c>
      <c r="Q1309" s="9">
        <v>6</v>
      </c>
      <c r="R1309" s="10">
        <v>2</v>
      </c>
      <c r="S1309" s="4">
        <f t="shared" si="567"/>
        <v>11</v>
      </c>
      <c r="T1309" s="43">
        <v>45107</v>
      </c>
      <c r="U1309" s="40"/>
      <c r="V1309" s="8"/>
      <c r="W1309" s="9"/>
      <c r="X1309" s="10"/>
      <c r="Y1309" s="4">
        <f t="shared" si="568"/>
        <v>0</v>
      </c>
      <c r="Z1309" s="8"/>
      <c r="AA1309" s="9"/>
      <c r="AB1309" s="10"/>
      <c r="AC1309" s="4">
        <f t="shared" si="569"/>
        <v>0</v>
      </c>
      <c r="AD1309" s="8"/>
      <c r="AE1309" s="9"/>
      <c r="AF1309" s="10"/>
      <c r="AG1309" s="4">
        <f t="shared" si="570"/>
        <v>0</v>
      </c>
    </row>
    <row r="1310" spans="1:33">
      <c r="A1310" s="3"/>
      <c r="B1310" s="8"/>
      <c r="C1310" s="9"/>
      <c r="D1310" s="10"/>
      <c r="E1310" s="4">
        <f t="shared" si="564"/>
        <v>0</v>
      </c>
      <c r="F1310" s="8"/>
      <c r="G1310" s="9"/>
      <c r="H1310" s="10"/>
      <c r="I1310" s="4">
        <f t="shared" si="565"/>
        <v>0</v>
      </c>
      <c r="K1310" s="11" t="s">
        <v>760</v>
      </c>
      <c r="L1310" s="8"/>
      <c r="M1310" s="9">
        <v>7</v>
      </c>
      <c r="N1310" s="10">
        <v>6</v>
      </c>
      <c r="O1310" s="4">
        <f t="shared" si="566"/>
        <v>13</v>
      </c>
      <c r="P1310" s="8"/>
      <c r="Q1310" s="9">
        <v>7</v>
      </c>
      <c r="R1310" s="10">
        <v>6</v>
      </c>
      <c r="S1310" s="4">
        <f t="shared" si="567"/>
        <v>13</v>
      </c>
      <c r="T1310" s="43">
        <v>45110</v>
      </c>
      <c r="U1310" s="3"/>
      <c r="V1310" s="8"/>
      <c r="W1310" s="9"/>
      <c r="X1310" s="10"/>
      <c r="Y1310" s="4">
        <f t="shared" si="568"/>
        <v>0</v>
      </c>
      <c r="Z1310" s="8"/>
      <c r="AA1310" s="9"/>
      <c r="AB1310" s="10"/>
      <c r="AC1310" s="4">
        <f t="shared" si="569"/>
        <v>0</v>
      </c>
      <c r="AD1310" s="8"/>
      <c r="AE1310" s="9"/>
      <c r="AF1310" s="10"/>
      <c r="AG1310" s="4">
        <f t="shared" si="570"/>
        <v>0</v>
      </c>
    </row>
    <row r="1311" spans="1:33">
      <c r="A1311" s="3"/>
      <c r="B1311" s="8"/>
      <c r="C1311" s="9"/>
      <c r="D1311" s="10"/>
      <c r="E1311" s="7">
        <f t="shared" si="564"/>
        <v>0</v>
      </c>
      <c r="F1311" s="8"/>
      <c r="G1311" s="9"/>
      <c r="H1311" s="10"/>
      <c r="I1311" s="7">
        <f t="shared" si="565"/>
        <v>0</v>
      </c>
      <c r="K1311" s="11" t="s">
        <v>762</v>
      </c>
      <c r="L1311" s="8">
        <v>2</v>
      </c>
      <c r="M1311" s="9">
        <v>7</v>
      </c>
      <c r="N1311" s="10">
        <v>1</v>
      </c>
      <c r="O1311" s="7">
        <f t="shared" si="566"/>
        <v>10</v>
      </c>
      <c r="P1311" s="8">
        <v>2</v>
      </c>
      <c r="Q1311" s="9">
        <v>7</v>
      </c>
      <c r="R1311" s="10">
        <v>1</v>
      </c>
      <c r="S1311" s="7">
        <f t="shared" si="567"/>
        <v>10</v>
      </c>
      <c r="T1311" s="43">
        <v>45111</v>
      </c>
      <c r="U1311" s="3"/>
      <c r="V1311" s="8"/>
      <c r="W1311" s="9"/>
      <c r="X1311" s="10"/>
      <c r="Y1311" s="7">
        <f t="shared" si="568"/>
        <v>0</v>
      </c>
      <c r="Z1311" s="8"/>
      <c r="AA1311" s="9"/>
      <c r="AB1311" s="10"/>
      <c r="AC1311" s="7">
        <f t="shared" si="569"/>
        <v>0</v>
      </c>
      <c r="AD1311" s="8"/>
      <c r="AE1311" s="9"/>
      <c r="AF1311" s="10"/>
      <c r="AG1311" s="7">
        <f t="shared" si="570"/>
        <v>0</v>
      </c>
    </row>
    <row r="1312" spans="1:33">
      <c r="A1312" s="3"/>
      <c r="B1312" s="8"/>
      <c r="C1312" s="9"/>
      <c r="D1312" s="10"/>
      <c r="E1312" s="7">
        <f t="shared" si="564"/>
        <v>0</v>
      </c>
      <c r="F1312" s="8"/>
      <c r="G1312" s="9"/>
      <c r="H1312" s="10"/>
      <c r="I1312" s="7">
        <f t="shared" si="565"/>
        <v>0</v>
      </c>
      <c r="K1312" s="11" t="s">
        <v>763</v>
      </c>
      <c r="L1312" s="8">
        <v>3</v>
      </c>
      <c r="M1312" s="9">
        <v>7</v>
      </c>
      <c r="N1312" s="10">
        <v>7</v>
      </c>
      <c r="O1312" s="7">
        <f t="shared" si="566"/>
        <v>17</v>
      </c>
      <c r="P1312" s="8">
        <v>3</v>
      </c>
      <c r="Q1312" s="9">
        <v>7</v>
      </c>
      <c r="R1312" s="10">
        <v>7</v>
      </c>
      <c r="S1312" s="7">
        <f t="shared" si="567"/>
        <v>17</v>
      </c>
      <c r="T1312" s="49">
        <v>45111</v>
      </c>
      <c r="U1312" s="3"/>
      <c r="V1312" s="8"/>
      <c r="W1312" s="9"/>
      <c r="X1312" s="10"/>
      <c r="Y1312" s="7">
        <f t="shared" si="568"/>
        <v>0</v>
      </c>
      <c r="Z1312" s="8"/>
      <c r="AA1312" s="9"/>
      <c r="AB1312" s="10"/>
      <c r="AC1312" s="7">
        <f t="shared" si="569"/>
        <v>0</v>
      </c>
      <c r="AD1312" s="8"/>
      <c r="AE1312" s="9"/>
      <c r="AF1312" s="10"/>
      <c r="AG1312" s="7">
        <f t="shared" si="570"/>
        <v>0</v>
      </c>
    </row>
    <row r="1313" spans="1:33">
      <c r="A1313" s="3"/>
      <c r="B1313" s="8"/>
      <c r="C1313" s="9"/>
      <c r="D1313" s="10"/>
      <c r="E1313" s="7">
        <f t="shared" si="564"/>
        <v>0</v>
      </c>
      <c r="F1313" s="8"/>
      <c r="G1313" s="9"/>
      <c r="H1313" s="10"/>
      <c r="I1313" s="7">
        <f t="shared" si="565"/>
        <v>0</v>
      </c>
      <c r="K1313" s="11" t="s">
        <v>764</v>
      </c>
      <c r="L1313" s="8">
        <v>3</v>
      </c>
      <c r="M1313" s="9">
        <v>6</v>
      </c>
      <c r="N1313" s="10"/>
      <c r="O1313" s="7">
        <f t="shared" si="566"/>
        <v>9</v>
      </c>
      <c r="P1313" s="8">
        <v>3</v>
      </c>
      <c r="Q1313" s="9">
        <v>6</v>
      </c>
      <c r="R1313" s="10"/>
      <c r="S1313" s="7">
        <f t="shared" si="567"/>
        <v>9</v>
      </c>
      <c r="T1313" s="43">
        <v>45112</v>
      </c>
      <c r="U1313" s="3"/>
      <c r="V1313" s="8"/>
      <c r="W1313" s="9"/>
      <c r="X1313" s="10"/>
      <c r="Y1313" s="7">
        <f t="shared" si="568"/>
        <v>0</v>
      </c>
      <c r="Z1313" s="8"/>
      <c r="AA1313" s="9"/>
      <c r="AB1313" s="10"/>
      <c r="AC1313" s="7">
        <f t="shared" si="569"/>
        <v>0</v>
      </c>
      <c r="AD1313" s="8"/>
      <c r="AE1313" s="9"/>
      <c r="AF1313" s="10"/>
      <c r="AG1313" s="7">
        <f t="shared" si="570"/>
        <v>0</v>
      </c>
    </row>
    <row r="1314" spans="1:33">
      <c r="A1314" s="3"/>
      <c r="B1314" s="8"/>
      <c r="C1314" s="9"/>
      <c r="D1314" s="10"/>
      <c r="E1314" s="7">
        <f t="shared" si="564"/>
        <v>0</v>
      </c>
      <c r="F1314" s="8"/>
      <c r="G1314" s="9"/>
      <c r="H1314" s="10"/>
      <c r="I1314" s="7">
        <f t="shared" si="565"/>
        <v>0</v>
      </c>
      <c r="K1314" s="11" t="s">
        <v>765</v>
      </c>
      <c r="L1314" s="8">
        <v>2</v>
      </c>
      <c r="M1314" s="9">
        <v>4</v>
      </c>
      <c r="N1314" s="10">
        <v>1</v>
      </c>
      <c r="O1314" s="7">
        <f t="shared" si="566"/>
        <v>7</v>
      </c>
      <c r="P1314" s="8">
        <v>2</v>
      </c>
      <c r="Q1314" s="9">
        <v>4</v>
      </c>
      <c r="R1314" s="10">
        <v>1</v>
      </c>
      <c r="S1314" s="7">
        <f t="shared" si="567"/>
        <v>7</v>
      </c>
      <c r="T1314" s="43">
        <v>45113</v>
      </c>
      <c r="U1314" s="3"/>
      <c r="V1314" s="8"/>
      <c r="W1314" s="9"/>
      <c r="X1314" s="10"/>
      <c r="Y1314" s="7">
        <f t="shared" si="568"/>
        <v>0</v>
      </c>
      <c r="Z1314" s="8"/>
      <c r="AA1314" s="9"/>
      <c r="AB1314" s="10"/>
      <c r="AC1314" s="7">
        <f t="shared" si="569"/>
        <v>0</v>
      </c>
      <c r="AD1314" s="8"/>
      <c r="AE1314" s="9"/>
      <c r="AF1314" s="10"/>
      <c r="AG1314" s="7">
        <f t="shared" si="570"/>
        <v>0</v>
      </c>
    </row>
    <row r="1315" spans="1:33">
      <c r="A1315" s="3"/>
      <c r="B1315" s="8"/>
      <c r="C1315" s="9"/>
      <c r="D1315" s="10"/>
      <c r="E1315" s="7">
        <f t="shared" si="564"/>
        <v>0</v>
      </c>
      <c r="F1315" s="8"/>
      <c r="G1315" s="9"/>
      <c r="H1315" s="10"/>
      <c r="I1315" s="7">
        <f t="shared" si="565"/>
        <v>0</v>
      </c>
      <c r="K1315" s="11" t="s">
        <v>766</v>
      </c>
      <c r="L1315" s="8"/>
      <c r="M1315" s="9">
        <v>10</v>
      </c>
      <c r="N1315" s="10"/>
      <c r="O1315" s="7">
        <f t="shared" si="566"/>
        <v>10</v>
      </c>
      <c r="P1315" s="8"/>
      <c r="Q1315" s="9">
        <v>10</v>
      </c>
      <c r="R1315" s="10"/>
      <c r="S1315" s="7">
        <f t="shared" si="567"/>
        <v>10</v>
      </c>
      <c r="T1315" s="43">
        <v>45114</v>
      </c>
      <c r="U1315" s="3"/>
      <c r="V1315" s="8"/>
      <c r="W1315" s="9"/>
      <c r="X1315" s="10"/>
      <c r="Y1315" s="7">
        <f t="shared" si="568"/>
        <v>0</v>
      </c>
      <c r="Z1315" s="8"/>
      <c r="AA1315" s="9"/>
      <c r="AB1315" s="10"/>
      <c r="AC1315" s="7">
        <f t="shared" si="569"/>
        <v>0</v>
      </c>
      <c r="AD1315" s="8"/>
      <c r="AE1315" s="9"/>
      <c r="AF1315" s="10"/>
      <c r="AG1315" s="7">
        <f t="shared" si="570"/>
        <v>0</v>
      </c>
    </row>
    <row r="1316" spans="1:33">
      <c r="A1316" s="3"/>
      <c r="B1316" s="8"/>
      <c r="C1316" s="9"/>
      <c r="D1316" s="10"/>
      <c r="E1316" s="7">
        <f t="shared" si="564"/>
        <v>0</v>
      </c>
      <c r="F1316" s="8"/>
      <c r="G1316" s="9"/>
      <c r="H1316" s="10"/>
      <c r="I1316" s="7">
        <f t="shared" si="565"/>
        <v>0</v>
      </c>
      <c r="K1316" s="11" t="s">
        <v>767</v>
      </c>
      <c r="L1316" s="30"/>
      <c r="M1316" s="9">
        <v>6</v>
      </c>
      <c r="N1316" s="10">
        <v>3</v>
      </c>
      <c r="O1316" s="7">
        <f t="shared" si="566"/>
        <v>9</v>
      </c>
      <c r="P1316" s="8"/>
      <c r="Q1316" s="9">
        <v>6</v>
      </c>
      <c r="R1316" s="10">
        <v>3</v>
      </c>
      <c r="S1316" s="7">
        <f t="shared" si="567"/>
        <v>9</v>
      </c>
      <c r="T1316" s="43">
        <v>45114</v>
      </c>
      <c r="U1316" s="3"/>
      <c r="V1316" s="30"/>
      <c r="W1316" s="9"/>
      <c r="X1316" s="10"/>
      <c r="Y1316" s="7">
        <f t="shared" si="568"/>
        <v>0</v>
      </c>
      <c r="Z1316" s="8"/>
      <c r="AA1316" s="9"/>
      <c r="AB1316" s="10"/>
      <c r="AC1316" s="7">
        <f t="shared" si="569"/>
        <v>0</v>
      </c>
      <c r="AD1316" s="8"/>
      <c r="AE1316" s="9"/>
      <c r="AF1316" s="10"/>
      <c r="AG1316" s="7">
        <f t="shared" si="570"/>
        <v>0</v>
      </c>
    </row>
    <row r="1317" spans="1:33">
      <c r="A1317" s="3"/>
      <c r="B1317" s="8"/>
      <c r="C1317" s="9"/>
      <c r="D1317" s="10"/>
      <c r="E1317" s="7">
        <f t="shared" si="564"/>
        <v>0</v>
      </c>
      <c r="F1317" s="8"/>
      <c r="G1317" s="9"/>
      <c r="H1317" s="10"/>
      <c r="I1317" s="7">
        <f t="shared" si="565"/>
        <v>0</v>
      </c>
      <c r="K1317" s="11" t="s">
        <v>770</v>
      </c>
      <c r="L1317" s="8">
        <v>4</v>
      </c>
      <c r="M1317" s="9">
        <v>13</v>
      </c>
      <c r="N1317" s="10">
        <v>6</v>
      </c>
      <c r="O1317" s="7">
        <f t="shared" si="566"/>
        <v>23</v>
      </c>
      <c r="P1317" s="8">
        <v>4</v>
      </c>
      <c r="Q1317" s="9">
        <v>13</v>
      </c>
      <c r="R1317" s="10">
        <v>6</v>
      </c>
      <c r="S1317" s="7">
        <f t="shared" si="567"/>
        <v>23</v>
      </c>
      <c r="T1317" s="43">
        <v>45119</v>
      </c>
      <c r="U1317" s="3"/>
      <c r="V1317" s="8"/>
      <c r="W1317" s="9"/>
      <c r="X1317" s="10"/>
      <c r="Y1317" s="7">
        <f t="shared" si="568"/>
        <v>0</v>
      </c>
      <c r="Z1317" s="8"/>
      <c r="AA1317" s="9"/>
      <c r="AB1317" s="10"/>
      <c r="AC1317" s="7">
        <f t="shared" si="569"/>
        <v>0</v>
      </c>
      <c r="AD1317" s="8"/>
      <c r="AE1317" s="9"/>
      <c r="AF1317" s="10"/>
      <c r="AG1317" s="7">
        <f t="shared" si="570"/>
        <v>0</v>
      </c>
    </row>
    <row r="1318" spans="1:33">
      <c r="A1318" s="3"/>
      <c r="B1318" s="8"/>
      <c r="C1318" s="9"/>
      <c r="D1318" s="10"/>
      <c r="E1318" s="7">
        <f t="shared" si="564"/>
        <v>0</v>
      </c>
      <c r="F1318" s="8"/>
      <c r="G1318" s="9"/>
      <c r="H1318" s="10"/>
      <c r="I1318" s="7">
        <f t="shared" si="565"/>
        <v>0</v>
      </c>
      <c r="K1318" s="11" t="s">
        <v>771</v>
      </c>
      <c r="L1318" s="8">
        <v>20</v>
      </c>
      <c r="M1318" s="9">
        <v>25</v>
      </c>
      <c r="N1318" s="10">
        <v>10</v>
      </c>
      <c r="O1318" s="7">
        <f t="shared" si="566"/>
        <v>55</v>
      </c>
      <c r="P1318" s="8">
        <v>20</v>
      </c>
      <c r="Q1318" s="9">
        <v>25</v>
      </c>
      <c r="R1318" s="10">
        <v>10</v>
      </c>
      <c r="S1318" s="7">
        <f t="shared" si="567"/>
        <v>55</v>
      </c>
      <c r="T1318" s="43">
        <v>45121</v>
      </c>
      <c r="U1318" s="3"/>
      <c r="V1318" s="8"/>
      <c r="W1318" s="9"/>
      <c r="X1318" s="10"/>
      <c r="Y1318" s="7">
        <f t="shared" si="568"/>
        <v>0</v>
      </c>
      <c r="Z1318" s="8"/>
      <c r="AA1318" s="9"/>
      <c r="AB1318" s="10"/>
      <c r="AC1318" s="7">
        <f t="shared" si="569"/>
        <v>0</v>
      </c>
      <c r="AD1318" s="8"/>
      <c r="AE1318" s="9"/>
      <c r="AF1318" s="10"/>
      <c r="AG1318" s="7">
        <f t="shared" si="570"/>
        <v>0</v>
      </c>
    </row>
    <row r="1319" spans="1:33">
      <c r="A1319" s="3"/>
      <c r="B1319" s="8"/>
      <c r="C1319" s="9"/>
      <c r="D1319" s="10"/>
      <c r="E1319" s="7">
        <f t="shared" si="564"/>
        <v>0</v>
      </c>
      <c r="F1319" s="8"/>
      <c r="G1319" s="9"/>
      <c r="H1319" s="10"/>
      <c r="I1319" s="7">
        <f t="shared" si="565"/>
        <v>0</v>
      </c>
      <c r="K1319" s="11" t="s">
        <v>772</v>
      </c>
      <c r="L1319" s="8"/>
      <c r="M1319" s="9">
        <v>5</v>
      </c>
      <c r="N1319" s="10"/>
      <c r="O1319" s="7">
        <f t="shared" si="566"/>
        <v>5</v>
      </c>
      <c r="P1319" s="8"/>
      <c r="Q1319" s="9">
        <v>5</v>
      </c>
      <c r="R1319" s="10"/>
      <c r="S1319" s="7">
        <f t="shared" si="567"/>
        <v>5</v>
      </c>
      <c r="T1319" s="43">
        <v>45118</v>
      </c>
      <c r="U1319" s="3"/>
      <c r="V1319" s="8"/>
      <c r="W1319" s="9"/>
      <c r="X1319" s="10"/>
      <c r="Y1319" s="7">
        <f t="shared" si="568"/>
        <v>0</v>
      </c>
      <c r="Z1319" s="8"/>
      <c r="AA1319" s="9"/>
      <c r="AB1319" s="10"/>
      <c r="AC1319" s="7">
        <f t="shared" si="569"/>
        <v>0</v>
      </c>
      <c r="AD1319" s="8"/>
      <c r="AE1319" s="9"/>
      <c r="AF1319" s="10"/>
      <c r="AG1319" s="7">
        <f t="shared" si="570"/>
        <v>0</v>
      </c>
    </row>
    <row r="1320" spans="1:33">
      <c r="A1320" s="3"/>
      <c r="B1320" s="8"/>
      <c r="C1320" s="9"/>
      <c r="D1320" s="10"/>
      <c r="E1320" s="7">
        <f t="shared" si="564"/>
        <v>0</v>
      </c>
      <c r="F1320" s="8"/>
      <c r="G1320" s="9"/>
      <c r="H1320" s="10"/>
      <c r="I1320" s="7">
        <f t="shared" si="565"/>
        <v>0</v>
      </c>
      <c r="K1320" s="11" t="s">
        <v>773</v>
      </c>
      <c r="L1320" s="8"/>
      <c r="M1320" s="9">
        <v>5</v>
      </c>
      <c r="N1320" s="10"/>
      <c r="O1320" s="7">
        <f t="shared" si="566"/>
        <v>5</v>
      </c>
      <c r="P1320" s="8"/>
      <c r="Q1320" s="9">
        <v>5</v>
      </c>
      <c r="R1320" s="10"/>
      <c r="S1320" s="7">
        <f t="shared" si="567"/>
        <v>5</v>
      </c>
      <c r="T1320" s="43">
        <v>45119</v>
      </c>
      <c r="U1320" s="3"/>
      <c r="V1320" s="8"/>
      <c r="W1320" s="9"/>
      <c r="X1320" s="10"/>
      <c r="Y1320" s="7">
        <f t="shared" si="568"/>
        <v>0</v>
      </c>
      <c r="Z1320" s="8"/>
      <c r="AA1320" s="9"/>
      <c r="AB1320" s="10"/>
      <c r="AC1320" s="7">
        <f t="shared" si="569"/>
        <v>0</v>
      </c>
      <c r="AD1320" s="8"/>
      <c r="AE1320" s="9"/>
      <c r="AF1320" s="10"/>
      <c r="AG1320" s="7">
        <f t="shared" si="570"/>
        <v>0</v>
      </c>
    </row>
    <row r="1321" spans="1:33">
      <c r="A1321" s="3"/>
      <c r="B1321" s="8"/>
      <c r="C1321" s="9"/>
      <c r="D1321" s="10"/>
      <c r="E1321" s="7">
        <f t="shared" si="564"/>
        <v>0</v>
      </c>
      <c r="F1321" s="8"/>
      <c r="G1321" s="9"/>
      <c r="H1321" s="10"/>
      <c r="I1321" s="7">
        <f t="shared" si="565"/>
        <v>0</v>
      </c>
      <c r="K1321" s="11" t="s">
        <v>774</v>
      </c>
      <c r="L1321" s="8">
        <v>4</v>
      </c>
      <c r="M1321" s="9">
        <v>5</v>
      </c>
      <c r="N1321" s="10">
        <v>2</v>
      </c>
      <c r="O1321" s="7">
        <f t="shared" si="566"/>
        <v>11</v>
      </c>
      <c r="P1321" s="8">
        <v>4</v>
      </c>
      <c r="Q1321" s="9">
        <v>5</v>
      </c>
      <c r="R1321" s="10">
        <v>2</v>
      </c>
      <c r="S1321" s="7">
        <f t="shared" si="567"/>
        <v>11</v>
      </c>
      <c r="T1321" s="43">
        <v>45118</v>
      </c>
      <c r="U1321" s="3"/>
      <c r="V1321" s="8"/>
      <c r="W1321" s="9"/>
      <c r="X1321" s="10"/>
      <c r="Y1321" s="7">
        <f t="shared" si="568"/>
        <v>0</v>
      </c>
      <c r="Z1321" s="8"/>
      <c r="AA1321" s="9"/>
      <c r="AB1321" s="10"/>
      <c r="AC1321" s="7">
        <f t="shared" si="569"/>
        <v>0</v>
      </c>
      <c r="AD1321" s="8"/>
      <c r="AE1321" s="9"/>
      <c r="AF1321" s="10"/>
      <c r="AG1321" s="7">
        <f t="shared" si="570"/>
        <v>0</v>
      </c>
    </row>
    <row r="1322" spans="1:33">
      <c r="A1322" s="3"/>
      <c r="B1322" s="8"/>
      <c r="C1322" s="9"/>
      <c r="D1322" s="10"/>
      <c r="E1322" s="7">
        <f t="shared" si="564"/>
        <v>0</v>
      </c>
      <c r="F1322" s="8"/>
      <c r="G1322" s="9"/>
      <c r="H1322" s="10"/>
      <c r="I1322" s="7">
        <f t="shared" si="565"/>
        <v>0</v>
      </c>
      <c r="K1322" s="11" t="s">
        <v>775</v>
      </c>
      <c r="L1322" s="8">
        <v>40</v>
      </c>
      <c r="M1322" s="9">
        <v>40</v>
      </c>
      <c r="N1322" s="10">
        <v>15</v>
      </c>
      <c r="O1322" s="7">
        <f t="shared" si="566"/>
        <v>95</v>
      </c>
      <c r="P1322" s="8">
        <v>40</v>
      </c>
      <c r="Q1322" s="9">
        <v>40</v>
      </c>
      <c r="R1322" s="10">
        <v>15</v>
      </c>
      <c r="S1322" s="7">
        <f t="shared" si="567"/>
        <v>95</v>
      </c>
      <c r="T1322" s="43">
        <v>45120</v>
      </c>
      <c r="U1322" s="3"/>
      <c r="V1322" s="8"/>
      <c r="W1322" s="9"/>
      <c r="X1322" s="10"/>
      <c r="Y1322" s="7">
        <f t="shared" si="568"/>
        <v>0</v>
      </c>
      <c r="Z1322" s="8"/>
      <c r="AA1322" s="9"/>
      <c r="AB1322" s="10"/>
      <c r="AC1322" s="7">
        <f t="shared" si="569"/>
        <v>0</v>
      </c>
      <c r="AD1322" s="8"/>
      <c r="AE1322" s="9"/>
      <c r="AF1322" s="10"/>
      <c r="AG1322" s="7">
        <f t="shared" si="570"/>
        <v>0</v>
      </c>
    </row>
    <row r="1323" spans="1:33">
      <c r="A1323" s="3"/>
      <c r="B1323" s="8"/>
      <c r="C1323" s="9"/>
      <c r="D1323" s="10"/>
      <c r="E1323" s="7">
        <f t="shared" si="564"/>
        <v>0</v>
      </c>
      <c r="F1323" s="8"/>
      <c r="G1323" s="9"/>
      <c r="H1323" s="10"/>
      <c r="I1323" s="7">
        <f t="shared" si="565"/>
        <v>0</v>
      </c>
      <c r="K1323" s="11" t="s">
        <v>776</v>
      </c>
      <c r="L1323" s="8"/>
      <c r="M1323" s="9">
        <v>6</v>
      </c>
      <c r="N1323" s="10">
        <v>5</v>
      </c>
      <c r="O1323" s="7">
        <f t="shared" si="566"/>
        <v>11</v>
      </c>
      <c r="P1323" s="8"/>
      <c r="Q1323" s="9">
        <v>6</v>
      </c>
      <c r="R1323" s="10">
        <v>5</v>
      </c>
      <c r="S1323" s="7">
        <f t="shared" si="567"/>
        <v>11</v>
      </c>
      <c r="T1323" s="43">
        <v>45119</v>
      </c>
      <c r="U1323" s="3"/>
      <c r="V1323" s="8"/>
      <c r="W1323" s="9"/>
      <c r="X1323" s="10"/>
      <c r="Y1323" s="7">
        <f t="shared" si="568"/>
        <v>0</v>
      </c>
      <c r="Z1323" s="8"/>
      <c r="AA1323" s="9"/>
      <c r="AB1323" s="10"/>
      <c r="AC1323" s="7">
        <f t="shared" si="569"/>
        <v>0</v>
      </c>
      <c r="AD1323" s="8"/>
      <c r="AE1323" s="9"/>
      <c r="AF1323" s="10"/>
      <c r="AG1323" s="7">
        <f t="shared" si="570"/>
        <v>0</v>
      </c>
    </row>
    <row r="1324" spans="1:33">
      <c r="A1324" s="11"/>
      <c r="B1324" s="8"/>
      <c r="C1324" s="9"/>
      <c r="D1324" s="10"/>
      <c r="E1324" s="7">
        <f t="shared" si="564"/>
        <v>0</v>
      </c>
      <c r="F1324" s="8"/>
      <c r="G1324" s="9"/>
      <c r="H1324" s="10"/>
      <c r="I1324" s="7">
        <f t="shared" si="565"/>
        <v>0</v>
      </c>
      <c r="K1324" s="3"/>
      <c r="L1324" s="8"/>
      <c r="M1324" s="9"/>
      <c r="N1324" s="10"/>
      <c r="O1324" s="7">
        <f t="shared" ref="O1324:O1329" si="582">SUM(L1324:N1324)</f>
        <v>0</v>
      </c>
      <c r="P1324" s="8"/>
      <c r="Q1324" s="9"/>
      <c r="R1324" s="10"/>
      <c r="S1324" s="7">
        <f t="shared" ref="S1324:S1329" si="583">SUM(P1324:R1324)</f>
        <v>0</v>
      </c>
      <c r="U1324" s="3"/>
      <c r="V1324" s="8"/>
      <c r="W1324" s="9"/>
      <c r="X1324" s="10"/>
      <c r="Y1324" s="7">
        <f t="shared" si="568"/>
        <v>0</v>
      </c>
      <c r="Z1324" s="8"/>
      <c r="AA1324" s="9"/>
      <c r="AB1324" s="10"/>
      <c r="AC1324" s="7">
        <f t="shared" si="569"/>
        <v>0</v>
      </c>
      <c r="AD1324" s="8"/>
      <c r="AE1324" s="9"/>
      <c r="AF1324" s="10"/>
      <c r="AG1324" s="7">
        <f t="shared" si="570"/>
        <v>0</v>
      </c>
    </row>
    <row r="1325" spans="1:33">
      <c r="A1325" s="11"/>
      <c r="B1325" s="8"/>
      <c r="C1325" s="9"/>
      <c r="D1325" s="10"/>
      <c r="E1325" s="7">
        <f t="shared" si="564"/>
        <v>0</v>
      </c>
      <c r="F1325" s="8"/>
      <c r="G1325" s="9"/>
      <c r="H1325" s="10"/>
      <c r="I1325" s="7">
        <f t="shared" si="565"/>
        <v>0</v>
      </c>
      <c r="K1325" s="3"/>
      <c r="L1325" s="8"/>
      <c r="M1325" s="9"/>
      <c r="N1325" s="10"/>
      <c r="O1325" s="7">
        <f t="shared" ref="O1325:O1328" si="584">SUM(L1325:N1325)</f>
        <v>0</v>
      </c>
      <c r="P1325" s="8"/>
      <c r="Q1325" s="9"/>
      <c r="R1325" s="10"/>
      <c r="S1325" s="7">
        <f t="shared" ref="S1325:S1328" si="585">SUM(P1325:R1325)</f>
        <v>0</v>
      </c>
      <c r="U1325" s="3"/>
      <c r="V1325" s="8"/>
      <c r="W1325" s="9"/>
      <c r="X1325" s="10"/>
      <c r="Y1325" s="7">
        <f t="shared" si="568"/>
        <v>0</v>
      </c>
      <c r="Z1325" s="8"/>
      <c r="AA1325" s="9"/>
      <c r="AB1325" s="10"/>
      <c r="AC1325" s="7">
        <f t="shared" si="569"/>
        <v>0</v>
      </c>
      <c r="AD1325" s="8"/>
      <c r="AE1325" s="9"/>
      <c r="AF1325" s="10"/>
      <c r="AG1325" s="7">
        <f t="shared" si="570"/>
        <v>0</v>
      </c>
    </row>
    <row r="1326" spans="1:33">
      <c r="A1326" s="11"/>
      <c r="B1326" s="8"/>
      <c r="C1326" s="9"/>
      <c r="D1326" s="10"/>
      <c r="E1326" s="7">
        <f t="shared" si="564"/>
        <v>0</v>
      </c>
      <c r="F1326" s="8"/>
      <c r="G1326" s="9"/>
      <c r="H1326" s="10"/>
      <c r="I1326" s="7">
        <f t="shared" si="565"/>
        <v>0</v>
      </c>
      <c r="K1326" s="3"/>
      <c r="L1326" s="8"/>
      <c r="M1326" s="9"/>
      <c r="N1326" s="10"/>
      <c r="O1326" s="7">
        <f t="shared" si="584"/>
        <v>0</v>
      </c>
      <c r="P1326" s="8"/>
      <c r="Q1326" s="9"/>
      <c r="R1326" s="10"/>
      <c r="S1326" s="7">
        <f t="shared" si="585"/>
        <v>0</v>
      </c>
      <c r="U1326" s="11"/>
      <c r="V1326" s="8"/>
      <c r="W1326" s="9"/>
      <c r="X1326" s="10"/>
      <c r="Y1326" s="7">
        <f t="shared" si="568"/>
        <v>0</v>
      </c>
      <c r="Z1326" s="8"/>
      <c r="AA1326" s="9"/>
      <c r="AB1326" s="10"/>
      <c r="AC1326" s="7">
        <f t="shared" si="569"/>
        <v>0</v>
      </c>
      <c r="AD1326" s="8"/>
      <c r="AE1326" s="9"/>
      <c r="AF1326" s="10"/>
      <c r="AG1326" s="7">
        <f t="shared" si="570"/>
        <v>0</v>
      </c>
    </row>
    <row r="1327" spans="1:33">
      <c r="A1327" s="11"/>
      <c r="B1327" s="8"/>
      <c r="C1327" s="9"/>
      <c r="D1327" s="10"/>
      <c r="E1327" s="7">
        <f t="shared" si="564"/>
        <v>0</v>
      </c>
      <c r="F1327" s="8"/>
      <c r="G1327" s="9"/>
      <c r="H1327" s="10"/>
      <c r="I1327" s="7">
        <f t="shared" si="565"/>
        <v>0</v>
      </c>
      <c r="K1327" s="3"/>
      <c r="L1327" s="8"/>
      <c r="M1327" s="9"/>
      <c r="N1327" s="10"/>
      <c r="O1327" s="7">
        <f t="shared" si="584"/>
        <v>0</v>
      </c>
      <c r="P1327" s="8"/>
      <c r="Q1327" s="9"/>
      <c r="R1327" s="10"/>
      <c r="S1327" s="7">
        <f t="shared" si="585"/>
        <v>0</v>
      </c>
      <c r="U1327" s="3"/>
      <c r="V1327" s="8"/>
      <c r="W1327" s="9"/>
      <c r="X1327" s="10"/>
      <c r="Y1327" s="7">
        <f t="shared" si="568"/>
        <v>0</v>
      </c>
      <c r="Z1327" s="8"/>
      <c r="AA1327" s="9"/>
      <c r="AB1327" s="10"/>
      <c r="AC1327" s="7">
        <f t="shared" si="569"/>
        <v>0</v>
      </c>
      <c r="AD1327" s="8"/>
      <c r="AE1327" s="9"/>
      <c r="AF1327" s="10"/>
      <c r="AG1327" s="7">
        <f t="shared" si="570"/>
        <v>0</v>
      </c>
    </row>
    <row r="1328" spans="1:33">
      <c r="A1328" s="11"/>
      <c r="B1328" s="8"/>
      <c r="C1328" s="9"/>
      <c r="D1328" s="10"/>
      <c r="E1328" s="7">
        <f t="shared" si="564"/>
        <v>0</v>
      </c>
      <c r="F1328" s="8"/>
      <c r="G1328" s="9"/>
      <c r="H1328" s="10"/>
      <c r="I1328" s="7">
        <f t="shared" si="565"/>
        <v>0</v>
      </c>
      <c r="K1328" s="3"/>
      <c r="L1328" s="8"/>
      <c r="M1328" s="9"/>
      <c r="N1328" s="10"/>
      <c r="O1328" s="7">
        <f t="shared" si="584"/>
        <v>0</v>
      </c>
      <c r="P1328" s="8"/>
      <c r="Q1328" s="9"/>
      <c r="R1328" s="10"/>
      <c r="S1328" s="7">
        <f t="shared" si="585"/>
        <v>0</v>
      </c>
      <c r="U1328" s="3"/>
      <c r="V1328" s="8"/>
      <c r="W1328" s="9"/>
      <c r="X1328" s="10"/>
      <c r="Y1328" s="7">
        <f t="shared" si="568"/>
        <v>0</v>
      </c>
      <c r="Z1328" s="8"/>
      <c r="AA1328" s="9"/>
      <c r="AB1328" s="10"/>
      <c r="AC1328" s="7">
        <f t="shared" si="569"/>
        <v>0</v>
      </c>
      <c r="AD1328" s="8"/>
      <c r="AE1328" s="9"/>
      <c r="AF1328" s="10"/>
      <c r="AG1328" s="7">
        <f t="shared" si="570"/>
        <v>0</v>
      </c>
    </row>
    <row r="1329" spans="1:33" ht="14.25" thickBot="1">
      <c r="A1329" s="3"/>
      <c r="B1329" s="8"/>
      <c r="C1329" s="9"/>
      <c r="D1329" s="10"/>
      <c r="E1329" s="7">
        <f t="shared" si="564"/>
        <v>0</v>
      </c>
      <c r="F1329" s="8"/>
      <c r="G1329" s="9"/>
      <c r="H1329" s="10"/>
      <c r="I1329" s="7">
        <f t="shared" si="565"/>
        <v>0</v>
      </c>
      <c r="K1329" s="11" t="s">
        <v>700</v>
      </c>
      <c r="L1329" s="8"/>
      <c r="M1329" s="9"/>
      <c r="N1329" s="10"/>
      <c r="O1329" s="7">
        <f t="shared" si="582"/>
        <v>0</v>
      </c>
      <c r="P1329" s="8"/>
      <c r="Q1329" s="9"/>
      <c r="R1329" s="10"/>
      <c r="S1329" s="7">
        <f t="shared" si="583"/>
        <v>0</v>
      </c>
      <c r="T1329" s="71" t="s">
        <v>701</v>
      </c>
      <c r="U1329" s="3"/>
      <c r="V1329" s="8"/>
      <c r="W1329" s="9"/>
      <c r="X1329" s="10"/>
      <c r="Y1329" s="7">
        <f t="shared" ref="Y1329" si="586">SUM(V1329:X1329)</f>
        <v>0</v>
      </c>
      <c r="Z1329" s="8"/>
      <c r="AA1329" s="9"/>
      <c r="AB1329" s="10"/>
      <c r="AC1329" s="7">
        <f t="shared" ref="AC1329" si="587">SUM(Z1329:AB1329)</f>
        <v>0</v>
      </c>
      <c r="AD1329" s="8"/>
      <c r="AE1329" s="9"/>
      <c r="AF1329" s="10"/>
      <c r="AG1329" s="7">
        <f t="shared" ref="AG1329" si="588">SUM(AD1329:AF1329)</f>
        <v>0</v>
      </c>
    </row>
    <row r="1330" spans="1:33" ht="14.25" thickBot="1">
      <c r="A1330" s="2" t="s">
        <v>5</v>
      </c>
      <c r="B1330" s="14">
        <f>SUM(B1306:B1329)</f>
        <v>0</v>
      </c>
      <c r="C1330" s="14">
        <f>SUM(C1306:C1329)</f>
        <v>0</v>
      </c>
      <c r="D1330" s="14">
        <f>SUM(D1306:D1329)</f>
        <v>0</v>
      </c>
      <c r="E1330" s="15">
        <f t="shared" si="564"/>
        <v>0</v>
      </c>
      <c r="F1330" s="14">
        <f>SUM(F1306:F1329)</f>
        <v>0</v>
      </c>
      <c r="G1330" s="14">
        <f>SUM(G1306:G1329)</f>
        <v>0</v>
      </c>
      <c r="H1330" s="14">
        <f>SUM(H1306:H1329)</f>
        <v>0</v>
      </c>
      <c r="I1330" s="15">
        <f t="shared" si="565"/>
        <v>0</v>
      </c>
      <c r="K1330" s="2" t="s">
        <v>5</v>
      </c>
      <c r="L1330" s="14">
        <f>SUM(L1306:L1329)</f>
        <v>94</v>
      </c>
      <c r="M1330" s="14">
        <f>SUM(M1306:M1329)</f>
        <v>171</v>
      </c>
      <c r="N1330" s="14">
        <f>SUM(N1306:N1329)</f>
        <v>69</v>
      </c>
      <c r="O1330" s="15">
        <f t="shared" si="566"/>
        <v>334</v>
      </c>
      <c r="P1330" s="14">
        <f>SUM(P1306:P1329)</f>
        <v>94</v>
      </c>
      <c r="Q1330" s="14">
        <f>SUM(Q1306:Q1329)</f>
        <v>171</v>
      </c>
      <c r="R1330" s="14">
        <f>SUM(R1306:R1329)</f>
        <v>69</v>
      </c>
      <c r="S1330" s="15">
        <f t="shared" si="567"/>
        <v>334</v>
      </c>
      <c r="U1330" s="2" t="s">
        <v>5</v>
      </c>
      <c r="V1330" s="14">
        <f>SUM(V1306:V1329)</f>
        <v>0</v>
      </c>
      <c r="W1330" s="14">
        <f>SUM(W1306:W1329)</f>
        <v>0</v>
      </c>
      <c r="X1330" s="14">
        <f>SUM(X1306:X1329)</f>
        <v>0</v>
      </c>
      <c r="Y1330" s="15">
        <f t="shared" si="568"/>
        <v>0</v>
      </c>
      <c r="Z1330" s="14">
        <f>SUM(Z1306:Z1329)</f>
        <v>0</v>
      </c>
      <c r="AA1330" s="14">
        <f>SUM(AA1306:AA1329)</f>
        <v>0</v>
      </c>
      <c r="AB1330" s="14">
        <f>SUM(AB1306:AB1329)</f>
        <v>0</v>
      </c>
      <c r="AC1330" s="15">
        <f t="shared" si="569"/>
        <v>0</v>
      </c>
      <c r="AD1330" s="14">
        <f>SUM(AD1306:AD1329)</f>
        <v>0</v>
      </c>
      <c r="AE1330" s="14">
        <f>SUM(AE1306:AE1329)</f>
        <v>0</v>
      </c>
      <c r="AF1330" s="14">
        <f>SUM(AF1306:AF1329)</f>
        <v>0</v>
      </c>
      <c r="AG1330" s="15">
        <f t="shared" si="570"/>
        <v>0</v>
      </c>
    </row>
    <row r="1331" spans="1:33" ht="14.25" thickBot="1">
      <c r="A1331" s="27" t="s">
        <v>6</v>
      </c>
      <c r="B1331" s="28">
        <f>B1305-B1330</f>
        <v>14</v>
      </c>
      <c r="C1331" s="28">
        <f t="shared" ref="C1331:E1331" si="589">C1305-C1330</f>
        <v>9</v>
      </c>
      <c r="D1331" s="28">
        <f t="shared" si="589"/>
        <v>9</v>
      </c>
      <c r="E1331" s="28">
        <f t="shared" si="589"/>
        <v>32</v>
      </c>
      <c r="F1331" s="28">
        <f>F1305-F1330</f>
        <v>14</v>
      </c>
      <c r="G1331" s="28">
        <f t="shared" ref="G1331:I1331" si="590">G1305-G1330</f>
        <v>9</v>
      </c>
      <c r="H1331" s="28">
        <f t="shared" si="590"/>
        <v>9</v>
      </c>
      <c r="I1331" s="26">
        <f t="shared" si="590"/>
        <v>32</v>
      </c>
      <c r="K1331" s="27" t="s">
        <v>6</v>
      </c>
      <c r="L1331" s="28">
        <f>L1305-L1330</f>
        <v>160</v>
      </c>
      <c r="M1331" s="28">
        <f t="shared" ref="M1331:O1331" si="591">M1305-M1330</f>
        <v>221</v>
      </c>
      <c r="N1331" s="28">
        <f t="shared" si="591"/>
        <v>165</v>
      </c>
      <c r="O1331" s="28">
        <f t="shared" si="591"/>
        <v>546</v>
      </c>
      <c r="P1331" s="28">
        <f>P1305-P1330</f>
        <v>160</v>
      </c>
      <c r="Q1331" s="28">
        <f t="shared" ref="Q1331:S1331" si="592">Q1305-Q1330</f>
        <v>221</v>
      </c>
      <c r="R1331" s="28">
        <f t="shared" si="592"/>
        <v>165</v>
      </c>
      <c r="S1331" s="26">
        <f t="shared" si="592"/>
        <v>546</v>
      </c>
      <c r="U1331" s="27" t="s">
        <v>6</v>
      </c>
      <c r="V1331" s="28">
        <f>V1305-V1330</f>
        <v>37</v>
      </c>
      <c r="W1331" s="28">
        <f t="shared" ref="W1331:Y1331" si="593">W1305-W1330</f>
        <v>56</v>
      </c>
      <c r="X1331" s="28">
        <f t="shared" si="593"/>
        <v>39</v>
      </c>
      <c r="Y1331" s="28">
        <f t="shared" si="593"/>
        <v>132</v>
      </c>
      <c r="Z1331" s="28">
        <f>Z1305-Z1330</f>
        <v>37</v>
      </c>
      <c r="AA1331" s="28">
        <f t="shared" ref="AA1331:AC1331" si="594">AA1305-AA1330</f>
        <v>56</v>
      </c>
      <c r="AB1331" s="28">
        <f t="shared" si="594"/>
        <v>39</v>
      </c>
      <c r="AC1331" s="26">
        <f t="shared" si="594"/>
        <v>132</v>
      </c>
      <c r="AD1331" s="28">
        <f>AD1305-AD1330</f>
        <v>37</v>
      </c>
      <c r="AE1331" s="28">
        <f t="shared" ref="AE1331:AG1331" si="595">AE1305-AE1330</f>
        <v>56</v>
      </c>
      <c r="AF1331" s="28">
        <f t="shared" si="595"/>
        <v>39</v>
      </c>
      <c r="AG1331" s="26">
        <f t="shared" si="595"/>
        <v>132</v>
      </c>
    </row>
    <row r="1332" spans="1:33">
      <c r="U1332" s="70"/>
      <c r="V1332" s="66"/>
      <c r="W1332" s="66"/>
      <c r="X1332" s="66"/>
    </row>
    <row r="1333" spans="1:33">
      <c r="U1333" s="66"/>
      <c r="V1333" s="66"/>
      <c r="W1333" s="66"/>
      <c r="X1333" s="66"/>
    </row>
    <row r="1334" spans="1:33" ht="26.25" thickBot="1">
      <c r="A1334" s="33" t="s">
        <v>621</v>
      </c>
      <c r="B1334" s="34"/>
      <c r="C1334" s="34"/>
      <c r="D1334" s="34"/>
      <c r="E1334" s="34"/>
      <c r="F1334" s="35"/>
      <c r="G1334" s="35"/>
      <c r="H1334" s="35"/>
      <c r="I1334" s="35"/>
      <c r="K1334" s="33" t="s">
        <v>620</v>
      </c>
      <c r="L1334" s="34"/>
      <c r="M1334" s="34"/>
      <c r="N1334" s="34"/>
      <c r="O1334" s="34"/>
      <c r="P1334" s="35"/>
      <c r="Q1334" s="35"/>
      <c r="R1334" s="35"/>
      <c r="S1334" s="35"/>
      <c r="U1334" s="113" t="s">
        <v>622</v>
      </c>
      <c r="V1334" s="114"/>
      <c r="W1334" s="114"/>
      <c r="X1334" s="114"/>
      <c r="Y1334" s="114"/>
      <c r="Z1334" s="115"/>
      <c r="AA1334" s="115"/>
      <c r="AB1334" s="115"/>
      <c r="AC1334" s="115"/>
      <c r="AD1334" s="116"/>
      <c r="AE1334" s="116"/>
    </row>
    <row r="1335" spans="1:33" ht="14.25" thickBot="1">
      <c r="A1335" s="1" t="s">
        <v>0</v>
      </c>
      <c r="B1335" s="182" t="s">
        <v>17</v>
      </c>
      <c r="C1335" s="182"/>
      <c r="D1335" s="182"/>
      <c r="E1335" s="183"/>
      <c r="F1335" s="182" t="s">
        <v>13</v>
      </c>
      <c r="G1335" s="182"/>
      <c r="H1335" s="182"/>
      <c r="I1335" s="183"/>
      <c r="K1335" s="1" t="s">
        <v>0</v>
      </c>
      <c r="L1335" s="182" t="s">
        <v>17</v>
      </c>
      <c r="M1335" s="182"/>
      <c r="N1335" s="182"/>
      <c r="O1335" s="183"/>
      <c r="P1335" s="182" t="s">
        <v>13</v>
      </c>
      <c r="Q1335" s="182"/>
      <c r="R1335" s="182"/>
      <c r="S1335" s="183"/>
      <c r="U1335" s="1" t="s">
        <v>0</v>
      </c>
      <c r="V1335" s="182" t="s">
        <v>17</v>
      </c>
      <c r="W1335" s="182"/>
      <c r="X1335" s="182"/>
      <c r="Y1335" s="183"/>
      <c r="Z1335" s="182" t="s">
        <v>13</v>
      </c>
      <c r="AA1335" s="182"/>
      <c r="AB1335" s="182"/>
      <c r="AC1335" s="183"/>
      <c r="AD1335" s="182" t="s">
        <v>242</v>
      </c>
      <c r="AE1335" s="182"/>
      <c r="AF1335" s="182"/>
      <c r="AG1335" s="183"/>
    </row>
    <row r="1336" spans="1:33" ht="14.25" thickBot="1">
      <c r="A1336" s="1" t="s">
        <v>1</v>
      </c>
      <c r="B1336" s="2" t="s">
        <v>8</v>
      </c>
      <c r="C1336" s="1" t="s">
        <v>9</v>
      </c>
      <c r="D1336" s="19" t="s">
        <v>10</v>
      </c>
      <c r="E1336" s="1" t="s">
        <v>2</v>
      </c>
      <c r="F1336" s="2" t="s">
        <v>8</v>
      </c>
      <c r="G1336" s="1" t="s">
        <v>9</v>
      </c>
      <c r="H1336" s="19" t="s">
        <v>10</v>
      </c>
      <c r="I1336" s="1" t="s">
        <v>2</v>
      </c>
      <c r="K1336" s="1" t="s">
        <v>1</v>
      </c>
      <c r="L1336" s="2" t="s">
        <v>8</v>
      </c>
      <c r="M1336" s="1" t="s">
        <v>9</v>
      </c>
      <c r="N1336" s="19" t="s">
        <v>10</v>
      </c>
      <c r="O1336" s="1" t="s">
        <v>2</v>
      </c>
      <c r="P1336" s="2" t="s">
        <v>8</v>
      </c>
      <c r="Q1336" s="1" t="s">
        <v>9</v>
      </c>
      <c r="R1336" s="19" t="s">
        <v>10</v>
      </c>
      <c r="S1336" s="1" t="s">
        <v>2</v>
      </c>
      <c r="U1336" s="1" t="s">
        <v>1</v>
      </c>
      <c r="V1336" s="2" t="s">
        <v>8</v>
      </c>
      <c r="W1336" s="1" t="s">
        <v>9</v>
      </c>
      <c r="X1336" s="19" t="s">
        <v>10</v>
      </c>
      <c r="Y1336" s="1" t="s">
        <v>2</v>
      </c>
      <c r="Z1336" s="2" t="s">
        <v>8</v>
      </c>
      <c r="AA1336" s="1" t="s">
        <v>9</v>
      </c>
      <c r="AB1336" s="19" t="s">
        <v>10</v>
      </c>
      <c r="AC1336" s="1" t="s">
        <v>2</v>
      </c>
      <c r="AD1336" s="2" t="s">
        <v>8</v>
      </c>
      <c r="AE1336" s="1" t="s">
        <v>9</v>
      </c>
      <c r="AF1336" s="19" t="s">
        <v>10</v>
      </c>
      <c r="AG1336" s="1" t="s">
        <v>2</v>
      </c>
    </row>
    <row r="1337" spans="1:33">
      <c r="A1337" s="21" t="s">
        <v>7</v>
      </c>
      <c r="B1337" s="18">
        <f>B1331</f>
        <v>14</v>
      </c>
      <c r="C1337" s="22">
        <f>C1331</f>
        <v>9</v>
      </c>
      <c r="D1337" s="22">
        <f>D1331</f>
        <v>9</v>
      </c>
      <c r="E1337" s="17">
        <f t="shared" ref="E1337:E1373" si="596">SUM(B1337:D1337)</f>
        <v>32</v>
      </c>
      <c r="F1337" s="22">
        <f>F1331</f>
        <v>14</v>
      </c>
      <c r="G1337" s="22">
        <f>G1331</f>
        <v>9</v>
      </c>
      <c r="H1337" s="22">
        <f>H1331</f>
        <v>9</v>
      </c>
      <c r="I1337" s="17">
        <f t="shared" ref="I1337:I1373" si="597">SUM(F1337:H1337)</f>
        <v>32</v>
      </c>
      <c r="K1337" s="21" t="s">
        <v>7</v>
      </c>
      <c r="L1337" s="18">
        <f>L1331</f>
        <v>160</v>
      </c>
      <c r="M1337" s="22">
        <f>M1331</f>
        <v>221</v>
      </c>
      <c r="N1337" s="22">
        <f>N1331</f>
        <v>165</v>
      </c>
      <c r="O1337" s="17">
        <f t="shared" ref="O1337:O1373" si="598">SUM(L1337:N1337)</f>
        <v>546</v>
      </c>
      <c r="P1337" s="22">
        <f>P1331</f>
        <v>160</v>
      </c>
      <c r="Q1337" s="22">
        <f>Q1331</f>
        <v>221</v>
      </c>
      <c r="R1337" s="22">
        <f>R1331</f>
        <v>165</v>
      </c>
      <c r="S1337" s="17">
        <f t="shared" ref="S1337:S1373" si="599">SUM(P1337:R1337)</f>
        <v>546</v>
      </c>
      <c r="U1337" s="21" t="s">
        <v>7</v>
      </c>
      <c r="V1337" s="18">
        <f>V1331</f>
        <v>37</v>
      </c>
      <c r="W1337" s="22">
        <f>W1331</f>
        <v>56</v>
      </c>
      <c r="X1337" s="22">
        <f>X1331</f>
        <v>39</v>
      </c>
      <c r="Y1337" s="17">
        <f t="shared" ref="Y1337:Y1373" si="600">SUM(V1337:X1337)</f>
        <v>132</v>
      </c>
      <c r="Z1337" s="22">
        <f>Z1331</f>
        <v>37</v>
      </c>
      <c r="AA1337" s="22">
        <f>AA1331</f>
        <v>56</v>
      </c>
      <c r="AB1337" s="22">
        <f>AB1331</f>
        <v>39</v>
      </c>
      <c r="AC1337" s="17">
        <f t="shared" ref="AC1337:AC1373" si="601">SUM(Z1337:AB1337)</f>
        <v>132</v>
      </c>
      <c r="AD1337" s="22">
        <f>AD1331</f>
        <v>37</v>
      </c>
      <c r="AE1337" s="22">
        <f>AE1331</f>
        <v>56</v>
      </c>
      <c r="AF1337" s="22">
        <f>AF1331</f>
        <v>39</v>
      </c>
      <c r="AG1337" s="17">
        <f t="shared" ref="AG1337:AG1373" si="602">SUM(AD1337:AF1337)</f>
        <v>132</v>
      </c>
    </row>
    <row r="1338" spans="1:33">
      <c r="A1338" s="84" t="s">
        <v>798</v>
      </c>
      <c r="B1338" s="8">
        <v>1</v>
      </c>
      <c r="C1338" s="9"/>
      <c r="D1338" s="10"/>
      <c r="E1338" s="7">
        <f t="shared" ref="E1338" si="603">SUM(B1338:D1338)</f>
        <v>1</v>
      </c>
      <c r="F1338" s="8">
        <v>1</v>
      </c>
      <c r="G1338" s="9"/>
      <c r="H1338" s="10"/>
      <c r="I1338" s="7">
        <f t="shared" ref="I1338" si="604">SUM(F1338:H1338)</f>
        <v>1</v>
      </c>
      <c r="J1338" s="49">
        <v>45132</v>
      </c>
      <c r="K1338" s="5" t="s">
        <v>3</v>
      </c>
      <c r="L1338" s="16"/>
      <c r="M1338" s="11"/>
      <c r="N1338" s="16"/>
      <c r="O1338" s="4">
        <f t="shared" si="598"/>
        <v>0</v>
      </c>
      <c r="P1338" s="16"/>
      <c r="Q1338" s="11"/>
      <c r="R1338" s="16"/>
      <c r="S1338" s="4">
        <f t="shared" si="599"/>
        <v>0</v>
      </c>
      <c r="U1338" s="5" t="s">
        <v>3</v>
      </c>
      <c r="V1338" s="16"/>
      <c r="W1338" s="11"/>
      <c r="X1338" s="16"/>
      <c r="Y1338" s="4">
        <f t="shared" si="600"/>
        <v>0</v>
      </c>
      <c r="Z1338" s="16"/>
      <c r="AA1338" s="11"/>
      <c r="AB1338" s="16"/>
      <c r="AC1338" s="4">
        <f t="shared" si="601"/>
        <v>0</v>
      </c>
      <c r="AD1338" s="16"/>
      <c r="AE1338" s="11"/>
      <c r="AF1338" s="16"/>
      <c r="AG1338" s="4">
        <f t="shared" si="602"/>
        <v>0</v>
      </c>
    </row>
    <row r="1339" spans="1:33">
      <c r="A1339" s="5" t="s">
        <v>37</v>
      </c>
      <c r="B1339" s="30">
        <v>1</v>
      </c>
      <c r="C1339" s="31">
        <v>2</v>
      </c>
      <c r="D1339" s="32">
        <v>2</v>
      </c>
      <c r="E1339" s="4">
        <f t="shared" si="596"/>
        <v>5</v>
      </c>
      <c r="F1339" s="30">
        <v>1</v>
      </c>
      <c r="G1339" s="31">
        <v>2</v>
      </c>
      <c r="H1339" s="32">
        <v>2</v>
      </c>
      <c r="I1339" s="4">
        <f t="shared" si="597"/>
        <v>5</v>
      </c>
      <c r="J1339" s="49">
        <v>45133</v>
      </c>
      <c r="K1339" s="5" t="s">
        <v>3</v>
      </c>
      <c r="L1339" s="51"/>
      <c r="M1339" s="3"/>
      <c r="N1339" s="51"/>
      <c r="O1339" s="4">
        <f t="shared" ref="O1339:O1340" si="605">SUM(L1339:N1339)</f>
        <v>0</v>
      </c>
      <c r="P1339" s="51"/>
      <c r="Q1339" s="3"/>
      <c r="R1339" s="51"/>
      <c r="S1339" s="4">
        <f t="shared" ref="S1339:S1340" si="606">SUM(P1339:R1339)</f>
        <v>0</v>
      </c>
      <c r="U1339" s="5" t="s">
        <v>3</v>
      </c>
      <c r="V1339" s="32"/>
      <c r="W1339" s="31"/>
      <c r="X1339" s="32"/>
      <c r="Y1339" s="4">
        <f t="shared" si="600"/>
        <v>0</v>
      </c>
      <c r="Z1339" s="32"/>
      <c r="AA1339" s="31"/>
      <c r="AB1339" s="32"/>
      <c r="AC1339" s="4">
        <f t="shared" si="601"/>
        <v>0</v>
      </c>
      <c r="AD1339" s="32"/>
      <c r="AE1339" s="31"/>
      <c r="AF1339" s="32"/>
      <c r="AG1339" s="4">
        <f t="shared" si="602"/>
        <v>0</v>
      </c>
    </row>
    <row r="1340" spans="1:33">
      <c r="A1340" s="5" t="s">
        <v>3</v>
      </c>
      <c r="B1340" s="30"/>
      <c r="C1340" s="31"/>
      <c r="D1340" s="32"/>
      <c r="E1340" s="4">
        <f t="shared" si="596"/>
        <v>0</v>
      </c>
      <c r="F1340" s="30"/>
      <c r="G1340" s="31"/>
      <c r="H1340" s="32"/>
      <c r="I1340" s="4">
        <f t="shared" si="597"/>
        <v>0</v>
      </c>
      <c r="K1340" s="5" t="s">
        <v>652</v>
      </c>
      <c r="L1340" s="32">
        <v>170</v>
      </c>
      <c r="M1340" s="31">
        <v>220</v>
      </c>
      <c r="N1340" s="32">
        <v>80</v>
      </c>
      <c r="O1340" s="4">
        <f t="shared" si="605"/>
        <v>470</v>
      </c>
      <c r="P1340" s="32">
        <v>170</v>
      </c>
      <c r="Q1340" s="31">
        <v>220</v>
      </c>
      <c r="R1340" s="32">
        <v>80</v>
      </c>
      <c r="S1340" s="4">
        <f t="shared" si="606"/>
        <v>470</v>
      </c>
      <c r="T1340" s="43" t="s">
        <v>781</v>
      </c>
      <c r="U1340" s="5" t="s">
        <v>3</v>
      </c>
      <c r="V1340" s="30"/>
      <c r="W1340" s="31"/>
      <c r="X1340" s="32"/>
      <c r="Y1340" s="4">
        <f t="shared" si="600"/>
        <v>0</v>
      </c>
      <c r="Z1340" s="30"/>
      <c r="AA1340" s="31"/>
      <c r="AB1340" s="32"/>
      <c r="AC1340" s="4">
        <f t="shared" si="601"/>
        <v>0</v>
      </c>
      <c r="AD1340" s="30"/>
      <c r="AE1340" s="31"/>
      <c r="AF1340" s="32"/>
      <c r="AG1340" s="4">
        <f t="shared" si="602"/>
        <v>0</v>
      </c>
    </row>
    <row r="1341" spans="1:33">
      <c r="A1341" s="5" t="s">
        <v>3</v>
      </c>
      <c r="B1341" s="16"/>
      <c r="C1341" s="11"/>
      <c r="D1341" s="16"/>
      <c r="E1341" s="4">
        <f t="shared" si="596"/>
        <v>0</v>
      </c>
      <c r="F1341" s="16"/>
      <c r="G1341" s="11"/>
      <c r="H1341" s="16"/>
      <c r="I1341" s="4">
        <f t="shared" si="597"/>
        <v>0</v>
      </c>
      <c r="K1341" s="5" t="s">
        <v>3</v>
      </c>
      <c r="L1341" s="51"/>
      <c r="M1341" s="3"/>
      <c r="N1341" s="51"/>
      <c r="O1341" s="4">
        <f t="shared" si="598"/>
        <v>0</v>
      </c>
      <c r="P1341" s="51"/>
      <c r="Q1341" s="3"/>
      <c r="R1341" s="51"/>
      <c r="S1341" s="4">
        <f t="shared" si="599"/>
        <v>0</v>
      </c>
      <c r="T1341" s="71"/>
      <c r="U1341" s="5" t="s">
        <v>3</v>
      </c>
      <c r="V1341" s="16"/>
      <c r="W1341" s="11"/>
      <c r="X1341" s="16"/>
      <c r="Y1341" s="4">
        <f t="shared" si="600"/>
        <v>0</v>
      </c>
      <c r="Z1341" s="16"/>
      <c r="AA1341" s="11"/>
      <c r="AB1341" s="16"/>
      <c r="AC1341" s="4">
        <f t="shared" si="601"/>
        <v>0</v>
      </c>
      <c r="AD1341" s="16"/>
      <c r="AE1341" s="11"/>
      <c r="AF1341" s="16"/>
      <c r="AG1341" s="4">
        <f t="shared" si="602"/>
        <v>0</v>
      </c>
    </row>
    <row r="1342" spans="1:33">
      <c r="A1342" s="5" t="s">
        <v>3</v>
      </c>
      <c r="B1342" s="16"/>
      <c r="C1342" s="11"/>
      <c r="D1342" s="16"/>
      <c r="E1342" s="4">
        <f t="shared" si="596"/>
        <v>0</v>
      </c>
      <c r="F1342" s="16"/>
      <c r="G1342" s="11"/>
      <c r="H1342" s="16"/>
      <c r="I1342" s="4">
        <f t="shared" si="597"/>
        <v>0</v>
      </c>
      <c r="K1342" s="5" t="s">
        <v>3</v>
      </c>
      <c r="L1342" s="32"/>
      <c r="M1342" s="31"/>
      <c r="N1342" s="32"/>
      <c r="O1342" s="4">
        <f t="shared" si="598"/>
        <v>0</v>
      </c>
      <c r="P1342" s="32"/>
      <c r="Q1342" s="31"/>
      <c r="R1342" s="32"/>
      <c r="S1342" s="4">
        <f t="shared" si="599"/>
        <v>0</v>
      </c>
      <c r="U1342" s="5" t="s">
        <v>3</v>
      </c>
      <c r="V1342" s="32"/>
      <c r="W1342" s="31"/>
      <c r="X1342" s="32"/>
      <c r="Y1342" s="4">
        <f t="shared" si="600"/>
        <v>0</v>
      </c>
      <c r="Z1342" s="32"/>
      <c r="AA1342" s="31"/>
      <c r="AB1342" s="32"/>
      <c r="AC1342" s="4">
        <f t="shared" si="601"/>
        <v>0</v>
      </c>
      <c r="AD1342" s="32"/>
      <c r="AE1342" s="31"/>
      <c r="AF1342" s="32"/>
      <c r="AG1342" s="4">
        <f t="shared" si="602"/>
        <v>0</v>
      </c>
    </row>
    <row r="1343" spans="1:33">
      <c r="A1343" s="5" t="s">
        <v>3</v>
      </c>
      <c r="B1343" s="16"/>
      <c r="C1343" s="11"/>
      <c r="D1343" s="16"/>
      <c r="E1343" s="4">
        <f t="shared" si="596"/>
        <v>0</v>
      </c>
      <c r="F1343" s="16"/>
      <c r="G1343" s="11"/>
      <c r="H1343" s="16"/>
      <c r="I1343" s="4">
        <f t="shared" si="597"/>
        <v>0</v>
      </c>
      <c r="K1343" s="5" t="s">
        <v>3</v>
      </c>
      <c r="L1343" s="16"/>
      <c r="M1343" s="11"/>
      <c r="N1343" s="16"/>
      <c r="O1343" s="4">
        <f t="shared" si="598"/>
        <v>0</v>
      </c>
      <c r="P1343" s="16"/>
      <c r="Q1343" s="11"/>
      <c r="R1343" s="16"/>
      <c r="S1343" s="4">
        <f t="shared" si="599"/>
        <v>0</v>
      </c>
      <c r="U1343" s="5" t="s">
        <v>3</v>
      </c>
      <c r="V1343" s="16"/>
      <c r="W1343" s="11"/>
      <c r="X1343" s="16"/>
      <c r="Y1343" s="4">
        <f t="shared" si="600"/>
        <v>0</v>
      </c>
      <c r="Z1343" s="16"/>
      <c r="AA1343" s="11"/>
      <c r="AB1343" s="16"/>
      <c r="AC1343" s="4">
        <f t="shared" si="601"/>
        <v>0</v>
      </c>
      <c r="AD1343" s="16"/>
      <c r="AE1343" s="11"/>
      <c r="AF1343" s="16"/>
      <c r="AG1343" s="4">
        <f t="shared" si="602"/>
        <v>0</v>
      </c>
    </row>
    <row r="1344" spans="1:33">
      <c r="A1344" s="5" t="s">
        <v>3</v>
      </c>
      <c r="B1344" s="32"/>
      <c r="C1344" s="31"/>
      <c r="D1344" s="32"/>
      <c r="E1344" s="4">
        <f t="shared" si="596"/>
        <v>0</v>
      </c>
      <c r="F1344" s="32"/>
      <c r="G1344" s="31"/>
      <c r="H1344" s="32"/>
      <c r="I1344" s="4">
        <f t="shared" si="597"/>
        <v>0</v>
      </c>
      <c r="K1344" s="5" t="s">
        <v>3</v>
      </c>
      <c r="L1344" s="32"/>
      <c r="M1344" s="31"/>
      <c r="N1344" s="32"/>
      <c r="O1344" s="4">
        <f t="shared" ref="O1344" si="607">SUM(L1344:N1344)</f>
        <v>0</v>
      </c>
      <c r="P1344" s="32"/>
      <c r="Q1344" s="31"/>
      <c r="R1344" s="32"/>
      <c r="S1344" s="4">
        <f t="shared" ref="S1344" si="608">SUM(P1344:R1344)</f>
        <v>0</v>
      </c>
      <c r="U1344" s="5" t="s">
        <v>3</v>
      </c>
      <c r="V1344" s="32"/>
      <c r="W1344" s="31"/>
      <c r="X1344" s="32"/>
      <c r="Y1344" s="4">
        <f t="shared" si="600"/>
        <v>0</v>
      </c>
      <c r="Z1344" s="32"/>
      <c r="AA1344" s="31"/>
      <c r="AB1344" s="32"/>
      <c r="AC1344" s="4">
        <f t="shared" si="601"/>
        <v>0</v>
      </c>
      <c r="AD1344" s="32"/>
      <c r="AE1344" s="31"/>
      <c r="AF1344" s="32"/>
      <c r="AG1344" s="4">
        <f t="shared" si="602"/>
        <v>0</v>
      </c>
    </row>
    <row r="1345" spans="1:34">
      <c r="A1345" s="5" t="s">
        <v>3</v>
      </c>
      <c r="B1345" s="32"/>
      <c r="C1345" s="31"/>
      <c r="D1345" s="32"/>
      <c r="E1345" s="4">
        <f t="shared" si="596"/>
        <v>0</v>
      </c>
      <c r="F1345" s="32"/>
      <c r="G1345" s="31"/>
      <c r="H1345" s="32"/>
      <c r="I1345" s="4">
        <f t="shared" si="597"/>
        <v>0</v>
      </c>
      <c r="K1345" s="5" t="s">
        <v>3</v>
      </c>
      <c r="L1345" s="32"/>
      <c r="M1345" s="31"/>
      <c r="N1345" s="32"/>
      <c r="O1345" s="4">
        <f t="shared" si="598"/>
        <v>0</v>
      </c>
      <c r="P1345" s="32"/>
      <c r="Q1345" s="31"/>
      <c r="R1345" s="32"/>
      <c r="S1345" s="4">
        <f t="shared" si="599"/>
        <v>0</v>
      </c>
      <c r="U1345" s="5" t="s">
        <v>3</v>
      </c>
      <c r="V1345" s="32"/>
      <c r="W1345" s="31"/>
      <c r="X1345" s="32"/>
      <c r="Y1345" s="4">
        <f t="shared" si="600"/>
        <v>0</v>
      </c>
      <c r="Z1345" s="32"/>
      <c r="AA1345" s="31"/>
      <c r="AB1345" s="32"/>
      <c r="AC1345" s="4">
        <f t="shared" si="601"/>
        <v>0</v>
      </c>
      <c r="AD1345" s="32"/>
      <c r="AE1345" s="31"/>
      <c r="AF1345" s="32"/>
      <c r="AG1345" s="4">
        <f t="shared" si="602"/>
        <v>0</v>
      </c>
    </row>
    <row r="1346" spans="1:34">
      <c r="A1346" s="5" t="s">
        <v>3</v>
      </c>
      <c r="B1346" s="30"/>
      <c r="C1346" s="31"/>
      <c r="D1346" s="32"/>
      <c r="E1346" s="4">
        <f t="shared" si="596"/>
        <v>0</v>
      </c>
      <c r="F1346" s="30"/>
      <c r="G1346" s="31"/>
      <c r="H1346" s="32"/>
      <c r="I1346" s="4">
        <f t="shared" si="597"/>
        <v>0</v>
      </c>
      <c r="K1346" s="5" t="s">
        <v>3</v>
      </c>
      <c r="L1346" s="32"/>
      <c r="M1346" s="31"/>
      <c r="N1346" s="32"/>
      <c r="O1346" s="4">
        <f t="shared" si="598"/>
        <v>0</v>
      </c>
      <c r="P1346" s="32"/>
      <c r="Q1346" s="31"/>
      <c r="R1346" s="32"/>
      <c r="S1346" s="4">
        <f t="shared" si="599"/>
        <v>0</v>
      </c>
      <c r="U1346" s="5" t="s">
        <v>3</v>
      </c>
      <c r="V1346" s="30"/>
      <c r="W1346" s="31"/>
      <c r="X1346" s="32"/>
      <c r="Y1346" s="4">
        <f t="shared" si="600"/>
        <v>0</v>
      </c>
      <c r="Z1346" s="30"/>
      <c r="AA1346" s="31"/>
      <c r="AB1346" s="32"/>
      <c r="AC1346" s="4">
        <f t="shared" si="601"/>
        <v>0</v>
      </c>
      <c r="AD1346" s="30"/>
      <c r="AE1346" s="31"/>
      <c r="AF1346" s="32"/>
      <c r="AG1346" s="4">
        <f t="shared" si="602"/>
        <v>0</v>
      </c>
    </row>
    <row r="1347" spans="1:34" ht="14.25" thickBot="1">
      <c r="A1347" s="6" t="s">
        <v>3</v>
      </c>
      <c r="B1347" s="36"/>
      <c r="C1347" s="37"/>
      <c r="D1347" s="36"/>
      <c r="E1347" s="20">
        <f t="shared" si="596"/>
        <v>0</v>
      </c>
      <c r="F1347" s="13"/>
      <c r="G1347" s="12"/>
      <c r="H1347" s="13"/>
      <c r="I1347" s="20">
        <f t="shared" si="597"/>
        <v>0</v>
      </c>
      <c r="K1347" s="5" t="s">
        <v>3</v>
      </c>
      <c r="L1347" s="36"/>
      <c r="M1347" s="37"/>
      <c r="N1347" s="36"/>
      <c r="O1347" s="20">
        <f t="shared" si="598"/>
        <v>0</v>
      </c>
      <c r="P1347" s="13"/>
      <c r="Q1347" s="12"/>
      <c r="R1347" s="13"/>
      <c r="S1347" s="20">
        <f t="shared" si="599"/>
        <v>0</v>
      </c>
      <c r="U1347" s="6" t="s">
        <v>3</v>
      </c>
      <c r="V1347" s="13"/>
      <c r="W1347" s="12"/>
      <c r="X1347" s="13"/>
      <c r="Y1347" s="20">
        <f t="shared" si="600"/>
        <v>0</v>
      </c>
      <c r="Z1347" s="13"/>
      <c r="AA1347" s="12"/>
      <c r="AB1347" s="13"/>
      <c r="AC1347" s="20">
        <f t="shared" si="601"/>
        <v>0</v>
      </c>
      <c r="AD1347" s="13"/>
      <c r="AE1347" s="12"/>
      <c r="AF1347" s="13"/>
      <c r="AG1347" s="20">
        <f t="shared" si="602"/>
        <v>0</v>
      </c>
    </row>
    <row r="1348" spans="1:34" ht="14.25" thickBot="1">
      <c r="A1348" s="23" t="s">
        <v>4</v>
      </c>
      <c r="B1348" s="24">
        <f>SUM(B1337:B1347)</f>
        <v>16</v>
      </c>
      <c r="C1348" s="24">
        <f>SUM(C1337:C1347)</f>
        <v>11</v>
      </c>
      <c r="D1348" s="25">
        <f>SUM(D1337:D1347)</f>
        <v>11</v>
      </c>
      <c r="E1348" s="26">
        <f t="shared" si="596"/>
        <v>38</v>
      </c>
      <c r="F1348" s="24">
        <f>SUM(F1337:F1347)</f>
        <v>16</v>
      </c>
      <c r="G1348" s="24">
        <f>SUM(G1337:G1347)</f>
        <v>11</v>
      </c>
      <c r="H1348" s="25">
        <f>SUM(H1337:H1347)</f>
        <v>11</v>
      </c>
      <c r="I1348" s="26">
        <f t="shared" si="597"/>
        <v>38</v>
      </c>
      <c r="K1348" s="23" t="s">
        <v>4</v>
      </c>
      <c r="L1348" s="24">
        <f>SUM(L1337:L1347)</f>
        <v>330</v>
      </c>
      <c r="M1348" s="24">
        <f>SUM(M1337:M1347)</f>
        <v>441</v>
      </c>
      <c r="N1348" s="25">
        <f>SUM(N1337:N1347)</f>
        <v>245</v>
      </c>
      <c r="O1348" s="26">
        <f t="shared" si="598"/>
        <v>1016</v>
      </c>
      <c r="P1348" s="24">
        <f>SUM(P1337:P1347)</f>
        <v>330</v>
      </c>
      <c r="Q1348" s="24">
        <f>SUM(Q1337:Q1347)</f>
        <v>441</v>
      </c>
      <c r="R1348" s="25">
        <f>SUM(R1337:R1347)</f>
        <v>245</v>
      </c>
      <c r="S1348" s="26">
        <f t="shared" si="599"/>
        <v>1016</v>
      </c>
      <c r="U1348" s="23" t="s">
        <v>4</v>
      </c>
      <c r="V1348" s="24">
        <f>SUM(V1337:V1347)</f>
        <v>37</v>
      </c>
      <c r="W1348" s="24">
        <f>SUM(W1337:W1347)</f>
        <v>56</v>
      </c>
      <c r="X1348" s="25">
        <f>SUM(X1337:X1347)</f>
        <v>39</v>
      </c>
      <c r="Y1348" s="26">
        <f t="shared" si="600"/>
        <v>132</v>
      </c>
      <c r="Z1348" s="24">
        <f>SUM(Z1337:Z1347)</f>
        <v>37</v>
      </c>
      <c r="AA1348" s="24">
        <f>SUM(AA1337:AA1347)</f>
        <v>56</v>
      </c>
      <c r="AB1348" s="25">
        <f>SUM(AB1337:AB1347)</f>
        <v>39</v>
      </c>
      <c r="AC1348" s="26">
        <f t="shared" si="601"/>
        <v>132</v>
      </c>
      <c r="AD1348" s="24">
        <f>SUM(AD1337:AD1347)</f>
        <v>37</v>
      </c>
      <c r="AE1348" s="24">
        <f>SUM(AE1337:AE1347)</f>
        <v>56</v>
      </c>
      <c r="AF1348" s="25">
        <f>SUM(AF1337:AF1347)</f>
        <v>39</v>
      </c>
      <c r="AG1348" s="26">
        <f t="shared" si="602"/>
        <v>132</v>
      </c>
    </row>
    <row r="1349" spans="1:34">
      <c r="A1349" s="11" t="s">
        <v>784</v>
      </c>
      <c r="B1349" s="8">
        <v>2</v>
      </c>
      <c r="C1349" s="9"/>
      <c r="D1349" s="10"/>
      <c r="E1349" s="4">
        <f t="shared" si="596"/>
        <v>2</v>
      </c>
      <c r="F1349" s="8">
        <v>2</v>
      </c>
      <c r="G1349" s="9"/>
      <c r="H1349" s="10"/>
      <c r="I1349" s="4">
        <f t="shared" si="597"/>
        <v>2</v>
      </c>
      <c r="J1349" s="43">
        <v>45127</v>
      </c>
      <c r="K1349" s="11" t="s">
        <v>777</v>
      </c>
      <c r="L1349" s="8">
        <v>14</v>
      </c>
      <c r="M1349" s="9">
        <v>20</v>
      </c>
      <c r="N1349" s="10">
        <v>12</v>
      </c>
      <c r="O1349" s="7">
        <f t="shared" si="598"/>
        <v>46</v>
      </c>
      <c r="P1349" s="8">
        <v>14</v>
      </c>
      <c r="Q1349" s="9">
        <v>20</v>
      </c>
      <c r="R1349" s="10">
        <v>12</v>
      </c>
      <c r="S1349" s="7">
        <f t="shared" si="599"/>
        <v>46</v>
      </c>
      <c r="T1349" s="43">
        <v>45120</v>
      </c>
      <c r="U1349" s="3" t="s">
        <v>759</v>
      </c>
      <c r="V1349" s="61">
        <v>11</v>
      </c>
      <c r="W1349" s="60">
        <v>11</v>
      </c>
      <c r="X1349" s="61">
        <v>11</v>
      </c>
      <c r="Y1349" s="4">
        <f t="shared" si="600"/>
        <v>33</v>
      </c>
      <c r="Z1349" s="61">
        <v>11</v>
      </c>
      <c r="AA1349" s="60">
        <v>11</v>
      </c>
      <c r="AB1349" s="61">
        <v>11</v>
      </c>
      <c r="AC1349" s="4">
        <f t="shared" si="601"/>
        <v>33</v>
      </c>
      <c r="AD1349" s="8">
        <v>11</v>
      </c>
      <c r="AE1349" s="9">
        <v>11</v>
      </c>
      <c r="AF1349" s="10">
        <v>11</v>
      </c>
      <c r="AG1349" s="7">
        <f t="shared" si="602"/>
        <v>33</v>
      </c>
      <c r="AH1349" s="43">
        <v>45110</v>
      </c>
    </row>
    <row r="1350" spans="1:34">
      <c r="A1350" s="11" t="s">
        <v>789</v>
      </c>
      <c r="B1350" s="8"/>
      <c r="C1350" s="9">
        <v>1</v>
      </c>
      <c r="D1350" s="10"/>
      <c r="E1350" s="4">
        <f t="shared" si="596"/>
        <v>1</v>
      </c>
      <c r="F1350" s="8"/>
      <c r="G1350" s="9">
        <v>1</v>
      </c>
      <c r="H1350" s="10"/>
      <c r="I1350" s="4">
        <f t="shared" si="597"/>
        <v>1</v>
      </c>
      <c r="J1350" s="43">
        <v>45131</v>
      </c>
      <c r="K1350" s="11" t="s">
        <v>772</v>
      </c>
      <c r="L1350" s="8">
        <v>4</v>
      </c>
      <c r="M1350" s="9">
        <v>8</v>
      </c>
      <c r="N1350" s="10">
        <v>4</v>
      </c>
      <c r="O1350" s="4">
        <f t="shared" si="598"/>
        <v>16</v>
      </c>
      <c r="P1350" s="8">
        <v>4</v>
      </c>
      <c r="Q1350" s="9">
        <v>8</v>
      </c>
      <c r="R1350" s="10">
        <v>4</v>
      </c>
      <c r="S1350" s="4">
        <f t="shared" si="599"/>
        <v>16</v>
      </c>
      <c r="T1350" s="43">
        <v>45125</v>
      </c>
      <c r="U1350" s="3" t="s">
        <v>780</v>
      </c>
      <c r="V1350" s="8">
        <v>10</v>
      </c>
      <c r="W1350" s="9">
        <v>10</v>
      </c>
      <c r="X1350" s="10">
        <v>5</v>
      </c>
      <c r="Y1350" s="4">
        <f t="shared" si="600"/>
        <v>25</v>
      </c>
      <c r="Z1350" s="8">
        <v>10</v>
      </c>
      <c r="AA1350" s="9">
        <v>10</v>
      </c>
      <c r="AB1350" s="10">
        <v>5</v>
      </c>
      <c r="AC1350" s="4">
        <f t="shared" si="601"/>
        <v>25</v>
      </c>
      <c r="AD1350" s="8">
        <v>10</v>
      </c>
      <c r="AE1350" s="9">
        <v>10</v>
      </c>
      <c r="AF1350" s="10">
        <v>5</v>
      </c>
      <c r="AG1350" s="4">
        <f t="shared" si="602"/>
        <v>25</v>
      </c>
      <c r="AH1350" s="43">
        <v>45125</v>
      </c>
    </row>
    <row r="1351" spans="1:34">
      <c r="A1351" s="3" t="s">
        <v>802</v>
      </c>
      <c r="B1351" s="8">
        <v>1</v>
      </c>
      <c r="C1351" s="9"/>
      <c r="D1351" s="10"/>
      <c r="E1351" s="7">
        <f t="shared" si="596"/>
        <v>1</v>
      </c>
      <c r="F1351" s="8">
        <v>1</v>
      </c>
      <c r="G1351" s="9"/>
      <c r="H1351" s="10"/>
      <c r="I1351" s="7">
        <f t="shared" si="597"/>
        <v>1</v>
      </c>
      <c r="J1351" s="43">
        <v>45138</v>
      </c>
      <c r="K1351" s="11" t="s">
        <v>785</v>
      </c>
      <c r="L1351" s="8">
        <v>15</v>
      </c>
      <c r="M1351" s="9">
        <v>20</v>
      </c>
      <c r="N1351" s="10">
        <v>15</v>
      </c>
      <c r="O1351" s="7">
        <f t="shared" si="598"/>
        <v>50</v>
      </c>
      <c r="P1351" s="8">
        <v>15</v>
      </c>
      <c r="Q1351" s="9">
        <v>20</v>
      </c>
      <c r="R1351" s="10">
        <v>15</v>
      </c>
      <c r="S1351" s="7">
        <f t="shared" si="599"/>
        <v>50</v>
      </c>
      <c r="T1351" s="43">
        <v>45125</v>
      </c>
      <c r="U1351" s="3" t="s">
        <v>788</v>
      </c>
      <c r="V1351" s="8">
        <v>5</v>
      </c>
      <c r="W1351" s="9">
        <v>10</v>
      </c>
      <c r="X1351" s="10">
        <v>5</v>
      </c>
      <c r="Y1351" s="7">
        <f t="shared" si="600"/>
        <v>20</v>
      </c>
      <c r="Z1351" s="8">
        <v>5</v>
      </c>
      <c r="AA1351" s="9">
        <v>10</v>
      </c>
      <c r="AB1351" s="10">
        <v>5</v>
      </c>
      <c r="AC1351" s="7">
        <f t="shared" si="601"/>
        <v>20</v>
      </c>
      <c r="AD1351" s="8">
        <v>5</v>
      </c>
      <c r="AE1351" s="9">
        <v>10</v>
      </c>
      <c r="AF1351" s="10">
        <v>5</v>
      </c>
      <c r="AG1351" s="7">
        <f t="shared" si="602"/>
        <v>20</v>
      </c>
      <c r="AH1351" s="43">
        <v>45131</v>
      </c>
    </row>
    <row r="1352" spans="1:34">
      <c r="A1352" s="3"/>
      <c r="B1352" s="8"/>
      <c r="C1352" s="9"/>
      <c r="D1352" s="10"/>
      <c r="E1352" s="4">
        <f t="shared" si="596"/>
        <v>0</v>
      </c>
      <c r="F1352" s="8"/>
      <c r="G1352" s="9"/>
      <c r="H1352" s="10"/>
      <c r="I1352" s="4">
        <f t="shared" si="597"/>
        <v>0</v>
      </c>
      <c r="K1352" s="11" t="s">
        <v>778</v>
      </c>
      <c r="L1352" s="8">
        <v>6</v>
      </c>
      <c r="M1352" s="9">
        <v>8</v>
      </c>
      <c r="N1352" s="10">
        <v>8</v>
      </c>
      <c r="O1352" s="4">
        <f t="shared" si="598"/>
        <v>22</v>
      </c>
      <c r="P1352" s="8">
        <v>6</v>
      </c>
      <c r="Q1352" s="9">
        <v>8</v>
      </c>
      <c r="R1352" s="10">
        <v>8</v>
      </c>
      <c r="S1352" s="4">
        <f t="shared" si="599"/>
        <v>22</v>
      </c>
      <c r="T1352" s="43">
        <v>45121</v>
      </c>
      <c r="U1352" s="3" t="s">
        <v>797</v>
      </c>
      <c r="V1352" s="8">
        <v>11</v>
      </c>
      <c r="W1352" s="9">
        <v>11</v>
      </c>
      <c r="X1352" s="10">
        <v>11</v>
      </c>
      <c r="Y1352" s="4">
        <f t="shared" si="600"/>
        <v>33</v>
      </c>
      <c r="Z1352" s="8">
        <v>11</v>
      </c>
      <c r="AA1352" s="9">
        <v>11</v>
      </c>
      <c r="AB1352" s="10">
        <v>11</v>
      </c>
      <c r="AC1352" s="4">
        <f t="shared" si="601"/>
        <v>33</v>
      </c>
      <c r="AD1352" s="8">
        <v>11</v>
      </c>
      <c r="AE1352" s="9">
        <v>11</v>
      </c>
      <c r="AF1352" s="10">
        <v>11</v>
      </c>
      <c r="AG1352" s="4">
        <f t="shared" si="602"/>
        <v>33</v>
      </c>
      <c r="AH1352" s="43">
        <v>45135</v>
      </c>
    </row>
    <row r="1353" spans="1:34">
      <c r="A1353" s="3"/>
      <c r="B1353" s="8"/>
      <c r="C1353" s="9"/>
      <c r="D1353" s="10"/>
      <c r="E1353" s="4">
        <f t="shared" si="596"/>
        <v>0</v>
      </c>
      <c r="F1353" s="8"/>
      <c r="G1353" s="9"/>
      <c r="H1353" s="10"/>
      <c r="I1353" s="4">
        <f t="shared" si="597"/>
        <v>0</v>
      </c>
      <c r="K1353" s="11" t="s">
        <v>779</v>
      </c>
      <c r="L1353" s="8">
        <v>8</v>
      </c>
      <c r="M1353" s="9">
        <v>3</v>
      </c>
      <c r="N1353" s="10"/>
      <c r="O1353" s="4">
        <f t="shared" si="598"/>
        <v>11</v>
      </c>
      <c r="P1353" s="8">
        <v>8</v>
      </c>
      <c r="Q1353" s="9">
        <v>3</v>
      </c>
      <c r="R1353" s="10"/>
      <c r="S1353" s="4">
        <f t="shared" si="599"/>
        <v>11</v>
      </c>
      <c r="T1353" s="43">
        <v>45125</v>
      </c>
      <c r="U1353" s="3"/>
      <c r="V1353" s="8"/>
      <c r="W1353" s="9"/>
      <c r="X1353" s="10"/>
      <c r="Y1353" s="4">
        <f t="shared" si="600"/>
        <v>0</v>
      </c>
      <c r="Z1353" s="8"/>
      <c r="AA1353" s="9"/>
      <c r="AB1353" s="10"/>
      <c r="AC1353" s="4">
        <f t="shared" si="601"/>
        <v>0</v>
      </c>
      <c r="AD1353" s="8"/>
      <c r="AE1353" s="9"/>
      <c r="AF1353" s="10"/>
      <c r="AG1353" s="4">
        <f t="shared" si="602"/>
        <v>0</v>
      </c>
      <c r="AH1353" s="71"/>
    </row>
    <row r="1354" spans="1:34">
      <c r="A1354" s="3"/>
      <c r="B1354" s="8"/>
      <c r="C1354" s="9"/>
      <c r="D1354" s="10"/>
      <c r="E1354" s="7">
        <f t="shared" si="596"/>
        <v>0</v>
      </c>
      <c r="F1354" s="8"/>
      <c r="G1354" s="9"/>
      <c r="H1354" s="10"/>
      <c r="I1354" s="7">
        <f t="shared" si="597"/>
        <v>0</v>
      </c>
      <c r="K1354" s="11" t="s">
        <v>782</v>
      </c>
      <c r="L1354" s="8">
        <v>8</v>
      </c>
      <c r="M1354" s="9">
        <v>19</v>
      </c>
      <c r="N1354" s="10">
        <v>1</v>
      </c>
      <c r="O1354" s="7">
        <f t="shared" si="598"/>
        <v>28</v>
      </c>
      <c r="P1354" s="8">
        <v>8</v>
      </c>
      <c r="Q1354" s="9">
        <v>19</v>
      </c>
      <c r="R1354" s="10">
        <v>1</v>
      </c>
      <c r="S1354" s="7">
        <f t="shared" si="599"/>
        <v>28</v>
      </c>
      <c r="T1354" s="43">
        <v>45122</v>
      </c>
      <c r="U1354" s="3"/>
      <c r="V1354" s="8"/>
      <c r="W1354" s="9"/>
      <c r="X1354" s="10"/>
      <c r="Y1354" s="7">
        <f t="shared" si="600"/>
        <v>0</v>
      </c>
      <c r="Z1354" s="8"/>
      <c r="AA1354" s="9"/>
      <c r="AB1354" s="10"/>
      <c r="AC1354" s="7">
        <f t="shared" si="601"/>
        <v>0</v>
      </c>
      <c r="AD1354" s="8"/>
      <c r="AE1354" s="9"/>
      <c r="AF1354" s="10"/>
      <c r="AG1354" s="7">
        <f t="shared" si="602"/>
        <v>0</v>
      </c>
    </row>
    <row r="1355" spans="1:34">
      <c r="A1355" s="3"/>
      <c r="B1355" s="8"/>
      <c r="C1355" s="9"/>
      <c r="D1355" s="10"/>
      <c r="E1355" s="7">
        <f t="shared" si="596"/>
        <v>0</v>
      </c>
      <c r="F1355" s="8"/>
      <c r="G1355" s="9"/>
      <c r="H1355" s="10"/>
      <c r="I1355" s="7">
        <f t="shared" si="597"/>
        <v>0</v>
      </c>
      <c r="K1355" s="11" t="s">
        <v>786</v>
      </c>
      <c r="L1355" s="8">
        <v>5</v>
      </c>
      <c r="M1355" s="9">
        <v>30</v>
      </c>
      <c r="N1355" s="10">
        <v>15</v>
      </c>
      <c r="O1355" s="7">
        <f t="shared" si="598"/>
        <v>50</v>
      </c>
      <c r="P1355" s="8">
        <v>5</v>
      </c>
      <c r="Q1355" s="9">
        <v>30</v>
      </c>
      <c r="R1355" s="10">
        <v>15</v>
      </c>
      <c r="S1355" s="7">
        <f t="shared" si="599"/>
        <v>50</v>
      </c>
      <c r="T1355" s="43">
        <v>45127</v>
      </c>
      <c r="U1355" s="3"/>
      <c r="V1355" s="8"/>
      <c r="W1355" s="9"/>
      <c r="X1355" s="10"/>
      <c r="Y1355" s="7">
        <f t="shared" si="600"/>
        <v>0</v>
      </c>
      <c r="Z1355" s="8"/>
      <c r="AA1355" s="9"/>
      <c r="AB1355" s="10"/>
      <c r="AC1355" s="7">
        <f t="shared" si="601"/>
        <v>0</v>
      </c>
      <c r="AD1355" s="8"/>
      <c r="AE1355" s="9"/>
      <c r="AF1355" s="10"/>
      <c r="AG1355" s="7">
        <f t="shared" si="602"/>
        <v>0</v>
      </c>
    </row>
    <row r="1356" spans="1:34">
      <c r="A1356" s="3"/>
      <c r="B1356" s="8"/>
      <c r="C1356" s="9"/>
      <c r="D1356" s="10"/>
      <c r="E1356" s="7">
        <f t="shared" si="596"/>
        <v>0</v>
      </c>
      <c r="F1356" s="8"/>
      <c r="G1356" s="9"/>
      <c r="H1356" s="10"/>
      <c r="I1356" s="7">
        <f t="shared" si="597"/>
        <v>0</v>
      </c>
      <c r="K1356" s="11" t="s">
        <v>783</v>
      </c>
      <c r="L1356" s="8">
        <v>6</v>
      </c>
      <c r="M1356" s="9">
        <v>13</v>
      </c>
      <c r="N1356" s="10">
        <v>11</v>
      </c>
      <c r="O1356" s="7">
        <f t="shared" si="598"/>
        <v>30</v>
      </c>
      <c r="P1356" s="8">
        <v>6</v>
      </c>
      <c r="Q1356" s="9">
        <v>13</v>
      </c>
      <c r="R1356" s="10">
        <v>11</v>
      </c>
      <c r="S1356" s="7">
        <f t="shared" si="599"/>
        <v>30</v>
      </c>
      <c r="T1356" s="43">
        <v>45126</v>
      </c>
      <c r="U1356" s="3"/>
      <c r="V1356" s="8"/>
      <c r="W1356" s="9"/>
      <c r="X1356" s="10"/>
      <c r="Y1356" s="7">
        <f t="shared" si="600"/>
        <v>0</v>
      </c>
      <c r="Z1356" s="8"/>
      <c r="AA1356" s="9"/>
      <c r="AB1356" s="10"/>
      <c r="AC1356" s="7">
        <f t="shared" si="601"/>
        <v>0</v>
      </c>
      <c r="AD1356" s="8"/>
      <c r="AE1356" s="9"/>
      <c r="AF1356" s="10"/>
      <c r="AG1356" s="7">
        <f t="shared" si="602"/>
        <v>0</v>
      </c>
    </row>
    <row r="1357" spans="1:34">
      <c r="A1357" s="3"/>
      <c r="B1357" s="8"/>
      <c r="C1357" s="9"/>
      <c r="D1357" s="10"/>
      <c r="E1357" s="7">
        <f t="shared" si="596"/>
        <v>0</v>
      </c>
      <c r="F1357" s="8"/>
      <c r="G1357" s="9"/>
      <c r="H1357" s="10"/>
      <c r="I1357" s="7">
        <f t="shared" si="597"/>
        <v>0</v>
      </c>
      <c r="K1357" s="11" t="s">
        <v>787</v>
      </c>
      <c r="L1357" s="8">
        <v>4</v>
      </c>
      <c r="M1357" s="9">
        <v>11</v>
      </c>
      <c r="N1357" s="10">
        <v>3</v>
      </c>
      <c r="O1357" s="7">
        <f t="shared" si="598"/>
        <v>18</v>
      </c>
      <c r="P1357" s="8">
        <v>4</v>
      </c>
      <c r="Q1357" s="9">
        <v>11</v>
      </c>
      <c r="R1357" s="10">
        <v>3</v>
      </c>
      <c r="S1357" s="7">
        <f t="shared" si="599"/>
        <v>18</v>
      </c>
      <c r="T1357" s="43">
        <v>45127</v>
      </c>
      <c r="U1357" s="3"/>
      <c r="V1357" s="8"/>
      <c r="W1357" s="9"/>
      <c r="X1357" s="10"/>
      <c r="Y1357" s="7">
        <f t="shared" si="600"/>
        <v>0</v>
      </c>
      <c r="Z1357" s="8"/>
      <c r="AA1357" s="9"/>
      <c r="AB1357" s="10"/>
      <c r="AC1357" s="7">
        <f t="shared" si="601"/>
        <v>0</v>
      </c>
      <c r="AD1357" s="8"/>
      <c r="AE1357" s="9"/>
      <c r="AF1357" s="10"/>
      <c r="AG1357" s="7">
        <f t="shared" si="602"/>
        <v>0</v>
      </c>
    </row>
    <row r="1358" spans="1:34">
      <c r="A1358" s="3"/>
      <c r="B1358" s="8"/>
      <c r="C1358" s="9"/>
      <c r="D1358" s="10"/>
      <c r="E1358" s="7">
        <f t="shared" si="596"/>
        <v>0</v>
      </c>
      <c r="F1358" s="8"/>
      <c r="G1358" s="9"/>
      <c r="H1358" s="10"/>
      <c r="I1358" s="7">
        <f t="shared" si="597"/>
        <v>0</v>
      </c>
      <c r="K1358" s="11" t="s">
        <v>790</v>
      </c>
      <c r="L1358" s="8">
        <v>5</v>
      </c>
      <c r="M1358" s="9">
        <v>3</v>
      </c>
      <c r="N1358" s="10">
        <v>2</v>
      </c>
      <c r="O1358" s="7">
        <f t="shared" si="598"/>
        <v>10</v>
      </c>
      <c r="P1358" s="8">
        <v>5</v>
      </c>
      <c r="Q1358" s="9">
        <v>3</v>
      </c>
      <c r="R1358" s="10">
        <v>2</v>
      </c>
      <c r="S1358" s="7">
        <f t="shared" si="599"/>
        <v>10</v>
      </c>
      <c r="T1358" s="43">
        <v>45128</v>
      </c>
      <c r="U1358" s="3"/>
      <c r="V1358" s="8"/>
      <c r="W1358" s="9"/>
      <c r="X1358" s="10"/>
      <c r="Y1358" s="7">
        <f t="shared" si="600"/>
        <v>0</v>
      </c>
      <c r="Z1358" s="8"/>
      <c r="AA1358" s="9"/>
      <c r="AB1358" s="10"/>
      <c r="AC1358" s="7">
        <f t="shared" si="601"/>
        <v>0</v>
      </c>
      <c r="AD1358" s="8"/>
      <c r="AE1358" s="9"/>
      <c r="AF1358" s="10"/>
      <c r="AG1358" s="7">
        <f t="shared" si="602"/>
        <v>0</v>
      </c>
    </row>
    <row r="1359" spans="1:34">
      <c r="A1359" s="3"/>
      <c r="B1359" s="8"/>
      <c r="C1359" s="9"/>
      <c r="D1359" s="10"/>
      <c r="E1359" s="7">
        <f t="shared" si="596"/>
        <v>0</v>
      </c>
      <c r="F1359" s="8"/>
      <c r="G1359" s="9"/>
      <c r="H1359" s="10"/>
      <c r="I1359" s="7">
        <f t="shared" si="597"/>
        <v>0</v>
      </c>
      <c r="K1359" s="11" t="s">
        <v>791</v>
      </c>
      <c r="L1359" s="59">
        <v>5</v>
      </c>
      <c r="M1359" s="9">
        <v>1</v>
      </c>
      <c r="N1359" s="10">
        <v>2</v>
      </c>
      <c r="O1359" s="7">
        <f t="shared" si="598"/>
        <v>8</v>
      </c>
      <c r="P1359" s="8">
        <v>5</v>
      </c>
      <c r="Q1359" s="9">
        <v>1</v>
      </c>
      <c r="R1359" s="10">
        <v>2</v>
      </c>
      <c r="S1359" s="7">
        <f t="shared" si="599"/>
        <v>8</v>
      </c>
      <c r="T1359" s="43">
        <v>45131</v>
      </c>
      <c r="U1359" s="3"/>
      <c r="V1359" s="30"/>
      <c r="W1359" s="9"/>
      <c r="X1359" s="10"/>
      <c r="Y1359" s="7">
        <f t="shared" si="600"/>
        <v>0</v>
      </c>
      <c r="Z1359" s="8"/>
      <c r="AA1359" s="9"/>
      <c r="AB1359" s="10"/>
      <c r="AC1359" s="7">
        <f t="shared" si="601"/>
        <v>0</v>
      </c>
      <c r="AD1359" s="8"/>
      <c r="AE1359" s="9"/>
      <c r="AF1359" s="10"/>
      <c r="AG1359" s="7">
        <f t="shared" si="602"/>
        <v>0</v>
      </c>
    </row>
    <row r="1360" spans="1:34">
      <c r="A1360" s="3"/>
      <c r="B1360" s="8"/>
      <c r="C1360" s="9"/>
      <c r="D1360" s="10"/>
      <c r="E1360" s="7">
        <f t="shared" si="596"/>
        <v>0</v>
      </c>
      <c r="F1360" s="8"/>
      <c r="G1360" s="9"/>
      <c r="H1360" s="10"/>
      <c r="I1360" s="7">
        <f t="shared" si="597"/>
        <v>0</v>
      </c>
      <c r="K1360" s="3" t="s">
        <v>793</v>
      </c>
      <c r="L1360" s="8">
        <v>9</v>
      </c>
      <c r="M1360" s="9">
        <v>8</v>
      </c>
      <c r="N1360" s="10">
        <v>4</v>
      </c>
      <c r="O1360" s="7">
        <f t="shared" si="598"/>
        <v>21</v>
      </c>
      <c r="P1360" s="8">
        <v>9</v>
      </c>
      <c r="Q1360" s="9">
        <v>8</v>
      </c>
      <c r="R1360" s="10">
        <v>4</v>
      </c>
      <c r="S1360" s="7">
        <f t="shared" si="599"/>
        <v>21</v>
      </c>
      <c r="T1360" s="43">
        <v>45132</v>
      </c>
      <c r="U1360" s="3"/>
      <c r="V1360" s="8"/>
      <c r="W1360" s="9"/>
      <c r="X1360" s="10"/>
      <c r="Y1360" s="7">
        <f t="shared" si="600"/>
        <v>0</v>
      </c>
      <c r="Z1360" s="8"/>
      <c r="AA1360" s="9"/>
      <c r="AB1360" s="10"/>
      <c r="AC1360" s="7">
        <f t="shared" si="601"/>
        <v>0</v>
      </c>
      <c r="AD1360" s="8"/>
      <c r="AE1360" s="9"/>
      <c r="AF1360" s="10"/>
      <c r="AG1360" s="7">
        <f t="shared" si="602"/>
        <v>0</v>
      </c>
    </row>
    <row r="1361" spans="1:34">
      <c r="A1361" s="3"/>
      <c r="B1361" s="8"/>
      <c r="C1361" s="9"/>
      <c r="D1361" s="10"/>
      <c r="E1361" s="7">
        <f t="shared" si="596"/>
        <v>0</v>
      </c>
      <c r="F1361" s="8"/>
      <c r="G1361" s="9"/>
      <c r="H1361" s="10"/>
      <c r="I1361" s="7">
        <f t="shared" si="597"/>
        <v>0</v>
      </c>
      <c r="K1361" s="11" t="s">
        <v>794</v>
      </c>
      <c r="L1361" s="8"/>
      <c r="M1361" s="9">
        <v>2</v>
      </c>
      <c r="N1361" s="10"/>
      <c r="O1361" s="7">
        <f t="shared" si="598"/>
        <v>2</v>
      </c>
      <c r="P1361" s="8"/>
      <c r="Q1361" s="9">
        <v>2</v>
      </c>
      <c r="R1361" s="10"/>
      <c r="S1361" s="7">
        <f t="shared" si="599"/>
        <v>2</v>
      </c>
      <c r="T1361" s="43">
        <v>45135</v>
      </c>
      <c r="U1361" s="3"/>
      <c r="V1361" s="8"/>
      <c r="W1361" s="9"/>
      <c r="X1361" s="10"/>
      <c r="Y1361" s="7">
        <f t="shared" si="600"/>
        <v>0</v>
      </c>
      <c r="Z1361" s="8"/>
      <c r="AA1361" s="9"/>
      <c r="AB1361" s="10"/>
      <c r="AC1361" s="7">
        <f t="shared" si="601"/>
        <v>0</v>
      </c>
      <c r="AD1361" s="8"/>
      <c r="AE1361" s="9"/>
      <c r="AF1361" s="10"/>
      <c r="AG1361" s="7">
        <f t="shared" si="602"/>
        <v>0</v>
      </c>
    </row>
    <row r="1362" spans="1:34">
      <c r="A1362" s="3"/>
      <c r="B1362" s="8"/>
      <c r="C1362" s="9"/>
      <c r="D1362" s="10"/>
      <c r="E1362" s="7">
        <f t="shared" si="596"/>
        <v>0</v>
      </c>
      <c r="F1362" s="8"/>
      <c r="G1362" s="9"/>
      <c r="H1362" s="10"/>
      <c r="I1362" s="7">
        <f t="shared" si="597"/>
        <v>0</v>
      </c>
      <c r="K1362" s="11" t="s">
        <v>795</v>
      </c>
      <c r="L1362" s="8">
        <v>25</v>
      </c>
      <c r="M1362" s="9">
        <v>30</v>
      </c>
      <c r="N1362" s="10">
        <v>20</v>
      </c>
      <c r="O1362" s="7">
        <f t="shared" si="598"/>
        <v>75</v>
      </c>
      <c r="P1362" s="8">
        <v>25</v>
      </c>
      <c r="Q1362" s="9">
        <v>30</v>
      </c>
      <c r="R1362" s="10">
        <v>20</v>
      </c>
      <c r="S1362" s="7">
        <f t="shared" si="599"/>
        <v>75</v>
      </c>
      <c r="T1362" s="43">
        <v>45134</v>
      </c>
      <c r="U1362" s="3"/>
      <c r="V1362" s="8"/>
      <c r="W1362" s="9"/>
      <c r="X1362" s="10"/>
      <c r="Y1362" s="7">
        <f t="shared" si="600"/>
        <v>0</v>
      </c>
      <c r="Z1362" s="8"/>
      <c r="AA1362" s="9"/>
      <c r="AB1362" s="10"/>
      <c r="AC1362" s="7">
        <f t="shared" si="601"/>
        <v>0</v>
      </c>
      <c r="AD1362" s="8"/>
      <c r="AE1362" s="9"/>
      <c r="AF1362" s="10"/>
      <c r="AG1362" s="7">
        <f t="shared" si="602"/>
        <v>0</v>
      </c>
    </row>
    <row r="1363" spans="1:34">
      <c r="A1363" s="3"/>
      <c r="B1363" s="8"/>
      <c r="C1363" s="9"/>
      <c r="D1363" s="10"/>
      <c r="E1363" s="7">
        <f t="shared" si="596"/>
        <v>0</v>
      </c>
      <c r="F1363" s="8"/>
      <c r="G1363" s="9"/>
      <c r="H1363" s="10"/>
      <c r="I1363" s="7">
        <f t="shared" si="597"/>
        <v>0</v>
      </c>
      <c r="K1363" s="3" t="s">
        <v>796</v>
      </c>
      <c r="L1363" s="8">
        <v>1</v>
      </c>
      <c r="M1363" s="9">
        <v>3</v>
      </c>
      <c r="N1363" s="10">
        <v>6</v>
      </c>
      <c r="O1363" s="7">
        <f t="shared" si="598"/>
        <v>10</v>
      </c>
      <c r="P1363" s="8">
        <v>1</v>
      </c>
      <c r="Q1363" s="9">
        <v>3</v>
      </c>
      <c r="R1363" s="10">
        <v>6</v>
      </c>
      <c r="S1363" s="7">
        <f t="shared" si="599"/>
        <v>10</v>
      </c>
      <c r="T1363" s="43">
        <v>45133</v>
      </c>
      <c r="U1363" s="3"/>
      <c r="V1363" s="8"/>
      <c r="W1363" s="9"/>
      <c r="X1363" s="10"/>
      <c r="Y1363" s="7">
        <f t="shared" si="600"/>
        <v>0</v>
      </c>
      <c r="Z1363" s="8"/>
      <c r="AA1363" s="9"/>
      <c r="AB1363" s="10"/>
      <c r="AC1363" s="7">
        <f t="shared" si="601"/>
        <v>0</v>
      </c>
      <c r="AD1363" s="8"/>
      <c r="AE1363" s="9"/>
      <c r="AF1363" s="10"/>
      <c r="AG1363" s="7">
        <f t="shared" si="602"/>
        <v>0</v>
      </c>
    </row>
    <row r="1364" spans="1:34">
      <c r="A1364" s="3"/>
      <c r="B1364" s="8"/>
      <c r="C1364" s="9"/>
      <c r="D1364" s="10"/>
      <c r="E1364" s="7">
        <f t="shared" si="596"/>
        <v>0</v>
      </c>
      <c r="F1364" s="8"/>
      <c r="G1364" s="9"/>
      <c r="H1364" s="10"/>
      <c r="I1364" s="7">
        <f t="shared" si="597"/>
        <v>0</v>
      </c>
      <c r="K1364" s="3" t="s">
        <v>799</v>
      </c>
      <c r="L1364" s="8">
        <v>3</v>
      </c>
      <c r="M1364" s="9">
        <v>3</v>
      </c>
      <c r="N1364" s="10">
        <v>9</v>
      </c>
      <c r="O1364" s="7">
        <f t="shared" si="598"/>
        <v>15</v>
      </c>
      <c r="P1364" s="8">
        <v>3</v>
      </c>
      <c r="Q1364" s="9">
        <v>3</v>
      </c>
      <c r="R1364" s="10">
        <v>9</v>
      </c>
      <c r="S1364" s="7">
        <f t="shared" si="599"/>
        <v>15</v>
      </c>
      <c r="T1364" s="43">
        <v>45134</v>
      </c>
      <c r="U1364" s="3"/>
      <c r="V1364" s="8"/>
      <c r="W1364" s="9"/>
      <c r="X1364" s="10"/>
      <c r="Y1364" s="7">
        <f t="shared" si="600"/>
        <v>0</v>
      </c>
      <c r="Z1364" s="8"/>
      <c r="AA1364" s="9"/>
      <c r="AB1364" s="10"/>
      <c r="AC1364" s="7">
        <f t="shared" si="601"/>
        <v>0</v>
      </c>
      <c r="AD1364" s="8"/>
      <c r="AE1364" s="9"/>
      <c r="AF1364" s="10"/>
      <c r="AG1364" s="7">
        <f t="shared" si="602"/>
        <v>0</v>
      </c>
    </row>
    <row r="1365" spans="1:34">
      <c r="A1365" s="3"/>
      <c r="B1365" s="8"/>
      <c r="C1365" s="9"/>
      <c r="D1365" s="10"/>
      <c r="E1365" s="7">
        <f t="shared" si="596"/>
        <v>0</v>
      </c>
      <c r="F1365" s="8"/>
      <c r="G1365" s="9"/>
      <c r="H1365" s="10"/>
      <c r="I1365" s="7">
        <f t="shared" si="597"/>
        <v>0</v>
      </c>
      <c r="K1365" s="11" t="s">
        <v>800</v>
      </c>
      <c r="L1365" s="8">
        <v>7</v>
      </c>
      <c r="M1365" s="9">
        <v>10</v>
      </c>
      <c r="N1365" s="10">
        <v>6</v>
      </c>
      <c r="O1365" s="7">
        <f t="shared" si="598"/>
        <v>23</v>
      </c>
      <c r="P1365" s="8">
        <v>7</v>
      </c>
      <c r="Q1365" s="9">
        <v>10</v>
      </c>
      <c r="R1365" s="10">
        <v>6</v>
      </c>
      <c r="S1365" s="7">
        <f t="shared" si="599"/>
        <v>23</v>
      </c>
      <c r="T1365" s="43">
        <v>45141</v>
      </c>
      <c r="U1365" s="3"/>
      <c r="V1365" s="8"/>
      <c r="W1365" s="9"/>
      <c r="X1365" s="10"/>
      <c r="Y1365" s="7">
        <f t="shared" si="600"/>
        <v>0</v>
      </c>
      <c r="Z1365" s="8"/>
      <c r="AA1365" s="9"/>
      <c r="AB1365" s="10"/>
      <c r="AC1365" s="7">
        <f t="shared" si="601"/>
        <v>0</v>
      </c>
      <c r="AD1365" s="8"/>
      <c r="AE1365" s="9"/>
      <c r="AF1365" s="10"/>
      <c r="AG1365" s="7">
        <f t="shared" si="602"/>
        <v>0</v>
      </c>
    </row>
    <row r="1366" spans="1:34">
      <c r="A1366" s="3"/>
      <c r="B1366" s="8"/>
      <c r="C1366" s="9"/>
      <c r="D1366" s="10"/>
      <c r="E1366" s="7">
        <f t="shared" si="596"/>
        <v>0</v>
      </c>
      <c r="F1366" s="8"/>
      <c r="G1366" s="9"/>
      <c r="H1366" s="10"/>
      <c r="I1366" s="7">
        <f t="shared" si="597"/>
        <v>0</v>
      </c>
      <c r="K1366" s="3" t="s">
        <v>801</v>
      </c>
      <c r="L1366" s="8">
        <v>3</v>
      </c>
      <c r="M1366" s="9">
        <v>1</v>
      </c>
      <c r="N1366" s="10">
        <v>4</v>
      </c>
      <c r="O1366" s="7">
        <f t="shared" ref="O1366:O1369" si="609">SUM(L1366:N1366)</f>
        <v>8</v>
      </c>
      <c r="P1366" s="8">
        <v>3</v>
      </c>
      <c r="Q1366" s="9">
        <v>1</v>
      </c>
      <c r="R1366" s="10">
        <v>4</v>
      </c>
      <c r="S1366" s="7">
        <f t="shared" ref="S1366:S1369" si="610">SUM(P1366:R1366)</f>
        <v>8</v>
      </c>
      <c r="T1366" s="43">
        <v>45135</v>
      </c>
      <c r="U1366" s="3"/>
      <c r="V1366" s="8"/>
      <c r="W1366" s="9"/>
      <c r="X1366" s="10"/>
      <c r="Y1366" s="7">
        <f t="shared" si="600"/>
        <v>0</v>
      </c>
      <c r="Z1366" s="8"/>
      <c r="AA1366" s="9"/>
      <c r="AB1366" s="10"/>
      <c r="AC1366" s="7">
        <f t="shared" si="601"/>
        <v>0</v>
      </c>
      <c r="AD1366" s="8"/>
      <c r="AE1366" s="9"/>
      <c r="AF1366" s="10"/>
      <c r="AG1366" s="7">
        <f t="shared" si="602"/>
        <v>0</v>
      </c>
    </row>
    <row r="1367" spans="1:34">
      <c r="A1367" s="11"/>
      <c r="B1367" s="8"/>
      <c r="C1367" s="9"/>
      <c r="D1367" s="10"/>
      <c r="E1367" s="7">
        <f t="shared" si="596"/>
        <v>0</v>
      </c>
      <c r="F1367" s="8"/>
      <c r="G1367" s="9"/>
      <c r="H1367" s="10"/>
      <c r="I1367" s="7">
        <f t="shared" si="597"/>
        <v>0</v>
      </c>
      <c r="K1367" s="11" t="s">
        <v>803</v>
      </c>
      <c r="L1367" s="8">
        <v>40</v>
      </c>
      <c r="M1367" s="9">
        <v>60</v>
      </c>
      <c r="N1367" s="10">
        <v>20</v>
      </c>
      <c r="O1367" s="7">
        <f t="shared" si="609"/>
        <v>120</v>
      </c>
      <c r="P1367" s="8">
        <v>40</v>
      </c>
      <c r="Q1367" s="9">
        <v>60</v>
      </c>
      <c r="R1367" s="10">
        <v>20</v>
      </c>
      <c r="S1367" s="7">
        <f t="shared" si="610"/>
        <v>120</v>
      </c>
      <c r="T1367" s="43">
        <v>45140</v>
      </c>
      <c r="U1367" s="3"/>
      <c r="V1367" s="8"/>
      <c r="W1367" s="9"/>
      <c r="X1367" s="10"/>
      <c r="Y1367" s="7">
        <f t="shared" si="600"/>
        <v>0</v>
      </c>
      <c r="Z1367" s="8"/>
      <c r="AA1367" s="9"/>
      <c r="AB1367" s="10"/>
      <c r="AC1367" s="7">
        <f t="shared" si="601"/>
        <v>0</v>
      </c>
      <c r="AD1367" s="8"/>
      <c r="AE1367" s="9"/>
      <c r="AF1367" s="10"/>
      <c r="AG1367" s="7">
        <f t="shared" si="602"/>
        <v>0</v>
      </c>
    </row>
    <row r="1368" spans="1:34">
      <c r="A1368" s="11"/>
      <c r="B1368" s="8"/>
      <c r="C1368" s="9"/>
      <c r="D1368" s="10"/>
      <c r="E1368" s="7">
        <f t="shared" si="596"/>
        <v>0</v>
      </c>
      <c r="F1368" s="8"/>
      <c r="G1368" s="9"/>
      <c r="H1368" s="10"/>
      <c r="I1368" s="7">
        <f t="shared" si="597"/>
        <v>0</v>
      </c>
      <c r="K1368" s="3" t="s">
        <v>802</v>
      </c>
      <c r="L1368" s="8">
        <v>1</v>
      </c>
      <c r="M1368" s="9">
        <v>5</v>
      </c>
      <c r="N1368" s="10"/>
      <c r="O1368" s="7">
        <f t="shared" si="609"/>
        <v>6</v>
      </c>
      <c r="P1368" s="8">
        <v>1</v>
      </c>
      <c r="Q1368" s="9">
        <v>5</v>
      </c>
      <c r="R1368" s="10"/>
      <c r="S1368" s="7">
        <f t="shared" si="610"/>
        <v>6</v>
      </c>
      <c r="T1368" s="43">
        <v>45139</v>
      </c>
      <c r="U1368" s="3"/>
      <c r="V1368" s="8"/>
      <c r="W1368" s="9"/>
      <c r="X1368" s="10"/>
      <c r="Y1368" s="7">
        <f t="shared" si="600"/>
        <v>0</v>
      </c>
      <c r="Z1368" s="8"/>
      <c r="AA1368" s="9"/>
      <c r="AB1368" s="10"/>
      <c r="AC1368" s="7">
        <f t="shared" si="601"/>
        <v>0</v>
      </c>
      <c r="AD1368" s="8"/>
      <c r="AE1368" s="9"/>
      <c r="AF1368" s="10"/>
      <c r="AG1368" s="7">
        <f t="shared" si="602"/>
        <v>0</v>
      </c>
    </row>
    <row r="1369" spans="1:34">
      <c r="A1369" s="11"/>
      <c r="B1369" s="8"/>
      <c r="C1369" s="9"/>
      <c r="D1369" s="10"/>
      <c r="E1369" s="7">
        <f t="shared" si="596"/>
        <v>0</v>
      </c>
      <c r="F1369" s="8"/>
      <c r="G1369" s="9"/>
      <c r="H1369" s="10"/>
      <c r="I1369" s="7">
        <f t="shared" si="597"/>
        <v>0</v>
      </c>
      <c r="K1369" s="3" t="s">
        <v>856</v>
      </c>
      <c r="L1369" s="8">
        <v>-8</v>
      </c>
      <c r="M1369" s="9">
        <v>-6</v>
      </c>
      <c r="N1369" s="10">
        <v>-4</v>
      </c>
      <c r="O1369" s="7">
        <f t="shared" si="609"/>
        <v>-18</v>
      </c>
      <c r="P1369" s="8">
        <v>-8</v>
      </c>
      <c r="Q1369" s="9">
        <v>-6</v>
      </c>
      <c r="R1369" s="10">
        <v>-4</v>
      </c>
      <c r="S1369" s="7">
        <f t="shared" si="610"/>
        <v>-18</v>
      </c>
      <c r="U1369" s="11"/>
      <c r="V1369" s="8"/>
      <c r="W1369" s="9"/>
      <c r="X1369" s="10"/>
      <c r="Y1369" s="7">
        <f t="shared" si="600"/>
        <v>0</v>
      </c>
      <c r="Z1369" s="8"/>
      <c r="AA1369" s="9"/>
      <c r="AB1369" s="10"/>
      <c r="AC1369" s="7">
        <f t="shared" si="601"/>
        <v>0</v>
      </c>
      <c r="AD1369" s="8"/>
      <c r="AE1369" s="9"/>
      <c r="AF1369" s="10"/>
      <c r="AG1369" s="7">
        <f t="shared" si="602"/>
        <v>0</v>
      </c>
    </row>
    <row r="1370" spans="1:34">
      <c r="A1370" s="11"/>
      <c r="B1370" s="8"/>
      <c r="C1370" s="9"/>
      <c r="D1370" s="10"/>
      <c r="E1370" s="7">
        <f t="shared" si="596"/>
        <v>0</v>
      </c>
      <c r="F1370" s="8"/>
      <c r="G1370" s="9"/>
      <c r="H1370" s="10"/>
      <c r="I1370" s="7">
        <f t="shared" si="597"/>
        <v>0</v>
      </c>
      <c r="K1370" s="11" t="s">
        <v>721</v>
      </c>
      <c r="L1370" s="8"/>
      <c r="M1370" s="9"/>
      <c r="N1370" s="10"/>
      <c r="O1370" s="7">
        <f t="shared" ref="O1370:O1372" si="611">SUM(L1370:N1370)</f>
        <v>0</v>
      </c>
      <c r="P1370" s="8"/>
      <c r="Q1370" s="9"/>
      <c r="R1370" s="10"/>
      <c r="S1370" s="7">
        <f t="shared" ref="S1370:S1372" si="612">SUM(P1370:R1370)</f>
        <v>0</v>
      </c>
      <c r="T1370" s="71" t="s">
        <v>722</v>
      </c>
      <c r="U1370" s="3"/>
      <c r="V1370" s="8"/>
      <c r="W1370" s="9"/>
      <c r="X1370" s="10"/>
      <c r="Y1370" s="7">
        <f t="shared" si="600"/>
        <v>0</v>
      </c>
      <c r="Z1370" s="8"/>
      <c r="AA1370" s="9"/>
      <c r="AB1370" s="10"/>
      <c r="AC1370" s="7">
        <f t="shared" si="601"/>
        <v>0</v>
      </c>
      <c r="AD1370" s="8"/>
      <c r="AE1370" s="9"/>
      <c r="AF1370" s="10"/>
      <c r="AG1370" s="7">
        <f t="shared" si="602"/>
        <v>0</v>
      </c>
    </row>
    <row r="1371" spans="1:34">
      <c r="A1371" s="11"/>
      <c r="B1371" s="8"/>
      <c r="C1371" s="9"/>
      <c r="D1371" s="10"/>
      <c r="E1371" s="7">
        <f t="shared" si="596"/>
        <v>0</v>
      </c>
      <c r="F1371" s="8"/>
      <c r="G1371" s="9"/>
      <c r="H1371" s="10"/>
      <c r="I1371" s="7">
        <f t="shared" si="597"/>
        <v>0</v>
      </c>
      <c r="K1371" s="11" t="s">
        <v>704</v>
      </c>
      <c r="L1371" s="8"/>
      <c r="M1371" s="9"/>
      <c r="N1371" s="10"/>
      <c r="O1371" s="7">
        <f t="shared" si="611"/>
        <v>0</v>
      </c>
      <c r="P1371" s="8"/>
      <c r="Q1371" s="9"/>
      <c r="R1371" s="10"/>
      <c r="S1371" s="7">
        <f t="shared" si="612"/>
        <v>0</v>
      </c>
      <c r="T1371" s="71" t="s">
        <v>111</v>
      </c>
      <c r="U1371" s="3"/>
      <c r="V1371" s="8"/>
      <c r="W1371" s="9"/>
      <c r="X1371" s="10"/>
      <c r="Y1371" s="7">
        <f t="shared" si="600"/>
        <v>0</v>
      </c>
      <c r="Z1371" s="8"/>
      <c r="AA1371" s="9"/>
      <c r="AB1371" s="10"/>
      <c r="AC1371" s="7">
        <f t="shared" si="601"/>
        <v>0</v>
      </c>
      <c r="AD1371" s="8"/>
      <c r="AE1371" s="9"/>
      <c r="AF1371" s="10"/>
      <c r="AG1371" s="7">
        <f t="shared" si="602"/>
        <v>0</v>
      </c>
    </row>
    <row r="1372" spans="1:34" ht="14.25" thickBot="1">
      <c r="A1372" s="3"/>
      <c r="B1372" s="8"/>
      <c r="C1372" s="9"/>
      <c r="D1372" s="10"/>
      <c r="E1372" s="7">
        <f t="shared" si="596"/>
        <v>0</v>
      </c>
      <c r="F1372" s="8"/>
      <c r="G1372" s="9"/>
      <c r="H1372" s="10"/>
      <c r="I1372" s="7">
        <f t="shared" si="597"/>
        <v>0</v>
      </c>
      <c r="K1372" s="11" t="s">
        <v>725</v>
      </c>
      <c r="L1372" s="8"/>
      <c r="M1372" s="9"/>
      <c r="N1372" s="10"/>
      <c r="O1372" s="7">
        <f t="shared" si="611"/>
        <v>0</v>
      </c>
      <c r="P1372" s="8"/>
      <c r="Q1372" s="9"/>
      <c r="R1372" s="10"/>
      <c r="S1372" s="7">
        <f t="shared" si="612"/>
        <v>0</v>
      </c>
      <c r="T1372" s="71" t="s">
        <v>726</v>
      </c>
      <c r="U1372" s="3" t="s">
        <v>690</v>
      </c>
      <c r="V1372" s="8"/>
      <c r="W1372" s="9"/>
      <c r="X1372" s="10"/>
      <c r="Y1372" s="7">
        <f t="shared" si="600"/>
        <v>0</v>
      </c>
      <c r="Z1372" s="8"/>
      <c r="AA1372" s="9"/>
      <c r="AB1372" s="10"/>
      <c r="AC1372" s="7">
        <f t="shared" si="601"/>
        <v>0</v>
      </c>
      <c r="AD1372" s="8"/>
      <c r="AE1372" s="9"/>
      <c r="AF1372" s="10"/>
      <c r="AG1372" s="7">
        <f t="shared" si="602"/>
        <v>0</v>
      </c>
      <c r="AH1372" s="71" t="s">
        <v>109</v>
      </c>
    </row>
    <row r="1373" spans="1:34" ht="14.25" thickBot="1">
      <c r="A1373" s="2" t="s">
        <v>5</v>
      </c>
      <c r="B1373" s="14">
        <f>SUM(B1349:B1372)</f>
        <v>3</v>
      </c>
      <c r="C1373" s="14">
        <f>SUM(C1349:C1372)</f>
        <v>1</v>
      </c>
      <c r="D1373" s="14">
        <f>SUM(D1349:D1372)</f>
        <v>0</v>
      </c>
      <c r="E1373" s="15">
        <f t="shared" si="596"/>
        <v>4</v>
      </c>
      <c r="F1373" s="14">
        <f>SUM(F1349:F1372)</f>
        <v>3</v>
      </c>
      <c r="G1373" s="14">
        <f>SUM(G1349:G1372)</f>
        <v>1</v>
      </c>
      <c r="H1373" s="14">
        <f>SUM(H1349:H1372)</f>
        <v>0</v>
      </c>
      <c r="I1373" s="15">
        <f t="shared" si="597"/>
        <v>4</v>
      </c>
      <c r="K1373" s="2" t="s">
        <v>5</v>
      </c>
      <c r="L1373" s="14">
        <f>SUM(L1349:L1372)</f>
        <v>161</v>
      </c>
      <c r="M1373" s="14">
        <f>SUM(M1349:M1372)</f>
        <v>252</v>
      </c>
      <c r="N1373" s="14">
        <f>SUM(N1349:N1372)</f>
        <v>138</v>
      </c>
      <c r="O1373" s="15">
        <f t="shared" si="598"/>
        <v>551</v>
      </c>
      <c r="P1373" s="14">
        <f>SUM(P1349:P1372)</f>
        <v>161</v>
      </c>
      <c r="Q1373" s="14">
        <f>SUM(Q1349:Q1372)</f>
        <v>252</v>
      </c>
      <c r="R1373" s="14">
        <f>SUM(R1349:R1372)</f>
        <v>138</v>
      </c>
      <c r="S1373" s="15">
        <f t="shared" si="599"/>
        <v>551</v>
      </c>
      <c r="U1373" s="2" t="s">
        <v>5</v>
      </c>
      <c r="V1373" s="14">
        <f>SUM(V1349:V1372)</f>
        <v>37</v>
      </c>
      <c r="W1373" s="14">
        <f>SUM(W1349:W1372)</f>
        <v>42</v>
      </c>
      <c r="X1373" s="14">
        <f>SUM(X1349:X1372)</f>
        <v>32</v>
      </c>
      <c r="Y1373" s="15">
        <f t="shared" si="600"/>
        <v>111</v>
      </c>
      <c r="Z1373" s="14">
        <f>SUM(Z1349:Z1372)</f>
        <v>37</v>
      </c>
      <c r="AA1373" s="14">
        <f>SUM(AA1349:AA1372)</f>
        <v>42</v>
      </c>
      <c r="AB1373" s="14">
        <f>SUM(AB1349:AB1372)</f>
        <v>32</v>
      </c>
      <c r="AC1373" s="15">
        <f t="shared" si="601"/>
        <v>111</v>
      </c>
      <c r="AD1373" s="14">
        <f>SUM(AD1349:AD1372)</f>
        <v>37</v>
      </c>
      <c r="AE1373" s="14">
        <f>SUM(AE1349:AE1372)</f>
        <v>42</v>
      </c>
      <c r="AF1373" s="14">
        <f>SUM(AF1349:AF1372)</f>
        <v>32</v>
      </c>
      <c r="AG1373" s="15">
        <f t="shared" si="602"/>
        <v>111</v>
      </c>
    </row>
    <row r="1374" spans="1:34" ht="14.25" thickBot="1">
      <c r="A1374" s="27" t="s">
        <v>6</v>
      </c>
      <c r="B1374" s="28">
        <f>B1348-B1373</f>
        <v>13</v>
      </c>
      <c r="C1374" s="28">
        <f t="shared" ref="C1374:E1374" si="613">C1348-C1373</f>
        <v>10</v>
      </c>
      <c r="D1374" s="28">
        <f t="shared" si="613"/>
        <v>11</v>
      </c>
      <c r="E1374" s="28">
        <f t="shared" si="613"/>
        <v>34</v>
      </c>
      <c r="F1374" s="28">
        <f>F1348-F1373</f>
        <v>13</v>
      </c>
      <c r="G1374" s="28">
        <f t="shared" ref="G1374:I1374" si="614">G1348-G1373</f>
        <v>10</v>
      </c>
      <c r="H1374" s="28">
        <f t="shared" si="614"/>
        <v>11</v>
      </c>
      <c r="I1374" s="26">
        <f t="shared" si="614"/>
        <v>34</v>
      </c>
      <c r="K1374" s="27" t="s">
        <v>6</v>
      </c>
      <c r="L1374" s="28">
        <f>L1348-L1373</f>
        <v>169</v>
      </c>
      <c r="M1374" s="28">
        <f t="shared" ref="M1374:O1374" si="615">M1348-M1373</f>
        <v>189</v>
      </c>
      <c r="N1374" s="28">
        <f t="shared" si="615"/>
        <v>107</v>
      </c>
      <c r="O1374" s="28">
        <f t="shared" si="615"/>
        <v>465</v>
      </c>
      <c r="P1374" s="28">
        <f>P1348-P1373</f>
        <v>169</v>
      </c>
      <c r="Q1374" s="28">
        <f t="shared" ref="Q1374:S1374" si="616">Q1348-Q1373</f>
        <v>189</v>
      </c>
      <c r="R1374" s="28">
        <f t="shared" si="616"/>
        <v>107</v>
      </c>
      <c r="S1374" s="26">
        <f t="shared" si="616"/>
        <v>465</v>
      </c>
      <c r="U1374" s="27" t="s">
        <v>6</v>
      </c>
      <c r="V1374" s="28">
        <f>V1348-V1373</f>
        <v>0</v>
      </c>
      <c r="W1374" s="28">
        <f t="shared" ref="W1374:Y1374" si="617">W1348-W1373</f>
        <v>14</v>
      </c>
      <c r="X1374" s="28">
        <f t="shared" si="617"/>
        <v>7</v>
      </c>
      <c r="Y1374" s="28">
        <f t="shared" si="617"/>
        <v>21</v>
      </c>
      <c r="Z1374" s="28">
        <f>Z1348-Z1373</f>
        <v>0</v>
      </c>
      <c r="AA1374" s="28">
        <f t="shared" ref="AA1374:AC1374" si="618">AA1348-AA1373</f>
        <v>14</v>
      </c>
      <c r="AB1374" s="28">
        <f t="shared" si="618"/>
        <v>7</v>
      </c>
      <c r="AC1374" s="26">
        <f t="shared" si="618"/>
        <v>21</v>
      </c>
      <c r="AD1374" s="28">
        <f>AD1348-AD1373</f>
        <v>0</v>
      </c>
      <c r="AE1374" s="28">
        <f t="shared" ref="AE1374:AG1374" si="619">AE1348-AE1373</f>
        <v>14</v>
      </c>
      <c r="AF1374" s="28">
        <f t="shared" si="619"/>
        <v>7</v>
      </c>
      <c r="AG1374" s="26">
        <f t="shared" si="619"/>
        <v>21</v>
      </c>
    </row>
    <row r="1375" spans="1:34">
      <c r="K1375" s="130"/>
      <c r="L1375" s="70"/>
      <c r="M1375" s="70"/>
      <c r="N1375" s="70"/>
      <c r="O1375" s="70"/>
      <c r="P1375" s="70"/>
      <c r="Q1375" s="70"/>
      <c r="R1375" s="70"/>
      <c r="S1375" s="70"/>
    </row>
    <row r="1376" spans="1:34">
      <c r="L1376" s="106"/>
      <c r="M1376" s="106"/>
      <c r="N1376" s="106"/>
      <c r="O1376" s="106"/>
    </row>
    <row r="1377" spans="1:34" ht="26.25" thickBot="1">
      <c r="A1377" s="33" t="s">
        <v>621</v>
      </c>
      <c r="B1377" s="34"/>
      <c r="C1377" s="34"/>
      <c r="D1377" s="34"/>
      <c r="E1377" s="34"/>
      <c r="F1377" s="35"/>
      <c r="G1377" s="35"/>
      <c r="H1377" s="35"/>
      <c r="I1377" s="35"/>
      <c r="K1377" s="33" t="s">
        <v>620</v>
      </c>
      <c r="L1377" s="34"/>
      <c r="M1377" s="34"/>
      <c r="N1377" s="34"/>
      <c r="O1377" s="34"/>
      <c r="P1377" s="35"/>
      <c r="Q1377" s="35"/>
      <c r="R1377" s="35"/>
      <c r="S1377" s="35"/>
      <c r="U1377" s="113" t="s">
        <v>622</v>
      </c>
      <c r="V1377" s="114"/>
      <c r="W1377" s="114"/>
      <c r="X1377" s="114"/>
      <c r="Y1377" s="114"/>
      <c r="Z1377" s="115"/>
      <c r="AA1377" s="115"/>
      <c r="AB1377" s="115"/>
      <c r="AC1377" s="115"/>
      <c r="AD1377" s="116"/>
      <c r="AE1377" s="116"/>
    </row>
    <row r="1378" spans="1:34" ht="14.25" thickBot="1">
      <c r="A1378" s="1" t="s">
        <v>0</v>
      </c>
      <c r="B1378" s="182" t="s">
        <v>17</v>
      </c>
      <c r="C1378" s="182"/>
      <c r="D1378" s="182"/>
      <c r="E1378" s="183"/>
      <c r="F1378" s="182" t="s">
        <v>13</v>
      </c>
      <c r="G1378" s="182"/>
      <c r="H1378" s="182"/>
      <c r="I1378" s="183"/>
      <c r="K1378" s="1" t="s">
        <v>0</v>
      </c>
      <c r="L1378" s="182" t="s">
        <v>17</v>
      </c>
      <c r="M1378" s="182"/>
      <c r="N1378" s="182"/>
      <c r="O1378" s="183"/>
      <c r="P1378" s="182" t="s">
        <v>13</v>
      </c>
      <c r="Q1378" s="182"/>
      <c r="R1378" s="182"/>
      <c r="S1378" s="183"/>
      <c r="U1378" s="1" t="s">
        <v>0</v>
      </c>
      <c r="V1378" s="182" t="s">
        <v>17</v>
      </c>
      <c r="W1378" s="182"/>
      <c r="X1378" s="182"/>
      <c r="Y1378" s="183"/>
      <c r="Z1378" s="182" t="s">
        <v>13</v>
      </c>
      <c r="AA1378" s="182"/>
      <c r="AB1378" s="182"/>
      <c r="AC1378" s="183"/>
      <c r="AD1378" s="182" t="s">
        <v>242</v>
      </c>
      <c r="AE1378" s="182"/>
      <c r="AF1378" s="182"/>
      <c r="AG1378" s="183"/>
    </row>
    <row r="1379" spans="1:34" ht="14.25" thickBot="1">
      <c r="A1379" s="1" t="s">
        <v>1</v>
      </c>
      <c r="B1379" s="2" t="s">
        <v>8</v>
      </c>
      <c r="C1379" s="1" t="s">
        <v>9</v>
      </c>
      <c r="D1379" s="19" t="s">
        <v>10</v>
      </c>
      <c r="E1379" s="1" t="s">
        <v>2</v>
      </c>
      <c r="F1379" s="2" t="s">
        <v>8</v>
      </c>
      <c r="G1379" s="1" t="s">
        <v>9</v>
      </c>
      <c r="H1379" s="19" t="s">
        <v>10</v>
      </c>
      <c r="I1379" s="1" t="s">
        <v>2</v>
      </c>
      <c r="K1379" s="1" t="s">
        <v>1</v>
      </c>
      <c r="L1379" s="2" t="s">
        <v>8</v>
      </c>
      <c r="M1379" s="1" t="s">
        <v>9</v>
      </c>
      <c r="N1379" s="19" t="s">
        <v>10</v>
      </c>
      <c r="O1379" s="1" t="s">
        <v>2</v>
      </c>
      <c r="P1379" s="2" t="s">
        <v>8</v>
      </c>
      <c r="Q1379" s="1" t="s">
        <v>9</v>
      </c>
      <c r="R1379" s="19" t="s">
        <v>10</v>
      </c>
      <c r="S1379" s="1" t="s">
        <v>2</v>
      </c>
      <c r="U1379" s="1" t="s">
        <v>1</v>
      </c>
      <c r="V1379" s="2" t="s">
        <v>8</v>
      </c>
      <c r="W1379" s="1" t="s">
        <v>9</v>
      </c>
      <c r="X1379" s="19" t="s">
        <v>10</v>
      </c>
      <c r="Y1379" s="1" t="s">
        <v>2</v>
      </c>
      <c r="Z1379" s="2" t="s">
        <v>8</v>
      </c>
      <c r="AA1379" s="1" t="s">
        <v>9</v>
      </c>
      <c r="AB1379" s="19" t="s">
        <v>10</v>
      </c>
      <c r="AC1379" s="1" t="s">
        <v>2</v>
      </c>
      <c r="AD1379" s="2" t="s">
        <v>8</v>
      </c>
      <c r="AE1379" s="1" t="s">
        <v>9</v>
      </c>
      <c r="AF1379" s="19" t="s">
        <v>10</v>
      </c>
      <c r="AG1379" s="1" t="s">
        <v>2</v>
      </c>
    </row>
    <row r="1380" spans="1:34">
      <c r="A1380" s="21" t="s">
        <v>7</v>
      </c>
      <c r="B1380" s="18">
        <f>B1374</f>
        <v>13</v>
      </c>
      <c r="C1380" s="22">
        <f>C1374</f>
        <v>10</v>
      </c>
      <c r="D1380" s="22">
        <f>D1374</f>
        <v>11</v>
      </c>
      <c r="E1380" s="17">
        <f t="shared" ref="E1380:E1416" si="620">SUM(B1380:D1380)</f>
        <v>34</v>
      </c>
      <c r="F1380" s="22">
        <f>F1374</f>
        <v>13</v>
      </c>
      <c r="G1380" s="22">
        <f>G1374</f>
        <v>10</v>
      </c>
      <c r="H1380" s="22">
        <f>H1374</f>
        <v>11</v>
      </c>
      <c r="I1380" s="17">
        <f t="shared" ref="I1380:I1416" si="621">SUM(F1380:H1380)</f>
        <v>34</v>
      </c>
      <c r="K1380" s="21" t="s">
        <v>7</v>
      </c>
      <c r="L1380" s="18">
        <f>L1374</f>
        <v>169</v>
      </c>
      <c r="M1380" s="22">
        <f>M1374</f>
        <v>189</v>
      </c>
      <c r="N1380" s="22">
        <f>N1374</f>
        <v>107</v>
      </c>
      <c r="O1380" s="17">
        <f t="shared" ref="O1380:O1416" si="622">SUM(L1380:N1380)</f>
        <v>465</v>
      </c>
      <c r="P1380" s="22">
        <f>P1374</f>
        <v>169</v>
      </c>
      <c r="Q1380" s="22">
        <f>Q1374</f>
        <v>189</v>
      </c>
      <c r="R1380" s="22">
        <f>R1374</f>
        <v>107</v>
      </c>
      <c r="S1380" s="17">
        <f t="shared" ref="S1380:S1416" si="623">SUM(P1380:R1380)</f>
        <v>465</v>
      </c>
      <c r="U1380" s="21" t="s">
        <v>7</v>
      </c>
      <c r="V1380" s="18">
        <f>V1374</f>
        <v>0</v>
      </c>
      <c r="W1380" s="22">
        <f>W1374</f>
        <v>14</v>
      </c>
      <c r="X1380" s="22">
        <f>X1374</f>
        <v>7</v>
      </c>
      <c r="Y1380" s="17">
        <f t="shared" ref="Y1380:Y1416" si="624">SUM(V1380:X1380)</f>
        <v>21</v>
      </c>
      <c r="Z1380" s="22">
        <f>Z1374</f>
        <v>0</v>
      </c>
      <c r="AA1380" s="22">
        <f>AA1374</f>
        <v>14</v>
      </c>
      <c r="AB1380" s="22">
        <f>AB1374</f>
        <v>7</v>
      </c>
      <c r="AC1380" s="17">
        <f t="shared" ref="AC1380:AC1416" si="625">SUM(Z1380:AB1380)</f>
        <v>21</v>
      </c>
      <c r="AD1380" s="22">
        <f>AD1374</f>
        <v>0</v>
      </c>
      <c r="AE1380" s="22">
        <f>AE1374</f>
        <v>14</v>
      </c>
      <c r="AF1380" s="22">
        <f>AF1374</f>
        <v>7</v>
      </c>
      <c r="AG1380" s="17">
        <f t="shared" ref="AG1380:AG1416" si="626">SUM(AD1380:AF1380)</f>
        <v>21</v>
      </c>
    </row>
    <row r="1381" spans="1:34">
      <c r="A1381" s="5" t="s">
        <v>630</v>
      </c>
      <c r="B1381" s="30"/>
      <c r="C1381" s="31">
        <v>1</v>
      </c>
      <c r="D1381" s="32">
        <v>2</v>
      </c>
      <c r="E1381" s="4">
        <f t="shared" si="620"/>
        <v>3</v>
      </c>
      <c r="F1381" s="30"/>
      <c r="G1381" s="31">
        <v>1</v>
      </c>
      <c r="H1381" s="32">
        <v>2</v>
      </c>
      <c r="I1381" s="4">
        <f t="shared" si="621"/>
        <v>3</v>
      </c>
      <c r="J1381" s="49">
        <v>45145</v>
      </c>
      <c r="K1381" s="5" t="s">
        <v>3</v>
      </c>
      <c r="L1381" s="16"/>
      <c r="M1381" s="11"/>
      <c r="N1381" s="16"/>
      <c r="O1381" s="4">
        <f t="shared" si="622"/>
        <v>0</v>
      </c>
      <c r="P1381" s="16"/>
      <c r="Q1381" s="11"/>
      <c r="R1381" s="16"/>
      <c r="S1381" s="4">
        <f t="shared" si="623"/>
        <v>0</v>
      </c>
      <c r="U1381" s="5" t="s">
        <v>78</v>
      </c>
      <c r="V1381" s="16">
        <v>1</v>
      </c>
      <c r="W1381" s="11"/>
      <c r="X1381" s="16"/>
      <c r="Y1381" s="4">
        <f t="shared" si="624"/>
        <v>1</v>
      </c>
      <c r="Z1381" s="16">
        <v>1</v>
      </c>
      <c r="AA1381" s="11"/>
      <c r="AB1381" s="16"/>
      <c r="AC1381" s="4">
        <f t="shared" si="625"/>
        <v>1</v>
      </c>
      <c r="AD1381" s="16">
        <v>1</v>
      </c>
      <c r="AE1381" s="11"/>
      <c r="AF1381" s="16"/>
      <c r="AG1381" s="4">
        <f t="shared" si="626"/>
        <v>1</v>
      </c>
      <c r="AH1381" s="49">
        <v>45147</v>
      </c>
    </row>
    <row r="1382" spans="1:34">
      <c r="A1382" s="5" t="s">
        <v>37</v>
      </c>
      <c r="B1382" s="30">
        <v>2</v>
      </c>
      <c r="C1382" s="31">
        <v>2</v>
      </c>
      <c r="D1382" s="32"/>
      <c r="E1382" s="4">
        <f t="shared" si="620"/>
        <v>4</v>
      </c>
      <c r="F1382" s="30">
        <v>2</v>
      </c>
      <c r="G1382" s="31">
        <v>2</v>
      </c>
      <c r="H1382" s="32"/>
      <c r="I1382" s="4">
        <f t="shared" si="621"/>
        <v>4</v>
      </c>
      <c r="J1382" s="49">
        <v>45148</v>
      </c>
      <c r="K1382" s="5" t="s">
        <v>3</v>
      </c>
      <c r="L1382" s="32"/>
      <c r="M1382" s="31"/>
      <c r="N1382" s="32"/>
      <c r="O1382" s="4">
        <f t="shared" si="622"/>
        <v>0</v>
      </c>
      <c r="P1382" s="32"/>
      <c r="Q1382" s="31"/>
      <c r="R1382" s="32"/>
      <c r="S1382" s="4">
        <f t="shared" si="623"/>
        <v>0</v>
      </c>
      <c r="U1382" s="5" t="s">
        <v>818</v>
      </c>
      <c r="V1382" s="30"/>
      <c r="W1382" s="31"/>
      <c r="X1382" s="32">
        <v>4</v>
      </c>
      <c r="Y1382" s="4">
        <f t="shared" ref="Y1382" si="627">SUM(V1382:X1382)</f>
        <v>4</v>
      </c>
      <c r="Z1382" s="30"/>
      <c r="AA1382" s="31"/>
      <c r="AB1382" s="32">
        <v>4</v>
      </c>
      <c r="AC1382" s="4">
        <f t="shared" ref="AC1382" si="628">SUM(Z1382:AB1382)</f>
        <v>4</v>
      </c>
      <c r="AD1382" s="30"/>
      <c r="AE1382" s="31"/>
      <c r="AF1382" s="32">
        <v>4</v>
      </c>
      <c r="AG1382" s="4">
        <f t="shared" ref="AG1382" si="629">SUM(AD1382:AF1382)</f>
        <v>4</v>
      </c>
      <c r="AH1382" s="43">
        <v>45161</v>
      </c>
    </row>
    <row r="1383" spans="1:34">
      <c r="A1383" s="5" t="s">
        <v>196</v>
      </c>
      <c r="B1383" s="30">
        <v>2</v>
      </c>
      <c r="C1383" s="31"/>
      <c r="D1383" s="32"/>
      <c r="E1383" s="4">
        <f t="shared" si="620"/>
        <v>2</v>
      </c>
      <c r="F1383" s="30">
        <v>2</v>
      </c>
      <c r="G1383" s="31"/>
      <c r="H1383" s="32"/>
      <c r="I1383" s="4">
        <f t="shared" si="621"/>
        <v>2</v>
      </c>
      <c r="J1383" s="49">
        <v>45156</v>
      </c>
      <c r="K1383" s="5" t="s">
        <v>3</v>
      </c>
      <c r="L1383" s="32"/>
      <c r="M1383" s="31"/>
      <c r="N1383" s="32"/>
      <c r="O1383" s="4">
        <f t="shared" ref="O1383:O1387" si="630">SUM(L1383:N1383)</f>
        <v>0</v>
      </c>
      <c r="P1383" s="32"/>
      <c r="Q1383" s="31"/>
      <c r="R1383" s="32"/>
      <c r="S1383" s="4">
        <f t="shared" ref="S1383:S1387" si="631">SUM(P1383:R1383)</f>
        <v>0</v>
      </c>
      <c r="U1383" s="5" t="s">
        <v>832</v>
      </c>
      <c r="V1383" s="30"/>
      <c r="W1383" s="31">
        <v>-2</v>
      </c>
      <c r="X1383" s="32">
        <v>2</v>
      </c>
      <c r="Y1383" s="4">
        <f t="shared" si="624"/>
        <v>0</v>
      </c>
      <c r="Z1383" s="30"/>
      <c r="AA1383" s="31">
        <v>-2</v>
      </c>
      <c r="AB1383" s="32">
        <v>2</v>
      </c>
      <c r="AC1383" s="4">
        <f t="shared" si="625"/>
        <v>0</v>
      </c>
      <c r="AD1383" s="30"/>
      <c r="AE1383" s="31">
        <v>-2</v>
      </c>
      <c r="AF1383" s="32">
        <v>2</v>
      </c>
      <c r="AG1383" s="4">
        <f t="shared" si="626"/>
        <v>0</v>
      </c>
      <c r="AH1383" s="49">
        <v>45174</v>
      </c>
    </row>
    <row r="1384" spans="1:34">
      <c r="A1384" s="5" t="s">
        <v>213</v>
      </c>
      <c r="B1384" s="16">
        <v>0</v>
      </c>
      <c r="C1384" s="11">
        <v>0</v>
      </c>
      <c r="D1384" s="16">
        <v>0</v>
      </c>
      <c r="E1384" s="4">
        <f t="shared" si="620"/>
        <v>0</v>
      </c>
      <c r="F1384" s="16">
        <v>0</v>
      </c>
      <c r="G1384" s="11">
        <v>0</v>
      </c>
      <c r="H1384" s="16">
        <v>0</v>
      </c>
      <c r="I1384" s="4">
        <f t="shared" si="621"/>
        <v>0</v>
      </c>
      <c r="J1384" s="43">
        <v>45163</v>
      </c>
      <c r="K1384" s="5" t="s">
        <v>3</v>
      </c>
      <c r="L1384" s="32"/>
      <c r="M1384" s="31"/>
      <c r="N1384" s="32"/>
      <c r="O1384" s="4">
        <f t="shared" ref="O1384" si="632">SUM(L1384:N1384)</f>
        <v>0</v>
      </c>
      <c r="P1384" s="32"/>
      <c r="Q1384" s="31"/>
      <c r="R1384" s="32"/>
      <c r="S1384" s="4">
        <f t="shared" ref="S1384" si="633">SUM(P1384:R1384)</f>
        <v>0</v>
      </c>
      <c r="U1384" s="5" t="s">
        <v>3</v>
      </c>
      <c r="V1384" s="16"/>
      <c r="W1384" s="11"/>
      <c r="X1384" s="16"/>
      <c r="Y1384" s="4">
        <f t="shared" si="624"/>
        <v>0</v>
      </c>
      <c r="Z1384" s="16"/>
      <c r="AA1384" s="11"/>
      <c r="AB1384" s="16"/>
      <c r="AC1384" s="4">
        <f t="shared" si="625"/>
        <v>0</v>
      </c>
      <c r="AD1384" s="16"/>
      <c r="AE1384" s="11"/>
      <c r="AF1384" s="16"/>
      <c r="AG1384" s="4">
        <f t="shared" si="626"/>
        <v>0</v>
      </c>
    </row>
    <row r="1385" spans="1:34">
      <c r="A1385" s="5" t="s">
        <v>3</v>
      </c>
      <c r="B1385" s="16"/>
      <c r="C1385" s="11">
        <v>2</v>
      </c>
      <c r="D1385" s="16">
        <v>2</v>
      </c>
      <c r="E1385" s="4">
        <f t="shared" si="620"/>
        <v>4</v>
      </c>
      <c r="F1385" s="16"/>
      <c r="G1385" s="11">
        <v>2</v>
      </c>
      <c r="H1385" s="16">
        <v>2</v>
      </c>
      <c r="I1385" s="4">
        <f t="shared" ref="I1385" si="634">SUM(F1385:H1385)</f>
        <v>4</v>
      </c>
      <c r="J1385" s="43">
        <v>45166</v>
      </c>
      <c r="K1385" s="5" t="s">
        <v>3</v>
      </c>
      <c r="L1385" s="32"/>
      <c r="M1385" s="31"/>
      <c r="N1385" s="32"/>
      <c r="O1385" s="4">
        <f t="shared" si="630"/>
        <v>0</v>
      </c>
      <c r="P1385" s="32"/>
      <c r="Q1385" s="31"/>
      <c r="R1385" s="32"/>
      <c r="S1385" s="4">
        <f t="shared" si="631"/>
        <v>0</v>
      </c>
      <c r="U1385" s="5" t="s">
        <v>3</v>
      </c>
      <c r="V1385" s="32"/>
      <c r="W1385" s="31"/>
      <c r="X1385" s="32"/>
      <c r="Y1385" s="4">
        <f t="shared" si="624"/>
        <v>0</v>
      </c>
      <c r="Z1385" s="32"/>
      <c r="AA1385" s="31"/>
      <c r="AB1385" s="32"/>
      <c r="AC1385" s="4">
        <f t="shared" si="625"/>
        <v>0</v>
      </c>
      <c r="AD1385" s="32"/>
      <c r="AE1385" s="31"/>
      <c r="AF1385" s="32"/>
      <c r="AG1385" s="4">
        <f t="shared" si="626"/>
        <v>0</v>
      </c>
    </row>
    <row r="1386" spans="1:34">
      <c r="A1386" s="5" t="s">
        <v>3</v>
      </c>
      <c r="B1386" s="16"/>
      <c r="C1386" s="11">
        <v>3</v>
      </c>
      <c r="D1386" s="16">
        <v>3</v>
      </c>
      <c r="E1386" s="4">
        <f t="shared" si="620"/>
        <v>6</v>
      </c>
      <c r="F1386" s="16"/>
      <c r="G1386" s="11">
        <v>3</v>
      </c>
      <c r="H1386" s="16">
        <v>3</v>
      </c>
      <c r="I1386" s="4">
        <f t="shared" si="621"/>
        <v>6</v>
      </c>
      <c r="J1386" s="43">
        <v>45168</v>
      </c>
      <c r="K1386" s="5" t="s">
        <v>3</v>
      </c>
      <c r="L1386" s="32"/>
      <c r="M1386" s="31"/>
      <c r="N1386" s="32"/>
      <c r="O1386" s="4">
        <f t="shared" si="630"/>
        <v>0</v>
      </c>
      <c r="P1386" s="32"/>
      <c r="Q1386" s="31"/>
      <c r="R1386" s="32"/>
      <c r="S1386" s="4">
        <f t="shared" si="631"/>
        <v>0</v>
      </c>
      <c r="U1386" s="5" t="s">
        <v>3</v>
      </c>
      <c r="V1386" s="16"/>
      <c r="W1386" s="11"/>
      <c r="X1386" s="16"/>
      <c r="Y1386" s="4">
        <f t="shared" si="624"/>
        <v>0</v>
      </c>
      <c r="Z1386" s="16"/>
      <c r="AA1386" s="11"/>
      <c r="AB1386" s="16"/>
      <c r="AC1386" s="4">
        <f t="shared" si="625"/>
        <v>0</v>
      </c>
      <c r="AD1386" s="16"/>
      <c r="AE1386" s="11"/>
      <c r="AF1386" s="16"/>
      <c r="AG1386" s="4">
        <f t="shared" si="626"/>
        <v>0</v>
      </c>
    </row>
    <row r="1387" spans="1:34">
      <c r="A1387" s="5" t="s">
        <v>37</v>
      </c>
      <c r="B1387" s="32"/>
      <c r="C1387" s="31">
        <v>1</v>
      </c>
      <c r="D1387" s="32"/>
      <c r="E1387" s="4">
        <f t="shared" si="620"/>
        <v>1</v>
      </c>
      <c r="F1387" s="32"/>
      <c r="G1387" s="31">
        <v>1</v>
      </c>
      <c r="H1387" s="32"/>
      <c r="I1387" s="4">
        <f t="shared" si="621"/>
        <v>1</v>
      </c>
      <c r="J1387" s="49">
        <v>45168</v>
      </c>
      <c r="K1387" s="5" t="s">
        <v>3</v>
      </c>
      <c r="L1387" s="32"/>
      <c r="M1387" s="31"/>
      <c r="N1387" s="32"/>
      <c r="O1387" s="4">
        <f t="shared" si="630"/>
        <v>0</v>
      </c>
      <c r="P1387" s="32"/>
      <c r="Q1387" s="31"/>
      <c r="R1387" s="32"/>
      <c r="S1387" s="4">
        <f t="shared" si="631"/>
        <v>0</v>
      </c>
      <c r="U1387" s="5" t="s">
        <v>3</v>
      </c>
      <c r="V1387" s="32"/>
      <c r="W1387" s="31"/>
      <c r="X1387" s="32"/>
      <c r="Y1387" s="4">
        <f t="shared" si="624"/>
        <v>0</v>
      </c>
      <c r="Z1387" s="32"/>
      <c r="AA1387" s="31"/>
      <c r="AB1387" s="32"/>
      <c r="AC1387" s="4">
        <f t="shared" si="625"/>
        <v>0</v>
      </c>
      <c r="AD1387" s="32"/>
      <c r="AE1387" s="31"/>
      <c r="AF1387" s="32"/>
      <c r="AG1387" s="4">
        <f t="shared" si="626"/>
        <v>0</v>
      </c>
    </row>
    <row r="1388" spans="1:34">
      <c r="A1388" s="5" t="s">
        <v>3</v>
      </c>
      <c r="B1388" s="32"/>
      <c r="C1388" s="31">
        <v>9</v>
      </c>
      <c r="D1388" s="32"/>
      <c r="E1388" s="4">
        <f t="shared" si="620"/>
        <v>9</v>
      </c>
      <c r="F1388" s="32"/>
      <c r="G1388" s="31">
        <v>9</v>
      </c>
      <c r="H1388" s="32"/>
      <c r="I1388" s="4">
        <f t="shared" si="621"/>
        <v>9</v>
      </c>
      <c r="J1388" s="43">
        <v>45174</v>
      </c>
      <c r="K1388" s="5" t="s">
        <v>3</v>
      </c>
      <c r="L1388" s="32"/>
      <c r="M1388" s="31"/>
      <c r="N1388" s="32"/>
      <c r="O1388" s="4">
        <f t="shared" si="622"/>
        <v>0</v>
      </c>
      <c r="P1388" s="32"/>
      <c r="Q1388" s="31"/>
      <c r="R1388" s="32"/>
      <c r="S1388" s="4">
        <f t="shared" si="623"/>
        <v>0</v>
      </c>
      <c r="U1388" s="5" t="s">
        <v>3</v>
      </c>
      <c r="V1388" s="32"/>
      <c r="W1388" s="31"/>
      <c r="X1388" s="32"/>
      <c r="Y1388" s="4">
        <f t="shared" si="624"/>
        <v>0</v>
      </c>
      <c r="Z1388" s="32"/>
      <c r="AA1388" s="31"/>
      <c r="AB1388" s="32"/>
      <c r="AC1388" s="4">
        <f t="shared" si="625"/>
        <v>0</v>
      </c>
      <c r="AD1388" s="32"/>
      <c r="AE1388" s="31"/>
      <c r="AF1388" s="32"/>
      <c r="AG1388" s="4">
        <f t="shared" si="626"/>
        <v>0</v>
      </c>
    </row>
    <row r="1389" spans="1:34">
      <c r="A1389" s="5" t="s">
        <v>3</v>
      </c>
      <c r="B1389" s="30">
        <v>1</v>
      </c>
      <c r="C1389" s="31"/>
      <c r="D1389" s="32"/>
      <c r="E1389" s="4">
        <f t="shared" si="620"/>
        <v>1</v>
      </c>
      <c r="F1389" s="30">
        <v>1</v>
      </c>
      <c r="G1389" s="31"/>
      <c r="H1389" s="32"/>
      <c r="I1389" s="4">
        <f t="shared" si="621"/>
        <v>1</v>
      </c>
      <c r="J1389" s="43">
        <v>45171</v>
      </c>
      <c r="K1389" s="5" t="s">
        <v>3</v>
      </c>
      <c r="L1389" s="32"/>
      <c r="M1389" s="31"/>
      <c r="N1389" s="32"/>
      <c r="O1389" s="4">
        <f t="shared" si="622"/>
        <v>0</v>
      </c>
      <c r="P1389" s="32"/>
      <c r="Q1389" s="31"/>
      <c r="R1389" s="32"/>
      <c r="S1389" s="4">
        <f t="shared" si="623"/>
        <v>0</v>
      </c>
      <c r="U1389" s="5" t="s">
        <v>3</v>
      </c>
      <c r="V1389" s="30"/>
      <c r="W1389" s="31"/>
      <c r="X1389" s="32"/>
      <c r="Y1389" s="4">
        <f t="shared" si="624"/>
        <v>0</v>
      </c>
      <c r="Z1389" s="30"/>
      <c r="AA1389" s="31"/>
      <c r="AB1389" s="32"/>
      <c r="AC1389" s="4">
        <f t="shared" si="625"/>
        <v>0</v>
      </c>
      <c r="AD1389" s="30"/>
      <c r="AE1389" s="31"/>
      <c r="AF1389" s="32"/>
      <c r="AG1389" s="4">
        <f t="shared" si="626"/>
        <v>0</v>
      </c>
    </row>
    <row r="1390" spans="1:34" ht="14.25" thickBot="1">
      <c r="A1390" s="6" t="s">
        <v>3</v>
      </c>
      <c r="B1390" s="36"/>
      <c r="C1390" s="37"/>
      <c r="D1390" s="36"/>
      <c r="E1390" s="20">
        <f t="shared" si="620"/>
        <v>0</v>
      </c>
      <c r="F1390" s="13"/>
      <c r="G1390" s="12"/>
      <c r="H1390" s="13"/>
      <c r="I1390" s="20">
        <f t="shared" si="621"/>
        <v>0</v>
      </c>
      <c r="K1390" s="5" t="s">
        <v>3</v>
      </c>
      <c r="L1390" s="36"/>
      <c r="M1390" s="37"/>
      <c r="N1390" s="36"/>
      <c r="O1390" s="20">
        <f t="shared" si="622"/>
        <v>0</v>
      </c>
      <c r="P1390" s="13"/>
      <c r="Q1390" s="12"/>
      <c r="R1390" s="13"/>
      <c r="S1390" s="20">
        <f t="shared" si="623"/>
        <v>0</v>
      </c>
      <c r="U1390" s="6" t="s">
        <v>3</v>
      </c>
      <c r="V1390" s="13"/>
      <c r="W1390" s="12"/>
      <c r="X1390" s="13"/>
      <c r="Y1390" s="20">
        <f t="shared" si="624"/>
        <v>0</v>
      </c>
      <c r="Z1390" s="13"/>
      <c r="AA1390" s="12"/>
      <c r="AB1390" s="13"/>
      <c r="AC1390" s="20">
        <f t="shared" si="625"/>
        <v>0</v>
      </c>
      <c r="AD1390" s="13"/>
      <c r="AE1390" s="12"/>
      <c r="AF1390" s="13"/>
      <c r="AG1390" s="20">
        <f t="shared" si="626"/>
        <v>0</v>
      </c>
    </row>
    <row r="1391" spans="1:34" ht="14.25" thickBot="1">
      <c r="A1391" s="23" t="s">
        <v>4</v>
      </c>
      <c r="B1391" s="24">
        <f>SUM(B1380:B1390)</f>
        <v>18</v>
      </c>
      <c r="C1391" s="24">
        <f>SUM(C1380:C1390)</f>
        <v>28</v>
      </c>
      <c r="D1391" s="25">
        <f>SUM(D1380:D1390)</f>
        <v>18</v>
      </c>
      <c r="E1391" s="26">
        <f t="shared" si="620"/>
        <v>64</v>
      </c>
      <c r="F1391" s="24">
        <f>SUM(F1380:F1390)</f>
        <v>18</v>
      </c>
      <c r="G1391" s="24">
        <f>SUM(G1380:G1390)</f>
        <v>28</v>
      </c>
      <c r="H1391" s="25">
        <f>SUM(H1380:H1390)</f>
        <v>18</v>
      </c>
      <c r="I1391" s="26">
        <f t="shared" si="621"/>
        <v>64</v>
      </c>
      <c r="K1391" s="23" t="s">
        <v>4</v>
      </c>
      <c r="L1391" s="24">
        <f>SUM(L1380:L1390)</f>
        <v>169</v>
      </c>
      <c r="M1391" s="24">
        <f>SUM(M1380:M1390)</f>
        <v>189</v>
      </c>
      <c r="N1391" s="25">
        <f>SUM(N1380:N1390)</f>
        <v>107</v>
      </c>
      <c r="O1391" s="26">
        <f t="shared" si="622"/>
        <v>465</v>
      </c>
      <c r="P1391" s="24">
        <f>SUM(P1380:P1390)</f>
        <v>169</v>
      </c>
      <c r="Q1391" s="24">
        <f>SUM(Q1380:Q1390)</f>
        <v>189</v>
      </c>
      <c r="R1391" s="25">
        <f>SUM(R1380:R1390)</f>
        <v>107</v>
      </c>
      <c r="S1391" s="26">
        <f t="shared" si="623"/>
        <v>465</v>
      </c>
      <c r="U1391" s="23" t="s">
        <v>4</v>
      </c>
      <c r="V1391" s="24">
        <f>SUM(V1380:V1390)</f>
        <v>1</v>
      </c>
      <c r="W1391" s="24">
        <f>SUM(W1380:W1390)</f>
        <v>12</v>
      </c>
      <c r="X1391" s="25">
        <f>SUM(X1380:X1390)</f>
        <v>13</v>
      </c>
      <c r="Y1391" s="26">
        <f t="shared" si="624"/>
        <v>26</v>
      </c>
      <c r="Z1391" s="24">
        <f>SUM(Z1380:Z1390)</f>
        <v>1</v>
      </c>
      <c r="AA1391" s="24">
        <f>SUM(AA1380:AA1390)</f>
        <v>12</v>
      </c>
      <c r="AB1391" s="25">
        <f>SUM(AB1380:AB1390)</f>
        <v>13</v>
      </c>
      <c r="AC1391" s="26">
        <f t="shared" si="625"/>
        <v>26</v>
      </c>
      <c r="AD1391" s="24">
        <f>SUM(AD1380:AD1390)</f>
        <v>1</v>
      </c>
      <c r="AE1391" s="24">
        <f>SUM(AE1380:AE1390)</f>
        <v>12</v>
      </c>
      <c r="AF1391" s="25">
        <f>SUM(AF1380:AF1390)</f>
        <v>13</v>
      </c>
      <c r="AG1391" s="26">
        <f t="shared" si="626"/>
        <v>26</v>
      </c>
    </row>
    <row r="1392" spans="1:34">
      <c r="A1392" s="11" t="s">
        <v>804</v>
      </c>
      <c r="B1392" s="8">
        <v>1</v>
      </c>
      <c r="C1392" s="9">
        <v>3</v>
      </c>
      <c r="D1392" s="10"/>
      <c r="E1392" s="4">
        <f t="shared" si="620"/>
        <v>4</v>
      </c>
      <c r="F1392" s="8">
        <v>1</v>
      </c>
      <c r="G1392" s="9">
        <v>3</v>
      </c>
      <c r="H1392" s="10"/>
      <c r="I1392" s="4">
        <f t="shared" si="621"/>
        <v>4</v>
      </c>
      <c r="J1392" s="43">
        <v>45142</v>
      </c>
      <c r="K1392" s="3" t="s">
        <v>583</v>
      </c>
      <c r="L1392" s="8">
        <v>2</v>
      </c>
      <c r="M1392" s="9">
        <v>3</v>
      </c>
      <c r="N1392" s="10"/>
      <c r="O1392" s="7">
        <f t="shared" si="622"/>
        <v>5</v>
      </c>
      <c r="P1392" s="8">
        <v>2</v>
      </c>
      <c r="Q1392" s="9">
        <v>3</v>
      </c>
      <c r="R1392" s="10"/>
      <c r="S1392" s="7">
        <f t="shared" si="623"/>
        <v>5</v>
      </c>
      <c r="T1392" s="43">
        <v>45140</v>
      </c>
      <c r="U1392" s="3" t="s">
        <v>816</v>
      </c>
      <c r="V1392" s="8"/>
      <c r="W1392" s="9"/>
      <c r="X1392" s="10">
        <v>11</v>
      </c>
      <c r="Y1392" s="4">
        <f t="shared" ref="Y1392" si="635">SUM(V1392:X1392)</f>
        <v>11</v>
      </c>
      <c r="Z1392" s="8"/>
      <c r="AA1392" s="9"/>
      <c r="AB1392" s="10">
        <v>11</v>
      </c>
      <c r="AC1392" s="4">
        <f t="shared" ref="AC1392" si="636">SUM(Z1392:AB1392)</f>
        <v>11</v>
      </c>
      <c r="AD1392" s="8"/>
      <c r="AE1392" s="9"/>
      <c r="AF1392" s="10">
        <v>11</v>
      </c>
      <c r="AG1392" s="4">
        <f t="shared" ref="AG1392" si="637">SUM(AD1392:AF1392)</f>
        <v>11</v>
      </c>
      <c r="AH1392" s="43">
        <v>45163</v>
      </c>
    </row>
    <row r="1393" spans="1:33">
      <c r="A1393" s="3" t="s">
        <v>588</v>
      </c>
      <c r="B1393" s="8"/>
      <c r="C1393" s="9">
        <v>1</v>
      </c>
      <c r="D1393" s="10"/>
      <c r="E1393" s="4">
        <f t="shared" si="620"/>
        <v>1</v>
      </c>
      <c r="F1393" s="8"/>
      <c r="G1393" s="9">
        <v>1</v>
      </c>
      <c r="H1393" s="10"/>
      <c r="I1393" s="4">
        <f t="shared" si="621"/>
        <v>1</v>
      </c>
      <c r="J1393" s="43">
        <v>45145</v>
      </c>
      <c r="K1393" s="3" t="s">
        <v>375</v>
      </c>
      <c r="L1393" s="8">
        <v>3</v>
      </c>
      <c r="M1393" s="9">
        <v>3</v>
      </c>
      <c r="N1393" s="10"/>
      <c r="O1393" s="4">
        <f t="shared" si="622"/>
        <v>6</v>
      </c>
      <c r="P1393" s="8">
        <v>3</v>
      </c>
      <c r="Q1393" s="9">
        <v>3</v>
      </c>
      <c r="R1393" s="10"/>
      <c r="S1393" s="4">
        <f t="shared" si="623"/>
        <v>6</v>
      </c>
      <c r="T1393" s="43">
        <v>45141</v>
      </c>
      <c r="U1393" s="40"/>
      <c r="V1393" s="8"/>
      <c r="W1393" s="9"/>
      <c r="X1393" s="10"/>
      <c r="Y1393" s="4">
        <f t="shared" si="624"/>
        <v>0</v>
      </c>
      <c r="Z1393" s="8"/>
      <c r="AA1393" s="9"/>
      <c r="AB1393" s="10"/>
      <c r="AC1393" s="4">
        <f t="shared" si="625"/>
        <v>0</v>
      </c>
      <c r="AD1393" s="8"/>
      <c r="AE1393" s="9"/>
      <c r="AF1393" s="10"/>
      <c r="AG1393" s="4">
        <f t="shared" si="626"/>
        <v>0</v>
      </c>
    </row>
    <row r="1394" spans="1:33">
      <c r="A1394" s="11" t="s">
        <v>808</v>
      </c>
      <c r="B1394" s="8">
        <v>1</v>
      </c>
      <c r="C1394" s="9">
        <v>3</v>
      </c>
      <c r="D1394" s="10"/>
      <c r="E1394" s="7">
        <f t="shared" si="620"/>
        <v>4</v>
      </c>
      <c r="F1394" s="8">
        <v>1</v>
      </c>
      <c r="G1394" s="9">
        <v>3</v>
      </c>
      <c r="H1394" s="10"/>
      <c r="I1394" s="7">
        <f t="shared" si="621"/>
        <v>4</v>
      </c>
      <c r="J1394" s="43">
        <v>45148</v>
      </c>
      <c r="K1394" s="11" t="s">
        <v>805</v>
      </c>
      <c r="L1394" s="8">
        <v>2</v>
      </c>
      <c r="M1394" s="9">
        <v>2</v>
      </c>
      <c r="N1394" s="10">
        <v>2</v>
      </c>
      <c r="O1394" s="7">
        <f t="shared" si="622"/>
        <v>6</v>
      </c>
      <c r="P1394" s="8">
        <v>2</v>
      </c>
      <c r="Q1394" s="9">
        <v>2</v>
      </c>
      <c r="R1394" s="10">
        <v>2</v>
      </c>
      <c r="S1394" s="7">
        <f t="shared" si="623"/>
        <v>6</v>
      </c>
      <c r="T1394" s="43">
        <v>45145</v>
      </c>
      <c r="U1394" s="40"/>
      <c r="V1394" s="8"/>
      <c r="W1394" s="9"/>
      <c r="X1394" s="10"/>
      <c r="Y1394" s="7">
        <f t="shared" si="624"/>
        <v>0</v>
      </c>
      <c r="Z1394" s="8"/>
      <c r="AA1394" s="9"/>
      <c r="AB1394" s="10"/>
      <c r="AC1394" s="7">
        <f t="shared" si="625"/>
        <v>0</v>
      </c>
      <c r="AD1394" s="8"/>
      <c r="AE1394" s="9"/>
      <c r="AF1394" s="10"/>
      <c r="AG1394" s="7">
        <f t="shared" si="626"/>
        <v>0</v>
      </c>
    </row>
    <row r="1395" spans="1:33">
      <c r="A1395" s="3" t="s">
        <v>809</v>
      </c>
      <c r="B1395" s="8">
        <v>1</v>
      </c>
      <c r="C1395" s="9"/>
      <c r="D1395" s="10"/>
      <c r="E1395" s="4">
        <f t="shared" si="620"/>
        <v>1</v>
      </c>
      <c r="F1395" s="8">
        <v>1</v>
      </c>
      <c r="G1395" s="9"/>
      <c r="H1395" s="10"/>
      <c r="I1395" s="4">
        <f t="shared" si="621"/>
        <v>1</v>
      </c>
      <c r="J1395" s="43">
        <v>45147</v>
      </c>
      <c r="K1395" s="11" t="s">
        <v>806</v>
      </c>
      <c r="L1395" s="8">
        <v>42</v>
      </c>
      <c r="M1395" s="9">
        <v>55</v>
      </c>
      <c r="N1395" s="10">
        <v>21</v>
      </c>
      <c r="O1395" s="4">
        <f t="shared" si="622"/>
        <v>118</v>
      </c>
      <c r="P1395" s="8">
        <v>42</v>
      </c>
      <c r="Q1395" s="9">
        <v>55</v>
      </c>
      <c r="R1395" s="10">
        <v>21</v>
      </c>
      <c r="S1395" s="4">
        <f t="shared" si="623"/>
        <v>118</v>
      </c>
      <c r="T1395" s="43">
        <v>45147</v>
      </c>
      <c r="U1395" s="40"/>
      <c r="V1395" s="8"/>
      <c r="W1395" s="9"/>
      <c r="X1395" s="10"/>
      <c r="Y1395" s="4">
        <f t="shared" si="624"/>
        <v>0</v>
      </c>
      <c r="Z1395" s="8"/>
      <c r="AA1395" s="9"/>
      <c r="AB1395" s="10"/>
      <c r="AC1395" s="4">
        <f t="shared" si="625"/>
        <v>0</v>
      </c>
      <c r="AD1395" s="8"/>
      <c r="AE1395" s="9"/>
      <c r="AF1395" s="10"/>
      <c r="AG1395" s="4">
        <f t="shared" si="626"/>
        <v>0</v>
      </c>
    </row>
    <row r="1396" spans="1:33">
      <c r="A1396" s="3" t="s">
        <v>592</v>
      </c>
      <c r="B1396" s="8">
        <v>2</v>
      </c>
      <c r="C1396" s="9">
        <v>2</v>
      </c>
      <c r="D1396" s="10">
        <v>4</v>
      </c>
      <c r="E1396" s="4">
        <f t="shared" si="620"/>
        <v>8</v>
      </c>
      <c r="F1396" s="8">
        <v>2</v>
      </c>
      <c r="G1396" s="9">
        <v>2</v>
      </c>
      <c r="H1396" s="10">
        <v>4</v>
      </c>
      <c r="I1396" s="4">
        <f t="shared" si="621"/>
        <v>8</v>
      </c>
      <c r="J1396" s="43">
        <v>45148</v>
      </c>
      <c r="K1396" s="3" t="s">
        <v>807</v>
      </c>
      <c r="L1396" s="8">
        <v>3</v>
      </c>
      <c r="M1396" s="9">
        <v>2</v>
      </c>
      <c r="N1396" s="10">
        <v>1</v>
      </c>
      <c r="O1396" s="4">
        <f t="shared" si="622"/>
        <v>6</v>
      </c>
      <c r="P1396" s="8">
        <v>3</v>
      </c>
      <c r="Q1396" s="9">
        <v>2</v>
      </c>
      <c r="R1396" s="10">
        <v>1</v>
      </c>
      <c r="S1396" s="4">
        <f t="shared" si="623"/>
        <v>6</v>
      </c>
      <c r="T1396" s="43">
        <v>45146</v>
      </c>
      <c r="U1396" s="3"/>
      <c r="V1396" s="8"/>
      <c r="W1396" s="9"/>
      <c r="X1396" s="10"/>
      <c r="Y1396" s="4">
        <f t="shared" si="624"/>
        <v>0</v>
      </c>
      <c r="Z1396" s="8"/>
      <c r="AA1396" s="9"/>
      <c r="AB1396" s="10"/>
      <c r="AC1396" s="4">
        <f t="shared" si="625"/>
        <v>0</v>
      </c>
      <c r="AD1396" s="8"/>
      <c r="AE1396" s="9"/>
      <c r="AF1396" s="10"/>
      <c r="AG1396" s="4">
        <f t="shared" si="626"/>
        <v>0</v>
      </c>
    </row>
    <row r="1397" spans="1:33">
      <c r="A1397" s="3" t="s">
        <v>812</v>
      </c>
      <c r="B1397" s="8"/>
      <c r="C1397" s="9">
        <v>1</v>
      </c>
      <c r="D1397" s="10"/>
      <c r="E1397" s="4">
        <f t="shared" si="620"/>
        <v>1</v>
      </c>
      <c r="F1397" s="8"/>
      <c r="G1397" s="9">
        <v>1</v>
      </c>
      <c r="H1397" s="10"/>
      <c r="I1397" s="7">
        <f t="shared" si="621"/>
        <v>1</v>
      </c>
      <c r="J1397" s="43">
        <v>45159</v>
      </c>
      <c r="K1397" s="3" t="s">
        <v>811</v>
      </c>
      <c r="L1397" s="8"/>
      <c r="M1397" s="9">
        <v>7</v>
      </c>
      <c r="N1397" s="10">
        <v>8</v>
      </c>
      <c r="O1397" s="7">
        <f t="shared" si="622"/>
        <v>15</v>
      </c>
      <c r="P1397" s="8"/>
      <c r="Q1397" s="9">
        <v>7</v>
      </c>
      <c r="R1397" s="10">
        <v>8</v>
      </c>
      <c r="S1397" s="7">
        <f t="shared" si="623"/>
        <v>15</v>
      </c>
      <c r="T1397" s="43">
        <v>45156</v>
      </c>
      <c r="U1397" s="3"/>
      <c r="V1397" s="8"/>
      <c r="W1397" s="9"/>
      <c r="X1397" s="10"/>
      <c r="Y1397" s="7">
        <f t="shared" si="624"/>
        <v>0</v>
      </c>
      <c r="Z1397" s="8"/>
      <c r="AA1397" s="9"/>
      <c r="AB1397" s="10"/>
      <c r="AC1397" s="7">
        <f t="shared" si="625"/>
        <v>0</v>
      </c>
      <c r="AD1397" s="8"/>
      <c r="AE1397" s="9"/>
      <c r="AF1397" s="10"/>
      <c r="AG1397" s="7">
        <f t="shared" si="626"/>
        <v>0</v>
      </c>
    </row>
    <row r="1398" spans="1:33">
      <c r="A1398" s="3" t="s">
        <v>385</v>
      </c>
      <c r="B1398" s="8"/>
      <c r="C1398" s="9"/>
      <c r="D1398" s="10">
        <v>3</v>
      </c>
      <c r="E1398" s="4">
        <f t="shared" si="620"/>
        <v>3</v>
      </c>
      <c r="F1398" s="8"/>
      <c r="G1398" s="9"/>
      <c r="H1398" s="10">
        <v>3</v>
      </c>
      <c r="I1398" s="7">
        <f t="shared" si="621"/>
        <v>3</v>
      </c>
      <c r="J1398" s="43">
        <v>45160</v>
      </c>
      <c r="K1398" s="11" t="s">
        <v>813</v>
      </c>
      <c r="L1398" s="8"/>
      <c r="M1398" s="9"/>
      <c r="N1398" s="10">
        <v>5</v>
      </c>
      <c r="O1398" s="7">
        <f t="shared" si="622"/>
        <v>5</v>
      </c>
      <c r="P1398" s="8"/>
      <c r="Q1398" s="9"/>
      <c r="R1398" s="10">
        <v>5</v>
      </c>
      <c r="S1398" s="7">
        <f t="shared" si="623"/>
        <v>5</v>
      </c>
      <c r="T1398" s="43">
        <v>45162</v>
      </c>
      <c r="U1398" s="3"/>
      <c r="V1398" s="8"/>
      <c r="W1398" s="9"/>
      <c r="X1398" s="10"/>
      <c r="Y1398" s="7">
        <f t="shared" si="624"/>
        <v>0</v>
      </c>
      <c r="Z1398" s="8"/>
      <c r="AA1398" s="9"/>
      <c r="AB1398" s="10"/>
      <c r="AC1398" s="7">
        <f t="shared" si="625"/>
        <v>0</v>
      </c>
      <c r="AD1398" s="8"/>
      <c r="AE1398" s="9"/>
      <c r="AF1398" s="10"/>
      <c r="AG1398" s="7">
        <f t="shared" si="626"/>
        <v>0</v>
      </c>
    </row>
    <row r="1399" spans="1:33">
      <c r="A1399" s="3" t="s">
        <v>814</v>
      </c>
      <c r="B1399" s="8">
        <v>1</v>
      </c>
      <c r="C1399" s="9"/>
      <c r="D1399" s="10"/>
      <c r="E1399" s="4">
        <f t="shared" si="620"/>
        <v>1</v>
      </c>
      <c r="F1399" s="8">
        <v>1</v>
      </c>
      <c r="G1399" s="9"/>
      <c r="H1399" s="10"/>
      <c r="I1399" s="7">
        <f t="shared" si="621"/>
        <v>1</v>
      </c>
      <c r="J1399" s="49">
        <v>45160</v>
      </c>
      <c r="K1399" s="3" t="s">
        <v>815</v>
      </c>
      <c r="L1399" s="8">
        <v>2</v>
      </c>
      <c r="M1399" s="9"/>
      <c r="N1399" s="10">
        <v>2</v>
      </c>
      <c r="O1399" s="7">
        <f t="shared" si="622"/>
        <v>4</v>
      </c>
      <c r="P1399" s="8">
        <v>2</v>
      </c>
      <c r="Q1399" s="9"/>
      <c r="R1399" s="10">
        <v>2</v>
      </c>
      <c r="S1399" s="7">
        <f t="shared" si="623"/>
        <v>4</v>
      </c>
      <c r="T1399" s="43">
        <v>45161</v>
      </c>
      <c r="U1399" s="3"/>
      <c r="V1399" s="8"/>
      <c r="W1399" s="9"/>
      <c r="X1399" s="10"/>
      <c r="Y1399" s="7">
        <f t="shared" si="624"/>
        <v>0</v>
      </c>
      <c r="Z1399" s="8"/>
      <c r="AA1399" s="9"/>
      <c r="AB1399" s="10"/>
      <c r="AC1399" s="7">
        <f t="shared" si="625"/>
        <v>0</v>
      </c>
      <c r="AD1399" s="8"/>
      <c r="AE1399" s="9"/>
      <c r="AF1399" s="10"/>
      <c r="AG1399" s="7">
        <f t="shared" si="626"/>
        <v>0</v>
      </c>
    </row>
    <row r="1400" spans="1:33">
      <c r="A1400" s="3" t="s">
        <v>817</v>
      </c>
      <c r="B1400" s="8"/>
      <c r="C1400" s="9"/>
      <c r="D1400" s="10">
        <v>4</v>
      </c>
      <c r="E1400" s="4">
        <f t="shared" si="620"/>
        <v>4</v>
      </c>
      <c r="F1400" s="8"/>
      <c r="G1400" s="9"/>
      <c r="H1400" s="10">
        <v>4</v>
      </c>
      <c r="I1400" s="7">
        <f t="shared" si="621"/>
        <v>4</v>
      </c>
      <c r="J1400" s="43">
        <v>45161</v>
      </c>
      <c r="K1400" s="3" t="s">
        <v>389</v>
      </c>
      <c r="L1400" s="8">
        <v>3</v>
      </c>
      <c r="M1400" s="9">
        <v>5</v>
      </c>
      <c r="N1400" s="10">
        <v>2</v>
      </c>
      <c r="O1400" s="7">
        <f t="shared" ref="O1400" si="638">SUM(L1400:N1400)</f>
        <v>10</v>
      </c>
      <c r="P1400" s="8">
        <v>3</v>
      </c>
      <c r="Q1400" s="9">
        <v>5</v>
      </c>
      <c r="R1400" s="10">
        <v>2</v>
      </c>
      <c r="S1400" s="7">
        <f t="shared" ref="S1400" si="639">SUM(P1400:R1400)</f>
        <v>10</v>
      </c>
      <c r="T1400" s="43">
        <v>45162</v>
      </c>
      <c r="U1400" s="3"/>
      <c r="V1400" s="8"/>
      <c r="W1400" s="9"/>
      <c r="X1400" s="10"/>
      <c r="Y1400" s="7">
        <f t="shared" si="624"/>
        <v>0</v>
      </c>
      <c r="Z1400" s="8"/>
      <c r="AA1400" s="9"/>
      <c r="AB1400" s="10"/>
      <c r="AC1400" s="7">
        <f t="shared" si="625"/>
        <v>0</v>
      </c>
      <c r="AD1400" s="8"/>
      <c r="AE1400" s="9"/>
      <c r="AF1400" s="10"/>
      <c r="AG1400" s="7">
        <f t="shared" si="626"/>
        <v>0</v>
      </c>
    </row>
    <row r="1401" spans="1:33">
      <c r="A1401" s="3" t="s">
        <v>819</v>
      </c>
      <c r="B1401" s="8">
        <v>1</v>
      </c>
      <c r="C1401" s="9"/>
      <c r="D1401" s="10"/>
      <c r="E1401" s="4">
        <f t="shared" si="620"/>
        <v>1</v>
      </c>
      <c r="F1401" s="8">
        <v>1</v>
      </c>
      <c r="G1401" s="9"/>
      <c r="H1401" s="10"/>
      <c r="I1401" s="7">
        <f t="shared" si="621"/>
        <v>1</v>
      </c>
      <c r="J1401" s="43">
        <v>45166</v>
      </c>
      <c r="K1401" s="3" t="s">
        <v>390</v>
      </c>
      <c r="L1401" s="8"/>
      <c r="M1401" s="9">
        <v>1</v>
      </c>
      <c r="N1401" s="10"/>
      <c r="O1401" s="7">
        <f t="shared" si="622"/>
        <v>1</v>
      </c>
      <c r="P1401" s="8"/>
      <c r="Q1401" s="9">
        <v>1</v>
      </c>
      <c r="R1401" s="10"/>
      <c r="S1401" s="7">
        <f t="shared" si="623"/>
        <v>1</v>
      </c>
      <c r="T1401" s="43">
        <v>45163</v>
      </c>
      <c r="U1401" s="3"/>
      <c r="V1401" s="8"/>
      <c r="W1401" s="9"/>
      <c r="X1401" s="10"/>
      <c r="Y1401" s="7">
        <f t="shared" si="624"/>
        <v>0</v>
      </c>
      <c r="Z1401" s="8"/>
      <c r="AA1401" s="9"/>
      <c r="AB1401" s="10"/>
      <c r="AC1401" s="7">
        <f t="shared" si="625"/>
        <v>0</v>
      </c>
      <c r="AD1401" s="8"/>
      <c r="AE1401" s="9"/>
      <c r="AF1401" s="10"/>
      <c r="AG1401" s="7">
        <f t="shared" si="626"/>
        <v>0</v>
      </c>
    </row>
    <row r="1402" spans="1:33">
      <c r="A1402" s="11" t="s">
        <v>820</v>
      </c>
      <c r="B1402" s="8"/>
      <c r="C1402" s="9"/>
      <c r="D1402" s="10">
        <v>2</v>
      </c>
      <c r="E1402" s="4">
        <f t="shared" si="620"/>
        <v>2</v>
      </c>
      <c r="F1402" s="8"/>
      <c r="G1402" s="9"/>
      <c r="H1402" s="10">
        <v>2</v>
      </c>
      <c r="I1402" s="7">
        <f t="shared" si="621"/>
        <v>2</v>
      </c>
      <c r="J1402" s="43">
        <v>45167</v>
      </c>
      <c r="K1402" s="3" t="s">
        <v>821</v>
      </c>
      <c r="L1402" s="30"/>
      <c r="M1402" s="9">
        <v>2</v>
      </c>
      <c r="N1402" s="10">
        <v>2</v>
      </c>
      <c r="O1402" s="7">
        <f t="shared" si="622"/>
        <v>4</v>
      </c>
      <c r="P1402" s="8"/>
      <c r="Q1402" s="9">
        <v>2</v>
      </c>
      <c r="R1402" s="10">
        <v>2</v>
      </c>
      <c r="S1402" s="7">
        <f t="shared" si="623"/>
        <v>4</v>
      </c>
      <c r="T1402" s="43">
        <v>45166</v>
      </c>
      <c r="U1402" s="3"/>
      <c r="V1402" s="30"/>
      <c r="W1402" s="9"/>
      <c r="X1402" s="10"/>
      <c r="Y1402" s="7">
        <f t="shared" si="624"/>
        <v>0</v>
      </c>
      <c r="Z1402" s="8"/>
      <c r="AA1402" s="9"/>
      <c r="AB1402" s="10"/>
      <c r="AC1402" s="7">
        <f t="shared" si="625"/>
        <v>0</v>
      </c>
      <c r="AD1402" s="8"/>
      <c r="AE1402" s="9"/>
      <c r="AF1402" s="10"/>
      <c r="AG1402" s="7">
        <f t="shared" si="626"/>
        <v>0</v>
      </c>
    </row>
    <row r="1403" spans="1:33">
      <c r="A1403" s="3" t="s">
        <v>600</v>
      </c>
      <c r="B1403" s="8">
        <v>1</v>
      </c>
      <c r="C1403" s="9"/>
      <c r="D1403" s="10"/>
      <c r="E1403" s="4">
        <f t="shared" si="620"/>
        <v>1</v>
      </c>
      <c r="F1403" s="8">
        <v>1</v>
      </c>
      <c r="G1403" s="9"/>
      <c r="H1403" s="10"/>
      <c r="I1403" s="7">
        <f t="shared" si="621"/>
        <v>1</v>
      </c>
      <c r="J1403" s="43">
        <v>45168</v>
      </c>
      <c r="K1403" s="11" t="s">
        <v>822</v>
      </c>
      <c r="L1403" s="8"/>
      <c r="M1403" s="9"/>
      <c r="N1403" s="10">
        <v>1</v>
      </c>
      <c r="O1403" s="7">
        <f t="shared" si="622"/>
        <v>1</v>
      </c>
      <c r="P1403" s="8"/>
      <c r="Q1403" s="9"/>
      <c r="R1403" s="10">
        <v>1</v>
      </c>
      <c r="S1403" s="7">
        <f t="shared" si="623"/>
        <v>1</v>
      </c>
      <c r="T1403" s="43">
        <v>45170</v>
      </c>
      <c r="U1403" s="3"/>
      <c r="V1403" s="8"/>
      <c r="W1403" s="9"/>
      <c r="X1403" s="10"/>
      <c r="Y1403" s="7">
        <f t="shared" si="624"/>
        <v>0</v>
      </c>
      <c r="Z1403" s="8"/>
      <c r="AA1403" s="9"/>
      <c r="AB1403" s="10"/>
      <c r="AC1403" s="7">
        <f t="shared" si="625"/>
        <v>0</v>
      </c>
      <c r="AD1403" s="8"/>
      <c r="AE1403" s="9"/>
      <c r="AF1403" s="10"/>
      <c r="AG1403" s="7">
        <f t="shared" si="626"/>
        <v>0</v>
      </c>
    </row>
    <row r="1404" spans="1:33">
      <c r="A1404" s="11" t="s">
        <v>823</v>
      </c>
      <c r="B1404" s="8"/>
      <c r="C1404" s="9">
        <v>3</v>
      </c>
      <c r="D1404" s="10"/>
      <c r="E1404" s="4">
        <f t="shared" si="620"/>
        <v>3</v>
      </c>
      <c r="F1404" s="8"/>
      <c r="G1404" s="9">
        <v>3</v>
      </c>
      <c r="H1404" s="10"/>
      <c r="I1404" s="7">
        <f t="shared" si="621"/>
        <v>3</v>
      </c>
      <c r="J1404" s="43">
        <v>45168</v>
      </c>
      <c r="K1404" s="3" t="s">
        <v>295</v>
      </c>
      <c r="L1404" s="8"/>
      <c r="M1404" s="9">
        <v>3</v>
      </c>
      <c r="N1404" s="10">
        <v>3</v>
      </c>
      <c r="O1404" s="7">
        <f t="shared" si="622"/>
        <v>6</v>
      </c>
      <c r="P1404" s="8"/>
      <c r="Q1404" s="9">
        <v>3</v>
      </c>
      <c r="R1404" s="10">
        <v>3</v>
      </c>
      <c r="S1404" s="7">
        <f t="shared" si="623"/>
        <v>6</v>
      </c>
      <c r="T1404" s="43">
        <v>45168</v>
      </c>
      <c r="U1404" s="3"/>
      <c r="V1404" s="8"/>
      <c r="W1404" s="9"/>
      <c r="X1404" s="10"/>
      <c r="Y1404" s="7">
        <f t="shared" si="624"/>
        <v>0</v>
      </c>
      <c r="Z1404" s="8"/>
      <c r="AA1404" s="9"/>
      <c r="AB1404" s="10"/>
      <c r="AC1404" s="7">
        <f t="shared" si="625"/>
        <v>0</v>
      </c>
      <c r="AD1404" s="8"/>
      <c r="AE1404" s="9"/>
      <c r="AF1404" s="10"/>
      <c r="AG1404" s="7">
        <f t="shared" si="626"/>
        <v>0</v>
      </c>
    </row>
    <row r="1405" spans="1:33">
      <c r="A1405" s="3" t="s">
        <v>825</v>
      </c>
      <c r="B1405" s="8"/>
      <c r="C1405" s="9"/>
      <c r="D1405" s="10">
        <v>1</v>
      </c>
      <c r="E1405" s="4">
        <f t="shared" si="620"/>
        <v>1</v>
      </c>
      <c r="F1405" s="8"/>
      <c r="G1405" s="9"/>
      <c r="H1405" s="10">
        <v>1</v>
      </c>
      <c r="I1405" s="7">
        <f t="shared" si="621"/>
        <v>1</v>
      </c>
      <c r="J1405" s="43">
        <v>45170</v>
      </c>
      <c r="K1405" s="3" t="s">
        <v>602</v>
      </c>
      <c r="L1405" s="8">
        <v>2</v>
      </c>
      <c r="M1405" s="9">
        <v>1</v>
      </c>
      <c r="N1405" s="10">
        <v>2</v>
      </c>
      <c r="O1405" s="7">
        <f t="shared" si="622"/>
        <v>5</v>
      </c>
      <c r="P1405" s="8">
        <v>2</v>
      </c>
      <c r="Q1405" s="9">
        <v>1</v>
      </c>
      <c r="R1405" s="10">
        <v>2</v>
      </c>
      <c r="S1405" s="7">
        <f t="shared" si="623"/>
        <v>5</v>
      </c>
      <c r="T1405" s="43">
        <v>45169</v>
      </c>
      <c r="U1405" s="3"/>
      <c r="V1405" s="8"/>
      <c r="W1405" s="9"/>
      <c r="X1405" s="10"/>
      <c r="Y1405" s="7">
        <f t="shared" si="624"/>
        <v>0</v>
      </c>
      <c r="Z1405" s="8"/>
      <c r="AA1405" s="9"/>
      <c r="AB1405" s="10"/>
      <c r="AC1405" s="7">
        <f t="shared" si="625"/>
        <v>0</v>
      </c>
      <c r="AD1405" s="8"/>
      <c r="AE1405" s="9"/>
      <c r="AF1405" s="10"/>
      <c r="AG1405" s="7">
        <f t="shared" si="626"/>
        <v>0</v>
      </c>
    </row>
    <row r="1406" spans="1:33">
      <c r="A1406" s="11" t="s">
        <v>829</v>
      </c>
      <c r="B1406" s="8">
        <v>1</v>
      </c>
      <c r="C1406" s="9">
        <v>9</v>
      </c>
      <c r="D1406" s="10"/>
      <c r="E1406" s="7">
        <f t="shared" si="620"/>
        <v>10</v>
      </c>
      <c r="F1406" s="8">
        <v>1</v>
      </c>
      <c r="G1406" s="9">
        <v>9</v>
      </c>
      <c r="H1406" s="10"/>
      <c r="I1406" s="7">
        <f t="shared" si="621"/>
        <v>10</v>
      </c>
      <c r="J1406" s="43">
        <v>45176</v>
      </c>
      <c r="K1406" s="11" t="s">
        <v>826</v>
      </c>
      <c r="L1406" s="8">
        <v>10</v>
      </c>
      <c r="M1406" s="9"/>
      <c r="N1406" s="10">
        <v>10</v>
      </c>
      <c r="O1406" s="7">
        <f t="shared" si="622"/>
        <v>20</v>
      </c>
      <c r="P1406" s="8">
        <v>10</v>
      </c>
      <c r="Q1406" s="9"/>
      <c r="R1406" s="10">
        <v>10</v>
      </c>
      <c r="S1406" s="7">
        <f t="shared" si="623"/>
        <v>20</v>
      </c>
      <c r="T1406" s="43">
        <v>45173</v>
      </c>
      <c r="U1406" s="3"/>
      <c r="V1406" s="8"/>
      <c r="W1406" s="9"/>
      <c r="X1406" s="10"/>
      <c r="Y1406" s="7">
        <f t="shared" si="624"/>
        <v>0</v>
      </c>
      <c r="Z1406" s="8"/>
      <c r="AA1406" s="9"/>
      <c r="AB1406" s="10"/>
      <c r="AC1406" s="7">
        <f t="shared" si="625"/>
        <v>0</v>
      </c>
      <c r="AD1406" s="8"/>
      <c r="AE1406" s="9"/>
      <c r="AF1406" s="10"/>
      <c r="AG1406" s="7">
        <f t="shared" si="626"/>
        <v>0</v>
      </c>
    </row>
    <row r="1407" spans="1:33">
      <c r="A1407" s="3"/>
      <c r="B1407" s="8"/>
      <c r="C1407" s="9"/>
      <c r="D1407" s="10"/>
      <c r="E1407" s="7">
        <f t="shared" si="620"/>
        <v>0</v>
      </c>
      <c r="F1407" s="8"/>
      <c r="G1407" s="9"/>
      <c r="H1407" s="10"/>
      <c r="I1407" s="7">
        <f t="shared" si="621"/>
        <v>0</v>
      </c>
      <c r="K1407" s="11" t="s">
        <v>827</v>
      </c>
      <c r="L1407" s="8"/>
      <c r="M1407" s="9">
        <v>4</v>
      </c>
      <c r="N1407" s="10"/>
      <c r="O1407" s="7">
        <f t="shared" si="622"/>
        <v>4</v>
      </c>
      <c r="P1407" s="8"/>
      <c r="Q1407" s="9">
        <v>4</v>
      </c>
      <c r="R1407" s="10"/>
      <c r="S1407" s="7">
        <f t="shared" si="623"/>
        <v>4</v>
      </c>
      <c r="T1407" s="43">
        <v>45176</v>
      </c>
      <c r="U1407" s="3"/>
      <c r="V1407" s="8"/>
      <c r="W1407" s="9"/>
      <c r="X1407" s="10"/>
      <c r="Y1407" s="7">
        <f t="shared" si="624"/>
        <v>0</v>
      </c>
      <c r="Z1407" s="8"/>
      <c r="AA1407" s="9"/>
      <c r="AB1407" s="10"/>
      <c r="AC1407" s="7">
        <f t="shared" si="625"/>
        <v>0</v>
      </c>
      <c r="AD1407" s="8"/>
      <c r="AE1407" s="9"/>
      <c r="AF1407" s="10"/>
      <c r="AG1407" s="7">
        <f t="shared" si="626"/>
        <v>0</v>
      </c>
    </row>
    <row r="1408" spans="1:33">
      <c r="A1408" s="3"/>
      <c r="B1408" s="8"/>
      <c r="C1408" s="9"/>
      <c r="D1408" s="10"/>
      <c r="E1408" s="7">
        <f t="shared" si="620"/>
        <v>0</v>
      </c>
      <c r="F1408" s="8"/>
      <c r="G1408" s="9"/>
      <c r="H1408" s="10"/>
      <c r="I1408" s="7">
        <f t="shared" si="621"/>
        <v>0</v>
      </c>
      <c r="K1408" s="3" t="s">
        <v>828</v>
      </c>
      <c r="L1408" s="8"/>
      <c r="M1408" s="9">
        <v>9</v>
      </c>
      <c r="N1408" s="10"/>
      <c r="O1408" s="7">
        <f t="shared" si="622"/>
        <v>9</v>
      </c>
      <c r="P1408" s="8"/>
      <c r="Q1408" s="9">
        <v>9</v>
      </c>
      <c r="R1408" s="10"/>
      <c r="S1408" s="7">
        <f t="shared" si="623"/>
        <v>9</v>
      </c>
      <c r="T1408" s="43">
        <v>45174</v>
      </c>
      <c r="U1408" s="3"/>
      <c r="V1408" s="8"/>
      <c r="W1408" s="9"/>
      <c r="X1408" s="10"/>
      <c r="Y1408" s="7">
        <f t="shared" si="624"/>
        <v>0</v>
      </c>
      <c r="Z1408" s="8"/>
      <c r="AA1408" s="9"/>
      <c r="AB1408" s="10"/>
      <c r="AC1408" s="7">
        <f t="shared" si="625"/>
        <v>0</v>
      </c>
      <c r="AD1408" s="8"/>
      <c r="AE1408" s="9"/>
      <c r="AF1408" s="10"/>
      <c r="AG1408" s="7">
        <f t="shared" si="626"/>
        <v>0</v>
      </c>
    </row>
    <row r="1409" spans="1:33">
      <c r="A1409" s="3"/>
      <c r="B1409" s="8"/>
      <c r="C1409" s="9"/>
      <c r="D1409" s="10"/>
      <c r="E1409" s="7">
        <f t="shared" si="620"/>
        <v>0</v>
      </c>
      <c r="F1409" s="8"/>
      <c r="G1409" s="9"/>
      <c r="H1409" s="10"/>
      <c r="I1409" s="7">
        <f t="shared" si="621"/>
        <v>0</v>
      </c>
      <c r="K1409" s="3" t="s">
        <v>295</v>
      </c>
      <c r="L1409" s="8">
        <v>1</v>
      </c>
      <c r="M1409" s="9"/>
      <c r="N1409" s="10"/>
      <c r="O1409" s="7">
        <f t="shared" si="622"/>
        <v>1</v>
      </c>
      <c r="P1409" s="8">
        <v>1</v>
      </c>
      <c r="Q1409" s="9"/>
      <c r="R1409" s="10"/>
      <c r="S1409" s="7">
        <f t="shared" si="623"/>
        <v>1</v>
      </c>
      <c r="T1409" s="49">
        <v>45171</v>
      </c>
      <c r="U1409" s="3"/>
      <c r="V1409" s="8"/>
      <c r="W1409" s="9"/>
      <c r="X1409" s="10"/>
      <c r="Y1409" s="7">
        <f t="shared" si="624"/>
        <v>0</v>
      </c>
      <c r="Z1409" s="8"/>
      <c r="AA1409" s="9"/>
      <c r="AB1409" s="10"/>
      <c r="AC1409" s="7">
        <f t="shared" si="625"/>
        <v>0</v>
      </c>
      <c r="AD1409" s="8"/>
      <c r="AE1409" s="9"/>
      <c r="AF1409" s="10"/>
      <c r="AG1409" s="7">
        <f t="shared" si="626"/>
        <v>0</v>
      </c>
    </row>
    <row r="1410" spans="1:33">
      <c r="A1410" s="11"/>
      <c r="B1410" s="8"/>
      <c r="C1410" s="9"/>
      <c r="D1410" s="10"/>
      <c r="E1410" s="7">
        <f t="shared" si="620"/>
        <v>0</v>
      </c>
      <c r="F1410" s="8"/>
      <c r="G1410" s="9"/>
      <c r="H1410" s="10"/>
      <c r="I1410" s="7">
        <f t="shared" si="621"/>
        <v>0</v>
      </c>
      <c r="K1410" s="11" t="s">
        <v>761</v>
      </c>
      <c r="L1410" s="8"/>
      <c r="M1410" s="9"/>
      <c r="N1410" s="10"/>
      <c r="O1410" s="7">
        <f t="shared" si="622"/>
        <v>0</v>
      </c>
      <c r="P1410" s="8"/>
      <c r="Q1410" s="9"/>
      <c r="R1410" s="10"/>
      <c r="S1410" s="7">
        <f t="shared" si="623"/>
        <v>0</v>
      </c>
      <c r="T1410" s="71" t="s">
        <v>810</v>
      </c>
      <c r="U1410" s="3"/>
      <c r="V1410" s="8"/>
      <c r="W1410" s="9"/>
      <c r="X1410" s="10"/>
      <c r="Y1410" s="7">
        <f t="shared" si="624"/>
        <v>0</v>
      </c>
      <c r="Z1410" s="8"/>
      <c r="AA1410" s="9"/>
      <c r="AB1410" s="10"/>
      <c r="AC1410" s="7">
        <f t="shared" si="625"/>
        <v>0</v>
      </c>
      <c r="AD1410" s="8"/>
      <c r="AE1410" s="9"/>
      <c r="AF1410" s="10"/>
      <c r="AG1410" s="7">
        <f t="shared" si="626"/>
        <v>0</v>
      </c>
    </row>
    <row r="1411" spans="1:33">
      <c r="A1411" s="11"/>
      <c r="B1411" s="8"/>
      <c r="C1411" s="9"/>
      <c r="D1411" s="10"/>
      <c r="E1411" s="7">
        <f t="shared" si="620"/>
        <v>0</v>
      </c>
      <c r="F1411" s="8"/>
      <c r="G1411" s="9"/>
      <c r="H1411" s="10"/>
      <c r="I1411" s="7">
        <f t="shared" si="621"/>
        <v>0</v>
      </c>
      <c r="K1411" s="11" t="s">
        <v>768</v>
      </c>
      <c r="L1411" s="8"/>
      <c r="M1411" s="9"/>
      <c r="N1411" s="10"/>
      <c r="O1411" s="7">
        <f t="shared" ref="O1411" si="640">SUM(L1411:N1411)</f>
        <v>0</v>
      </c>
      <c r="P1411" s="8"/>
      <c r="Q1411" s="9"/>
      <c r="R1411" s="10"/>
      <c r="S1411" s="7">
        <f t="shared" ref="S1411" si="641">SUM(P1411:R1411)</f>
        <v>0</v>
      </c>
      <c r="T1411" s="71" t="s">
        <v>769</v>
      </c>
      <c r="U1411" s="3"/>
      <c r="V1411" s="8"/>
      <c r="W1411" s="9"/>
      <c r="X1411" s="10"/>
      <c r="Y1411" s="7">
        <f t="shared" si="624"/>
        <v>0</v>
      </c>
      <c r="Z1411" s="8"/>
      <c r="AA1411" s="9"/>
      <c r="AB1411" s="10"/>
      <c r="AC1411" s="7">
        <f t="shared" si="625"/>
        <v>0</v>
      </c>
      <c r="AD1411" s="8"/>
      <c r="AE1411" s="9"/>
      <c r="AF1411" s="10"/>
      <c r="AG1411" s="7">
        <f t="shared" si="626"/>
        <v>0</v>
      </c>
    </row>
    <row r="1412" spans="1:33">
      <c r="A1412" s="11"/>
      <c r="B1412" s="8"/>
      <c r="C1412" s="9"/>
      <c r="D1412" s="10"/>
      <c r="E1412" s="7">
        <f t="shared" si="620"/>
        <v>0</v>
      </c>
      <c r="F1412" s="8"/>
      <c r="G1412" s="9"/>
      <c r="H1412" s="10"/>
      <c r="I1412" s="7">
        <f t="shared" si="621"/>
        <v>0</v>
      </c>
      <c r="K1412" s="5" t="s">
        <v>638</v>
      </c>
      <c r="L1412" s="79"/>
      <c r="M1412" s="80"/>
      <c r="N1412" s="81"/>
      <c r="O1412" s="82">
        <f t="shared" ref="O1412:O1415" si="642">SUM(L1412:N1412)</f>
        <v>0</v>
      </c>
      <c r="P1412" s="79"/>
      <c r="Q1412" s="80"/>
      <c r="R1412" s="81"/>
      <c r="S1412" s="82">
        <f t="shared" ref="S1412:S1415" si="643">SUM(P1412:R1412)</f>
        <v>0</v>
      </c>
      <c r="T1412" s="92"/>
      <c r="U1412" s="11"/>
      <c r="V1412" s="8"/>
      <c r="W1412" s="9"/>
      <c r="X1412" s="10"/>
      <c r="Y1412" s="7">
        <f t="shared" si="624"/>
        <v>0</v>
      </c>
      <c r="Z1412" s="8"/>
      <c r="AA1412" s="9"/>
      <c r="AB1412" s="10"/>
      <c r="AC1412" s="7">
        <f t="shared" si="625"/>
        <v>0</v>
      </c>
      <c r="AD1412" s="8"/>
      <c r="AE1412" s="9"/>
      <c r="AF1412" s="10"/>
      <c r="AG1412" s="7">
        <f t="shared" si="626"/>
        <v>0</v>
      </c>
    </row>
    <row r="1413" spans="1:33">
      <c r="A1413" s="11"/>
      <c r="B1413" s="8"/>
      <c r="C1413" s="9"/>
      <c r="D1413" s="10"/>
      <c r="E1413" s="7">
        <f t="shared" si="620"/>
        <v>0</v>
      </c>
      <c r="F1413" s="8"/>
      <c r="G1413" s="9"/>
      <c r="H1413" s="10"/>
      <c r="I1413" s="7">
        <f t="shared" si="621"/>
        <v>0</v>
      </c>
      <c r="K1413" s="11" t="s">
        <v>635</v>
      </c>
      <c r="L1413" s="8"/>
      <c r="M1413" s="9"/>
      <c r="N1413" s="10"/>
      <c r="O1413" s="7">
        <f t="shared" si="642"/>
        <v>0</v>
      </c>
      <c r="P1413" s="8"/>
      <c r="Q1413" s="9"/>
      <c r="R1413" s="10"/>
      <c r="S1413" s="7">
        <f t="shared" si="643"/>
        <v>0</v>
      </c>
      <c r="T1413" s="71" t="s">
        <v>637</v>
      </c>
      <c r="U1413" s="3"/>
      <c r="V1413" s="8"/>
      <c r="W1413" s="9"/>
      <c r="X1413" s="10"/>
      <c r="Y1413" s="7">
        <f t="shared" si="624"/>
        <v>0</v>
      </c>
      <c r="Z1413" s="8"/>
      <c r="AA1413" s="9"/>
      <c r="AB1413" s="10"/>
      <c r="AC1413" s="7">
        <f t="shared" si="625"/>
        <v>0</v>
      </c>
      <c r="AD1413" s="8"/>
      <c r="AE1413" s="9"/>
      <c r="AF1413" s="10"/>
      <c r="AG1413" s="7">
        <f t="shared" si="626"/>
        <v>0</v>
      </c>
    </row>
    <row r="1414" spans="1:33">
      <c r="A1414" s="11"/>
      <c r="B1414" s="8"/>
      <c r="C1414" s="9"/>
      <c r="D1414" s="10"/>
      <c r="E1414" s="7">
        <f t="shared" si="620"/>
        <v>0</v>
      </c>
      <c r="F1414" s="8"/>
      <c r="G1414" s="9"/>
      <c r="H1414" s="10"/>
      <c r="I1414" s="7">
        <f t="shared" si="621"/>
        <v>0</v>
      </c>
      <c r="K1414" s="5" t="s">
        <v>656</v>
      </c>
      <c r="L1414" s="79"/>
      <c r="M1414" s="80"/>
      <c r="N1414" s="81"/>
      <c r="O1414" s="82">
        <f t="shared" si="642"/>
        <v>0</v>
      </c>
      <c r="P1414" s="79"/>
      <c r="Q1414" s="80"/>
      <c r="R1414" s="81"/>
      <c r="S1414" s="82">
        <f t="shared" si="643"/>
        <v>0</v>
      </c>
      <c r="T1414" s="71"/>
      <c r="U1414" s="3"/>
      <c r="V1414" s="8"/>
      <c r="W1414" s="9"/>
      <c r="X1414" s="10"/>
      <c r="Y1414" s="7">
        <f t="shared" si="624"/>
        <v>0</v>
      </c>
      <c r="Z1414" s="8"/>
      <c r="AA1414" s="9"/>
      <c r="AB1414" s="10"/>
      <c r="AC1414" s="7">
        <f t="shared" si="625"/>
        <v>0</v>
      </c>
      <c r="AD1414" s="8"/>
      <c r="AE1414" s="9"/>
      <c r="AF1414" s="10"/>
      <c r="AG1414" s="7">
        <f t="shared" si="626"/>
        <v>0</v>
      </c>
    </row>
    <row r="1415" spans="1:33" ht="14.25" thickBot="1">
      <c r="A1415" s="3"/>
      <c r="B1415" s="8"/>
      <c r="C1415" s="9"/>
      <c r="D1415" s="10"/>
      <c r="E1415" s="7">
        <f t="shared" si="620"/>
        <v>0</v>
      </c>
      <c r="F1415" s="8"/>
      <c r="G1415" s="9"/>
      <c r="H1415" s="10"/>
      <c r="I1415" s="7">
        <f t="shared" si="621"/>
        <v>0</v>
      </c>
      <c r="K1415" s="11" t="s">
        <v>655</v>
      </c>
      <c r="L1415" s="8"/>
      <c r="M1415" s="9"/>
      <c r="N1415" s="10"/>
      <c r="O1415" s="7">
        <f t="shared" si="642"/>
        <v>0</v>
      </c>
      <c r="P1415" s="8"/>
      <c r="Q1415" s="9"/>
      <c r="R1415" s="10"/>
      <c r="S1415" s="7">
        <f t="shared" si="643"/>
        <v>0</v>
      </c>
      <c r="T1415" s="71" t="s">
        <v>654</v>
      </c>
      <c r="U1415" s="3"/>
      <c r="V1415" s="8"/>
      <c r="W1415" s="9"/>
      <c r="X1415" s="10"/>
      <c r="Y1415" s="7">
        <f t="shared" ref="Y1415" si="644">SUM(V1415:X1415)</f>
        <v>0</v>
      </c>
      <c r="Z1415" s="8"/>
      <c r="AA1415" s="9"/>
      <c r="AB1415" s="10"/>
      <c r="AC1415" s="7">
        <f t="shared" ref="AC1415" si="645">SUM(Z1415:AB1415)</f>
        <v>0</v>
      </c>
      <c r="AD1415" s="8"/>
      <c r="AE1415" s="9"/>
      <c r="AF1415" s="10"/>
      <c r="AG1415" s="7">
        <f t="shared" ref="AG1415" si="646">SUM(AD1415:AF1415)</f>
        <v>0</v>
      </c>
    </row>
    <row r="1416" spans="1:33" ht="14.25" thickBot="1">
      <c r="A1416" s="2" t="s">
        <v>5</v>
      </c>
      <c r="B1416" s="14">
        <f>SUM(B1392:B1415)</f>
        <v>9</v>
      </c>
      <c r="C1416" s="14">
        <f>SUM(C1392:C1415)</f>
        <v>22</v>
      </c>
      <c r="D1416" s="14">
        <f>SUM(D1392:D1415)</f>
        <v>14</v>
      </c>
      <c r="E1416" s="15">
        <f t="shared" si="620"/>
        <v>45</v>
      </c>
      <c r="F1416" s="14">
        <f>SUM(F1392:F1415)</f>
        <v>9</v>
      </c>
      <c r="G1416" s="14">
        <f>SUM(G1392:G1415)</f>
        <v>22</v>
      </c>
      <c r="H1416" s="14">
        <f>SUM(H1392:H1415)</f>
        <v>14</v>
      </c>
      <c r="I1416" s="15">
        <f t="shared" si="621"/>
        <v>45</v>
      </c>
      <c r="K1416" s="2" t="s">
        <v>5</v>
      </c>
      <c r="L1416" s="14">
        <f>SUM(L1392:L1415)</f>
        <v>70</v>
      </c>
      <c r="M1416" s="14">
        <f>SUM(M1392:M1415)</f>
        <v>97</v>
      </c>
      <c r="N1416" s="14">
        <f>SUM(N1392:N1415)</f>
        <v>59</v>
      </c>
      <c r="O1416" s="15">
        <f t="shared" si="622"/>
        <v>226</v>
      </c>
      <c r="P1416" s="14">
        <f>SUM(P1392:P1415)</f>
        <v>70</v>
      </c>
      <c r="Q1416" s="14">
        <f>SUM(Q1392:Q1415)</f>
        <v>97</v>
      </c>
      <c r="R1416" s="14">
        <f>SUM(R1392:R1415)</f>
        <v>59</v>
      </c>
      <c r="S1416" s="15">
        <f t="shared" si="623"/>
        <v>226</v>
      </c>
      <c r="U1416" s="2" t="s">
        <v>5</v>
      </c>
      <c r="V1416" s="14">
        <f>SUM(V1392:V1415)</f>
        <v>0</v>
      </c>
      <c r="W1416" s="14">
        <f>SUM(W1392:W1415)</f>
        <v>0</v>
      </c>
      <c r="X1416" s="14">
        <f>SUM(X1392:X1415)</f>
        <v>11</v>
      </c>
      <c r="Y1416" s="15">
        <f t="shared" si="624"/>
        <v>11</v>
      </c>
      <c r="Z1416" s="14">
        <f>SUM(Z1392:Z1415)</f>
        <v>0</v>
      </c>
      <c r="AA1416" s="14">
        <f>SUM(AA1392:AA1415)</f>
        <v>0</v>
      </c>
      <c r="AB1416" s="14">
        <f>SUM(AB1392:AB1415)</f>
        <v>11</v>
      </c>
      <c r="AC1416" s="15">
        <f t="shared" si="625"/>
        <v>11</v>
      </c>
      <c r="AD1416" s="14">
        <f>SUM(AD1392:AD1415)</f>
        <v>0</v>
      </c>
      <c r="AE1416" s="14">
        <f>SUM(AE1392:AE1415)</f>
        <v>0</v>
      </c>
      <c r="AF1416" s="14">
        <f>SUM(AF1392:AF1415)</f>
        <v>11</v>
      </c>
      <c r="AG1416" s="15">
        <f t="shared" si="626"/>
        <v>11</v>
      </c>
    </row>
    <row r="1417" spans="1:33" ht="14.25" thickBot="1">
      <c r="A1417" s="27" t="s">
        <v>6</v>
      </c>
      <c r="B1417" s="28">
        <f>B1391-B1416</f>
        <v>9</v>
      </c>
      <c r="C1417" s="28">
        <f t="shared" ref="C1417:E1417" si="647">C1391-C1416</f>
        <v>6</v>
      </c>
      <c r="D1417" s="28">
        <f t="shared" si="647"/>
        <v>4</v>
      </c>
      <c r="E1417" s="28">
        <f t="shared" si="647"/>
        <v>19</v>
      </c>
      <c r="F1417" s="28">
        <f>F1391-F1416</f>
        <v>9</v>
      </c>
      <c r="G1417" s="28">
        <f t="shared" ref="G1417:I1417" si="648">G1391-G1416</f>
        <v>6</v>
      </c>
      <c r="H1417" s="28">
        <f t="shared" si="648"/>
        <v>4</v>
      </c>
      <c r="I1417" s="26">
        <f t="shared" si="648"/>
        <v>19</v>
      </c>
      <c r="K1417" s="27" t="s">
        <v>6</v>
      </c>
      <c r="L1417" s="28">
        <f>L1391-L1416</f>
        <v>99</v>
      </c>
      <c r="M1417" s="28">
        <f t="shared" ref="M1417:O1417" si="649">M1391-M1416</f>
        <v>92</v>
      </c>
      <c r="N1417" s="28">
        <f t="shared" si="649"/>
        <v>48</v>
      </c>
      <c r="O1417" s="28">
        <f t="shared" si="649"/>
        <v>239</v>
      </c>
      <c r="P1417" s="28">
        <f>P1391-P1416</f>
        <v>99</v>
      </c>
      <c r="Q1417" s="28">
        <f t="shared" ref="Q1417:S1417" si="650">Q1391-Q1416</f>
        <v>92</v>
      </c>
      <c r="R1417" s="28">
        <f t="shared" si="650"/>
        <v>48</v>
      </c>
      <c r="S1417" s="26">
        <f t="shared" si="650"/>
        <v>239</v>
      </c>
      <c r="U1417" s="27" t="s">
        <v>6</v>
      </c>
      <c r="V1417" s="28">
        <f>V1391-V1416</f>
        <v>1</v>
      </c>
      <c r="W1417" s="28">
        <f t="shared" ref="W1417:Y1417" si="651">W1391-W1416</f>
        <v>12</v>
      </c>
      <c r="X1417" s="28">
        <f t="shared" si="651"/>
        <v>2</v>
      </c>
      <c r="Y1417" s="28">
        <f t="shared" si="651"/>
        <v>15</v>
      </c>
      <c r="Z1417" s="28">
        <f>Z1391-Z1416</f>
        <v>1</v>
      </c>
      <c r="AA1417" s="28">
        <f t="shared" ref="AA1417:AC1417" si="652">AA1391-AA1416</f>
        <v>12</v>
      </c>
      <c r="AB1417" s="28">
        <f t="shared" si="652"/>
        <v>2</v>
      </c>
      <c r="AC1417" s="26">
        <f t="shared" si="652"/>
        <v>15</v>
      </c>
      <c r="AD1417" s="28">
        <f>AD1391-AD1416</f>
        <v>1</v>
      </c>
      <c r="AE1417" s="28">
        <f t="shared" ref="AE1417:AG1417" si="653">AE1391-AE1416</f>
        <v>12</v>
      </c>
      <c r="AF1417" s="28">
        <f t="shared" si="653"/>
        <v>2</v>
      </c>
      <c r="AG1417" s="26">
        <f t="shared" si="653"/>
        <v>15</v>
      </c>
    </row>
    <row r="1420" spans="1:33" ht="26.25" thickBot="1">
      <c r="A1420" s="33" t="s">
        <v>831</v>
      </c>
      <c r="B1420" s="34"/>
      <c r="C1420" s="34"/>
      <c r="D1420" s="34"/>
      <c r="E1420" s="34"/>
      <c r="F1420" s="35"/>
      <c r="G1420" s="35"/>
      <c r="H1420" s="35"/>
      <c r="I1420" s="35"/>
      <c r="K1420" s="33" t="s">
        <v>830</v>
      </c>
      <c r="L1420" s="34"/>
      <c r="M1420" s="34"/>
      <c r="N1420" s="34"/>
      <c r="O1420" s="34"/>
      <c r="P1420" s="35"/>
      <c r="Q1420" s="35"/>
      <c r="R1420" s="35"/>
      <c r="S1420" s="35"/>
      <c r="U1420" s="113" t="s">
        <v>622</v>
      </c>
      <c r="V1420" s="114"/>
      <c r="W1420" s="114"/>
      <c r="X1420" s="114"/>
      <c r="Y1420" s="114"/>
      <c r="Z1420" s="115"/>
      <c r="AA1420" s="115"/>
      <c r="AB1420" s="115"/>
      <c r="AC1420" s="115"/>
      <c r="AD1420" s="116"/>
      <c r="AE1420" s="116"/>
    </row>
    <row r="1421" spans="1:33" ht="14.25" thickBot="1">
      <c r="A1421" s="1" t="s">
        <v>0</v>
      </c>
      <c r="B1421" s="182" t="s">
        <v>17</v>
      </c>
      <c r="C1421" s="182"/>
      <c r="D1421" s="182"/>
      <c r="E1421" s="183"/>
      <c r="F1421" s="182" t="s">
        <v>13</v>
      </c>
      <c r="G1421" s="182"/>
      <c r="H1421" s="182"/>
      <c r="I1421" s="183"/>
      <c r="K1421" s="1" t="s">
        <v>0</v>
      </c>
      <c r="L1421" s="182" t="s">
        <v>17</v>
      </c>
      <c r="M1421" s="182"/>
      <c r="N1421" s="182"/>
      <c r="O1421" s="183"/>
      <c r="P1421" s="182" t="s">
        <v>13</v>
      </c>
      <c r="Q1421" s="182"/>
      <c r="R1421" s="182"/>
      <c r="S1421" s="183"/>
      <c r="U1421" s="1" t="s">
        <v>0</v>
      </c>
      <c r="V1421" s="182" t="s">
        <v>17</v>
      </c>
      <c r="W1421" s="182"/>
      <c r="X1421" s="182"/>
      <c r="Y1421" s="183"/>
      <c r="Z1421" s="182" t="s">
        <v>13</v>
      </c>
      <c r="AA1421" s="182"/>
      <c r="AB1421" s="182"/>
      <c r="AC1421" s="183"/>
      <c r="AD1421" s="182" t="s">
        <v>242</v>
      </c>
      <c r="AE1421" s="182"/>
      <c r="AF1421" s="182"/>
      <c r="AG1421" s="183"/>
    </row>
    <row r="1422" spans="1:33" ht="14.25" thickBot="1">
      <c r="A1422" s="1" t="s">
        <v>1</v>
      </c>
      <c r="B1422" s="2" t="s">
        <v>8</v>
      </c>
      <c r="C1422" s="1" t="s">
        <v>9</v>
      </c>
      <c r="D1422" s="19" t="s">
        <v>10</v>
      </c>
      <c r="E1422" s="1" t="s">
        <v>2</v>
      </c>
      <c r="F1422" s="2" t="s">
        <v>8</v>
      </c>
      <c r="G1422" s="1" t="s">
        <v>9</v>
      </c>
      <c r="H1422" s="19" t="s">
        <v>10</v>
      </c>
      <c r="I1422" s="1" t="s">
        <v>2</v>
      </c>
      <c r="K1422" s="1" t="s">
        <v>1</v>
      </c>
      <c r="L1422" s="2" t="s">
        <v>8</v>
      </c>
      <c r="M1422" s="1" t="s">
        <v>9</v>
      </c>
      <c r="N1422" s="19" t="s">
        <v>10</v>
      </c>
      <c r="O1422" s="1" t="s">
        <v>2</v>
      </c>
      <c r="P1422" s="2" t="s">
        <v>8</v>
      </c>
      <c r="Q1422" s="1" t="s">
        <v>9</v>
      </c>
      <c r="R1422" s="19" t="s">
        <v>10</v>
      </c>
      <c r="S1422" s="1" t="s">
        <v>2</v>
      </c>
      <c r="U1422" s="1" t="s">
        <v>1</v>
      </c>
      <c r="V1422" s="2" t="s">
        <v>8</v>
      </c>
      <c r="W1422" s="1" t="s">
        <v>9</v>
      </c>
      <c r="X1422" s="19" t="s">
        <v>10</v>
      </c>
      <c r="Y1422" s="1" t="s">
        <v>2</v>
      </c>
      <c r="Z1422" s="2" t="s">
        <v>8</v>
      </c>
      <c r="AA1422" s="1" t="s">
        <v>9</v>
      </c>
      <c r="AB1422" s="19" t="s">
        <v>10</v>
      </c>
      <c r="AC1422" s="1" t="s">
        <v>2</v>
      </c>
      <c r="AD1422" s="2" t="s">
        <v>8</v>
      </c>
      <c r="AE1422" s="1" t="s">
        <v>9</v>
      </c>
      <c r="AF1422" s="19" t="s">
        <v>10</v>
      </c>
      <c r="AG1422" s="1" t="s">
        <v>2</v>
      </c>
    </row>
    <row r="1423" spans="1:33">
      <c r="A1423" s="21" t="s">
        <v>7</v>
      </c>
      <c r="B1423" s="18">
        <f>B1417</f>
        <v>9</v>
      </c>
      <c r="C1423" s="22">
        <f>C1417</f>
        <v>6</v>
      </c>
      <c r="D1423" s="22">
        <f>D1417</f>
        <v>4</v>
      </c>
      <c r="E1423" s="17">
        <f t="shared" ref="E1423:E1459" si="654">SUM(B1423:D1423)</f>
        <v>19</v>
      </c>
      <c r="F1423" s="22">
        <f>F1417</f>
        <v>9</v>
      </c>
      <c r="G1423" s="22">
        <f>G1417</f>
        <v>6</v>
      </c>
      <c r="H1423" s="22">
        <f>H1417</f>
        <v>4</v>
      </c>
      <c r="I1423" s="17">
        <f t="shared" ref="I1423:I1459" si="655">SUM(F1423:H1423)</f>
        <v>19</v>
      </c>
      <c r="K1423" s="21" t="s">
        <v>7</v>
      </c>
      <c r="L1423" s="18">
        <f>L1417</f>
        <v>99</v>
      </c>
      <c r="M1423" s="22">
        <f>M1417</f>
        <v>92</v>
      </c>
      <c r="N1423" s="22">
        <f>N1417</f>
        <v>48</v>
      </c>
      <c r="O1423" s="17">
        <f t="shared" ref="O1423:O1459" si="656">SUM(L1423:N1423)</f>
        <v>239</v>
      </c>
      <c r="P1423" s="22">
        <f>P1417</f>
        <v>99</v>
      </c>
      <c r="Q1423" s="22">
        <f>Q1417</f>
        <v>92</v>
      </c>
      <c r="R1423" s="22">
        <f>R1417</f>
        <v>48</v>
      </c>
      <c r="S1423" s="17">
        <f t="shared" ref="S1423:S1459" si="657">SUM(P1423:R1423)</f>
        <v>239</v>
      </c>
      <c r="U1423" s="21" t="s">
        <v>7</v>
      </c>
      <c r="V1423" s="18">
        <f>V1417</f>
        <v>1</v>
      </c>
      <c r="W1423" s="22">
        <f>W1417</f>
        <v>12</v>
      </c>
      <c r="X1423" s="22">
        <f>X1417</f>
        <v>2</v>
      </c>
      <c r="Y1423" s="17">
        <f t="shared" ref="Y1423:Y1459" si="658">SUM(V1423:X1423)</f>
        <v>15</v>
      </c>
      <c r="Z1423" s="22">
        <f>Z1417</f>
        <v>1</v>
      </c>
      <c r="AA1423" s="22">
        <f>AA1417</f>
        <v>12</v>
      </c>
      <c r="AB1423" s="22">
        <f>AB1417</f>
        <v>2</v>
      </c>
      <c r="AC1423" s="17">
        <f t="shared" ref="AC1423:AC1459" si="659">SUM(Z1423:AB1423)</f>
        <v>15</v>
      </c>
      <c r="AD1423" s="22">
        <f>AD1417</f>
        <v>1</v>
      </c>
      <c r="AE1423" s="22">
        <f>AE1417</f>
        <v>12</v>
      </c>
      <c r="AF1423" s="22">
        <f>AF1417</f>
        <v>2</v>
      </c>
      <c r="AG1423" s="17">
        <f t="shared" ref="AG1423:AG1459" si="660">SUM(AD1423:AF1423)</f>
        <v>15</v>
      </c>
    </row>
    <row r="1424" spans="1:33">
      <c r="A1424" s="5" t="s">
        <v>3</v>
      </c>
      <c r="B1424" s="30">
        <v>3</v>
      </c>
      <c r="C1424" s="31">
        <v>10</v>
      </c>
      <c r="D1424" s="32">
        <v>3</v>
      </c>
      <c r="E1424" s="4">
        <f t="shared" si="654"/>
        <v>16</v>
      </c>
      <c r="F1424" s="30">
        <v>3</v>
      </c>
      <c r="G1424" s="31">
        <v>10</v>
      </c>
      <c r="H1424" s="32">
        <v>3</v>
      </c>
      <c r="I1424" s="4">
        <f t="shared" si="655"/>
        <v>16</v>
      </c>
      <c r="J1424" s="43">
        <v>45180</v>
      </c>
      <c r="K1424" s="5" t="s">
        <v>196</v>
      </c>
      <c r="L1424" s="16">
        <v>18</v>
      </c>
      <c r="M1424" s="11">
        <v>34</v>
      </c>
      <c r="N1424" s="16">
        <v>30</v>
      </c>
      <c r="O1424" s="4">
        <f t="shared" si="656"/>
        <v>82</v>
      </c>
      <c r="P1424" s="16">
        <v>18</v>
      </c>
      <c r="Q1424" s="11">
        <v>34</v>
      </c>
      <c r="R1424" s="16">
        <v>30</v>
      </c>
      <c r="S1424" s="4">
        <f t="shared" si="657"/>
        <v>82</v>
      </c>
      <c r="T1424" s="49">
        <v>45257</v>
      </c>
      <c r="U1424" s="5" t="s">
        <v>3</v>
      </c>
      <c r="V1424" s="16"/>
      <c r="W1424" s="11"/>
      <c r="X1424" s="16"/>
      <c r="Y1424" s="4">
        <f t="shared" si="658"/>
        <v>0</v>
      </c>
      <c r="Z1424" s="16"/>
      <c r="AA1424" s="11"/>
      <c r="AB1424" s="16"/>
      <c r="AC1424" s="4">
        <f t="shared" si="659"/>
        <v>0</v>
      </c>
      <c r="AD1424" s="16"/>
      <c r="AE1424" s="11"/>
      <c r="AF1424" s="16"/>
      <c r="AG1424" s="4">
        <f t="shared" si="660"/>
        <v>0</v>
      </c>
    </row>
    <row r="1425" spans="1:34">
      <c r="A1425" s="5" t="s">
        <v>196</v>
      </c>
      <c r="B1425" s="30"/>
      <c r="C1425" s="31">
        <v>1</v>
      </c>
      <c r="D1425" s="32"/>
      <c r="E1425" s="4">
        <f t="shared" si="654"/>
        <v>1</v>
      </c>
      <c r="F1425" s="30"/>
      <c r="G1425" s="31">
        <v>1</v>
      </c>
      <c r="H1425" s="32"/>
      <c r="I1425" s="4">
        <f t="shared" si="655"/>
        <v>1</v>
      </c>
      <c r="J1425" s="49">
        <v>45190</v>
      </c>
      <c r="K1425" s="5" t="s">
        <v>3</v>
      </c>
      <c r="L1425" s="32"/>
      <c r="M1425" s="31"/>
      <c r="N1425" s="32"/>
      <c r="O1425" s="4">
        <f t="shared" si="656"/>
        <v>0</v>
      </c>
      <c r="P1425" s="32"/>
      <c r="Q1425" s="31"/>
      <c r="R1425" s="32"/>
      <c r="S1425" s="4">
        <f t="shared" si="657"/>
        <v>0</v>
      </c>
      <c r="U1425" s="3" t="s">
        <v>845</v>
      </c>
      <c r="V1425" s="32">
        <v>2</v>
      </c>
      <c r="W1425" s="31"/>
      <c r="X1425" s="32">
        <v>2</v>
      </c>
      <c r="Y1425" s="4">
        <f t="shared" si="658"/>
        <v>4</v>
      </c>
      <c r="Z1425" s="32">
        <v>2</v>
      </c>
      <c r="AA1425" s="31"/>
      <c r="AB1425" s="32">
        <v>2</v>
      </c>
      <c r="AC1425" s="4">
        <f t="shared" si="659"/>
        <v>4</v>
      </c>
      <c r="AD1425" s="32">
        <v>2</v>
      </c>
      <c r="AE1425" s="31"/>
      <c r="AF1425" s="32">
        <v>2</v>
      </c>
      <c r="AG1425" s="4">
        <f t="shared" si="660"/>
        <v>4</v>
      </c>
      <c r="AH1425" s="43">
        <v>45201</v>
      </c>
    </row>
    <row r="1426" spans="1:34">
      <c r="A1426" s="5" t="s">
        <v>3</v>
      </c>
      <c r="B1426" s="30">
        <v>3</v>
      </c>
      <c r="C1426" s="31">
        <v>3</v>
      </c>
      <c r="D1426" s="32">
        <v>5</v>
      </c>
      <c r="E1426" s="4">
        <f t="shared" si="654"/>
        <v>11</v>
      </c>
      <c r="F1426" s="30">
        <v>3</v>
      </c>
      <c r="G1426" s="31">
        <v>3</v>
      </c>
      <c r="H1426" s="32">
        <v>5</v>
      </c>
      <c r="I1426" s="4">
        <f t="shared" si="655"/>
        <v>11</v>
      </c>
      <c r="J1426" s="43">
        <v>45199</v>
      </c>
      <c r="K1426" s="5" t="s">
        <v>3</v>
      </c>
      <c r="L1426" s="32"/>
      <c r="M1426" s="31"/>
      <c r="N1426" s="32"/>
      <c r="O1426" s="4">
        <f t="shared" si="656"/>
        <v>0</v>
      </c>
      <c r="P1426" s="32"/>
      <c r="Q1426" s="31"/>
      <c r="R1426" s="32"/>
      <c r="S1426" s="4">
        <f t="shared" si="657"/>
        <v>0</v>
      </c>
      <c r="U1426" s="5" t="s">
        <v>3</v>
      </c>
      <c r="V1426" s="30"/>
      <c r="W1426" s="31"/>
      <c r="X1426" s="32"/>
      <c r="Y1426" s="4">
        <f t="shared" si="658"/>
        <v>0</v>
      </c>
      <c r="Z1426" s="30"/>
      <c r="AA1426" s="31"/>
      <c r="AB1426" s="32"/>
      <c r="AC1426" s="4">
        <f t="shared" si="659"/>
        <v>0</v>
      </c>
      <c r="AD1426" s="30"/>
      <c r="AE1426" s="31"/>
      <c r="AF1426" s="32"/>
      <c r="AG1426" s="4">
        <f t="shared" si="660"/>
        <v>0</v>
      </c>
    </row>
    <row r="1427" spans="1:34">
      <c r="A1427" s="5" t="s">
        <v>37</v>
      </c>
      <c r="B1427" s="16"/>
      <c r="C1427" s="11"/>
      <c r="D1427" s="16">
        <v>1</v>
      </c>
      <c r="E1427" s="4">
        <f t="shared" si="654"/>
        <v>1</v>
      </c>
      <c r="F1427" s="16"/>
      <c r="G1427" s="11"/>
      <c r="H1427" s="16">
        <v>1</v>
      </c>
      <c r="I1427" s="4">
        <f t="shared" si="655"/>
        <v>1</v>
      </c>
      <c r="J1427" s="49">
        <v>45210</v>
      </c>
      <c r="K1427" s="5" t="s">
        <v>3</v>
      </c>
      <c r="L1427" s="32"/>
      <c r="M1427" s="31"/>
      <c r="N1427" s="32"/>
      <c r="O1427" s="4">
        <f t="shared" si="656"/>
        <v>0</v>
      </c>
      <c r="P1427" s="32"/>
      <c r="Q1427" s="31"/>
      <c r="R1427" s="32"/>
      <c r="S1427" s="4">
        <f t="shared" si="657"/>
        <v>0</v>
      </c>
      <c r="U1427" s="5" t="s">
        <v>78</v>
      </c>
      <c r="V1427" s="16">
        <v>3</v>
      </c>
      <c r="W1427" s="11">
        <v>2</v>
      </c>
      <c r="X1427" s="16">
        <v>3</v>
      </c>
      <c r="Y1427" s="4">
        <f t="shared" si="658"/>
        <v>8</v>
      </c>
      <c r="Z1427" s="16">
        <v>3</v>
      </c>
      <c r="AA1427" s="11">
        <v>2</v>
      </c>
      <c r="AB1427" s="16">
        <v>3</v>
      </c>
      <c r="AC1427" s="4">
        <f t="shared" si="659"/>
        <v>8</v>
      </c>
      <c r="AD1427" s="16">
        <v>3</v>
      </c>
      <c r="AE1427" s="11">
        <v>2</v>
      </c>
      <c r="AF1427" s="16">
        <v>3</v>
      </c>
      <c r="AG1427" s="4">
        <f t="shared" si="660"/>
        <v>8</v>
      </c>
      <c r="AH1427" s="49">
        <v>45245</v>
      </c>
    </row>
    <row r="1428" spans="1:34">
      <c r="A1428" s="11" t="s">
        <v>495</v>
      </c>
      <c r="B1428" s="8">
        <v>1</v>
      </c>
      <c r="C1428" s="9"/>
      <c r="D1428" s="10"/>
      <c r="E1428" s="7">
        <f t="shared" ref="E1428" si="661">SUM(B1428:D1428)</f>
        <v>1</v>
      </c>
      <c r="F1428" s="8">
        <v>1</v>
      </c>
      <c r="G1428" s="9"/>
      <c r="H1428" s="10"/>
      <c r="I1428" s="7">
        <f t="shared" ref="I1428" si="662">SUM(F1428:H1428)</f>
        <v>1</v>
      </c>
      <c r="J1428" s="49">
        <v>45220</v>
      </c>
      <c r="K1428" s="5" t="s">
        <v>3</v>
      </c>
      <c r="L1428" s="32"/>
      <c r="M1428" s="31"/>
      <c r="N1428" s="32"/>
      <c r="O1428" s="4">
        <f t="shared" si="656"/>
        <v>0</v>
      </c>
      <c r="P1428" s="32"/>
      <c r="Q1428" s="31"/>
      <c r="R1428" s="32"/>
      <c r="S1428" s="4">
        <f t="shared" si="657"/>
        <v>0</v>
      </c>
      <c r="U1428" s="5" t="s">
        <v>3</v>
      </c>
      <c r="V1428" s="32"/>
      <c r="W1428" s="31"/>
      <c r="X1428" s="32"/>
      <c r="Y1428" s="4">
        <f t="shared" si="658"/>
        <v>0</v>
      </c>
      <c r="Z1428" s="32"/>
      <c r="AA1428" s="31"/>
      <c r="AB1428" s="32"/>
      <c r="AC1428" s="4">
        <f t="shared" si="659"/>
        <v>0</v>
      </c>
      <c r="AD1428" s="32"/>
      <c r="AE1428" s="31"/>
      <c r="AF1428" s="32"/>
      <c r="AG1428" s="4">
        <f t="shared" si="660"/>
        <v>0</v>
      </c>
    </row>
    <row r="1429" spans="1:34">
      <c r="A1429" s="5" t="s">
        <v>850</v>
      </c>
      <c r="B1429" s="16">
        <v>1</v>
      </c>
      <c r="C1429" s="11"/>
      <c r="D1429" s="16"/>
      <c r="E1429" s="4">
        <f t="shared" si="654"/>
        <v>1</v>
      </c>
      <c r="F1429" s="16">
        <v>1</v>
      </c>
      <c r="G1429" s="11"/>
      <c r="H1429" s="16"/>
      <c r="I1429" s="4">
        <f t="shared" si="655"/>
        <v>1</v>
      </c>
      <c r="J1429" s="49">
        <v>45220</v>
      </c>
      <c r="K1429" s="5" t="s">
        <v>3</v>
      </c>
      <c r="L1429" s="32"/>
      <c r="M1429" s="31"/>
      <c r="N1429" s="32"/>
      <c r="O1429" s="4">
        <f t="shared" si="656"/>
        <v>0</v>
      </c>
      <c r="P1429" s="32"/>
      <c r="Q1429" s="31"/>
      <c r="R1429" s="32"/>
      <c r="S1429" s="4">
        <f t="shared" si="657"/>
        <v>0</v>
      </c>
      <c r="U1429" s="5" t="s">
        <v>3</v>
      </c>
      <c r="V1429" s="16"/>
      <c r="W1429" s="11"/>
      <c r="X1429" s="16"/>
      <c r="Y1429" s="4">
        <f t="shared" si="658"/>
        <v>0</v>
      </c>
      <c r="Z1429" s="16"/>
      <c r="AA1429" s="11"/>
      <c r="AB1429" s="16"/>
      <c r="AC1429" s="4">
        <f t="shared" si="659"/>
        <v>0</v>
      </c>
      <c r="AD1429" s="16"/>
      <c r="AE1429" s="11"/>
      <c r="AF1429" s="16"/>
      <c r="AG1429" s="4">
        <f t="shared" si="660"/>
        <v>0</v>
      </c>
    </row>
    <row r="1430" spans="1:34">
      <c r="A1430" s="5" t="s">
        <v>851</v>
      </c>
      <c r="B1430" s="32"/>
      <c r="C1430" s="31">
        <v>1</v>
      </c>
      <c r="D1430" s="32"/>
      <c r="E1430" s="4">
        <f t="shared" si="654"/>
        <v>1</v>
      </c>
      <c r="F1430" s="32"/>
      <c r="G1430" s="31">
        <v>1</v>
      </c>
      <c r="H1430" s="32"/>
      <c r="I1430" s="4">
        <f t="shared" si="655"/>
        <v>1</v>
      </c>
      <c r="J1430" s="49">
        <v>45223</v>
      </c>
      <c r="K1430" s="5" t="s">
        <v>3</v>
      </c>
      <c r="L1430" s="32"/>
      <c r="M1430" s="31"/>
      <c r="N1430" s="32"/>
      <c r="O1430" s="4">
        <f t="shared" si="656"/>
        <v>0</v>
      </c>
      <c r="P1430" s="32"/>
      <c r="Q1430" s="31"/>
      <c r="R1430" s="32"/>
      <c r="S1430" s="4">
        <f t="shared" si="657"/>
        <v>0</v>
      </c>
      <c r="U1430" s="5" t="s">
        <v>3</v>
      </c>
      <c r="V1430" s="32"/>
      <c r="W1430" s="31"/>
      <c r="X1430" s="32"/>
      <c r="Y1430" s="4">
        <f t="shared" si="658"/>
        <v>0</v>
      </c>
      <c r="Z1430" s="32"/>
      <c r="AA1430" s="31"/>
      <c r="AB1430" s="32"/>
      <c r="AC1430" s="4">
        <f t="shared" si="659"/>
        <v>0</v>
      </c>
      <c r="AD1430" s="32"/>
      <c r="AE1430" s="31"/>
      <c r="AF1430" s="32"/>
      <c r="AG1430" s="4">
        <f t="shared" si="660"/>
        <v>0</v>
      </c>
    </row>
    <row r="1431" spans="1:34">
      <c r="A1431" s="5" t="s">
        <v>850</v>
      </c>
      <c r="B1431" s="32">
        <v>2</v>
      </c>
      <c r="C1431" s="31"/>
      <c r="D1431" s="32"/>
      <c r="E1431" s="4">
        <f t="shared" si="654"/>
        <v>2</v>
      </c>
      <c r="F1431" s="32">
        <v>2</v>
      </c>
      <c r="G1431" s="31"/>
      <c r="H1431" s="32"/>
      <c r="I1431" s="4">
        <f t="shared" si="655"/>
        <v>2</v>
      </c>
      <c r="J1431" s="43">
        <v>45259</v>
      </c>
      <c r="K1431" s="5" t="s">
        <v>3</v>
      </c>
      <c r="L1431" s="32"/>
      <c r="M1431" s="31"/>
      <c r="N1431" s="32"/>
      <c r="O1431" s="4">
        <f t="shared" si="656"/>
        <v>0</v>
      </c>
      <c r="P1431" s="32"/>
      <c r="Q1431" s="31"/>
      <c r="R1431" s="32"/>
      <c r="S1431" s="4">
        <f t="shared" si="657"/>
        <v>0</v>
      </c>
      <c r="U1431" s="5" t="s">
        <v>3</v>
      </c>
      <c r="V1431" s="32"/>
      <c r="W1431" s="31"/>
      <c r="X1431" s="32"/>
      <c r="Y1431" s="4">
        <f t="shared" si="658"/>
        <v>0</v>
      </c>
      <c r="Z1431" s="32"/>
      <c r="AA1431" s="31"/>
      <c r="AB1431" s="32"/>
      <c r="AC1431" s="4">
        <f t="shared" si="659"/>
        <v>0</v>
      </c>
      <c r="AD1431" s="32"/>
      <c r="AE1431" s="31"/>
      <c r="AF1431" s="32"/>
      <c r="AG1431" s="4">
        <f t="shared" si="660"/>
        <v>0</v>
      </c>
    </row>
    <row r="1432" spans="1:34">
      <c r="A1432" s="5" t="s">
        <v>3</v>
      </c>
      <c r="B1432" s="30"/>
      <c r="C1432" s="31"/>
      <c r="D1432" s="32"/>
      <c r="E1432" s="4">
        <f t="shared" si="654"/>
        <v>0</v>
      </c>
      <c r="F1432" s="30"/>
      <c r="G1432" s="31"/>
      <c r="H1432" s="32"/>
      <c r="I1432" s="4">
        <f t="shared" si="655"/>
        <v>0</v>
      </c>
      <c r="J1432" s="43">
        <v>45336</v>
      </c>
      <c r="K1432" s="5" t="s">
        <v>3</v>
      </c>
      <c r="L1432" s="32"/>
      <c r="M1432" s="31"/>
      <c r="N1432" s="32"/>
      <c r="O1432" s="4">
        <f t="shared" si="656"/>
        <v>0</v>
      </c>
      <c r="P1432" s="32"/>
      <c r="Q1432" s="31"/>
      <c r="R1432" s="32"/>
      <c r="S1432" s="4">
        <f t="shared" si="657"/>
        <v>0</v>
      </c>
      <c r="U1432" s="5" t="s">
        <v>3</v>
      </c>
      <c r="V1432" s="30"/>
      <c r="W1432" s="31"/>
      <c r="X1432" s="32"/>
      <c r="Y1432" s="4">
        <f t="shared" si="658"/>
        <v>0</v>
      </c>
      <c r="Z1432" s="30"/>
      <c r="AA1432" s="31"/>
      <c r="AB1432" s="32"/>
      <c r="AC1432" s="4">
        <f t="shared" si="659"/>
        <v>0</v>
      </c>
      <c r="AD1432" s="30"/>
      <c r="AE1432" s="31"/>
      <c r="AF1432" s="32"/>
      <c r="AG1432" s="4">
        <f t="shared" si="660"/>
        <v>0</v>
      </c>
    </row>
    <row r="1433" spans="1:34" ht="14.25" thickBot="1">
      <c r="A1433" s="6" t="s">
        <v>3</v>
      </c>
      <c r="B1433" s="36"/>
      <c r="C1433" s="37"/>
      <c r="D1433" s="36"/>
      <c r="E1433" s="20">
        <f t="shared" si="654"/>
        <v>0</v>
      </c>
      <c r="F1433" s="13"/>
      <c r="G1433" s="12"/>
      <c r="H1433" s="13"/>
      <c r="I1433" s="20">
        <f t="shared" si="655"/>
        <v>0</v>
      </c>
      <c r="K1433" s="5" t="s">
        <v>3</v>
      </c>
      <c r="L1433" s="36"/>
      <c r="M1433" s="37"/>
      <c r="N1433" s="36"/>
      <c r="O1433" s="20">
        <f t="shared" si="656"/>
        <v>0</v>
      </c>
      <c r="P1433" s="13"/>
      <c r="Q1433" s="12"/>
      <c r="R1433" s="13"/>
      <c r="S1433" s="20">
        <f t="shared" si="657"/>
        <v>0</v>
      </c>
      <c r="U1433" s="6" t="s">
        <v>3</v>
      </c>
      <c r="V1433" s="13"/>
      <c r="W1433" s="12"/>
      <c r="X1433" s="13"/>
      <c r="Y1433" s="20">
        <f t="shared" si="658"/>
        <v>0</v>
      </c>
      <c r="Z1433" s="13"/>
      <c r="AA1433" s="12"/>
      <c r="AB1433" s="13"/>
      <c r="AC1433" s="20">
        <f t="shared" si="659"/>
        <v>0</v>
      </c>
      <c r="AD1433" s="13"/>
      <c r="AE1433" s="12"/>
      <c r="AF1433" s="13"/>
      <c r="AG1433" s="20">
        <f t="shared" si="660"/>
        <v>0</v>
      </c>
    </row>
    <row r="1434" spans="1:34" ht="14.25" thickBot="1">
      <c r="A1434" s="23" t="s">
        <v>4</v>
      </c>
      <c r="B1434" s="24">
        <f>SUM(B1423:B1433)</f>
        <v>19</v>
      </c>
      <c r="C1434" s="24">
        <f>SUM(C1423:C1433)</f>
        <v>21</v>
      </c>
      <c r="D1434" s="25">
        <f>SUM(D1423:D1433)</f>
        <v>13</v>
      </c>
      <c r="E1434" s="26">
        <f t="shared" si="654"/>
        <v>53</v>
      </c>
      <c r="F1434" s="24">
        <f>SUM(F1423:F1433)</f>
        <v>19</v>
      </c>
      <c r="G1434" s="24">
        <f>SUM(G1423:G1433)</f>
        <v>21</v>
      </c>
      <c r="H1434" s="25">
        <f>SUM(H1423:H1433)</f>
        <v>13</v>
      </c>
      <c r="I1434" s="26">
        <f t="shared" si="655"/>
        <v>53</v>
      </c>
      <c r="K1434" s="23" t="s">
        <v>4</v>
      </c>
      <c r="L1434" s="24">
        <f>SUM(L1423:L1433)</f>
        <v>117</v>
      </c>
      <c r="M1434" s="24">
        <f>SUM(M1423:M1433)</f>
        <v>126</v>
      </c>
      <c r="N1434" s="25">
        <f>SUM(N1423:N1433)</f>
        <v>78</v>
      </c>
      <c r="O1434" s="26">
        <f t="shared" si="656"/>
        <v>321</v>
      </c>
      <c r="P1434" s="24">
        <f>SUM(P1423:P1433)</f>
        <v>117</v>
      </c>
      <c r="Q1434" s="24">
        <f>SUM(Q1423:Q1433)</f>
        <v>126</v>
      </c>
      <c r="R1434" s="25">
        <f>SUM(R1423:R1433)</f>
        <v>78</v>
      </c>
      <c r="S1434" s="26">
        <f t="shared" si="657"/>
        <v>321</v>
      </c>
      <c r="U1434" s="23" t="s">
        <v>4</v>
      </c>
      <c r="V1434" s="24">
        <f>SUM(V1423:V1433)</f>
        <v>6</v>
      </c>
      <c r="W1434" s="24">
        <f>SUM(W1423:W1433)</f>
        <v>14</v>
      </c>
      <c r="X1434" s="25">
        <f>SUM(X1423:X1433)</f>
        <v>7</v>
      </c>
      <c r="Y1434" s="26">
        <f t="shared" si="658"/>
        <v>27</v>
      </c>
      <c r="Z1434" s="24">
        <f>SUM(Z1423:Z1433)</f>
        <v>6</v>
      </c>
      <c r="AA1434" s="24">
        <f>SUM(AA1423:AA1433)</f>
        <v>14</v>
      </c>
      <c r="AB1434" s="25">
        <f>SUM(AB1423:AB1433)</f>
        <v>7</v>
      </c>
      <c r="AC1434" s="26">
        <f t="shared" si="659"/>
        <v>27</v>
      </c>
      <c r="AD1434" s="24">
        <f>SUM(AD1423:AD1433)</f>
        <v>6</v>
      </c>
      <c r="AE1434" s="24">
        <f>SUM(AE1423:AE1433)</f>
        <v>14</v>
      </c>
      <c r="AF1434" s="25">
        <f>SUM(AF1423:AF1433)</f>
        <v>7</v>
      </c>
      <c r="AG1434" s="26">
        <f t="shared" si="660"/>
        <v>27</v>
      </c>
    </row>
    <row r="1435" spans="1:34">
      <c r="A1435" s="11" t="s">
        <v>833</v>
      </c>
      <c r="B1435" s="8">
        <v>2</v>
      </c>
      <c r="C1435" s="9">
        <v>2</v>
      </c>
      <c r="D1435" s="10"/>
      <c r="E1435" s="4">
        <f t="shared" si="654"/>
        <v>4</v>
      </c>
      <c r="F1435" s="8">
        <v>2</v>
      </c>
      <c r="G1435" s="9">
        <v>2</v>
      </c>
      <c r="H1435" s="10"/>
      <c r="I1435" s="4">
        <f t="shared" si="655"/>
        <v>4</v>
      </c>
      <c r="J1435" s="43">
        <v>45180</v>
      </c>
      <c r="K1435" s="11" t="s">
        <v>824</v>
      </c>
      <c r="L1435" s="8"/>
      <c r="M1435" s="9"/>
      <c r="N1435" s="10">
        <v>3</v>
      </c>
      <c r="O1435" s="7">
        <f t="shared" si="656"/>
        <v>3</v>
      </c>
      <c r="P1435" s="8"/>
      <c r="Q1435" s="9"/>
      <c r="R1435" s="10">
        <v>3</v>
      </c>
      <c r="S1435" s="7">
        <f t="shared" si="657"/>
        <v>3</v>
      </c>
      <c r="T1435" s="43">
        <v>45181</v>
      </c>
      <c r="U1435" s="3" t="s">
        <v>844</v>
      </c>
      <c r="V1435" s="61">
        <v>3</v>
      </c>
      <c r="W1435" s="60">
        <v>4</v>
      </c>
      <c r="X1435" s="61">
        <v>4</v>
      </c>
      <c r="Y1435" s="4">
        <f t="shared" si="658"/>
        <v>11</v>
      </c>
      <c r="Z1435" s="61">
        <v>3</v>
      </c>
      <c r="AA1435" s="60">
        <v>4</v>
      </c>
      <c r="AB1435" s="61">
        <v>4</v>
      </c>
      <c r="AC1435" s="4">
        <f t="shared" si="659"/>
        <v>11</v>
      </c>
      <c r="AD1435" s="8">
        <v>3</v>
      </c>
      <c r="AE1435" s="9">
        <v>4</v>
      </c>
      <c r="AF1435" s="10">
        <v>4</v>
      </c>
      <c r="AG1435" s="7">
        <f t="shared" si="660"/>
        <v>11</v>
      </c>
      <c r="AH1435" s="43">
        <v>45202</v>
      </c>
    </row>
    <row r="1436" spans="1:34">
      <c r="A1436" s="11" t="s">
        <v>836</v>
      </c>
      <c r="B1436" s="8">
        <v>5</v>
      </c>
      <c r="C1436" s="9">
        <v>8</v>
      </c>
      <c r="D1436" s="10">
        <v>3</v>
      </c>
      <c r="E1436" s="4">
        <f t="shared" si="654"/>
        <v>16</v>
      </c>
      <c r="F1436" s="8">
        <v>5</v>
      </c>
      <c r="G1436" s="9">
        <v>8</v>
      </c>
      <c r="H1436" s="10">
        <v>3</v>
      </c>
      <c r="I1436" s="4">
        <f t="shared" si="655"/>
        <v>16</v>
      </c>
      <c r="J1436" s="43">
        <v>45182</v>
      </c>
      <c r="K1436" s="3" t="s">
        <v>609</v>
      </c>
      <c r="L1436" s="8">
        <v>1</v>
      </c>
      <c r="M1436" s="9">
        <v>2</v>
      </c>
      <c r="N1436" s="10"/>
      <c r="O1436" s="7">
        <f t="shared" ref="O1436:O1437" si="663">SUM(L1436:N1436)</f>
        <v>3</v>
      </c>
      <c r="P1436" s="8">
        <v>1</v>
      </c>
      <c r="Q1436" s="9">
        <v>2</v>
      </c>
      <c r="R1436" s="10"/>
      <c r="S1436" s="7">
        <f t="shared" ref="S1436:S1437" si="664">SUM(P1436:R1436)</f>
        <v>3</v>
      </c>
      <c r="T1436" s="43">
        <v>45176</v>
      </c>
      <c r="U1436" s="40"/>
      <c r="V1436" s="8"/>
      <c r="W1436" s="9"/>
      <c r="X1436" s="10"/>
      <c r="Y1436" s="4">
        <f t="shared" si="658"/>
        <v>0</v>
      </c>
      <c r="Z1436" s="8"/>
      <c r="AA1436" s="9"/>
      <c r="AB1436" s="10"/>
      <c r="AC1436" s="4">
        <f t="shared" si="659"/>
        <v>0</v>
      </c>
      <c r="AD1436" s="8"/>
      <c r="AE1436" s="9"/>
      <c r="AF1436" s="10"/>
      <c r="AG1436" s="4">
        <f t="shared" si="660"/>
        <v>0</v>
      </c>
    </row>
    <row r="1437" spans="1:34">
      <c r="A1437" s="11" t="s">
        <v>838</v>
      </c>
      <c r="B1437" s="8"/>
      <c r="C1437" s="9"/>
      <c r="D1437" s="10">
        <v>2</v>
      </c>
      <c r="E1437" s="7">
        <f t="shared" si="654"/>
        <v>2</v>
      </c>
      <c r="F1437" s="8"/>
      <c r="G1437" s="9"/>
      <c r="H1437" s="10">
        <v>2</v>
      </c>
      <c r="I1437" s="7">
        <f t="shared" si="655"/>
        <v>2</v>
      </c>
      <c r="J1437" s="43">
        <v>45185</v>
      </c>
      <c r="K1437" s="11" t="s">
        <v>834</v>
      </c>
      <c r="L1437" s="8"/>
      <c r="M1437" s="9"/>
      <c r="N1437" s="10">
        <v>3</v>
      </c>
      <c r="O1437" s="4">
        <f t="shared" si="663"/>
        <v>3</v>
      </c>
      <c r="P1437" s="8"/>
      <c r="Q1437" s="9"/>
      <c r="R1437" s="10">
        <v>3</v>
      </c>
      <c r="S1437" s="4">
        <f t="shared" si="664"/>
        <v>3</v>
      </c>
      <c r="T1437" s="43">
        <v>45182</v>
      </c>
      <c r="U1437" s="40"/>
      <c r="V1437" s="8"/>
      <c r="W1437" s="9"/>
      <c r="X1437" s="10"/>
      <c r="Y1437" s="7">
        <f t="shared" si="658"/>
        <v>0</v>
      </c>
      <c r="Z1437" s="8"/>
      <c r="AA1437" s="9"/>
      <c r="AB1437" s="10"/>
      <c r="AC1437" s="7">
        <f t="shared" si="659"/>
        <v>0</v>
      </c>
      <c r="AD1437" s="8"/>
      <c r="AE1437" s="9"/>
      <c r="AF1437" s="10"/>
      <c r="AG1437" s="7">
        <f t="shared" si="660"/>
        <v>0</v>
      </c>
    </row>
    <row r="1438" spans="1:34">
      <c r="A1438" s="11" t="s">
        <v>842</v>
      </c>
      <c r="B1438" s="8">
        <v>1</v>
      </c>
      <c r="C1438" s="9"/>
      <c r="D1438" s="10">
        <v>1</v>
      </c>
      <c r="E1438" s="4">
        <f t="shared" si="654"/>
        <v>2</v>
      </c>
      <c r="F1438" s="8">
        <v>1</v>
      </c>
      <c r="G1438" s="9"/>
      <c r="H1438" s="10">
        <v>1</v>
      </c>
      <c r="I1438" s="4">
        <f t="shared" si="655"/>
        <v>2</v>
      </c>
      <c r="J1438" s="43">
        <v>45192</v>
      </c>
      <c r="K1438" s="3" t="s">
        <v>835</v>
      </c>
      <c r="L1438" s="8"/>
      <c r="M1438" s="9"/>
      <c r="N1438" s="10">
        <v>3</v>
      </c>
      <c r="O1438" s="4">
        <f t="shared" si="656"/>
        <v>3</v>
      </c>
      <c r="P1438" s="8"/>
      <c r="Q1438" s="9"/>
      <c r="R1438" s="10">
        <v>3</v>
      </c>
      <c r="S1438" s="4">
        <f t="shared" si="657"/>
        <v>3</v>
      </c>
      <c r="T1438" s="43">
        <v>45177</v>
      </c>
      <c r="U1438" s="40"/>
      <c r="V1438" s="8"/>
      <c r="W1438" s="9"/>
      <c r="X1438" s="10"/>
      <c r="Y1438" s="4">
        <f t="shared" si="658"/>
        <v>0</v>
      </c>
      <c r="Z1438" s="8"/>
      <c r="AA1438" s="9"/>
      <c r="AB1438" s="10"/>
      <c r="AC1438" s="4">
        <f t="shared" si="659"/>
        <v>0</v>
      </c>
      <c r="AD1438" s="8"/>
      <c r="AE1438" s="9"/>
      <c r="AF1438" s="10"/>
      <c r="AG1438" s="4">
        <f t="shared" si="660"/>
        <v>0</v>
      </c>
    </row>
    <row r="1439" spans="1:34">
      <c r="A1439" s="3" t="s">
        <v>402</v>
      </c>
      <c r="B1439" s="8"/>
      <c r="C1439" s="9">
        <v>2</v>
      </c>
      <c r="D1439" s="10"/>
      <c r="E1439" s="4">
        <f t="shared" si="654"/>
        <v>2</v>
      </c>
      <c r="F1439" s="8"/>
      <c r="G1439" s="9">
        <v>2</v>
      </c>
      <c r="H1439" s="10"/>
      <c r="I1439" s="4">
        <f t="shared" si="655"/>
        <v>2</v>
      </c>
      <c r="J1439" s="43">
        <v>45194</v>
      </c>
      <c r="K1439" s="3" t="s">
        <v>837</v>
      </c>
      <c r="L1439" s="8">
        <v>3</v>
      </c>
      <c r="M1439" s="9">
        <v>10</v>
      </c>
      <c r="N1439" s="10">
        <v>3</v>
      </c>
      <c r="O1439" s="7">
        <f t="shared" ref="O1439" si="665">SUM(L1439:N1439)</f>
        <v>16</v>
      </c>
      <c r="P1439" s="8">
        <v>3</v>
      </c>
      <c r="Q1439" s="9">
        <v>10</v>
      </c>
      <c r="R1439" s="10">
        <v>3</v>
      </c>
      <c r="S1439" s="7">
        <f t="shared" ref="S1439" si="666">SUM(P1439:R1439)</f>
        <v>16</v>
      </c>
      <c r="T1439" s="43">
        <v>45180</v>
      </c>
      <c r="U1439" s="3"/>
      <c r="V1439" s="8"/>
      <c r="W1439" s="9"/>
      <c r="X1439" s="10"/>
      <c r="Y1439" s="4">
        <f t="shared" si="658"/>
        <v>0</v>
      </c>
      <c r="Z1439" s="8"/>
      <c r="AA1439" s="9"/>
      <c r="AB1439" s="10"/>
      <c r="AC1439" s="4">
        <f t="shared" si="659"/>
        <v>0</v>
      </c>
      <c r="AD1439" s="8"/>
      <c r="AE1439" s="9"/>
      <c r="AF1439" s="10"/>
      <c r="AG1439" s="4">
        <f t="shared" si="660"/>
        <v>0</v>
      </c>
    </row>
    <row r="1440" spans="1:34">
      <c r="A1440" s="3" t="s">
        <v>845</v>
      </c>
      <c r="B1440" s="8">
        <v>2</v>
      </c>
      <c r="C1440" s="9"/>
      <c r="D1440" s="10">
        <v>2</v>
      </c>
      <c r="E1440" s="7">
        <f t="shared" si="654"/>
        <v>4</v>
      </c>
      <c r="F1440" s="8">
        <v>2</v>
      </c>
      <c r="G1440" s="9"/>
      <c r="H1440" s="10">
        <v>2</v>
      </c>
      <c r="I1440" s="7">
        <f t="shared" si="655"/>
        <v>4</v>
      </c>
      <c r="J1440" s="43">
        <v>45199</v>
      </c>
      <c r="K1440" s="3" t="s">
        <v>839</v>
      </c>
      <c r="L1440" s="8"/>
      <c r="M1440" s="9"/>
      <c r="N1440" s="10">
        <v>1</v>
      </c>
      <c r="O1440" s="7">
        <f t="shared" si="656"/>
        <v>1</v>
      </c>
      <c r="P1440" s="8"/>
      <c r="Q1440" s="9"/>
      <c r="R1440" s="10">
        <v>1</v>
      </c>
      <c r="S1440" s="7">
        <f t="shared" si="657"/>
        <v>1</v>
      </c>
      <c r="T1440" s="43">
        <v>45182</v>
      </c>
      <c r="U1440" s="3"/>
      <c r="V1440" s="8"/>
      <c r="W1440" s="9"/>
      <c r="X1440" s="10"/>
      <c r="Y1440" s="7">
        <f t="shared" si="658"/>
        <v>0</v>
      </c>
      <c r="Z1440" s="8"/>
      <c r="AA1440" s="9"/>
      <c r="AB1440" s="10"/>
      <c r="AC1440" s="7">
        <f t="shared" si="659"/>
        <v>0</v>
      </c>
      <c r="AD1440" s="8"/>
      <c r="AE1440" s="9"/>
      <c r="AF1440" s="10"/>
      <c r="AG1440" s="7">
        <f t="shared" si="660"/>
        <v>0</v>
      </c>
    </row>
    <row r="1441" spans="1:33">
      <c r="A1441" s="3" t="s">
        <v>847</v>
      </c>
      <c r="B1441" s="8"/>
      <c r="C1441" s="9">
        <v>1</v>
      </c>
      <c r="D1441" s="10"/>
      <c r="E1441" s="7">
        <f t="shared" si="654"/>
        <v>1</v>
      </c>
      <c r="F1441" s="8"/>
      <c r="G1441" s="9">
        <v>1</v>
      </c>
      <c r="H1441" s="10"/>
      <c r="I1441" s="7">
        <f t="shared" si="655"/>
        <v>1</v>
      </c>
      <c r="J1441" s="43">
        <v>45203</v>
      </c>
      <c r="K1441" s="11" t="s">
        <v>840</v>
      </c>
      <c r="L1441" s="8">
        <v>4</v>
      </c>
      <c r="M1441" s="9">
        <v>4</v>
      </c>
      <c r="N1441" s="10">
        <v>6</v>
      </c>
      <c r="O1441" s="7">
        <f t="shared" si="656"/>
        <v>14</v>
      </c>
      <c r="P1441" s="8">
        <v>4</v>
      </c>
      <c r="Q1441" s="9">
        <v>4</v>
      </c>
      <c r="R1441" s="10">
        <v>6</v>
      </c>
      <c r="S1441" s="7">
        <f t="shared" si="657"/>
        <v>14</v>
      </c>
      <c r="T1441" s="43">
        <v>45184</v>
      </c>
      <c r="U1441" s="3"/>
      <c r="V1441" s="8"/>
      <c r="W1441" s="9"/>
      <c r="X1441" s="10"/>
      <c r="Y1441" s="7">
        <f t="shared" si="658"/>
        <v>0</v>
      </c>
      <c r="Z1441" s="8"/>
      <c r="AA1441" s="9"/>
      <c r="AB1441" s="10"/>
      <c r="AC1441" s="7">
        <f t="shared" si="659"/>
        <v>0</v>
      </c>
      <c r="AD1441" s="8"/>
      <c r="AE1441" s="9"/>
      <c r="AF1441" s="10"/>
      <c r="AG1441" s="7">
        <f t="shared" si="660"/>
        <v>0</v>
      </c>
    </row>
    <row r="1442" spans="1:33">
      <c r="A1442" s="3" t="s">
        <v>848</v>
      </c>
      <c r="B1442" s="8"/>
      <c r="C1442" s="9">
        <v>1</v>
      </c>
      <c r="D1442" s="10"/>
      <c r="E1442" s="7">
        <f t="shared" si="654"/>
        <v>1</v>
      </c>
      <c r="F1442" s="8"/>
      <c r="G1442" s="9">
        <v>1</v>
      </c>
      <c r="H1442" s="10"/>
      <c r="I1442" s="7">
        <f t="shared" si="655"/>
        <v>1</v>
      </c>
      <c r="J1442" s="43">
        <v>45209</v>
      </c>
      <c r="K1442" s="11" t="s">
        <v>843</v>
      </c>
      <c r="L1442" s="8">
        <v>1</v>
      </c>
      <c r="M1442" s="9"/>
      <c r="N1442" s="10">
        <v>4</v>
      </c>
      <c r="O1442" s="7">
        <f t="shared" si="656"/>
        <v>5</v>
      </c>
      <c r="P1442" s="8">
        <v>1</v>
      </c>
      <c r="Q1442" s="9"/>
      <c r="R1442" s="10">
        <v>4</v>
      </c>
      <c r="S1442" s="7">
        <f t="shared" si="657"/>
        <v>5</v>
      </c>
      <c r="T1442" s="43">
        <v>45196</v>
      </c>
      <c r="U1442" s="3"/>
      <c r="V1442" s="8"/>
      <c r="W1442" s="9"/>
      <c r="X1442" s="10"/>
      <c r="Y1442" s="7">
        <f t="shared" si="658"/>
        <v>0</v>
      </c>
      <c r="Z1442" s="8"/>
      <c r="AA1442" s="9"/>
      <c r="AB1442" s="10"/>
      <c r="AC1442" s="7">
        <f t="shared" si="659"/>
        <v>0</v>
      </c>
      <c r="AD1442" s="8"/>
      <c r="AE1442" s="9"/>
      <c r="AF1442" s="10"/>
      <c r="AG1442" s="7">
        <f t="shared" si="660"/>
        <v>0</v>
      </c>
    </row>
    <row r="1443" spans="1:33">
      <c r="A1443" s="3" t="s">
        <v>849</v>
      </c>
      <c r="B1443" s="8"/>
      <c r="C1443" s="9">
        <v>1</v>
      </c>
      <c r="D1443" s="10"/>
      <c r="E1443" s="7">
        <f t="shared" si="654"/>
        <v>1</v>
      </c>
      <c r="F1443" s="8"/>
      <c r="G1443" s="9">
        <v>1</v>
      </c>
      <c r="H1443" s="10"/>
      <c r="I1443" s="7">
        <f t="shared" si="655"/>
        <v>1</v>
      </c>
      <c r="J1443" s="43">
        <v>45219</v>
      </c>
      <c r="K1443" s="3" t="s">
        <v>295</v>
      </c>
      <c r="L1443" s="8">
        <v>3</v>
      </c>
      <c r="M1443" s="9">
        <v>3</v>
      </c>
      <c r="N1443" s="10">
        <v>5</v>
      </c>
      <c r="O1443" s="7">
        <f t="shared" ref="O1443:O1444" si="667">SUM(L1443:N1443)</f>
        <v>11</v>
      </c>
      <c r="P1443" s="8">
        <v>3</v>
      </c>
      <c r="Q1443" s="9">
        <v>3</v>
      </c>
      <c r="R1443" s="10">
        <v>5</v>
      </c>
      <c r="S1443" s="7">
        <f t="shared" ref="S1443:S1444" si="668">SUM(P1443:R1443)</f>
        <v>11</v>
      </c>
      <c r="T1443" s="43">
        <v>45199</v>
      </c>
      <c r="U1443" s="3"/>
      <c r="V1443" s="8"/>
      <c r="W1443" s="9"/>
      <c r="X1443" s="10"/>
      <c r="Y1443" s="7">
        <f t="shared" si="658"/>
        <v>0</v>
      </c>
      <c r="Z1443" s="8"/>
      <c r="AA1443" s="9"/>
      <c r="AB1443" s="10"/>
      <c r="AC1443" s="7">
        <f t="shared" si="659"/>
        <v>0</v>
      </c>
      <c r="AD1443" s="8"/>
      <c r="AE1443" s="9"/>
      <c r="AF1443" s="10"/>
      <c r="AG1443" s="7">
        <f t="shared" si="660"/>
        <v>0</v>
      </c>
    </row>
    <row r="1444" spans="1:33">
      <c r="A1444" s="3" t="s">
        <v>410</v>
      </c>
      <c r="B1444" s="8"/>
      <c r="C1444" s="9"/>
      <c r="D1444" s="10">
        <v>1</v>
      </c>
      <c r="E1444" s="7">
        <f t="shared" si="654"/>
        <v>1</v>
      </c>
      <c r="F1444" s="8"/>
      <c r="G1444" s="9"/>
      <c r="H1444" s="10">
        <v>1</v>
      </c>
      <c r="I1444" s="7">
        <f t="shared" si="655"/>
        <v>1</v>
      </c>
      <c r="J1444" s="43">
        <v>45224</v>
      </c>
      <c r="K1444" s="11" t="s">
        <v>846</v>
      </c>
      <c r="L1444" s="59">
        <v>5</v>
      </c>
      <c r="M1444" s="9"/>
      <c r="N1444" s="10"/>
      <c r="O1444" s="7">
        <f t="shared" si="667"/>
        <v>5</v>
      </c>
      <c r="P1444" s="8">
        <v>5</v>
      </c>
      <c r="Q1444" s="9"/>
      <c r="R1444" s="10"/>
      <c r="S1444" s="7">
        <f t="shared" si="668"/>
        <v>5</v>
      </c>
      <c r="T1444" s="43">
        <v>45205</v>
      </c>
      <c r="U1444" s="3"/>
      <c r="V1444" s="8"/>
      <c r="W1444" s="9"/>
      <c r="X1444" s="10"/>
      <c r="Y1444" s="7">
        <f t="shared" si="658"/>
        <v>0</v>
      </c>
      <c r="Z1444" s="8"/>
      <c r="AA1444" s="9"/>
      <c r="AB1444" s="10"/>
      <c r="AC1444" s="7">
        <f t="shared" si="659"/>
        <v>0</v>
      </c>
      <c r="AD1444" s="8"/>
      <c r="AE1444" s="9"/>
      <c r="AF1444" s="10"/>
      <c r="AG1444" s="7">
        <f t="shared" si="660"/>
        <v>0</v>
      </c>
    </row>
    <row r="1445" spans="1:33">
      <c r="A1445" s="3" t="s">
        <v>623</v>
      </c>
      <c r="B1445" s="8"/>
      <c r="C1445" s="9">
        <v>1</v>
      </c>
      <c r="D1445" s="10">
        <v>1</v>
      </c>
      <c r="E1445" s="7">
        <f t="shared" si="654"/>
        <v>2</v>
      </c>
      <c r="F1445" s="8"/>
      <c r="G1445" s="9">
        <v>1</v>
      </c>
      <c r="H1445" s="10">
        <v>1</v>
      </c>
      <c r="I1445" s="7">
        <f t="shared" si="655"/>
        <v>2</v>
      </c>
      <c r="J1445" s="43">
        <v>45232</v>
      </c>
      <c r="K1445" s="11" t="s">
        <v>852</v>
      </c>
      <c r="L1445" s="30"/>
      <c r="M1445" s="9"/>
      <c r="N1445" s="10">
        <v>1</v>
      </c>
      <c r="O1445" s="7">
        <f t="shared" si="656"/>
        <v>1</v>
      </c>
      <c r="P1445" s="8"/>
      <c r="Q1445" s="9"/>
      <c r="R1445" s="10">
        <v>1</v>
      </c>
      <c r="S1445" s="7">
        <f t="shared" si="657"/>
        <v>1</v>
      </c>
      <c r="T1445" s="43">
        <v>45226</v>
      </c>
      <c r="U1445" s="3"/>
      <c r="V1445" s="30"/>
      <c r="W1445" s="9"/>
      <c r="X1445" s="10"/>
      <c r="Y1445" s="7">
        <f t="shared" si="658"/>
        <v>0</v>
      </c>
      <c r="Z1445" s="8"/>
      <c r="AA1445" s="9"/>
      <c r="AB1445" s="10"/>
      <c r="AC1445" s="7">
        <f t="shared" si="659"/>
        <v>0</v>
      </c>
      <c r="AD1445" s="8"/>
      <c r="AE1445" s="9"/>
      <c r="AF1445" s="10"/>
      <c r="AG1445" s="7">
        <f t="shared" si="660"/>
        <v>0</v>
      </c>
    </row>
    <row r="1446" spans="1:33">
      <c r="A1446" s="3" t="s">
        <v>854</v>
      </c>
      <c r="B1446" s="8">
        <v>1</v>
      </c>
      <c r="C1446" s="9"/>
      <c r="D1446" s="10"/>
      <c r="E1446" s="7">
        <f t="shared" si="654"/>
        <v>1</v>
      </c>
      <c r="F1446" s="8">
        <v>1</v>
      </c>
      <c r="G1446" s="9"/>
      <c r="H1446" s="10"/>
      <c r="I1446" s="7">
        <f t="shared" si="655"/>
        <v>1</v>
      </c>
      <c r="J1446" s="49">
        <v>45239</v>
      </c>
      <c r="K1446" s="11" t="s">
        <v>853</v>
      </c>
      <c r="L1446" s="8"/>
      <c r="M1446" s="9"/>
      <c r="N1446" s="10">
        <v>1</v>
      </c>
      <c r="O1446" s="7">
        <f t="shared" si="656"/>
        <v>1</v>
      </c>
      <c r="P1446" s="8"/>
      <c r="Q1446" s="9"/>
      <c r="R1446" s="10">
        <v>1</v>
      </c>
      <c r="S1446" s="7">
        <f t="shared" si="657"/>
        <v>1</v>
      </c>
      <c r="T1446" s="43">
        <v>45237</v>
      </c>
      <c r="U1446" s="3"/>
      <c r="V1446" s="8"/>
      <c r="W1446" s="9"/>
      <c r="X1446" s="10"/>
      <c r="Y1446" s="7">
        <f t="shared" si="658"/>
        <v>0</v>
      </c>
      <c r="Z1446" s="8"/>
      <c r="AA1446" s="9"/>
      <c r="AB1446" s="10"/>
      <c r="AC1446" s="7">
        <f t="shared" si="659"/>
        <v>0</v>
      </c>
      <c r="AD1446" s="8"/>
      <c r="AE1446" s="9"/>
      <c r="AF1446" s="10"/>
      <c r="AG1446" s="7">
        <f t="shared" si="660"/>
        <v>0</v>
      </c>
    </row>
    <row r="1447" spans="1:33">
      <c r="A1447" s="3" t="s">
        <v>857</v>
      </c>
      <c r="B1447" s="8">
        <v>1</v>
      </c>
      <c r="C1447" s="9"/>
      <c r="D1447" s="10"/>
      <c r="E1447" s="7">
        <f t="shared" si="654"/>
        <v>1</v>
      </c>
      <c r="F1447" s="8">
        <v>1</v>
      </c>
      <c r="G1447" s="9"/>
      <c r="H1447" s="10"/>
      <c r="I1447" s="7">
        <f t="shared" si="655"/>
        <v>1</v>
      </c>
      <c r="J1447" s="49">
        <v>45257</v>
      </c>
      <c r="K1447" s="11" t="s">
        <v>855</v>
      </c>
      <c r="L1447" s="8"/>
      <c r="M1447" s="9">
        <v>1</v>
      </c>
      <c r="N1447" s="10"/>
      <c r="O1447" s="7">
        <f t="shared" si="656"/>
        <v>1</v>
      </c>
      <c r="P1447" s="8"/>
      <c r="Q1447" s="9">
        <v>1</v>
      </c>
      <c r="R1447" s="10"/>
      <c r="S1447" s="7">
        <f t="shared" si="657"/>
        <v>1</v>
      </c>
      <c r="T1447" s="43">
        <v>45244</v>
      </c>
      <c r="U1447" s="3"/>
      <c r="V1447" s="8"/>
      <c r="W1447" s="9"/>
      <c r="X1447" s="10"/>
      <c r="Y1447" s="7">
        <f t="shared" si="658"/>
        <v>0</v>
      </c>
      <c r="Z1447" s="8"/>
      <c r="AA1447" s="9"/>
      <c r="AB1447" s="10"/>
      <c r="AC1447" s="7">
        <f t="shared" si="659"/>
        <v>0</v>
      </c>
      <c r="AD1447" s="8"/>
      <c r="AE1447" s="9"/>
      <c r="AF1447" s="10"/>
      <c r="AG1447" s="7">
        <f t="shared" si="660"/>
        <v>0</v>
      </c>
    </row>
    <row r="1448" spans="1:33">
      <c r="A1448" s="3" t="s">
        <v>858</v>
      </c>
      <c r="B1448" s="8">
        <v>1</v>
      </c>
      <c r="C1448" s="9"/>
      <c r="D1448" s="10"/>
      <c r="E1448" s="7">
        <f t="shared" si="654"/>
        <v>1</v>
      </c>
      <c r="F1448" s="8">
        <v>1</v>
      </c>
      <c r="G1448" s="9"/>
      <c r="H1448" s="10"/>
      <c r="I1448" s="7">
        <f t="shared" si="655"/>
        <v>1</v>
      </c>
      <c r="J1448" s="49">
        <v>45259</v>
      </c>
      <c r="K1448" s="3"/>
      <c r="L1448" s="8"/>
      <c r="M1448" s="9"/>
      <c r="N1448" s="10"/>
      <c r="O1448" s="7">
        <f t="shared" ref="O1448" si="669">SUM(L1448:N1448)</f>
        <v>0</v>
      </c>
      <c r="P1448" s="8"/>
      <c r="Q1448" s="9"/>
      <c r="R1448" s="10"/>
      <c r="S1448" s="7">
        <f t="shared" ref="S1448" si="670">SUM(P1448:R1448)</f>
        <v>0</v>
      </c>
      <c r="T1448" s="71"/>
      <c r="U1448" s="3"/>
      <c r="V1448" s="8"/>
      <c r="W1448" s="9"/>
      <c r="X1448" s="10"/>
      <c r="Y1448" s="7">
        <f t="shared" si="658"/>
        <v>0</v>
      </c>
      <c r="Z1448" s="8"/>
      <c r="AA1448" s="9"/>
      <c r="AB1448" s="10"/>
      <c r="AC1448" s="7">
        <f t="shared" si="659"/>
        <v>0</v>
      </c>
      <c r="AD1448" s="8"/>
      <c r="AE1448" s="9"/>
      <c r="AF1448" s="10"/>
      <c r="AG1448" s="7">
        <f t="shared" si="660"/>
        <v>0</v>
      </c>
    </row>
    <row r="1449" spans="1:33">
      <c r="A1449" s="3" t="s">
        <v>859</v>
      </c>
      <c r="B1449" s="8">
        <v>1</v>
      </c>
      <c r="C1449" s="9"/>
      <c r="D1449" s="10"/>
      <c r="E1449" s="7">
        <f t="shared" si="654"/>
        <v>1</v>
      </c>
      <c r="F1449" s="8">
        <v>1</v>
      </c>
      <c r="G1449" s="9"/>
      <c r="H1449" s="10"/>
      <c r="I1449" s="7">
        <f t="shared" si="655"/>
        <v>1</v>
      </c>
      <c r="J1449" s="49">
        <v>45259</v>
      </c>
      <c r="K1449" s="3"/>
      <c r="L1449" s="8"/>
      <c r="M1449" s="9"/>
      <c r="N1449" s="10"/>
      <c r="O1449" s="7">
        <f t="shared" si="656"/>
        <v>0</v>
      </c>
      <c r="P1449" s="8"/>
      <c r="Q1449" s="9"/>
      <c r="R1449" s="10"/>
      <c r="S1449" s="7">
        <f t="shared" si="657"/>
        <v>0</v>
      </c>
      <c r="T1449" s="71"/>
      <c r="U1449" s="3"/>
      <c r="V1449" s="8"/>
      <c r="W1449" s="9"/>
      <c r="X1449" s="10"/>
      <c r="Y1449" s="7">
        <f t="shared" si="658"/>
        <v>0</v>
      </c>
      <c r="Z1449" s="8"/>
      <c r="AA1449" s="9"/>
      <c r="AB1449" s="10"/>
      <c r="AC1449" s="7">
        <f t="shared" si="659"/>
        <v>0</v>
      </c>
      <c r="AD1449" s="8"/>
      <c r="AE1449" s="9"/>
      <c r="AF1449" s="10"/>
      <c r="AG1449" s="7">
        <f t="shared" si="660"/>
        <v>0</v>
      </c>
    </row>
    <row r="1450" spans="1:33">
      <c r="A1450" s="3"/>
      <c r="B1450" s="8"/>
      <c r="C1450" s="9"/>
      <c r="D1450" s="10"/>
      <c r="E1450" s="7">
        <f t="shared" ref="E1450:E1451" si="671">SUM(B1450:D1450)</f>
        <v>0</v>
      </c>
      <c r="F1450" s="8"/>
      <c r="G1450" s="9"/>
      <c r="H1450" s="10"/>
      <c r="I1450" s="7">
        <f t="shared" ref="I1450:I1451" si="672">SUM(F1450:H1450)</f>
        <v>0</v>
      </c>
      <c r="K1450" s="3"/>
      <c r="L1450" s="8"/>
      <c r="M1450" s="9"/>
      <c r="N1450" s="10"/>
      <c r="O1450" s="7">
        <f t="shared" si="656"/>
        <v>0</v>
      </c>
      <c r="P1450" s="8"/>
      <c r="Q1450" s="9"/>
      <c r="R1450" s="10"/>
      <c r="S1450" s="7">
        <f t="shared" si="657"/>
        <v>0</v>
      </c>
      <c r="U1450" s="3"/>
      <c r="V1450" s="8"/>
      <c r="W1450" s="9"/>
      <c r="X1450" s="10"/>
      <c r="Y1450" s="7">
        <f t="shared" si="658"/>
        <v>0</v>
      </c>
      <c r="Z1450" s="8"/>
      <c r="AA1450" s="9"/>
      <c r="AB1450" s="10"/>
      <c r="AC1450" s="7">
        <f t="shared" si="659"/>
        <v>0</v>
      </c>
      <c r="AD1450" s="8"/>
      <c r="AE1450" s="9"/>
      <c r="AF1450" s="10"/>
      <c r="AG1450" s="7">
        <f t="shared" si="660"/>
        <v>0</v>
      </c>
    </row>
    <row r="1451" spans="1:33">
      <c r="A1451" s="3"/>
      <c r="B1451" s="8"/>
      <c r="C1451" s="9"/>
      <c r="D1451" s="10"/>
      <c r="E1451" s="7">
        <f t="shared" si="671"/>
        <v>0</v>
      </c>
      <c r="F1451" s="8"/>
      <c r="G1451" s="9"/>
      <c r="H1451" s="10"/>
      <c r="I1451" s="7">
        <f t="shared" si="672"/>
        <v>0</v>
      </c>
      <c r="K1451" s="3"/>
      <c r="L1451" s="8"/>
      <c r="M1451" s="9"/>
      <c r="N1451" s="10"/>
      <c r="O1451" s="7">
        <f t="shared" si="656"/>
        <v>0</v>
      </c>
      <c r="P1451" s="8"/>
      <c r="Q1451" s="9"/>
      <c r="R1451" s="10"/>
      <c r="S1451" s="7">
        <f t="shared" si="657"/>
        <v>0</v>
      </c>
      <c r="U1451" s="3"/>
      <c r="V1451" s="8"/>
      <c r="W1451" s="9"/>
      <c r="X1451" s="10"/>
      <c r="Y1451" s="7">
        <f t="shared" si="658"/>
        <v>0</v>
      </c>
      <c r="Z1451" s="8"/>
      <c r="AA1451" s="9"/>
      <c r="AB1451" s="10"/>
      <c r="AC1451" s="7">
        <f t="shared" si="659"/>
        <v>0</v>
      </c>
      <c r="AD1451" s="8"/>
      <c r="AE1451" s="9"/>
      <c r="AF1451" s="10"/>
      <c r="AG1451" s="7">
        <f t="shared" si="660"/>
        <v>0</v>
      </c>
    </row>
    <row r="1452" spans="1:33">
      <c r="A1452" s="3"/>
      <c r="B1452" s="8"/>
      <c r="C1452" s="9"/>
      <c r="D1452" s="10"/>
      <c r="E1452" s="7">
        <f t="shared" si="654"/>
        <v>0</v>
      </c>
      <c r="F1452" s="8"/>
      <c r="G1452" s="9"/>
      <c r="H1452" s="10"/>
      <c r="I1452" s="7">
        <f t="shared" si="655"/>
        <v>0</v>
      </c>
      <c r="K1452" s="3"/>
      <c r="L1452" s="8"/>
      <c r="M1452" s="9"/>
      <c r="N1452" s="10"/>
      <c r="O1452" s="7">
        <f t="shared" si="656"/>
        <v>0</v>
      </c>
      <c r="P1452" s="8"/>
      <c r="Q1452" s="9"/>
      <c r="R1452" s="10"/>
      <c r="S1452" s="7">
        <f t="shared" si="657"/>
        <v>0</v>
      </c>
      <c r="U1452" s="3"/>
      <c r="V1452" s="8"/>
      <c r="W1452" s="9"/>
      <c r="X1452" s="10"/>
      <c r="Y1452" s="7">
        <f t="shared" si="658"/>
        <v>0</v>
      </c>
      <c r="Z1452" s="8"/>
      <c r="AA1452" s="9"/>
      <c r="AB1452" s="10"/>
      <c r="AC1452" s="7">
        <f t="shared" si="659"/>
        <v>0</v>
      </c>
      <c r="AD1452" s="8"/>
      <c r="AE1452" s="9"/>
      <c r="AF1452" s="10"/>
      <c r="AG1452" s="7">
        <f t="shared" si="660"/>
        <v>0</v>
      </c>
    </row>
    <row r="1453" spans="1:33">
      <c r="A1453" s="11"/>
      <c r="B1453" s="8"/>
      <c r="C1453" s="9"/>
      <c r="D1453" s="10"/>
      <c r="E1453" s="7">
        <f t="shared" si="654"/>
        <v>0</v>
      </c>
      <c r="F1453" s="8"/>
      <c r="G1453" s="9"/>
      <c r="H1453" s="10"/>
      <c r="I1453" s="7">
        <f t="shared" si="655"/>
        <v>0</v>
      </c>
      <c r="K1453" s="3"/>
      <c r="L1453" s="8"/>
      <c r="M1453" s="9"/>
      <c r="N1453" s="10"/>
      <c r="O1453" s="7">
        <f t="shared" si="656"/>
        <v>0</v>
      </c>
      <c r="P1453" s="8"/>
      <c r="Q1453" s="9"/>
      <c r="R1453" s="10"/>
      <c r="S1453" s="7">
        <f t="shared" si="657"/>
        <v>0</v>
      </c>
      <c r="U1453" s="3"/>
      <c r="V1453" s="8"/>
      <c r="W1453" s="9"/>
      <c r="X1453" s="10"/>
      <c r="Y1453" s="7">
        <f t="shared" si="658"/>
        <v>0</v>
      </c>
      <c r="Z1453" s="8"/>
      <c r="AA1453" s="9"/>
      <c r="AB1453" s="10"/>
      <c r="AC1453" s="7">
        <f t="shared" si="659"/>
        <v>0</v>
      </c>
      <c r="AD1453" s="8"/>
      <c r="AE1453" s="9"/>
      <c r="AF1453" s="10"/>
      <c r="AG1453" s="7">
        <f t="shared" si="660"/>
        <v>0</v>
      </c>
    </row>
    <row r="1454" spans="1:33">
      <c r="A1454" s="11"/>
      <c r="B1454" s="8"/>
      <c r="C1454" s="9"/>
      <c r="D1454" s="10"/>
      <c r="E1454" s="7">
        <f t="shared" si="654"/>
        <v>0</v>
      </c>
      <c r="F1454" s="8"/>
      <c r="G1454" s="9"/>
      <c r="H1454" s="10"/>
      <c r="I1454" s="7">
        <f t="shared" si="655"/>
        <v>0</v>
      </c>
      <c r="K1454" s="3"/>
      <c r="L1454" s="8"/>
      <c r="M1454" s="9"/>
      <c r="N1454" s="10"/>
      <c r="O1454" s="7">
        <f t="shared" si="656"/>
        <v>0</v>
      </c>
      <c r="P1454" s="8"/>
      <c r="Q1454" s="9"/>
      <c r="R1454" s="10"/>
      <c r="S1454" s="7">
        <f t="shared" si="657"/>
        <v>0</v>
      </c>
      <c r="U1454" s="3"/>
      <c r="V1454" s="8"/>
      <c r="W1454" s="9"/>
      <c r="X1454" s="10"/>
      <c r="Y1454" s="7">
        <f t="shared" si="658"/>
        <v>0</v>
      </c>
      <c r="Z1454" s="8"/>
      <c r="AA1454" s="9"/>
      <c r="AB1454" s="10"/>
      <c r="AC1454" s="7">
        <f t="shared" si="659"/>
        <v>0</v>
      </c>
      <c r="AD1454" s="8"/>
      <c r="AE1454" s="9"/>
      <c r="AF1454" s="10"/>
      <c r="AG1454" s="7">
        <f t="shared" si="660"/>
        <v>0</v>
      </c>
    </row>
    <row r="1455" spans="1:33">
      <c r="A1455" s="11"/>
      <c r="B1455" s="8"/>
      <c r="C1455" s="9"/>
      <c r="D1455" s="10"/>
      <c r="E1455" s="7">
        <f t="shared" si="654"/>
        <v>0</v>
      </c>
      <c r="F1455" s="8"/>
      <c r="G1455" s="9"/>
      <c r="H1455" s="10"/>
      <c r="I1455" s="7">
        <f t="shared" si="655"/>
        <v>0</v>
      </c>
      <c r="K1455" s="3"/>
      <c r="L1455" s="8"/>
      <c r="M1455" s="9"/>
      <c r="N1455" s="10"/>
      <c r="O1455" s="7">
        <f t="shared" si="656"/>
        <v>0</v>
      </c>
      <c r="P1455" s="8"/>
      <c r="Q1455" s="9"/>
      <c r="R1455" s="10"/>
      <c r="S1455" s="7">
        <f t="shared" si="657"/>
        <v>0</v>
      </c>
      <c r="U1455" s="11"/>
      <c r="V1455" s="8"/>
      <c r="W1455" s="9"/>
      <c r="X1455" s="10"/>
      <c r="Y1455" s="7">
        <f t="shared" si="658"/>
        <v>0</v>
      </c>
      <c r="Z1455" s="8"/>
      <c r="AA1455" s="9"/>
      <c r="AB1455" s="10"/>
      <c r="AC1455" s="7">
        <f t="shared" si="659"/>
        <v>0</v>
      </c>
      <c r="AD1455" s="8"/>
      <c r="AE1455" s="9"/>
      <c r="AF1455" s="10"/>
      <c r="AG1455" s="7">
        <f t="shared" si="660"/>
        <v>0</v>
      </c>
    </row>
    <row r="1456" spans="1:33">
      <c r="A1456" s="11"/>
      <c r="B1456" s="8"/>
      <c r="C1456" s="9"/>
      <c r="D1456" s="10"/>
      <c r="E1456" s="7">
        <f t="shared" si="654"/>
        <v>0</v>
      </c>
      <c r="F1456" s="8"/>
      <c r="G1456" s="9"/>
      <c r="H1456" s="10"/>
      <c r="I1456" s="7">
        <f t="shared" si="655"/>
        <v>0</v>
      </c>
      <c r="K1456" s="3"/>
      <c r="L1456" s="8"/>
      <c r="M1456" s="9"/>
      <c r="N1456" s="10"/>
      <c r="O1456" s="7">
        <f t="shared" si="656"/>
        <v>0</v>
      </c>
      <c r="P1456" s="8"/>
      <c r="Q1456" s="9"/>
      <c r="R1456" s="10"/>
      <c r="S1456" s="7">
        <f t="shared" si="657"/>
        <v>0</v>
      </c>
      <c r="T1456" s="118"/>
      <c r="U1456" s="3"/>
      <c r="V1456" s="8"/>
      <c r="W1456" s="9"/>
      <c r="X1456" s="10"/>
      <c r="Y1456" s="7">
        <f t="shared" si="658"/>
        <v>0</v>
      </c>
      <c r="Z1456" s="8"/>
      <c r="AA1456" s="9"/>
      <c r="AB1456" s="10"/>
      <c r="AC1456" s="7">
        <f t="shared" si="659"/>
        <v>0</v>
      </c>
      <c r="AD1456" s="8"/>
      <c r="AE1456" s="9"/>
      <c r="AF1456" s="10"/>
      <c r="AG1456" s="7">
        <f t="shared" si="660"/>
        <v>0</v>
      </c>
    </row>
    <row r="1457" spans="1:34">
      <c r="A1457" s="11"/>
      <c r="B1457" s="8"/>
      <c r="C1457" s="9"/>
      <c r="D1457" s="10"/>
      <c r="E1457" s="7">
        <f t="shared" si="654"/>
        <v>0</v>
      </c>
      <c r="F1457" s="8"/>
      <c r="G1457" s="9"/>
      <c r="H1457" s="10"/>
      <c r="I1457" s="7">
        <f t="shared" si="655"/>
        <v>0</v>
      </c>
      <c r="K1457" s="3"/>
      <c r="L1457" s="8"/>
      <c r="M1457" s="9"/>
      <c r="N1457" s="10"/>
      <c r="O1457" s="7">
        <f t="shared" ref="O1457" si="673">SUM(L1457:N1457)</f>
        <v>0</v>
      </c>
      <c r="P1457" s="8"/>
      <c r="Q1457" s="9"/>
      <c r="R1457" s="10"/>
      <c r="S1457" s="7">
        <f t="shared" ref="S1457" si="674">SUM(P1457:R1457)</f>
        <v>0</v>
      </c>
      <c r="U1457" s="3"/>
      <c r="V1457" s="8"/>
      <c r="W1457" s="9"/>
      <c r="X1457" s="10"/>
      <c r="Y1457" s="7">
        <f t="shared" si="658"/>
        <v>0</v>
      </c>
      <c r="Z1457" s="8"/>
      <c r="AA1457" s="9"/>
      <c r="AB1457" s="10"/>
      <c r="AC1457" s="7">
        <f t="shared" si="659"/>
        <v>0</v>
      </c>
      <c r="AD1457" s="8"/>
      <c r="AE1457" s="9"/>
      <c r="AF1457" s="10"/>
      <c r="AG1457" s="7">
        <f t="shared" si="660"/>
        <v>0</v>
      </c>
    </row>
    <row r="1458" spans="1:34" ht="14.25" thickBot="1">
      <c r="A1458" s="3"/>
      <c r="B1458" s="8"/>
      <c r="C1458" s="9"/>
      <c r="D1458" s="10"/>
      <c r="E1458" s="7">
        <f t="shared" si="654"/>
        <v>0</v>
      </c>
      <c r="F1458" s="8"/>
      <c r="G1458" s="9"/>
      <c r="H1458" s="10"/>
      <c r="I1458" s="7">
        <f t="shared" si="655"/>
        <v>0</v>
      </c>
      <c r="K1458" s="3"/>
      <c r="L1458" s="8"/>
      <c r="M1458" s="9"/>
      <c r="N1458" s="10"/>
      <c r="O1458" s="7">
        <f t="shared" ref="O1458" si="675">SUM(L1458:N1458)</f>
        <v>0</v>
      </c>
      <c r="P1458" s="8"/>
      <c r="Q1458" s="9"/>
      <c r="R1458" s="10"/>
      <c r="S1458" s="7">
        <f t="shared" ref="S1458" si="676">SUM(P1458:R1458)</f>
        <v>0</v>
      </c>
      <c r="U1458" s="3"/>
      <c r="V1458" s="8"/>
      <c r="W1458" s="9"/>
      <c r="X1458" s="10"/>
      <c r="Y1458" s="7">
        <f t="shared" si="658"/>
        <v>0</v>
      </c>
      <c r="Z1458" s="8"/>
      <c r="AA1458" s="9"/>
      <c r="AB1458" s="10"/>
      <c r="AC1458" s="7">
        <f t="shared" si="659"/>
        <v>0</v>
      </c>
      <c r="AD1458" s="8"/>
      <c r="AE1458" s="9"/>
      <c r="AF1458" s="10"/>
      <c r="AG1458" s="7">
        <f t="shared" si="660"/>
        <v>0</v>
      </c>
    </row>
    <row r="1459" spans="1:34" ht="14.25" thickBot="1">
      <c r="A1459" s="2" t="s">
        <v>5</v>
      </c>
      <c r="B1459" s="14">
        <f>SUM(B1435:B1458)</f>
        <v>14</v>
      </c>
      <c r="C1459" s="14">
        <f>SUM(C1435:C1458)</f>
        <v>16</v>
      </c>
      <c r="D1459" s="14">
        <f>SUM(D1435:D1458)</f>
        <v>10</v>
      </c>
      <c r="E1459" s="15">
        <f t="shared" si="654"/>
        <v>40</v>
      </c>
      <c r="F1459" s="14">
        <f>SUM(F1435:F1458)</f>
        <v>14</v>
      </c>
      <c r="G1459" s="14">
        <f>SUM(G1435:G1458)</f>
        <v>16</v>
      </c>
      <c r="H1459" s="14">
        <f>SUM(H1435:H1458)</f>
        <v>10</v>
      </c>
      <c r="I1459" s="15">
        <f t="shared" si="655"/>
        <v>40</v>
      </c>
      <c r="K1459" s="2" t="s">
        <v>5</v>
      </c>
      <c r="L1459" s="14">
        <f>SUM(L1435:L1458)</f>
        <v>17</v>
      </c>
      <c r="M1459" s="14">
        <f>SUM(M1435:M1458)</f>
        <v>20</v>
      </c>
      <c r="N1459" s="14">
        <f>SUM(N1435:N1458)</f>
        <v>30</v>
      </c>
      <c r="O1459" s="15">
        <f t="shared" si="656"/>
        <v>67</v>
      </c>
      <c r="P1459" s="14">
        <f>SUM(P1435:P1458)</f>
        <v>17</v>
      </c>
      <c r="Q1459" s="14">
        <f>SUM(Q1435:Q1458)</f>
        <v>20</v>
      </c>
      <c r="R1459" s="14">
        <f>SUM(R1435:R1458)</f>
        <v>30</v>
      </c>
      <c r="S1459" s="15">
        <f t="shared" si="657"/>
        <v>67</v>
      </c>
      <c r="U1459" s="2" t="s">
        <v>5</v>
      </c>
      <c r="V1459" s="14">
        <f>SUM(V1435:V1458)</f>
        <v>3</v>
      </c>
      <c r="W1459" s="14">
        <f>SUM(W1435:W1458)</f>
        <v>4</v>
      </c>
      <c r="X1459" s="14">
        <f>SUM(X1435:X1458)</f>
        <v>4</v>
      </c>
      <c r="Y1459" s="15">
        <f t="shared" si="658"/>
        <v>11</v>
      </c>
      <c r="Z1459" s="14">
        <f>SUM(Z1435:Z1458)</f>
        <v>3</v>
      </c>
      <c r="AA1459" s="14">
        <f>SUM(AA1435:AA1458)</f>
        <v>4</v>
      </c>
      <c r="AB1459" s="14">
        <f>SUM(AB1435:AB1458)</f>
        <v>4</v>
      </c>
      <c r="AC1459" s="15">
        <f t="shared" si="659"/>
        <v>11</v>
      </c>
      <c r="AD1459" s="14">
        <f>SUM(AD1435:AD1458)</f>
        <v>3</v>
      </c>
      <c r="AE1459" s="14">
        <f>SUM(AE1435:AE1458)</f>
        <v>4</v>
      </c>
      <c r="AF1459" s="14">
        <f>SUM(AF1435:AF1458)</f>
        <v>4</v>
      </c>
      <c r="AG1459" s="15">
        <f t="shared" si="660"/>
        <v>11</v>
      </c>
    </row>
    <row r="1460" spans="1:34" ht="14.25" thickBot="1">
      <c r="A1460" s="27" t="s">
        <v>6</v>
      </c>
      <c r="B1460" s="28">
        <f>B1434-B1459</f>
        <v>5</v>
      </c>
      <c r="C1460" s="28">
        <f t="shared" ref="C1460:E1460" si="677">C1434-C1459</f>
        <v>5</v>
      </c>
      <c r="D1460" s="28">
        <f t="shared" si="677"/>
        <v>3</v>
      </c>
      <c r="E1460" s="28">
        <f t="shared" si="677"/>
        <v>13</v>
      </c>
      <c r="F1460" s="28">
        <f>F1434-F1459</f>
        <v>5</v>
      </c>
      <c r="G1460" s="28">
        <f t="shared" ref="G1460:I1460" si="678">G1434-G1459</f>
        <v>5</v>
      </c>
      <c r="H1460" s="28">
        <f t="shared" si="678"/>
        <v>3</v>
      </c>
      <c r="I1460" s="26">
        <f t="shared" si="678"/>
        <v>13</v>
      </c>
      <c r="K1460" s="27" t="s">
        <v>6</v>
      </c>
      <c r="L1460" s="28">
        <f>L1434-L1459</f>
        <v>100</v>
      </c>
      <c r="M1460" s="28">
        <f t="shared" ref="M1460:O1460" si="679">M1434-M1459</f>
        <v>106</v>
      </c>
      <c r="N1460" s="28">
        <f t="shared" si="679"/>
        <v>48</v>
      </c>
      <c r="O1460" s="28">
        <f t="shared" si="679"/>
        <v>254</v>
      </c>
      <c r="P1460" s="28">
        <f>P1434-P1459</f>
        <v>100</v>
      </c>
      <c r="Q1460" s="28">
        <f t="shared" ref="Q1460:S1460" si="680">Q1434-Q1459</f>
        <v>106</v>
      </c>
      <c r="R1460" s="28">
        <f t="shared" si="680"/>
        <v>48</v>
      </c>
      <c r="S1460" s="26">
        <f t="shared" si="680"/>
        <v>254</v>
      </c>
      <c r="U1460" s="27" t="s">
        <v>6</v>
      </c>
      <c r="V1460" s="28">
        <f>V1434-V1459</f>
        <v>3</v>
      </c>
      <c r="W1460" s="28">
        <f t="shared" ref="W1460:Y1460" si="681">W1434-W1459</f>
        <v>10</v>
      </c>
      <c r="X1460" s="28">
        <f t="shared" si="681"/>
        <v>3</v>
      </c>
      <c r="Y1460" s="28">
        <f t="shared" si="681"/>
        <v>16</v>
      </c>
      <c r="Z1460" s="28">
        <f>Z1434-Z1459</f>
        <v>3</v>
      </c>
      <c r="AA1460" s="28">
        <f t="shared" ref="AA1460:AC1460" si="682">AA1434-AA1459</f>
        <v>10</v>
      </c>
      <c r="AB1460" s="28">
        <f t="shared" si="682"/>
        <v>3</v>
      </c>
      <c r="AC1460" s="26">
        <f t="shared" si="682"/>
        <v>16</v>
      </c>
      <c r="AD1460" s="28">
        <f>AD1434-AD1459</f>
        <v>3</v>
      </c>
      <c r="AE1460" s="28">
        <f t="shared" ref="AE1460:AG1460" si="683">AE1434-AE1459</f>
        <v>10</v>
      </c>
      <c r="AF1460" s="28">
        <f t="shared" si="683"/>
        <v>3</v>
      </c>
      <c r="AG1460" s="26">
        <f t="shared" si="683"/>
        <v>16</v>
      </c>
    </row>
    <row r="1461" spans="1:34" ht="34.5" customHeight="1">
      <c r="A1461" s="134"/>
      <c r="B1461" s="134"/>
      <c r="C1461" s="134"/>
      <c r="D1461" s="134"/>
      <c r="E1461" s="134"/>
      <c r="F1461" s="134"/>
      <c r="G1461" s="134"/>
      <c r="H1461" s="134"/>
      <c r="I1461" s="134"/>
      <c r="J1461" s="135"/>
      <c r="K1461" s="136" t="s">
        <v>841</v>
      </c>
      <c r="L1461" s="137">
        <f>L1459+L1416+L1373+L1330+L1287+L1244+L1201</f>
        <v>631</v>
      </c>
      <c r="M1461" s="137">
        <f t="shared" ref="M1461:S1461" si="684">M1459+M1416+M1373+M1330+M1287+M1244+M1201</f>
        <v>873</v>
      </c>
      <c r="N1461" s="137">
        <f t="shared" si="684"/>
        <v>551</v>
      </c>
      <c r="O1461" s="137">
        <f t="shared" si="684"/>
        <v>2055</v>
      </c>
      <c r="P1461" s="137">
        <f t="shared" si="684"/>
        <v>631</v>
      </c>
      <c r="Q1461" s="137">
        <f t="shared" si="684"/>
        <v>873</v>
      </c>
      <c r="R1461" s="137">
        <f t="shared" si="684"/>
        <v>551</v>
      </c>
      <c r="S1461" s="137">
        <f t="shared" si="684"/>
        <v>2055</v>
      </c>
      <c r="T1461" s="135"/>
      <c r="U1461" s="134"/>
      <c r="V1461" s="134"/>
      <c r="W1461" s="134"/>
      <c r="X1461" s="134"/>
      <c r="Y1461" s="134"/>
      <c r="Z1461" s="134"/>
      <c r="AA1461" s="134"/>
      <c r="AB1461" s="134"/>
      <c r="AC1461" s="134"/>
      <c r="AD1461" s="134"/>
      <c r="AE1461" s="134"/>
      <c r="AF1461" s="134"/>
      <c r="AG1461" s="134"/>
      <c r="AH1461" s="135"/>
    </row>
    <row r="1462" spans="1:34" ht="34.5" customHeight="1">
      <c r="A1462" s="134"/>
      <c r="B1462" s="185" t="s">
        <v>868</v>
      </c>
      <c r="C1462" s="185"/>
      <c r="D1462" s="185"/>
      <c r="E1462" s="185"/>
      <c r="F1462" s="185"/>
      <c r="G1462" s="185"/>
      <c r="H1462" s="185"/>
      <c r="I1462" s="185"/>
      <c r="J1462" s="185"/>
      <c r="K1462" s="185"/>
      <c r="L1462" s="138">
        <f>L1461/$O$1461*100</f>
        <v>30.70559610705596</v>
      </c>
      <c r="M1462" s="138">
        <f t="shared" ref="M1462:O1462" si="685">M1461/$O$1461*100</f>
        <v>42.481751824817522</v>
      </c>
      <c r="N1462" s="138">
        <f t="shared" si="685"/>
        <v>26.812652068126518</v>
      </c>
      <c r="O1462" s="138">
        <f t="shared" si="685"/>
        <v>100</v>
      </c>
      <c r="P1462" s="138"/>
      <c r="Q1462" s="138"/>
      <c r="R1462" s="138"/>
      <c r="S1462" s="138"/>
      <c r="T1462" s="135"/>
      <c r="U1462" s="185" t="s">
        <v>868</v>
      </c>
      <c r="V1462" s="185"/>
      <c r="W1462" s="185"/>
      <c r="X1462" s="185"/>
      <c r="Y1462" s="185"/>
      <c r="Z1462" s="185"/>
      <c r="AA1462" s="185"/>
      <c r="AB1462" s="185"/>
      <c r="AC1462" s="185"/>
      <c r="AD1462" s="185"/>
      <c r="AE1462" s="134"/>
      <c r="AF1462" s="134"/>
      <c r="AG1462" s="134"/>
      <c r="AH1462" s="135"/>
    </row>
    <row r="1463" spans="1:34" ht="26.25" thickBot="1">
      <c r="A1463" s="33" t="s">
        <v>831</v>
      </c>
      <c r="B1463" s="34"/>
      <c r="C1463" s="34"/>
      <c r="D1463" s="34"/>
      <c r="E1463" s="34"/>
      <c r="F1463" s="35"/>
      <c r="G1463" s="35"/>
      <c r="H1463" s="35"/>
      <c r="I1463" s="35"/>
      <c r="K1463" s="33" t="s">
        <v>830</v>
      </c>
      <c r="L1463" s="34"/>
      <c r="M1463" s="34"/>
      <c r="N1463" s="34"/>
      <c r="O1463" s="34"/>
      <c r="P1463" s="35"/>
      <c r="Q1463" s="35"/>
      <c r="R1463" s="35"/>
      <c r="S1463" s="35"/>
      <c r="U1463" s="113" t="s">
        <v>622</v>
      </c>
      <c r="V1463" s="114"/>
      <c r="W1463" s="114"/>
      <c r="X1463" s="114"/>
      <c r="Y1463" s="114"/>
      <c r="Z1463" s="115"/>
      <c r="AA1463" s="115"/>
      <c r="AB1463" s="115"/>
      <c r="AC1463" s="115"/>
      <c r="AD1463" s="116"/>
      <c r="AE1463" s="116"/>
    </row>
    <row r="1464" spans="1:34" ht="14.25" thickBot="1">
      <c r="A1464" s="1" t="s">
        <v>0</v>
      </c>
      <c r="B1464" s="182" t="s">
        <v>17</v>
      </c>
      <c r="C1464" s="182"/>
      <c r="D1464" s="182"/>
      <c r="E1464" s="183"/>
      <c r="F1464" s="182" t="s">
        <v>13</v>
      </c>
      <c r="G1464" s="182"/>
      <c r="H1464" s="182"/>
      <c r="I1464" s="183"/>
      <c r="K1464" s="1" t="s">
        <v>0</v>
      </c>
      <c r="L1464" s="182" t="s">
        <v>17</v>
      </c>
      <c r="M1464" s="182"/>
      <c r="N1464" s="182"/>
      <c r="O1464" s="183"/>
      <c r="P1464" s="182" t="s">
        <v>13</v>
      </c>
      <c r="Q1464" s="182"/>
      <c r="R1464" s="182"/>
      <c r="S1464" s="183"/>
      <c r="U1464" s="1" t="s">
        <v>0</v>
      </c>
      <c r="V1464" s="182" t="s">
        <v>17</v>
      </c>
      <c r="W1464" s="182"/>
      <c r="X1464" s="182"/>
      <c r="Y1464" s="183"/>
      <c r="Z1464" s="182" t="s">
        <v>13</v>
      </c>
      <c r="AA1464" s="182"/>
      <c r="AB1464" s="182"/>
      <c r="AC1464" s="183"/>
      <c r="AD1464" s="182" t="s">
        <v>242</v>
      </c>
      <c r="AE1464" s="182"/>
      <c r="AF1464" s="182"/>
      <c r="AG1464" s="183"/>
    </row>
    <row r="1465" spans="1:34" ht="14.25" thickBot="1">
      <c r="A1465" s="1" t="s">
        <v>1</v>
      </c>
      <c r="B1465" s="2" t="s">
        <v>8</v>
      </c>
      <c r="C1465" s="1" t="s">
        <v>9</v>
      </c>
      <c r="D1465" s="19" t="s">
        <v>10</v>
      </c>
      <c r="E1465" s="1" t="s">
        <v>2</v>
      </c>
      <c r="F1465" s="2" t="s">
        <v>8</v>
      </c>
      <c r="G1465" s="1" t="s">
        <v>9</v>
      </c>
      <c r="H1465" s="19" t="s">
        <v>10</v>
      </c>
      <c r="I1465" s="1" t="s">
        <v>2</v>
      </c>
      <c r="K1465" s="1" t="s">
        <v>1</v>
      </c>
      <c r="L1465" s="2" t="s">
        <v>8</v>
      </c>
      <c r="M1465" s="1" t="s">
        <v>9</v>
      </c>
      <c r="N1465" s="19" t="s">
        <v>10</v>
      </c>
      <c r="O1465" s="1" t="s">
        <v>2</v>
      </c>
      <c r="P1465" s="2" t="s">
        <v>8</v>
      </c>
      <c r="Q1465" s="1" t="s">
        <v>9</v>
      </c>
      <c r="R1465" s="19" t="s">
        <v>10</v>
      </c>
      <c r="S1465" s="1" t="s">
        <v>2</v>
      </c>
      <c r="U1465" s="1" t="s">
        <v>1</v>
      </c>
      <c r="V1465" s="2" t="s">
        <v>8</v>
      </c>
      <c r="W1465" s="1" t="s">
        <v>9</v>
      </c>
      <c r="X1465" s="19" t="s">
        <v>10</v>
      </c>
      <c r="Y1465" s="1" t="s">
        <v>2</v>
      </c>
      <c r="Z1465" s="2" t="s">
        <v>8</v>
      </c>
      <c r="AA1465" s="1" t="s">
        <v>9</v>
      </c>
      <c r="AB1465" s="19" t="s">
        <v>10</v>
      </c>
      <c r="AC1465" s="1" t="s">
        <v>2</v>
      </c>
      <c r="AD1465" s="2" t="s">
        <v>8</v>
      </c>
      <c r="AE1465" s="1" t="s">
        <v>9</v>
      </c>
      <c r="AF1465" s="19" t="s">
        <v>10</v>
      </c>
      <c r="AG1465" s="1" t="s">
        <v>2</v>
      </c>
    </row>
    <row r="1466" spans="1:34">
      <c r="A1466" s="21" t="s">
        <v>7</v>
      </c>
      <c r="B1466" s="18">
        <f>B1460</f>
        <v>5</v>
      </c>
      <c r="C1466" s="22">
        <f>C1460</f>
        <v>5</v>
      </c>
      <c r="D1466" s="22">
        <f>D1460</f>
        <v>3</v>
      </c>
      <c r="E1466" s="17">
        <f t="shared" ref="E1466:E1502" si="686">SUM(B1466:D1466)</f>
        <v>13</v>
      </c>
      <c r="F1466" s="22">
        <f>F1460</f>
        <v>5</v>
      </c>
      <c r="G1466" s="22">
        <f>G1460</f>
        <v>5</v>
      </c>
      <c r="H1466" s="22">
        <f>H1460</f>
        <v>3</v>
      </c>
      <c r="I1466" s="17">
        <f t="shared" ref="I1466:I1502" si="687">SUM(F1466:H1466)</f>
        <v>13</v>
      </c>
      <c r="K1466" s="21" t="s">
        <v>7</v>
      </c>
      <c r="L1466" s="18">
        <f>L1460</f>
        <v>100</v>
      </c>
      <c r="M1466" s="22">
        <f>M1460</f>
        <v>106</v>
      </c>
      <c r="N1466" s="22">
        <f>N1460</f>
        <v>48</v>
      </c>
      <c r="O1466" s="17">
        <f t="shared" ref="O1466:O1502" si="688">SUM(L1466:N1466)</f>
        <v>254</v>
      </c>
      <c r="P1466" s="22">
        <f>P1460</f>
        <v>100</v>
      </c>
      <c r="Q1466" s="22">
        <f>Q1460</f>
        <v>106</v>
      </c>
      <c r="R1466" s="22">
        <f>R1460</f>
        <v>48</v>
      </c>
      <c r="S1466" s="17">
        <f t="shared" ref="S1466:S1502" si="689">SUM(P1466:R1466)</f>
        <v>254</v>
      </c>
      <c r="U1466" s="21" t="s">
        <v>7</v>
      </c>
      <c r="V1466" s="18">
        <f>V1460</f>
        <v>3</v>
      </c>
      <c r="W1466" s="22">
        <f>W1460</f>
        <v>10</v>
      </c>
      <c r="X1466" s="22">
        <f>X1460</f>
        <v>3</v>
      </c>
      <c r="Y1466" s="17">
        <f t="shared" ref="Y1466:Y1502" si="690">SUM(V1466:X1466)</f>
        <v>16</v>
      </c>
      <c r="Z1466" s="22">
        <f>Z1460</f>
        <v>3</v>
      </c>
      <c r="AA1466" s="22">
        <f>AA1460</f>
        <v>10</v>
      </c>
      <c r="AB1466" s="22">
        <f>AB1460</f>
        <v>3</v>
      </c>
      <c r="AC1466" s="17">
        <f t="shared" ref="AC1466:AC1502" si="691">SUM(Z1466:AB1466)</f>
        <v>16</v>
      </c>
      <c r="AD1466" s="22">
        <f>AD1460</f>
        <v>3</v>
      </c>
      <c r="AE1466" s="22">
        <f>AE1460</f>
        <v>10</v>
      </c>
      <c r="AF1466" s="22">
        <f>AF1460</f>
        <v>3</v>
      </c>
      <c r="AG1466" s="17">
        <f t="shared" ref="AG1466:AG1502" si="692">SUM(AD1466:AF1466)</f>
        <v>16</v>
      </c>
    </row>
    <row r="1467" spans="1:34">
      <c r="A1467" s="5" t="s">
        <v>3</v>
      </c>
      <c r="B1467" s="30"/>
      <c r="C1467" s="31"/>
      <c r="D1467" s="32">
        <v>5</v>
      </c>
      <c r="E1467" s="4">
        <f t="shared" ref="E1467" si="693">SUM(B1467:D1467)</f>
        <v>5</v>
      </c>
      <c r="F1467" s="30"/>
      <c r="G1467" s="31"/>
      <c r="H1467" s="32">
        <v>5</v>
      </c>
      <c r="I1467" s="4">
        <f t="shared" ref="I1467" si="694">SUM(F1467:H1467)</f>
        <v>5</v>
      </c>
      <c r="J1467" s="43">
        <v>45336</v>
      </c>
      <c r="K1467" s="5" t="s">
        <v>3</v>
      </c>
      <c r="L1467" s="32"/>
      <c r="M1467" s="31"/>
      <c r="N1467" s="32"/>
      <c r="O1467" s="4">
        <f t="shared" ref="O1467" si="695">SUM(L1467:N1467)</f>
        <v>0</v>
      </c>
      <c r="P1467" s="32"/>
      <c r="Q1467" s="31"/>
      <c r="R1467" s="32"/>
      <c r="S1467" s="4">
        <f t="shared" ref="S1467" si="696">SUM(P1467:R1467)</f>
        <v>0</v>
      </c>
      <c r="U1467" s="5" t="s">
        <v>3</v>
      </c>
      <c r="V1467" s="16"/>
      <c r="W1467" s="11"/>
      <c r="X1467" s="16"/>
      <c r="Y1467" s="4">
        <f t="shared" si="690"/>
        <v>0</v>
      </c>
      <c r="Z1467" s="16"/>
      <c r="AA1467" s="11"/>
      <c r="AB1467" s="16"/>
      <c r="AC1467" s="4">
        <f t="shared" si="691"/>
        <v>0</v>
      </c>
      <c r="AD1467" s="16"/>
      <c r="AE1467" s="11"/>
      <c r="AF1467" s="16"/>
      <c r="AG1467" s="4">
        <f t="shared" si="692"/>
        <v>0</v>
      </c>
    </row>
    <row r="1468" spans="1:34">
      <c r="A1468" s="5" t="s">
        <v>3</v>
      </c>
      <c r="B1468" s="30"/>
      <c r="C1468" s="31"/>
      <c r="D1468" s="32">
        <v>5</v>
      </c>
      <c r="E1468" s="4">
        <f t="shared" si="686"/>
        <v>5</v>
      </c>
      <c r="F1468" s="30"/>
      <c r="G1468" s="31"/>
      <c r="H1468" s="32">
        <v>5</v>
      </c>
      <c r="I1468" s="4">
        <f t="shared" si="687"/>
        <v>5</v>
      </c>
      <c r="J1468" s="43">
        <v>45357</v>
      </c>
      <c r="K1468" s="5" t="s">
        <v>3</v>
      </c>
      <c r="L1468" s="32"/>
      <c r="M1468" s="31"/>
      <c r="N1468" s="32"/>
      <c r="O1468" s="4">
        <f t="shared" si="688"/>
        <v>0</v>
      </c>
      <c r="P1468" s="32"/>
      <c r="Q1468" s="31"/>
      <c r="R1468" s="32"/>
      <c r="S1468" s="4">
        <f t="shared" si="689"/>
        <v>0</v>
      </c>
      <c r="U1468" s="5" t="s">
        <v>3</v>
      </c>
      <c r="V1468" s="32"/>
      <c r="W1468" s="31"/>
      <c r="X1468" s="32"/>
      <c r="Y1468" s="4">
        <f t="shared" si="690"/>
        <v>0</v>
      </c>
      <c r="Z1468" s="32"/>
      <c r="AA1468" s="31"/>
      <c r="AB1468" s="32"/>
      <c r="AC1468" s="4">
        <f t="shared" si="691"/>
        <v>0</v>
      </c>
      <c r="AD1468" s="32"/>
      <c r="AE1468" s="31"/>
      <c r="AF1468" s="32"/>
      <c r="AG1468" s="4">
        <f t="shared" si="692"/>
        <v>0</v>
      </c>
    </row>
    <row r="1469" spans="1:34">
      <c r="A1469" s="5" t="s">
        <v>3</v>
      </c>
      <c r="B1469" s="30"/>
      <c r="C1469" s="31"/>
      <c r="D1469" s="32"/>
      <c r="E1469" s="4">
        <f t="shared" si="686"/>
        <v>0</v>
      </c>
      <c r="F1469" s="30"/>
      <c r="G1469" s="31"/>
      <c r="H1469" s="32"/>
      <c r="I1469" s="4">
        <f t="shared" si="687"/>
        <v>0</v>
      </c>
      <c r="K1469" s="5" t="s">
        <v>3</v>
      </c>
      <c r="L1469" s="32"/>
      <c r="M1469" s="31"/>
      <c r="N1469" s="32"/>
      <c r="O1469" s="4">
        <f t="shared" ref="O1469" si="697">SUM(L1469:N1469)</f>
        <v>0</v>
      </c>
      <c r="P1469" s="32"/>
      <c r="Q1469" s="31"/>
      <c r="R1469" s="32"/>
      <c r="S1469" s="4">
        <f t="shared" ref="S1469" si="698">SUM(P1469:R1469)</f>
        <v>0</v>
      </c>
      <c r="U1469" s="5" t="s">
        <v>3</v>
      </c>
      <c r="V1469" s="30"/>
      <c r="W1469" s="31"/>
      <c r="X1469" s="32"/>
      <c r="Y1469" s="4">
        <f t="shared" si="690"/>
        <v>0</v>
      </c>
      <c r="Z1469" s="30"/>
      <c r="AA1469" s="31"/>
      <c r="AB1469" s="32"/>
      <c r="AC1469" s="4">
        <f t="shared" si="691"/>
        <v>0</v>
      </c>
      <c r="AD1469" s="30"/>
      <c r="AE1469" s="31"/>
      <c r="AF1469" s="32"/>
      <c r="AG1469" s="4">
        <f t="shared" si="692"/>
        <v>0</v>
      </c>
    </row>
    <row r="1470" spans="1:34">
      <c r="A1470" s="5" t="s">
        <v>3</v>
      </c>
      <c r="B1470" s="16"/>
      <c r="C1470" s="11"/>
      <c r="D1470" s="16"/>
      <c r="E1470" s="4">
        <f t="shared" si="686"/>
        <v>0</v>
      </c>
      <c r="F1470" s="16"/>
      <c r="G1470" s="11"/>
      <c r="H1470" s="16"/>
      <c r="I1470" s="4">
        <f t="shared" si="687"/>
        <v>0</v>
      </c>
      <c r="K1470" s="5" t="s">
        <v>3</v>
      </c>
      <c r="L1470" s="32"/>
      <c r="M1470" s="31"/>
      <c r="N1470" s="32"/>
      <c r="O1470" s="4">
        <f t="shared" si="688"/>
        <v>0</v>
      </c>
      <c r="P1470" s="32"/>
      <c r="Q1470" s="31"/>
      <c r="R1470" s="32"/>
      <c r="S1470" s="4">
        <f t="shared" si="689"/>
        <v>0</v>
      </c>
      <c r="U1470" s="5" t="s">
        <v>3</v>
      </c>
      <c r="V1470" s="16">
        <v>10</v>
      </c>
      <c r="W1470" s="11">
        <v>10</v>
      </c>
      <c r="X1470" s="16">
        <v>10</v>
      </c>
      <c r="Y1470" s="4">
        <f t="shared" si="690"/>
        <v>30</v>
      </c>
      <c r="Z1470" s="16">
        <v>10</v>
      </c>
      <c r="AA1470" s="11">
        <v>10</v>
      </c>
      <c r="AB1470" s="16">
        <v>10</v>
      </c>
      <c r="AC1470" s="4">
        <f t="shared" si="691"/>
        <v>30</v>
      </c>
      <c r="AD1470" s="16">
        <v>10</v>
      </c>
      <c r="AE1470" s="11">
        <v>10</v>
      </c>
      <c r="AF1470" s="16">
        <v>10</v>
      </c>
      <c r="AG1470" s="4">
        <f t="shared" si="692"/>
        <v>30</v>
      </c>
      <c r="AH1470" s="43" t="s">
        <v>886</v>
      </c>
    </row>
    <row r="1471" spans="1:34">
      <c r="A1471" s="5" t="s">
        <v>3</v>
      </c>
      <c r="B1471" s="16"/>
      <c r="C1471" s="11"/>
      <c r="D1471" s="16"/>
      <c r="E1471" s="4">
        <f t="shared" si="686"/>
        <v>0</v>
      </c>
      <c r="F1471" s="16"/>
      <c r="G1471" s="11"/>
      <c r="H1471" s="16"/>
      <c r="I1471" s="4">
        <f t="shared" si="687"/>
        <v>0</v>
      </c>
      <c r="K1471" s="5" t="s">
        <v>3</v>
      </c>
      <c r="L1471" s="32"/>
      <c r="M1471" s="31"/>
      <c r="N1471" s="32"/>
      <c r="O1471" s="4">
        <f t="shared" ref="O1471" si="699">SUM(L1471:N1471)</f>
        <v>0</v>
      </c>
      <c r="P1471" s="32"/>
      <c r="Q1471" s="31"/>
      <c r="R1471" s="32"/>
      <c r="S1471" s="4">
        <f t="shared" ref="S1471" si="700">SUM(P1471:R1471)</f>
        <v>0</v>
      </c>
      <c r="U1471" s="5" t="s">
        <v>3</v>
      </c>
      <c r="V1471" s="32"/>
      <c r="W1471" s="31"/>
      <c r="X1471" s="32"/>
      <c r="Y1471" s="4">
        <f t="shared" si="690"/>
        <v>0</v>
      </c>
      <c r="Z1471" s="32"/>
      <c r="AA1471" s="31"/>
      <c r="AB1471" s="32"/>
      <c r="AC1471" s="4">
        <f t="shared" si="691"/>
        <v>0</v>
      </c>
      <c r="AD1471" s="32"/>
      <c r="AE1471" s="31"/>
      <c r="AF1471" s="32"/>
      <c r="AG1471" s="4">
        <f t="shared" si="692"/>
        <v>0</v>
      </c>
    </row>
    <row r="1472" spans="1:34">
      <c r="A1472" s="5" t="s">
        <v>3</v>
      </c>
      <c r="B1472" s="16"/>
      <c r="C1472" s="11"/>
      <c r="D1472" s="16"/>
      <c r="E1472" s="4">
        <f t="shared" si="686"/>
        <v>0</v>
      </c>
      <c r="F1472" s="16"/>
      <c r="G1472" s="11"/>
      <c r="H1472" s="16"/>
      <c r="I1472" s="4">
        <f t="shared" si="687"/>
        <v>0</v>
      </c>
      <c r="K1472" s="5" t="s">
        <v>3</v>
      </c>
      <c r="L1472" s="32"/>
      <c r="M1472" s="31"/>
      <c r="N1472" s="32"/>
      <c r="O1472" s="4">
        <f t="shared" si="688"/>
        <v>0</v>
      </c>
      <c r="P1472" s="32"/>
      <c r="Q1472" s="31"/>
      <c r="R1472" s="32"/>
      <c r="S1472" s="4">
        <f t="shared" si="689"/>
        <v>0</v>
      </c>
      <c r="U1472" s="5" t="s">
        <v>3</v>
      </c>
      <c r="V1472" s="16">
        <v>10</v>
      </c>
      <c r="W1472" s="11">
        <v>10</v>
      </c>
      <c r="X1472" s="16">
        <v>10</v>
      </c>
      <c r="Y1472" s="4">
        <f t="shared" si="690"/>
        <v>30</v>
      </c>
      <c r="Z1472" s="16">
        <v>10</v>
      </c>
      <c r="AA1472" s="11">
        <v>10</v>
      </c>
      <c r="AB1472" s="16">
        <v>10</v>
      </c>
      <c r="AC1472" s="4">
        <f t="shared" si="691"/>
        <v>30</v>
      </c>
      <c r="AD1472" s="16">
        <v>10</v>
      </c>
      <c r="AE1472" s="11">
        <v>10</v>
      </c>
      <c r="AF1472" s="16">
        <v>10</v>
      </c>
      <c r="AG1472" s="4">
        <f t="shared" si="692"/>
        <v>30</v>
      </c>
      <c r="AH1472" s="43" t="s">
        <v>899</v>
      </c>
    </row>
    <row r="1473" spans="1:34">
      <c r="A1473" s="5" t="s">
        <v>3</v>
      </c>
      <c r="B1473" s="32"/>
      <c r="C1473" s="31"/>
      <c r="D1473" s="32"/>
      <c r="E1473" s="4">
        <f t="shared" si="686"/>
        <v>0</v>
      </c>
      <c r="F1473" s="32"/>
      <c r="G1473" s="31"/>
      <c r="H1473" s="32"/>
      <c r="I1473" s="4">
        <f t="shared" si="687"/>
        <v>0</v>
      </c>
      <c r="K1473" s="5" t="s">
        <v>3</v>
      </c>
      <c r="L1473" s="32"/>
      <c r="M1473" s="31"/>
      <c r="N1473" s="32"/>
      <c r="O1473" s="4">
        <f t="shared" ref="O1473" si="701">SUM(L1473:N1473)</f>
        <v>0</v>
      </c>
      <c r="P1473" s="32"/>
      <c r="Q1473" s="31"/>
      <c r="R1473" s="32"/>
      <c r="S1473" s="4">
        <f t="shared" ref="S1473" si="702">SUM(P1473:R1473)</f>
        <v>0</v>
      </c>
      <c r="U1473" s="5" t="s">
        <v>3</v>
      </c>
      <c r="V1473" s="32"/>
      <c r="W1473" s="31"/>
      <c r="X1473" s="32"/>
      <c r="Y1473" s="4">
        <f t="shared" si="690"/>
        <v>0</v>
      </c>
      <c r="Z1473" s="32"/>
      <c r="AA1473" s="31"/>
      <c r="AB1473" s="32"/>
      <c r="AC1473" s="4">
        <f t="shared" si="691"/>
        <v>0</v>
      </c>
      <c r="AD1473" s="32"/>
      <c r="AE1473" s="31"/>
      <c r="AF1473" s="32"/>
      <c r="AG1473" s="4">
        <f t="shared" si="692"/>
        <v>0</v>
      </c>
    </row>
    <row r="1474" spans="1:34">
      <c r="A1474" s="5" t="s">
        <v>3</v>
      </c>
      <c r="B1474" s="32"/>
      <c r="C1474" s="31"/>
      <c r="D1474" s="32"/>
      <c r="E1474" s="4">
        <f t="shared" si="686"/>
        <v>0</v>
      </c>
      <c r="F1474" s="32"/>
      <c r="G1474" s="31"/>
      <c r="H1474" s="32"/>
      <c r="I1474" s="4">
        <f t="shared" si="687"/>
        <v>0</v>
      </c>
      <c r="K1474" s="5" t="s">
        <v>3</v>
      </c>
      <c r="L1474" s="32"/>
      <c r="M1474" s="31"/>
      <c r="N1474" s="32"/>
      <c r="O1474" s="4">
        <f t="shared" si="688"/>
        <v>0</v>
      </c>
      <c r="P1474" s="32"/>
      <c r="Q1474" s="31"/>
      <c r="R1474" s="32"/>
      <c r="S1474" s="4">
        <f t="shared" si="689"/>
        <v>0</v>
      </c>
      <c r="U1474" s="5" t="s">
        <v>3</v>
      </c>
      <c r="V1474" s="32"/>
      <c r="W1474" s="31"/>
      <c r="X1474" s="32"/>
      <c r="Y1474" s="4">
        <f t="shared" si="690"/>
        <v>0</v>
      </c>
      <c r="Z1474" s="32"/>
      <c r="AA1474" s="31"/>
      <c r="AB1474" s="32"/>
      <c r="AC1474" s="4">
        <f t="shared" si="691"/>
        <v>0</v>
      </c>
      <c r="AD1474" s="32"/>
      <c r="AE1474" s="31"/>
      <c r="AF1474" s="32"/>
      <c r="AG1474" s="4">
        <f t="shared" si="692"/>
        <v>0</v>
      </c>
    </row>
    <row r="1475" spans="1:34">
      <c r="A1475" s="5" t="s">
        <v>3</v>
      </c>
      <c r="B1475" s="30"/>
      <c r="C1475" s="31"/>
      <c r="D1475" s="32"/>
      <c r="E1475" s="4">
        <f t="shared" si="686"/>
        <v>0</v>
      </c>
      <c r="F1475" s="30"/>
      <c r="G1475" s="31"/>
      <c r="H1475" s="32"/>
      <c r="I1475" s="4">
        <f t="shared" si="687"/>
        <v>0</v>
      </c>
      <c r="K1475" s="5" t="s">
        <v>3</v>
      </c>
      <c r="L1475" s="32"/>
      <c r="M1475" s="31"/>
      <c r="N1475" s="32"/>
      <c r="O1475" s="4">
        <f t="shared" si="688"/>
        <v>0</v>
      </c>
      <c r="P1475" s="32"/>
      <c r="Q1475" s="31"/>
      <c r="R1475" s="32"/>
      <c r="S1475" s="4">
        <f t="shared" si="689"/>
        <v>0</v>
      </c>
      <c r="U1475" s="5" t="s">
        <v>3</v>
      </c>
      <c r="V1475" s="30"/>
      <c r="W1475" s="31"/>
      <c r="X1475" s="32"/>
      <c r="Y1475" s="4">
        <f t="shared" si="690"/>
        <v>0</v>
      </c>
      <c r="Z1475" s="30"/>
      <c r="AA1475" s="31"/>
      <c r="AB1475" s="32"/>
      <c r="AC1475" s="4">
        <f t="shared" si="691"/>
        <v>0</v>
      </c>
      <c r="AD1475" s="30"/>
      <c r="AE1475" s="31"/>
      <c r="AF1475" s="32"/>
      <c r="AG1475" s="4">
        <f t="shared" si="692"/>
        <v>0</v>
      </c>
    </row>
    <row r="1476" spans="1:34" ht="14.25" thickBot="1">
      <c r="A1476" s="6" t="s">
        <v>3</v>
      </c>
      <c r="B1476" s="36"/>
      <c r="C1476" s="37"/>
      <c r="D1476" s="36"/>
      <c r="E1476" s="20">
        <f t="shared" si="686"/>
        <v>0</v>
      </c>
      <c r="F1476" s="13"/>
      <c r="G1476" s="12"/>
      <c r="H1476" s="13"/>
      <c r="I1476" s="20">
        <f t="shared" si="687"/>
        <v>0</v>
      </c>
      <c r="K1476" s="5" t="s">
        <v>3</v>
      </c>
      <c r="L1476" s="36"/>
      <c r="M1476" s="37"/>
      <c r="N1476" s="36"/>
      <c r="O1476" s="20">
        <f t="shared" si="688"/>
        <v>0</v>
      </c>
      <c r="P1476" s="13"/>
      <c r="Q1476" s="12"/>
      <c r="R1476" s="13"/>
      <c r="S1476" s="20">
        <f t="shared" si="689"/>
        <v>0</v>
      </c>
      <c r="U1476" s="6" t="s">
        <v>3</v>
      </c>
      <c r="V1476" s="13"/>
      <c r="W1476" s="12"/>
      <c r="X1476" s="13"/>
      <c r="Y1476" s="20">
        <f t="shared" si="690"/>
        <v>0</v>
      </c>
      <c r="Z1476" s="13"/>
      <c r="AA1476" s="12"/>
      <c r="AB1476" s="13"/>
      <c r="AC1476" s="20">
        <f t="shared" si="691"/>
        <v>0</v>
      </c>
      <c r="AD1476" s="13"/>
      <c r="AE1476" s="12"/>
      <c r="AF1476" s="13"/>
      <c r="AG1476" s="20">
        <f t="shared" si="692"/>
        <v>0</v>
      </c>
    </row>
    <row r="1477" spans="1:34" ht="14.25" thickBot="1">
      <c r="A1477" s="23" t="s">
        <v>4</v>
      </c>
      <c r="B1477" s="24">
        <f>SUM(B1466:B1476)</f>
        <v>5</v>
      </c>
      <c r="C1477" s="24">
        <f>SUM(C1466:C1476)</f>
        <v>5</v>
      </c>
      <c r="D1477" s="25">
        <f>SUM(D1466:D1476)</f>
        <v>13</v>
      </c>
      <c r="E1477" s="26">
        <f t="shared" si="686"/>
        <v>23</v>
      </c>
      <c r="F1477" s="24">
        <f>SUM(F1466:F1476)</f>
        <v>5</v>
      </c>
      <c r="G1477" s="24">
        <f>SUM(G1466:G1476)</f>
        <v>5</v>
      </c>
      <c r="H1477" s="25">
        <f>SUM(H1466:H1476)</f>
        <v>13</v>
      </c>
      <c r="I1477" s="26">
        <f t="shared" si="687"/>
        <v>23</v>
      </c>
      <c r="K1477" s="23" t="s">
        <v>4</v>
      </c>
      <c r="L1477" s="24">
        <f>SUM(L1466:L1476)</f>
        <v>100</v>
      </c>
      <c r="M1477" s="24">
        <f>SUM(M1466:M1476)</f>
        <v>106</v>
      </c>
      <c r="N1477" s="25">
        <f>SUM(N1466:N1476)</f>
        <v>48</v>
      </c>
      <c r="O1477" s="26">
        <f t="shared" si="688"/>
        <v>254</v>
      </c>
      <c r="P1477" s="24">
        <f>SUM(P1466:P1476)</f>
        <v>100</v>
      </c>
      <c r="Q1477" s="24">
        <f>SUM(Q1466:Q1476)</f>
        <v>106</v>
      </c>
      <c r="R1477" s="25">
        <f>SUM(R1466:R1476)</f>
        <v>48</v>
      </c>
      <c r="S1477" s="26">
        <f t="shared" si="689"/>
        <v>254</v>
      </c>
      <c r="U1477" s="23" t="s">
        <v>4</v>
      </c>
      <c r="V1477" s="24">
        <f>SUM(V1466:V1476)</f>
        <v>23</v>
      </c>
      <c r="W1477" s="24">
        <f>SUM(W1466:W1476)</f>
        <v>30</v>
      </c>
      <c r="X1477" s="25">
        <f>SUM(X1466:X1476)</f>
        <v>23</v>
      </c>
      <c r="Y1477" s="26">
        <f t="shared" si="690"/>
        <v>76</v>
      </c>
      <c r="Z1477" s="24">
        <f>SUM(Z1466:Z1476)</f>
        <v>23</v>
      </c>
      <c r="AA1477" s="24">
        <f>SUM(AA1466:AA1476)</f>
        <v>30</v>
      </c>
      <c r="AB1477" s="25">
        <f>SUM(AB1466:AB1476)</f>
        <v>23</v>
      </c>
      <c r="AC1477" s="26">
        <f t="shared" si="691"/>
        <v>76</v>
      </c>
      <c r="AD1477" s="24">
        <f>SUM(AD1466:AD1476)</f>
        <v>23</v>
      </c>
      <c r="AE1477" s="24">
        <f>SUM(AE1466:AE1476)</f>
        <v>30</v>
      </c>
      <c r="AF1477" s="25">
        <f>SUM(AF1466:AF1476)</f>
        <v>23</v>
      </c>
      <c r="AG1477" s="26">
        <f t="shared" si="692"/>
        <v>76</v>
      </c>
    </row>
    <row r="1478" spans="1:34">
      <c r="A1478" s="3" t="s">
        <v>863</v>
      </c>
      <c r="B1478" s="8">
        <v>1</v>
      </c>
      <c r="C1478" s="9"/>
      <c r="D1478" s="10"/>
      <c r="E1478" s="7">
        <f t="shared" ref="E1478:E1479" si="703">SUM(B1478:D1478)</f>
        <v>1</v>
      </c>
      <c r="F1478" s="8">
        <v>1</v>
      </c>
      <c r="G1478" s="9"/>
      <c r="H1478" s="10"/>
      <c r="I1478" s="7">
        <f t="shared" ref="I1478:I1479" si="704">SUM(F1478:H1478)</f>
        <v>1</v>
      </c>
      <c r="J1478" s="49">
        <v>45310</v>
      </c>
      <c r="K1478" s="3" t="s">
        <v>295</v>
      </c>
      <c r="L1478" s="8"/>
      <c r="M1478" s="9"/>
      <c r="N1478" s="10">
        <v>5</v>
      </c>
      <c r="O1478" s="4">
        <f t="shared" ref="O1478:O1479" si="705">SUM(L1478:N1478)</f>
        <v>5</v>
      </c>
      <c r="P1478" s="8"/>
      <c r="Q1478" s="9"/>
      <c r="R1478" s="10">
        <v>5</v>
      </c>
      <c r="S1478" s="4">
        <f t="shared" si="689"/>
        <v>5</v>
      </c>
      <c r="T1478" s="43">
        <v>45336</v>
      </c>
      <c r="U1478" s="3" t="s">
        <v>890</v>
      </c>
      <c r="V1478" s="61">
        <v>11</v>
      </c>
      <c r="W1478" s="60">
        <v>12</v>
      </c>
      <c r="X1478" s="61">
        <v>9</v>
      </c>
      <c r="Y1478" s="4">
        <f t="shared" si="690"/>
        <v>32</v>
      </c>
      <c r="Z1478" s="61">
        <v>11</v>
      </c>
      <c r="AA1478" s="60">
        <v>12</v>
      </c>
      <c r="AB1478" s="61">
        <v>9</v>
      </c>
      <c r="AC1478" s="4">
        <f t="shared" si="691"/>
        <v>32</v>
      </c>
      <c r="AD1478" s="59">
        <v>11</v>
      </c>
      <c r="AE1478" s="60">
        <v>12</v>
      </c>
      <c r="AF1478" s="61">
        <v>9</v>
      </c>
      <c r="AG1478" s="7">
        <f t="shared" si="692"/>
        <v>32</v>
      </c>
      <c r="AH1478" s="43">
        <v>45390</v>
      </c>
    </row>
    <row r="1479" spans="1:34">
      <c r="A1479" s="3" t="s">
        <v>867</v>
      </c>
      <c r="B1479" s="8"/>
      <c r="C1479" s="9"/>
      <c r="D1479" s="10">
        <v>3</v>
      </c>
      <c r="E1479" s="7">
        <f t="shared" si="703"/>
        <v>3</v>
      </c>
      <c r="F1479" s="8"/>
      <c r="G1479" s="9"/>
      <c r="H1479" s="10">
        <v>3</v>
      </c>
      <c r="I1479" s="7">
        <f t="shared" si="704"/>
        <v>3</v>
      </c>
      <c r="J1479" s="43">
        <v>45338</v>
      </c>
      <c r="K1479" s="3" t="s">
        <v>295</v>
      </c>
      <c r="L1479" s="8"/>
      <c r="M1479" s="9"/>
      <c r="N1479" s="10">
        <v>5</v>
      </c>
      <c r="O1479" s="7">
        <f t="shared" si="705"/>
        <v>5</v>
      </c>
      <c r="P1479" s="8"/>
      <c r="Q1479" s="9"/>
      <c r="R1479" s="10">
        <v>5</v>
      </c>
      <c r="S1479" s="7">
        <f t="shared" si="689"/>
        <v>5</v>
      </c>
      <c r="T1479" s="43">
        <v>45357</v>
      </c>
      <c r="U1479" s="40"/>
      <c r="V1479" s="8"/>
      <c r="W1479" s="9"/>
      <c r="X1479" s="10"/>
      <c r="Y1479" s="4">
        <f t="shared" si="690"/>
        <v>0</v>
      </c>
      <c r="Z1479" s="8"/>
      <c r="AA1479" s="9"/>
      <c r="AB1479" s="10"/>
      <c r="AC1479" s="4">
        <f t="shared" si="691"/>
        <v>0</v>
      </c>
      <c r="AD1479" s="8"/>
      <c r="AE1479" s="9"/>
      <c r="AF1479" s="10"/>
      <c r="AG1479" s="4">
        <f t="shared" si="692"/>
        <v>0</v>
      </c>
      <c r="AH1479" s="71"/>
    </row>
    <row r="1480" spans="1:34">
      <c r="A1480" s="3" t="s">
        <v>869</v>
      </c>
      <c r="B1480" s="8"/>
      <c r="C1480" s="9">
        <v>1</v>
      </c>
      <c r="D1480" s="10">
        <v>3</v>
      </c>
      <c r="E1480" s="7">
        <f t="shared" si="686"/>
        <v>4</v>
      </c>
      <c r="F1480" s="8"/>
      <c r="G1480" s="9">
        <v>1</v>
      </c>
      <c r="H1480" s="10">
        <v>3</v>
      </c>
      <c r="I1480" s="7">
        <f t="shared" si="687"/>
        <v>4</v>
      </c>
      <c r="J1480" s="43">
        <v>45343</v>
      </c>
      <c r="K1480" s="3" t="s">
        <v>887</v>
      </c>
      <c r="L1480" s="8">
        <v>10</v>
      </c>
      <c r="M1480" s="9">
        <v>14</v>
      </c>
      <c r="N1480" s="10">
        <v>10</v>
      </c>
      <c r="O1480" s="7">
        <f t="shared" si="688"/>
        <v>34</v>
      </c>
      <c r="P1480" s="8">
        <v>10</v>
      </c>
      <c r="Q1480" s="9">
        <v>14</v>
      </c>
      <c r="R1480" s="10">
        <v>10</v>
      </c>
      <c r="S1480" s="7">
        <f t="shared" si="689"/>
        <v>34</v>
      </c>
      <c r="T1480" s="43">
        <v>45390</v>
      </c>
      <c r="U1480" s="40"/>
      <c r="V1480" s="8"/>
      <c r="W1480" s="9"/>
      <c r="X1480" s="10"/>
      <c r="Y1480" s="7">
        <f t="shared" si="690"/>
        <v>0</v>
      </c>
      <c r="Z1480" s="8"/>
      <c r="AA1480" s="9"/>
      <c r="AB1480" s="10"/>
      <c r="AC1480" s="7">
        <f t="shared" si="691"/>
        <v>0</v>
      </c>
      <c r="AD1480" s="8"/>
      <c r="AE1480" s="9"/>
      <c r="AF1480" s="10"/>
      <c r="AG1480" s="7">
        <f t="shared" si="692"/>
        <v>0</v>
      </c>
    </row>
    <row r="1481" spans="1:34">
      <c r="A1481" s="3" t="s">
        <v>870</v>
      </c>
      <c r="B1481" s="8"/>
      <c r="C1481" s="9"/>
      <c r="D1481" s="10">
        <v>1</v>
      </c>
      <c r="E1481" s="4">
        <f t="shared" si="686"/>
        <v>1</v>
      </c>
      <c r="F1481" s="8"/>
      <c r="G1481" s="9"/>
      <c r="H1481" s="10">
        <v>1</v>
      </c>
      <c r="I1481" s="4">
        <f t="shared" si="687"/>
        <v>1</v>
      </c>
      <c r="J1481" s="49">
        <v>45352</v>
      </c>
      <c r="K1481" s="3" t="s">
        <v>664</v>
      </c>
      <c r="L1481" s="8">
        <v>6</v>
      </c>
      <c r="M1481" s="9">
        <v>12</v>
      </c>
      <c r="N1481" s="10">
        <v>12</v>
      </c>
      <c r="O1481" s="4">
        <f t="shared" si="688"/>
        <v>30</v>
      </c>
      <c r="P1481" s="8">
        <v>6</v>
      </c>
      <c r="Q1481" s="9">
        <v>12</v>
      </c>
      <c r="R1481" s="10">
        <v>12</v>
      </c>
      <c r="S1481" s="4">
        <f t="shared" si="689"/>
        <v>30</v>
      </c>
      <c r="T1481" s="43">
        <v>45398</v>
      </c>
      <c r="U1481" s="40"/>
      <c r="V1481" s="8"/>
      <c r="W1481" s="9"/>
      <c r="X1481" s="10"/>
      <c r="Y1481" s="4">
        <f t="shared" si="690"/>
        <v>0</v>
      </c>
      <c r="Z1481" s="8"/>
      <c r="AA1481" s="9"/>
      <c r="AB1481" s="10"/>
      <c r="AC1481" s="4">
        <f t="shared" si="691"/>
        <v>0</v>
      </c>
      <c r="AD1481" s="8"/>
      <c r="AE1481" s="9"/>
      <c r="AF1481" s="10"/>
      <c r="AG1481" s="4">
        <f t="shared" si="692"/>
        <v>0</v>
      </c>
    </row>
    <row r="1482" spans="1:34">
      <c r="A1482" s="3" t="s">
        <v>871</v>
      </c>
      <c r="B1482" s="8">
        <v>1</v>
      </c>
      <c r="C1482" s="9"/>
      <c r="D1482" s="10"/>
      <c r="E1482" s="4">
        <f t="shared" si="686"/>
        <v>1</v>
      </c>
      <c r="F1482" s="8">
        <v>1</v>
      </c>
      <c r="G1482" s="9"/>
      <c r="H1482" s="10"/>
      <c r="I1482" s="4">
        <f t="shared" si="687"/>
        <v>1</v>
      </c>
      <c r="J1482" s="49">
        <v>45363</v>
      </c>
      <c r="K1482" s="3" t="s">
        <v>894</v>
      </c>
      <c r="L1482" s="8">
        <v>20</v>
      </c>
      <c r="M1482" s="9">
        <v>20</v>
      </c>
      <c r="N1482" s="10">
        <v>10</v>
      </c>
      <c r="O1482" s="7">
        <f t="shared" ref="O1482" si="706">SUM(L1482:N1482)</f>
        <v>50</v>
      </c>
      <c r="P1482" s="8">
        <v>20</v>
      </c>
      <c r="Q1482" s="9">
        <v>20</v>
      </c>
      <c r="R1482" s="10">
        <v>10</v>
      </c>
      <c r="S1482" s="7">
        <f t="shared" ref="S1482" si="707">SUM(P1482:R1482)</f>
        <v>50</v>
      </c>
      <c r="T1482" s="43">
        <v>45401</v>
      </c>
      <c r="U1482" s="3"/>
      <c r="V1482" s="8"/>
      <c r="W1482" s="9"/>
      <c r="X1482" s="10"/>
      <c r="Y1482" s="4">
        <f t="shared" si="690"/>
        <v>0</v>
      </c>
      <c r="Z1482" s="8"/>
      <c r="AA1482" s="9"/>
      <c r="AB1482" s="10"/>
      <c r="AC1482" s="4">
        <f t="shared" si="691"/>
        <v>0</v>
      </c>
      <c r="AD1482" s="8"/>
      <c r="AE1482" s="9"/>
      <c r="AF1482" s="10"/>
      <c r="AG1482" s="4">
        <f t="shared" si="692"/>
        <v>0</v>
      </c>
    </row>
    <row r="1483" spans="1:34">
      <c r="A1483" s="3" t="s">
        <v>896</v>
      </c>
      <c r="B1483" s="8"/>
      <c r="C1483" s="9"/>
      <c r="D1483" s="10">
        <v>6</v>
      </c>
      <c r="E1483" s="7">
        <f t="shared" si="686"/>
        <v>6</v>
      </c>
      <c r="F1483" s="8"/>
      <c r="G1483" s="9"/>
      <c r="H1483" s="10">
        <v>6</v>
      </c>
      <c r="I1483" s="7">
        <f t="shared" si="687"/>
        <v>6</v>
      </c>
      <c r="J1483" s="43">
        <v>45405</v>
      </c>
      <c r="K1483" s="3"/>
      <c r="L1483" s="8"/>
      <c r="M1483" s="9"/>
      <c r="N1483" s="10"/>
      <c r="O1483" s="7">
        <f t="shared" si="688"/>
        <v>0</v>
      </c>
      <c r="P1483" s="8"/>
      <c r="Q1483" s="9"/>
      <c r="R1483" s="10"/>
      <c r="S1483" s="7">
        <f t="shared" si="689"/>
        <v>0</v>
      </c>
      <c r="T1483" s="71"/>
      <c r="U1483" s="3"/>
      <c r="V1483" s="8"/>
      <c r="W1483" s="9"/>
      <c r="X1483" s="10"/>
      <c r="Y1483" s="7">
        <f t="shared" si="690"/>
        <v>0</v>
      </c>
      <c r="Z1483" s="8"/>
      <c r="AA1483" s="9"/>
      <c r="AB1483" s="10"/>
      <c r="AC1483" s="7">
        <f t="shared" si="691"/>
        <v>0</v>
      </c>
      <c r="AD1483" s="8"/>
      <c r="AE1483" s="9"/>
      <c r="AF1483" s="10"/>
      <c r="AG1483" s="7">
        <f t="shared" si="692"/>
        <v>0</v>
      </c>
    </row>
    <row r="1484" spans="1:34">
      <c r="A1484" s="3"/>
      <c r="B1484" s="8"/>
      <c r="C1484" s="9"/>
      <c r="D1484" s="10"/>
      <c r="E1484" s="7">
        <f t="shared" si="686"/>
        <v>0</v>
      </c>
      <c r="F1484" s="8"/>
      <c r="G1484" s="9"/>
      <c r="H1484" s="10"/>
      <c r="I1484" s="7">
        <f t="shared" si="687"/>
        <v>0</v>
      </c>
      <c r="K1484" s="3"/>
      <c r="L1484" s="8"/>
      <c r="M1484" s="9"/>
      <c r="N1484" s="10"/>
      <c r="O1484" s="7">
        <f t="shared" si="688"/>
        <v>0</v>
      </c>
      <c r="P1484" s="8"/>
      <c r="Q1484" s="9"/>
      <c r="R1484" s="10"/>
      <c r="S1484" s="7">
        <f t="shared" si="689"/>
        <v>0</v>
      </c>
      <c r="U1484" s="3"/>
      <c r="V1484" s="8"/>
      <c r="W1484" s="9"/>
      <c r="X1484" s="10"/>
      <c r="Y1484" s="7">
        <f t="shared" si="690"/>
        <v>0</v>
      </c>
      <c r="Z1484" s="8"/>
      <c r="AA1484" s="9"/>
      <c r="AB1484" s="10"/>
      <c r="AC1484" s="7">
        <f t="shared" si="691"/>
        <v>0</v>
      </c>
      <c r="AD1484" s="8"/>
      <c r="AE1484" s="9"/>
      <c r="AF1484" s="10"/>
      <c r="AG1484" s="7">
        <f t="shared" si="692"/>
        <v>0</v>
      </c>
    </row>
    <row r="1485" spans="1:34">
      <c r="A1485" s="3"/>
      <c r="B1485" s="8"/>
      <c r="C1485" s="9"/>
      <c r="D1485" s="10"/>
      <c r="E1485" s="7">
        <f t="shared" si="686"/>
        <v>0</v>
      </c>
      <c r="F1485" s="8"/>
      <c r="G1485" s="9"/>
      <c r="H1485" s="10"/>
      <c r="I1485" s="7">
        <f t="shared" si="687"/>
        <v>0</v>
      </c>
      <c r="K1485" s="3"/>
      <c r="L1485" s="8"/>
      <c r="M1485" s="9"/>
      <c r="N1485" s="10"/>
      <c r="O1485" s="7">
        <f t="shared" si="688"/>
        <v>0</v>
      </c>
      <c r="P1485" s="8"/>
      <c r="Q1485" s="9"/>
      <c r="R1485" s="10"/>
      <c r="S1485" s="7">
        <f t="shared" si="689"/>
        <v>0</v>
      </c>
      <c r="U1485" s="3"/>
      <c r="V1485" s="8"/>
      <c r="W1485" s="9"/>
      <c r="X1485" s="10"/>
      <c r="Y1485" s="7">
        <f t="shared" si="690"/>
        <v>0</v>
      </c>
      <c r="Z1485" s="8"/>
      <c r="AA1485" s="9"/>
      <c r="AB1485" s="10"/>
      <c r="AC1485" s="7">
        <f t="shared" si="691"/>
        <v>0</v>
      </c>
      <c r="AD1485" s="8"/>
      <c r="AE1485" s="9"/>
      <c r="AF1485" s="10"/>
      <c r="AG1485" s="7">
        <f t="shared" si="692"/>
        <v>0</v>
      </c>
    </row>
    <row r="1486" spans="1:34">
      <c r="A1486" s="3"/>
      <c r="B1486" s="8"/>
      <c r="C1486" s="9"/>
      <c r="D1486" s="10"/>
      <c r="E1486" s="7">
        <f t="shared" si="686"/>
        <v>0</v>
      </c>
      <c r="F1486" s="8"/>
      <c r="G1486" s="9"/>
      <c r="H1486" s="10"/>
      <c r="I1486" s="7">
        <f t="shared" si="687"/>
        <v>0</v>
      </c>
      <c r="K1486" s="3"/>
      <c r="L1486" s="8"/>
      <c r="M1486" s="9"/>
      <c r="N1486" s="10"/>
      <c r="O1486" s="7">
        <f t="shared" si="688"/>
        <v>0</v>
      </c>
      <c r="P1486" s="8"/>
      <c r="Q1486" s="9"/>
      <c r="R1486" s="10"/>
      <c r="S1486" s="7">
        <f t="shared" si="689"/>
        <v>0</v>
      </c>
      <c r="U1486" s="3"/>
      <c r="V1486" s="8"/>
      <c r="W1486" s="9"/>
      <c r="X1486" s="10"/>
      <c r="Y1486" s="7">
        <f t="shared" si="690"/>
        <v>0</v>
      </c>
      <c r="Z1486" s="8"/>
      <c r="AA1486" s="9"/>
      <c r="AB1486" s="10"/>
      <c r="AC1486" s="7">
        <f t="shared" si="691"/>
        <v>0</v>
      </c>
      <c r="AD1486" s="8"/>
      <c r="AE1486" s="9"/>
      <c r="AF1486" s="10"/>
      <c r="AG1486" s="7">
        <f t="shared" si="692"/>
        <v>0</v>
      </c>
    </row>
    <row r="1487" spans="1:34">
      <c r="A1487" s="3"/>
      <c r="B1487" s="8"/>
      <c r="C1487" s="9"/>
      <c r="D1487" s="10"/>
      <c r="E1487" s="7">
        <f t="shared" si="686"/>
        <v>0</v>
      </c>
      <c r="F1487" s="8"/>
      <c r="G1487" s="9"/>
      <c r="H1487" s="10"/>
      <c r="I1487" s="7">
        <f t="shared" si="687"/>
        <v>0</v>
      </c>
      <c r="K1487" s="3"/>
      <c r="L1487" s="8"/>
      <c r="M1487" s="9"/>
      <c r="N1487" s="10"/>
      <c r="O1487" s="7">
        <f t="shared" si="688"/>
        <v>0</v>
      </c>
      <c r="P1487" s="8"/>
      <c r="Q1487" s="9"/>
      <c r="R1487" s="10"/>
      <c r="S1487" s="7">
        <f t="shared" si="689"/>
        <v>0</v>
      </c>
      <c r="U1487" s="3"/>
      <c r="V1487" s="8"/>
      <c r="W1487" s="9"/>
      <c r="X1487" s="10"/>
      <c r="Y1487" s="7">
        <f t="shared" si="690"/>
        <v>0</v>
      </c>
      <c r="Z1487" s="8"/>
      <c r="AA1487" s="9"/>
      <c r="AB1487" s="10"/>
      <c r="AC1487" s="7">
        <f t="shared" si="691"/>
        <v>0</v>
      </c>
      <c r="AD1487" s="8"/>
      <c r="AE1487" s="9"/>
      <c r="AF1487" s="10"/>
      <c r="AG1487" s="7">
        <f t="shared" si="692"/>
        <v>0</v>
      </c>
    </row>
    <row r="1488" spans="1:34">
      <c r="A1488" s="3"/>
      <c r="B1488" s="8"/>
      <c r="C1488" s="9"/>
      <c r="D1488" s="10"/>
      <c r="E1488" s="7">
        <f t="shared" si="686"/>
        <v>0</v>
      </c>
      <c r="F1488" s="8"/>
      <c r="G1488" s="9"/>
      <c r="H1488" s="10"/>
      <c r="I1488" s="7">
        <f t="shared" si="687"/>
        <v>0</v>
      </c>
      <c r="K1488" s="3"/>
      <c r="L1488" s="30"/>
      <c r="M1488" s="9"/>
      <c r="N1488" s="10"/>
      <c r="O1488" s="7">
        <f t="shared" si="688"/>
        <v>0</v>
      </c>
      <c r="P1488" s="8"/>
      <c r="Q1488" s="9"/>
      <c r="R1488" s="10"/>
      <c r="S1488" s="7">
        <f t="shared" si="689"/>
        <v>0</v>
      </c>
      <c r="U1488" s="3"/>
      <c r="V1488" s="30"/>
      <c r="W1488" s="9"/>
      <c r="X1488" s="10"/>
      <c r="Y1488" s="7">
        <f t="shared" si="690"/>
        <v>0</v>
      </c>
      <c r="Z1488" s="8"/>
      <c r="AA1488" s="9"/>
      <c r="AB1488" s="10"/>
      <c r="AC1488" s="7">
        <f t="shared" si="691"/>
        <v>0</v>
      </c>
      <c r="AD1488" s="8"/>
      <c r="AE1488" s="9"/>
      <c r="AF1488" s="10"/>
      <c r="AG1488" s="7">
        <f t="shared" si="692"/>
        <v>0</v>
      </c>
    </row>
    <row r="1489" spans="1:34">
      <c r="A1489" s="3"/>
      <c r="B1489" s="8"/>
      <c r="C1489" s="9"/>
      <c r="D1489" s="10"/>
      <c r="E1489" s="7">
        <f t="shared" si="686"/>
        <v>0</v>
      </c>
      <c r="F1489" s="8"/>
      <c r="G1489" s="9"/>
      <c r="H1489" s="10"/>
      <c r="I1489" s="7">
        <f t="shared" si="687"/>
        <v>0</v>
      </c>
      <c r="K1489" s="3"/>
      <c r="L1489" s="8"/>
      <c r="M1489" s="9"/>
      <c r="N1489" s="10"/>
      <c r="O1489" s="7">
        <f t="shared" si="688"/>
        <v>0</v>
      </c>
      <c r="P1489" s="8"/>
      <c r="Q1489" s="9"/>
      <c r="R1489" s="10"/>
      <c r="S1489" s="7">
        <f t="shared" si="689"/>
        <v>0</v>
      </c>
      <c r="U1489" s="3"/>
      <c r="V1489" s="8"/>
      <c r="W1489" s="9"/>
      <c r="X1489" s="10"/>
      <c r="Y1489" s="7">
        <f t="shared" si="690"/>
        <v>0</v>
      </c>
      <c r="Z1489" s="8"/>
      <c r="AA1489" s="9"/>
      <c r="AB1489" s="10"/>
      <c r="AC1489" s="7">
        <f t="shared" si="691"/>
        <v>0</v>
      </c>
      <c r="AD1489" s="8"/>
      <c r="AE1489" s="9"/>
      <c r="AF1489" s="10"/>
      <c r="AG1489" s="7">
        <f t="shared" si="692"/>
        <v>0</v>
      </c>
    </row>
    <row r="1490" spans="1:34">
      <c r="A1490" s="3"/>
      <c r="B1490" s="8"/>
      <c r="C1490" s="9"/>
      <c r="D1490" s="10"/>
      <c r="E1490" s="7">
        <f t="shared" si="686"/>
        <v>0</v>
      </c>
      <c r="F1490" s="8"/>
      <c r="G1490" s="9"/>
      <c r="H1490" s="10"/>
      <c r="I1490" s="7">
        <f t="shared" si="687"/>
        <v>0</v>
      </c>
      <c r="K1490" s="3"/>
      <c r="L1490" s="8"/>
      <c r="M1490" s="9"/>
      <c r="N1490" s="10"/>
      <c r="O1490" s="7">
        <f t="shared" si="688"/>
        <v>0</v>
      </c>
      <c r="P1490" s="8"/>
      <c r="Q1490" s="9"/>
      <c r="R1490" s="10"/>
      <c r="S1490" s="7">
        <f t="shared" si="689"/>
        <v>0</v>
      </c>
      <c r="U1490" s="3"/>
      <c r="V1490" s="8"/>
      <c r="W1490" s="9"/>
      <c r="X1490" s="10"/>
      <c r="Y1490" s="7">
        <f t="shared" si="690"/>
        <v>0</v>
      </c>
      <c r="Z1490" s="8"/>
      <c r="AA1490" s="9"/>
      <c r="AB1490" s="10"/>
      <c r="AC1490" s="7">
        <f t="shared" si="691"/>
        <v>0</v>
      </c>
      <c r="AD1490" s="8"/>
      <c r="AE1490" s="9"/>
      <c r="AF1490" s="10"/>
      <c r="AG1490" s="7">
        <f t="shared" si="692"/>
        <v>0</v>
      </c>
    </row>
    <row r="1491" spans="1:34">
      <c r="A1491" s="3"/>
      <c r="B1491" s="8"/>
      <c r="C1491" s="9"/>
      <c r="D1491" s="10"/>
      <c r="E1491" s="7">
        <f t="shared" si="686"/>
        <v>0</v>
      </c>
      <c r="F1491" s="8"/>
      <c r="G1491" s="9"/>
      <c r="H1491" s="10"/>
      <c r="I1491" s="7">
        <f t="shared" si="687"/>
        <v>0</v>
      </c>
      <c r="K1491" s="3"/>
      <c r="L1491" s="8"/>
      <c r="M1491" s="9"/>
      <c r="N1491" s="10"/>
      <c r="O1491" s="7">
        <f t="shared" si="688"/>
        <v>0</v>
      </c>
      <c r="P1491" s="8"/>
      <c r="Q1491" s="9"/>
      <c r="R1491" s="10"/>
      <c r="S1491" s="7">
        <f t="shared" si="689"/>
        <v>0</v>
      </c>
      <c r="U1491" s="3"/>
      <c r="V1491" s="8"/>
      <c r="W1491" s="9"/>
      <c r="X1491" s="10"/>
      <c r="Y1491" s="7">
        <f t="shared" si="690"/>
        <v>0</v>
      </c>
      <c r="Z1491" s="8"/>
      <c r="AA1491" s="9"/>
      <c r="AB1491" s="10"/>
      <c r="AC1491" s="7">
        <f t="shared" si="691"/>
        <v>0</v>
      </c>
      <c r="AD1491" s="8"/>
      <c r="AE1491" s="9"/>
      <c r="AF1491" s="10"/>
      <c r="AG1491" s="7">
        <f t="shared" si="692"/>
        <v>0</v>
      </c>
    </row>
    <row r="1492" spans="1:34">
      <c r="A1492" s="3"/>
      <c r="B1492" s="8"/>
      <c r="C1492" s="9"/>
      <c r="D1492" s="10"/>
      <c r="E1492" s="7">
        <f t="shared" si="686"/>
        <v>0</v>
      </c>
      <c r="F1492" s="8"/>
      <c r="G1492" s="9"/>
      <c r="H1492" s="10"/>
      <c r="I1492" s="7">
        <f t="shared" si="687"/>
        <v>0</v>
      </c>
      <c r="K1492" s="3"/>
      <c r="L1492" s="8"/>
      <c r="M1492" s="9"/>
      <c r="N1492" s="10"/>
      <c r="O1492" s="7">
        <f t="shared" si="688"/>
        <v>0</v>
      </c>
      <c r="P1492" s="8"/>
      <c r="Q1492" s="9"/>
      <c r="R1492" s="10"/>
      <c r="S1492" s="7">
        <f t="shared" si="689"/>
        <v>0</v>
      </c>
      <c r="U1492" s="3"/>
      <c r="V1492" s="8"/>
      <c r="W1492" s="9"/>
      <c r="X1492" s="10"/>
      <c r="Y1492" s="7">
        <f t="shared" si="690"/>
        <v>0</v>
      </c>
      <c r="Z1492" s="8"/>
      <c r="AA1492" s="9"/>
      <c r="AB1492" s="10"/>
      <c r="AC1492" s="7">
        <f t="shared" si="691"/>
        <v>0</v>
      </c>
      <c r="AD1492" s="8"/>
      <c r="AE1492" s="9"/>
      <c r="AF1492" s="10"/>
      <c r="AG1492" s="7">
        <f t="shared" si="692"/>
        <v>0</v>
      </c>
    </row>
    <row r="1493" spans="1:34">
      <c r="A1493" s="3"/>
      <c r="B1493" s="8"/>
      <c r="C1493" s="9"/>
      <c r="D1493" s="10"/>
      <c r="E1493" s="7">
        <f t="shared" si="686"/>
        <v>0</v>
      </c>
      <c r="F1493" s="8"/>
      <c r="G1493" s="9"/>
      <c r="H1493" s="10"/>
      <c r="I1493" s="7">
        <f t="shared" si="687"/>
        <v>0</v>
      </c>
      <c r="K1493" s="3"/>
      <c r="L1493" s="8"/>
      <c r="M1493" s="9"/>
      <c r="N1493" s="10"/>
      <c r="O1493" s="7">
        <f t="shared" si="688"/>
        <v>0</v>
      </c>
      <c r="P1493" s="8"/>
      <c r="Q1493" s="9"/>
      <c r="R1493" s="10"/>
      <c r="S1493" s="7">
        <f t="shared" si="689"/>
        <v>0</v>
      </c>
      <c r="U1493" s="3"/>
      <c r="V1493" s="8"/>
      <c r="W1493" s="9"/>
      <c r="X1493" s="10"/>
      <c r="Y1493" s="7">
        <f t="shared" si="690"/>
        <v>0</v>
      </c>
      <c r="Z1493" s="8"/>
      <c r="AA1493" s="9"/>
      <c r="AB1493" s="10"/>
      <c r="AC1493" s="7">
        <f t="shared" si="691"/>
        <v>0</v>
      </c>
      <c r="AD1493" s="8"/>
      <c r="AE1493" s="9"/>
      <c r="AF1493" s="10"/>
      <c r="AG1493" s="7">
        <f t="shared" si="692"/>
        <v>0</v>
      </c>
    </row>
    <row r="1494" spans="1:34">
      <c r="A1494" s="3"/>
      <c r="B1494" s="8"/>
      <c r="C1494" s="9"/>
      <c r="D1494" s="10"/>
      <c r="E1494" s="7">
        <f t="shared" si="686"/>
        <v>0</v>
      </c>
      <c r="F1494" s="8"/>
      <c r="G1494" s="9"/>
      <c r="H1494" s="10"/>
      <c r="I1494" s="7">
        <f t="shared" si="687"/>
        <v>0</v>
      </c>
      <c r="K1494" s="3"/>
      <c r="L1494" s="8"/>
      <c r="M1494" s="9"/>
      <c r="N1494" s="10"/>
      <c r="O1494" s="7">
        <f t="shared" si="688"/>
        <v>0</v>
      </c>
      <c r="P1494" s="8"/>
      <c r="Q1494" s="9"/>
      <c r="R1494" s="10"/>
      <c r="S1494" s="7">
        <f t="shared" si="689"/>
        <v>0</v>
      </c>
      <c r="U1494" s="3"/>
      <c r="V1494" s="8"/>
      <c r="W1494" s="9"/>
      <c r="X1494" s="10"/>
      <c r="Y1494" s="7">
        <f t="shared" si="690"/>
        <v>0</v>
      </c>
      <c r="Z1494" s="8"/>
      <c r="AA1494" s="9"/>
      <c r="AB1494" s="10"/>
      <c r="AC1494" s="7">
        <f t="shared" si="691"/>
        <v>0</v>
      </c>
      <c r="AD1494" s="8"/>
      <c r="AE1494" s="9"/>
      <c r="AF1494" s="10"/>
      <c r="AG1494" s="7">
        <f t="shared" si="692"/>
        <v>0</v>
      </c>
    </row>
    <row r="1495" spans="1:34">
      <c r="A1495" s="3"/>
      <c r="B1495" s="8"/>
      <c r="C1495" s="9"/>
      <c r="D1495" s="10"/>
      <c r="E1495" s="7">
        <f t="shared" si="686"/>
        <v>0</v>
      </c>
      <c r="F1495" s="8"/>
      <c r="G1495" s="9"/>
      <c r="H1495" s="10"/>
      <c r="I1495" s="7">
        <f t="shared" si="687"/>
        <v>0</v>
      </c>
      <c r="K1495" s="3"/>
      <c r="L1495" s="8"/>
      <c r="M1495" s="9"/>
      <c r="N1495" s="10"/>
      <c r="O1495" s="7">
        <f t="shared" si="688"/>
        <v>0</v>
      </c>
      <c r="P1495" s="8"/>
      <c r="Q1495" s="9"/>
      <c r="R1495" s="10"/>
      <c r="S1495" s="7">
        <f t="shared" si="689"/>
        <v>0</v>
      </c>
      <c r="U1495" s="3"/>
      <c r="V1495" s="8"/>
      <c r="W1495" s="9"/>
      <c r="X1495" s="10"/>
      <c r="Y1495" s="7">
        <f t="shared" si="690"/>
        <v>0</v>
      </c>
      <c r="Z1495" s="8"/>
      <c r="AA1495" s="9"/>
      <c r="AB1495" s="10"/>
      <c r="AC1495" s="7">
        <f t="shared" si="691"/>
        <v>0</v>
      </c>
      <c r="AD1495" s="8"/>
      <c r="AE1495" s="9"/>
      <c r="AF1495" s="10"/>
      <c r="AG1495" s="7">
        <f t="shared" si="692"/>
        <v>0</v>
      </c>
    </row>
    <row r="1496" spans="1:34">
      <c r="A1496" s="11"/>
      <c r="B1496" s="8"/>
      <c r="C1496" s="9"/>
      <c r="D1496" s="10"/>
      <c r="E1496" s="7">
        <f t="shared" si="686"/>
        <v>0</v>
      </c>
      <c r="F1496" s="8"/>
      <c r="G1496" s="9"/>
      <c r="H1496" s="10"/>
      <c r="I1496" s="7">
        <f t="shared" si="687"/>
        <v>0</v>
      </c>
      <c r="K1496" s="3"/>
      <c r="L1496" s="8"/>
      <c r="M1496" s="9"/>
      <c r="N1496" s="10"/>
      <c r="O1496" s="7">
        <f t="shared" ref="O1496" si="708">SUM(L1496:N1496)</f>
        <v>0</v>
      </c>
      <c r="P1496" s="8"/>
      <c r="Q1496" s="9"/>
      <c r="R1496" s="10"/>
      <c r="S1496" s="7">
        <f t="shared" ref="S1496" si="709">SUM(P1496:R1496)</f>
        <v>0</v>
      </c>
      <c r="U1496" s="3"/>
      <c r="V1496" s="8"/>
      <c r="W1496" s="9"/>
      <c r="X1496" s="10"/>
      <c r="Y1496" s="7">
        <f t="shared" si="690"/>
        <v>0</v>
      </c>
      <c r="Z1496" s="8"/>
      <c r="AA1496" s="9"/>
      <c r="AB1496" s="10"/>
      <c r="AC1496" s="7">
        <f t="shared" si="691"/>
        <v>0</v>
      </c>
      <c r="AD1496" s="8"/>
      <c r="AE1496" s="9"/>
      <c r="AF1496" s="10"/>
      <c r="AG1496" s="7">
        <f t="shared" si="692"/>
        <v>0</v>
      </c>
    </row>
    <row r="1497" spans="1:34">
      <c r="A1497" s="11"/>
      <c r="B1497" s="8"/>
      <c r="C1497" s="9"/>
      <c r="D1497" s="10"/>
      <c r="E1497" s="7">
        <f t="shared" si="686"/>
        <v>0</v>
      </c>
      <c r="F1497" s="8"/>
      <c r="G1497" s="9"/>
      <c r="H1497" s="10"/>
      <c r="I1497" s="7">
        <f t="shared" si="687"/>
        <v>0</v>
      </c>
      <c r="K1497" s="3"/>
      <c r="L1497" s="8"/>
      <c r="M1497" s="9"/>
      <c r="N1497" s="10"/>
      <c r="O1497" s="7">
        <f>SUM(L1497:N1497)</f>
        <v>0</v>
      </c>
      <c r="P1497" s="8"/>
      <c r="Q1497" s="9"/>
      <c r="R1497" s="10"/>
      <c r="S1497" s="7">
        <f>SUM(P1497:R1497)</f>
        <v>0</v>
      </c>
      <c r="U1497" s="3"/>
      <c r="V1497" s="8"/>
      <c r="W1497" s="9"/>
      <c r="X1497" s="10"/>
      <c r="Y1497" s="7">
        <f t="shared" si="690"/>
        <v>0</v>
      </c>
      <c r="Z1497" s="8"/>
      <c r="AA1497" s="9"/>
      <c r="AB1497" s="10"/>
      <c r="AC1497" s="7">
        <f t="shared" si="691"/>
        <v>0</v>
      </c>
      <c r="AD1497" s="8"/>
      <c r="AE1497" s="9"/>
      <c r="AF1497" s="10"/>
      <c r="AG1497" s="7">
        <f t="shared" si="692"/>
        <v>0</v>
      </c>
    </row>
    <row r="1498" spans="1:34">
      <c r="A1498" s="11"/>
      <c r="B1498" s="8"/>
      <c r="C1498" s="9"/>
      <c r="D1498" s="10"/>
      <c r="E1498" s="7">
        <f t="shared" si="686"/>
        <v>0</v>
      </c>
      <c r="F1498" s="8"/>
      <c r="G1498" s="9"/>
      <c r="H1498" s="10"/>
      <c r="I1498" s="7">
        <f t="shared" si="687"/>
        <v>0</v>
      </c>
      <c r="K1498" s="3"/>
      <c r="L1498" s="8"/>
      <c r="M1498" s="9"/>
      <c r="N1498" s="10"/>
      <c r="O1498" s="7">
        <f t="shared" ref="O1498:O1500" si="710">SUM(L1498:N1498)</f>
        <v>0</v>
      </c>
      <c r="P1498" s="8"/>
      <c r="Q1498" s="9"/>
      <c r="R1498" s="10"/>
      <c r="S1498" s="7">
        <f t="shared" ref="S1498:S1500" si="711">SUM(P1498:R1498)</f>
        <v>0</v>
      </c>
      <c r="U1498" s="11"/>
      <c r="V1498" s="8"/>
      <c r="W1498" s="9"/>
      <c r="X1498" s="10"/>
      <c r="Y1498" s="7">
        <f t="shared" si="690"/>
        <v>0</v>
      </c>
      <c r="Z1498" s="8"/>
      <c r="AA1498" s="9"/>
      <c r="AB1498" s="10"/>
      <c r="AC1498" s="7">
        <f t="shared" si="691"/>
        <v>0</v>
      </c>
      <c r="AD1498" s="8"/>
      <c r="AE1498" s="9"/>
      <c r="AF1498" s="10"/>
      <c r="AG1498" s="7">
        <f t="shared" si="692"/>
        <v>0</v>
      </c>
    </row>
    <row r="1499" spans="1:34">
      <c r="A1499" s="11"/>
      <c r="B1499" s="8"/>
      <c r="C1499" s="9"/>
      <c r="D1499" s="10"/>
      <c r="E1499" s="7">
        <f t="shared" si="686"/>
        <v>0</v>
      </c>
      <c r="F1499" s="8"/>
      <c r="G1499" s="9"/>
      <c r="H1499" s="10"/>
      <c r="I1499" s="7">
        <f t="shared" si="687"/>
        <v>0</v>
      </c>
      <c r="K1499" s="3"/>
      <c r="L1499" s="8"/>
      <c r="M1499" s="9"/>
      <c r="N1499" s="10"/>
      <c r="O1499" s="7">
        <f t="shared" si="710"/>
        <v>0</v>
      </c>
      <c r="P1499" s="8"/>
      <c r="Q1499" s="9"/>
      <c r="R1499" s="10"/>
      <c r="S1499" s="7">
        <f t="shared" si="711"/>
        <v>0</v>
      </c>
      <c r="U1499" s="3"/>
      <c r="V1499" s="8"/>
      <c r="W1499" s="9"/>
      <c r="X1499" s="10"/>
      <c r="Y1499" s="7">
        <f t="shared" si="690"/>
        <v>0</v>
      </c>
      <c r="Z1499" s="8"/>
      <c r="AA1499" s="9"/>
      <c r="AB1499" s="10"/>
      <c r="AC1499" s="7">
        <f t="shared" si="691"/>
        <v>0</v>
      </c>
      <c r="AD1499" s="8"/>
      <c r="AE1499" s="9"/>
      <c r="AF1499" s="10"/>
      <c r="AG1499" s="7">
        <f t="shared" si="692"/>
        <v>0</v>
      </c>
    </row>
    <row r="1500" spans="1:34">
      <c r="A1500" s="11"/>
      <c r="B1500" s="8"/>
      <c r="C1500" s="9"/>
      <c r="D1500" s="10"/>
      <c r="E1500" s="7">
        <f t="shared" si="686"/>
        <v>0</v>
      </c>
      <c r="F1500" s="8"/>
      <c r="G1500" s="9"/>
      <c r="H1500" s="10"/>
      <c r="I1500" s="7">
        <f t="shared" si="687"/>
        <v>0</v>
      </c>
      <c r="K1500" s="3"/>
      <c r="L1500" s="8"/>
      <c r="M1500" s="9"/>
      <c r="N1500" s="10"/>
      <c r="O1500" s="7">
        <f t="shared" si="710"/>
        <v>0</v>
      </c>
      <c r="P1500" s="8"/>
      <c r="Q1500" s="9"/>
      <c r="R1500" s="10"/>
      <c r="S1500" s="7">
        <f t="shared" si="711"/>
        <v>0</v>
      </c>
      <c r="U1500" s="3"/>
      <c r="V1500" s="8"/>
      <c r="W1500" s="9"/>
      <c r="X1500" s="10"/>
      <c r="Y1500" s="7">
        <f t="shared" si="690"/>
        <v>0</v>
      </c>
      <c r="Z1500" s="8"/>
      <c r="AA1500" s="9"/>
      <c r="AB1500" s="10"/>
      <c r="AC1500" s="7">
        <f t="shared" si="691"/>
        <v>0</v>
      </c>
      <c r="AD1500" s="8"/>
      <c r="AE1500" s="9"/>
      <c r="AF1500" s="10"/>
      <c r="AG1500" s="7">
        <f t="shared" si="692"/>
        <v>0</v>
      </c>
      <c r="AH1500" s="71"/>
    </row>
    <row r="1501" spans="1:34" ht="14.25" thickBot="1">
      <c r="A1501" s="3"/>
      <c r="B1501" s="8"/>
      <c r="C1501" s="9"/>
      <c r="D1501" s="10"/>
      <c r="E1501" s="7">
        <f t="shared" si="686"/>
        <v>0</v>
      </c>
      <c r="F1501" s="8"/>
      <c r="G1501" s="9"/>
      <c r="H1501" s="10"/>
      <c r="I1501" s="7">
        <f t="shared" si="687"/>
        <v>0</v>
      </c>
      <c r="K1501" s="3" t="s">
        <v>860</v>
      </c>
      <c r="L1501" s="8"/>
      <c r="M1501" s="9"/>
      <c r="N1501" s="10"/>
      <c r="O1501" s="7">
        <f t="shared" ref="O1501" si="712">SUM(L1501:N1501)</f>
        <v>0</v>
      </c>
      <c r="P1501" s="8"/>
      <c r="Q1501" s="9"/>
      <c r="R1501" s="10"/>
      <c r="S1501" s="7">
        <f t="shared" ref="S1501" si="713">SUM(P1501:R1501)</f>
        <v>0</v>
      </c>
      <c r="T1501" s="71" t="s">
        <v>861</v>
      </c>
      <c r="U1501" s="3" t="s">
        <v>865</v>
      </c>
      <c r="V1501" s="8"/>
      <c r="W1501" s="9"/>
      <c r="X1501" s="10"/>
      <c r="Y1501" s="7">
        <f t="shared" si="690"/>
        <v>0</v>
      </c>
      <c r="Z1501" s="8"/>
      <c r="AA1501" s="9"/>
      <c r="AB1501" s="10"/>
      <c r="AC1501" s="7">
        <f t="shared" si="691"/>
        <v>0</v>
      </c>
      <c r="AD1501" s="8"/>
      <c r="AE1501" s="9"/>
      <c r="AF1501" s="10"/>
      <c r="AG1501" s="7">
        <f t="shared" si="692"/>
        <v>0</v>
      </c>
      <c r="AH1501" s="71" t="s">
        <v>880</v>
      </c>
    </row>
    <row r="1502" spans="1:34" ht="14.25" thickBot="1">
      <c r="A1502" s="2" t="s">
        <v>5</v>
      </c>
      <c r="B1502" s="14">
        <f>SUM(B1478:B1501)</f>
        <v>2</v>
      </c>
      <c r="C1502" s="14">
        <f>SUM(C1478:C1501)</f>
        <v>1</v>
      </c>
      <c r="D1502" s="14">
        <f>SUM(D1478:D1501)</f>
        <v>13</v>
      </c>
      <c r="E1502" s="15">
        <f t="shared" si="686"/>
        <v>16</v>
      </c>
      <c r="F1502" s="14">
        <f>SUM(F1478:F1501)</f>
        <v>2</v>
      </c>
      <c r="G1502" s="14">
        <f>SUM(G1478:G1501)</f>
        <v>1</v>
      </c>
      <c r="H1502" s="14">
        <f>SUM(H1478:H1501)</f>
        <v>13</v>
      </c>
      <c r="I1502" s="15">
        <f t="shared" si="687"/>
        <v>16</v>
      </c>
      <c r="K1502" s="2" t="s">
        <v>5</v>
      </c>
      <c r="L1502" s="14">
        <f>SUM(L1478:L1501)</f>
        <v>36</v>
      </c>
      <c r="M1502" s="14">
        <f>SUM(M1478:M1501)</f>
        <v>46</v>
      </c>
      <c r="N1502" s="14">
        <f>SUM(N1478:N1501)</f>
        <v>42</v>
      </c>
      <c r="O1502" s="15">
        <f t="shared" si="688"/>
        <v>124</v>
      </c>
      <c r="P1502" s="14">
        <f>SUM(P1478:P1501)</f>
        <v>36</v>
      </c>
      <c r="Q1502" s="14">
        <f>SUM(Q1478:Q1501)</f>
        <v>46</v>
      </c>
      <c r="R1502" s="14">
        <f>SUM(R1478:R1501)</f>
        <v>42</v>
      </c>
      <c r="S1502" s="15">
        <f t="shared" si="689"/>
        <v>124</v>
      </c>
      <c r="U1502" s="2" t="s">
        <v>5</v>
      </c>
      <c r="V1502" s="14">
        <f>SUM(V1478:V1501)</f>
        <v>11</v>
      </c>
      <c r="W1502" s="14">
        <f>SUM(W1478:W1501)</f>
        <v>12</v>
      </c>
      <c r="X1502" s="14">
        <f>SUM(X1478:X1501)</f>
        <v>9</v>
      </c>
      <c r="Y1502" s="15">
        <f t="shared" si="690"/>
        <v>32</v>
      </c>
      <c r="Z1502" s="14">
        <f>SUM(Z1478:Z1501)</f>
        <v>11</v>
      </c>
      <c r="AA1502" s="14">
        <f>SUM(AA1478:AA1501)</f>
        <v>12</v>
      </c>
      <c r="AB1502" s="14">
        <f>SUM(AB1478:AB1501)</f>
        <v>9</v>
      </c>
      <c r="AC1502" s="15">
        <f t="shared" si="691"/>
        <v>32</v>
      </c>
      <c r="AD1502" s="14">
        <f>SUM(AD1478:AD1501)</f>
        <v>11</v>
      </c>
      <c r="AE1502" s="14">
        <f>SUM(AE1478:AE1501)</f>
        <v>12</v>
      </c>
      <c r="AF1502" s="14">
        <f>SUM(AF1478:AF1501)</f>
        <v>9</v>
      </c>
      <c r="AG1502" s="15">
        <f t="shared" si="692"/>
        <v>32</v>
      </c>
    </row>
    <row r="1503" spans="1:34" ht="14.25" thickBot="1">
      <c r="A1503" s="27" t="s">
        <v>6</v>
      </c>
      <c r="B1503" s="28">
        <f>B1477-B1502</f>
        <v>3</v>
      </c>
      <c r="C1503" s="28">
        <f t="shared" ref="C1503:E1503" si="714">C1477-C1502</f>
        <v>4</v>
      </c>
      <c r="D1503" s="28">
        <f t="shared" si="714"/>
        <v>0</v>
      </c>
      <c r="E1503" s="28">
        <f t="shared" si="714"/>
        <v>7</v>
      </c>
      <c r="F1503" s="28">
        <f>F1477-F1502</f>
        <v>3</v>
      </c>
      <c r="G1503" s="28">
        <f t="shared" ref="G1503:I1503" si="715">G1477-G1502</f>
        <v>4</v>
      </c>
      <c r="H1503" s="28">
        <f t="shared" si="715"/>
        <v>0</v>
      </c>
      <c r="I1503" s="26">
        <f t="shared" si="715"/>
        <v>7</v>
      </c>
      <c r="K1503" s="27" t="s">
        <v>6</v>
      </c>
      <c r="L1503" s="28">
        <f>L1477-L1502</f>
        <v>64</v>
      </c>
      <c r="M1503" s="28">
        <f t="shared" ref="M1503:O1503" si="716">M1477-M1502</f>
        <v>60</v>
      </c>
      <c r="N1503" s="28">
        <f t="shared" si="716"/>
        <v>6</v>
      </c>
      <c r="O1503" s="28">
        <f t="shared" si="716"/>
        <v>130</v>
      </c>
      <c r="P1503" s="28">
        <f>P1477-P1502</f>
        <v>64</v>
      </c>
      <c r="Q1503" s="28">
        <f t="shared" ref="Q1503:S1503" si="717">Q1477-Q1502</f>
        <v>60</v>
      </c>
      <c r="R1503" s="28">
        <f t="shared" si="717"/>
        <v>6</v>
      </c>
      <c r="S1503" s="26">
        <f t="shared" si="717"/>
        <v>130</v>
      </c>
      <c r="U1503" s="27" t="s">
        <v>6</v>
      </c>
      <c r="V1503" s="28">
        <f>V1477-V1502</f>
        <v>12</v>
      </c>
      <c r="W1503" s="28">
        <f t="shared" ref="W1503:Y1503" si="718">W1477-W1502</f>
        <v>18</v>
      </c>
      <c r="X1503" s="28">
        <f t="shared" si="718"/>
        <v>14</v>
      </c>
      <c r="Y1503" s="28">
        <f t="shared" si="718"/>
        <v>44</v>
      </c>
      <c r="Z1503" s="28">
        <f>Z1477-Z1502</f>
        <v>12</v>
      </c>
      <c r="AA1503" s="28">
        <f t="shared" ref="AA1503:AC1503" si="719">AA1477-AA1502</f>
        <v>18</v>
      </c>
      <c r="AB1503" s="28">
        <f t="shared" si="719"/>
        <v>14</v>
      </c>
      <c r="AC1503" s="26">
        <f t="shared" si="719"/>
        <v>44</v>
      </c>
      <c r="AD1503" s="28">
        <f>AD1477-AD1502</f>
        <v>12</v>
      </c>
      <c r="AE1503" s="28">
        <f t="shared" ref="AE1503:AG1503" si="720">AE1477-AE1502</f>
        <v>18</v>
      </c>
      <c r="AF1503" s="28">
        <f t="shared" si="720"/>
        <v>14</v>
      </c>
      <c r="AG1503" s="26">
        <f t="shared" si="720"/>
        <v>44</v>
      </c>
    </row>
    <row r="1504" spans="1:34">
      <c r="K1504" s="130"/>
      <c r="L1504" s="131"/>
      <c r="M1504" s="131"/>
      <c r="N1504" s="131"/>
      <c r="O1504" s="131"/>
      <c r="U1504" s="74" t="s">
        <v>881</v>
      </c>
      <c r="V1504" s="74">
        <f>196-10</f>
        <v>186</v>
      </c>
      <c r="W1504" s="74">
        <f>166-10</f>
        <v>156</v>
      </c>
      <c r="X1504" s="74">
        <f>124-10</f>
        <v>114</v>
      </c>
      <c r="Y1504" s="74">
        <f>SUM(V1504:X1504)</f>
        <v>456</v>
      </c>
    </row>
    <row r="1505" spans="1:33">
      <c r="L1505" s="74"/>
      <c r="M1505" s="74"/>
      <c r="N1505" s="74"/>
      <c r="O1505" s="106"/>
    </row>
    <row r="1506" spans="1:33" ht="26.25" thickBot="1">
      <c r="A1506" s="33" t="s">
        <v>831</v>
      </c>
      <c r="B1506" s="34"/>
      <c r="C1506" s="34"/>
      <c r="D1506" s="34"/>
      <c r="E1506" s="34"/>
      <c r="F1506" s="35"/>
      <c r="G1506" s="35"/>
      <c r="H1506" s="35"/>
      <c r="I1506" s="35"/>
      <c r="K1506" s="33" t="s">
        <v>830</v>
      </c>
      <c r="L1506" s="34"/>
      <c r="M1506" s="34"/>
      <c r="N1506" s="34"/>
      <c r="O1506" s="34"/>
      <c r="P1506" s="35"/>
      <c r="Q1506" s="35"/>
      <c r="R1506" s="35"/>
      <c r="S1506" s="35"/>
      <c r="U1506" s="113" t="s">
        <v>622</v>
      </c>
      <c r="V1506" s="114"/>
      <c r="W1506" s="114"/>
      <c r="X1506" s="114"/>
      <c r="Y1506" s="114"/>
      <c r="Z1506" s="115"/>
      <c r="AA1506" s="115"/>
      <c r="AB1506" s="115"/>
      <c r="AC1506" s="115"/>
      <c r="AD1506" s="116"/>
      <c r="AE1506" s="116"/>
    </row>
    <row r="1507" spans="1:33" ht="14.25" thickBot="1">
      <c r="A1507" s="1" t="s">
        <v>0</v>
      </c>
      <c r="B1507" s="182" t="s">
        <v>17</v>
      </c>
      <c r="C1507" s="182"/>
      <c r="D1507" s="182"/>
      <c r="E1507" s="183"/>
      <c r="F1507" s="182" t="s">
        <v>13</v>
      </c>
      <c r="G1507" s="182"/>
      <c r="H1507" s="182"/>
      <c r="I1507" s="183"/>
      <c r="K1507" s="1" t="s">
        <v>0</v>
      </c>
      <c r="L1507" s="182" t="s">
        <v>17</v>
      </c>
      <c r="M1507" s="182"/>
      <c r="N1507" s="182"/>
      <c r="O1507" s="183"/>
      <c r="P1507" s="182" t="s">
        <v>13</v>
      </c>
      <c r="Q1507" s="182"/>
      <c r="R1507" s="182"/>
      <c r="S1507" s="183"/>
      <c r="U1507" s="1" t="s">
        <v>0</v>
      </c>
      <c r="V1507" s="182" t="s">
        <v>17</v>
      </c>
      <c r="W1507" s="182"/>
      <c r="X1507" s="182"/>
      <c r="Y1507" s="183"/>
      <c r="Z1507" s="182" t="s">
        <v>13</v>
      </c>
      <c r="AA1507" s="182"/>
      <c r="AB1507" s="182"/>
      <c r="AC1507" s="183"/>
      <c r="AD1507" s="182" t="s">
        <v>242</v>
      </c>
      <c r="AE1507" s="182"/>
      <c r="AF1507" s="182"/>
      <c r="AG1507" s="183"/>
    </row>
    <row r="1508" spans="1:33" ht="14.25" thickBot="1">
      <c r="A1508" s="1" t="s">
        <v>1</v>
      </c>
      <c r="B1508" s="2" t="s">
        <v>8</v>
      </c>
      <c r="C1508" s="1" t="s">
        <v>9</v>
      </c>
      <c r="D1508" s="19" t="s">
        <v>10</v>
      </c>
      <c r="E1508" s="1" t="s">
        <v>2</v>
      </c>
      <c r="F1508" s="2" t="s">
        <v>8</v>
      </c>
      <c r="G1508" s="1" t="s">
        <v>9</v>
      </c>
      <c r="H1508" s="19" t="s">
        <v>10</v>
      </c>
      <c r="I1508" s="1" t="s">
        <v>2</v>
      </c>
      <c r="K1508" s="1" t="s">
        <v>1</v>
      </c>
      <c r="L1508" s="2" t="s">
        <v>8</v>
      </c>
      <c r="M1508" s="1" t="s">
        <v>9</v>
      </c>
      <c r="N1508" s="19" t="s">
        <v>10</v>
      </c>
      <c r="O1508" s="1" t="s">
        <v>2</v>
      </c>
      <c r="P1508" s="2" t="s">
        <v>8</v>
      </c>
      <c r="Q1508" s="1" t="s">
        <v>9</v>
      </c>
      <c r="R1508" s="19" t="s">
        <v>10</v>
      </c>
      <c r="S1508" s="1" t="s">
        <v>2</v>
      </c>
      <c r="U1508" s="1" t="s">
        <v>1</v>
      </c>
      <c r="V1508" s="2" t="s">
        <v>8</v>
      </c>
      <c r="W1508" s="1" t="s">
        <v>9</v>
      </c>
      <c r="X1508" s="19" t="s">
        <v>10</v>
      </c>
      <c r="Y1508" s="1" t="s">
        <v>2</v>
      </c>
      <c r="Z1508" s="2" t="s">
        <v>8</v>
      </c>
      <c r="AA1508" s="1" t="s">
        <v>9</v>
      </c>
      <c r="AB1508" s="19" t="s">
        <v>10</v>
      </c>
      <c r="AC1508" s="1" t="s">
        <v>2</v>
      </c>
      <c r="AD1508" s="2" t="s">
        <v>8</v>
      </c>
      <c r="AE1508" s="1" t="s">
        <v>9</v>
      </c>
      <c r="AF1508" s="19" t="s">
        <v>10</v>
      </c>
      <c r="AG1508" s="1" t="s">
        <v>2</v>
      </c>
    </row>
    <row r="1509" spans="1:33">
      <c r="A1509" s="21" t="s">
        <v>7</v>
      </c>
      <c r="B1509" s="18">
        <f>B1503</f>
        <v>3</v>
      </c>
      <c r="C1509" s="22">
        <f>C1503</f>
        <v>4</v>
      </c>
      <c r="D1509" s="22">
        <f>D1503</f>
        <v>0</v>
      </c>
      <c r="E1509" s="17">
        <f t="shared" ref="E1509:E1545" si="721">SUM(B1509:D1509)</f>
        <v>7</v>
      </c>
      <c r="F1509" s="22">
        <f>F1503</f>
        <v>3</v>
      </c>
      <c r="G1509" s="22">
        <f>G1503</f>
        <v>4</v>
      </c>
      <c r="H1509" s="22">
        <f>H1503</f>
        <v>0</v>
      </c>
      <c r="I1509" s="17">
        <f t="shared" ref="I1509:I1545" si="722">SUM(F1509:H1509)</f>
        <v>7</v>
      </c>
      <c r="K1509" s="21" t="s">
        <v>7</v>
      </c>
      <c r="L1509" s="18">
        <f>L1503</f>
        <v>64</v>
      </c>
      <c r="M1509" s="22">
        <f>M1503</f>
        <v>60</v>
      </c>
      <c r="N1509" s="22">
        <f>N1503</f>
        <v>6</v>
      </c>
      <c r="O1509" s="17">
        <f t="shared" ref="O1509:O1517" si="723">SUM(L1509:N1509)</f>
        <v>130</v>
      </c>
      <c r="P1509" s="22">
        <f>P1503</f>
        <v>64</v>
      </c>
      <c r="Q1509" s="22">
        <f>Q1503</f>
        <v>60</v>
      </c>
      <c r="R1509" s="22">
        <f>R1503</f>
        <v>6</v>
      </c>
      <c r="S1509" s="17">
        <f t="shared" ref="S1509:S1517" si="724">SUM(P1509:R1509)</f>
        <v>130</v>
      </c>
      <c r="U1509" s="21" t="s">
        <v>7</v>
      </c>
      <c r="V1509" s="18">
        <f>V1503</f>
        <v>12</v>
      </c>
      <c r="W1509" s="22">
        <f>W1503</f>
        <v>18</v>
      </c>
      <c r="X1509" s="22">
        <f>X1503</f>
        <v>14</v>
      </c>
      <c r="Y1509" s="17">
        <f t="shared" ref="Y1509:Y1545" si="725">SUM(V1509:X1509)</f>
        <v>44</v>
      </c>
      <c r="Z1509" s="22">
        <f>Z1503</f>
        <v>12</v>
      </c>
      <c r="AA1509" s="22">
        <f>AA1503</f>
        <v>18</v>
      </c>
      <c r="AB1509" s="22">
        <f>AB1503</f>
        <v>14</v>
      </c>
      <c r="AC1509" s="17">
        <f t="shared" ref="AC1509:AC1545" si="726">SUM(Z1509:AB1509)</f>
        <v>44</v>
      </c>
      <c r="AD1509" s="22">
        <f>AD1503</f>
        <v>12</v>
      </c>
      <c r="AE1509" s="22">
        <f>AE1503</f>
        <v>18</v>
      </c>
      <c r="AF1509" s="22">
        <f>AF1503</f>
        <v>14</v>
      </c>
      <c r="AG1509" s="17">
        <f t="shared" ref="AG1509:AG1545" si="727">SUM(AD1509:AF1509)</f>
        <v>44</v>
      </c>
    </row>
    <row r="1510" spans="1:33">
      <c r="A1510" s="5" t="s">
        <v>3</v>
      </c>
      <c r="B1510" s="30">
        <v>3</v>
      </c>
      <c r="C1510" s="31">
        <v>3</v>
      </c>
      <c r="D1510" s="32">
        <v>5</v>
      </c>
      <c r="E1510" s="4">
        <f t="shared" si="721"/>
        <v>11</v>
      </c>
      <c r="F1510" s="30">
        <v>3</v>
      </c>
      <c r="G1510" s="31">
        <v>3</v>
      </c>
      <c r="H1510" s="32">
        <v>5</v>
      </c>
      <c r="I1510" s="4">
        <f t="shared" si="722"/>
        <v>11</v>
      </c>
      <c r="J1510" s="43">
        <v>45427</v>
      </c>
      <c r="K1510" s="5" t="s">
        <v>3</v>
      </c>
      <c r="L1510" s="16"/>
      <c r="M1510" s="11"/>
      <c r="N1510" s="16"/>
      <c r="O1510" s="4">
        <f t="shared" si="723"/>
        <v>0</v>
      </c>
      <c r="P1510" s="16"/>
      <c r="Q1510" s="11"/>
      <c r="R1510" s="16"/>
      <c r="S1510" s="4">
        <f t="shared" si="724"/>
        <v>0</v>
      </c>
      <c r="U1510" s="5" t="s">
        <v>3</v>
      </c>
      <c r="V1510" s="16"/>
      <c r="W1510" s="11"/>
      <c r="X1510" s="16"/>
      <c r="Y1510" s="4">
        <f t="shared" si="725"/>
        <v>0</v>
      </c>
      <c r="Z1510" s="16"/>
      <c r="AA1510" s="11"/>
      <c r="AB1510" s="16"/>
      <c r="AC1510" s="4">
        <f t="shared" si="726"/>
        <v>0</v>
      </c>
      <c r="AD1510" s="16"/>
      <c r="AE1510" s="11"/>
      <c r="AF1510" s="16"/>
      <c r="AG1510" s="4">
        <f t="shared" si="727"/>
        <v>0</v>
      </c>
    </row>
    <row r="1511" spans="1:33">
      <c r="A1511" s="5" t="s">
        <v>3</v>
      </c>
      <c r="B1511" s="30"/>
      <c r="C1511" s="31"/>
      <c r="D1511" s="32"/>
      <c r="E1511" s="4">
        <f t="shared" si="721"/>
        <v>0</v>
      </c>
      <c r="F1511" s="30"/>
      <c r="G1511" s="31"/>
      <c r="H1511" s="32"/>
      <c r="I1511" s="4">
        <f t="shared" si="722"/>
        <v>0</v>
      </c>
      <c r="J1511" s="71"/>
      <c r="K1511" s="5" t="s">
        <v>3</v>
      </c>
      <c r="L1511" s="32"/>
      <c r="M1511" s="31"/>
      <c r="N1511" s="32"/>
      <c r="O1511" s="4">
        <f t="shared" si="723"/>
        <v>0</v>
      </c>
      <c r="P1511" s="32"/>
      <c r="Q1511" s="31"/>
      <c r="R1511" s="32"/>
      <c r="S1511" s="4">
        <f t="shared" si="724"/>
        <v>0</v>
      </c>
      <c r="U1511" s="5" t="s">
        <v>3</v>
      </c>
      <c r="V1511" s="32"/>
      <c r="W1511" s="31"/>
      <c r="X1511" s="32"/>
      <c r="Y1511" s="4">
        <f t="shared" si="725"/>
        <v>0</v>
      </c>
      <c r="Z1511" s="32"/>
      <c r="AA1511" s="31"/>
      <c r="AB1511" s="32"/>
      <c r="AC1511" s="4">
        <f t="shared" si="726"/>
        <v>0</v>
      </c>
      <c r="AD1511" s="32"/>
      <c r="AE1511" s="31"/>
      <c r="AF1511" s="32"/>
      <c r="AG1511" s="4">
        <f t="shared" si="727"/>
        <v>0</v>
      </c>
    </row>
    <row r="1512" spans="1:33">
      <c r="A1512" s="5" t="s">
        <v>3</v>
      </c>
      <c r="B1512" s="30"/>
      <c r="C1512" s="31"/>
      <c r="D1512" s="32"/>
      <c r="E1512" s="4">
        <f t="shared" si="721"/>
        <v>0</v>
      </c>
      <c r="F1512" s="30"/>
      <c r="G1512" s="31"/>
      <c r="H1512" s="32"/>
      <c r="I1512" s="4">
        <f t="shared" si="722"/>
        <v>0</v>
      </c>
      <c r="J1512" s="71"/>
      <c r="K1512" s="5" t="s">
        <v>265</v>
      </c>
      <c r="L1512" s="32">
        <v>200</v>
      </c>
      <c r="M1512" s="31">
        <v>280</v>
      </c>
      <c r="N1512" s="32">
        <v>180</v>
      </c>
      <c r="O1512" s="4">
        <f t="shared" si="723"/>
        <v>660</v>
      </c>
      <c r="P1512" s="32">
        <v>200</v>
      </c>
      <c r="Q1512" s="31">
        <v>280</v>
      </c>
      <c r="R1512" s="32">
        <v>180</v>
      </c>
      <c r="S1512" s="4">
        <f t="shared" si="724"/>
        <v>660</v>
      </c>
      <c r="T1512" s="43" t="s">
        <v>905</v>
      </c>
      <c r="U1512" s="5" t="s">
        <v>3</v>
      </c>
      <c r="V1512" s="30"/>
      <c r="W1512" s="31"/>
      <c r="X1512" s="32"/>
      <c r="Y1512" s="4">
        <f t="shared" si="725"/>
        <v>0</v>
      </c>
      <c r="Z1512" s="30"/>
      <c r="AA1512" s="31"/>
      <c r="AB1512" s="32"/>
      <c r="AC1512" s="4">
        <f t="shared" si="726"/>
        <v>0</v>
      </c>
      <c r="AD1512" s="30"/>
      <c r="AE1512" s="31"/>
      <c r="AF1512" s="32"/>
      <c r="AG1512" s="4">
        <f t="shared" si="727"/>
        <v>0</v>
      </c>
    </row>
    <row r="1513" spans="1:33">
      <c r="A1513" s="5" t="s">
        <v>3</v>
      </c>
      <c r="B1513" s="16"/>
      <c r="C1513" s="11"/>
      <c r="D1513" s="16"/>
      <c r="E1513" s="4">
        <f t="shared" si="721"/>
        <v>0</v>
      </c>
      <c r="F1513" s="16"/>
      <c r="G1513" s="11"/>
      <c r="H1513" s="16"/>
      <c r="I1513" s="4">
        <f t="shared" si="722"/>
        <v>0</v>
      </c>
      <c r="K1513" s="5" t="s">
        <v>3</v>
      </c>
      <c r="L1513" s="32"/>
      <c r="M1513" s="31"/>
      <c r="N1513" s="32"/>
      <c r="O1513" s="4">
        <f t="shared" si="723"/>
        <v>0</v>
      </c>
      <c r="P1513" s="32"/>
      <c r="Q1513" s="31"/>
      <c r="R1513" s="32"/>
      <c r="S1513" s="4">
        <f t="shared" si="724"/>
        <v>0</v>
      </c>
      <c r="U1513" s="5" t="s">
        <v>3</v>
      </c>
      <c r="V1513" s="16"/>
      <c r="W1513" s="11"/>
      <c r="X1513" s="16"/>
      <c r="Y1513" s="4">
        <f t="shared" si="725"/>
        <v>0</v>
      </c>
      <c r="Z1513" s="16"/>
      <c r="AA1513" s="11"/>
      <c r="AB1513" s="16"/>
      <c r="AC1513" s="4">
        <f t="shared" si="726"/>
        <v>0</v>
      </c>
      <c r="AD1513" s="16"/>
      <c r="AE1513" s="11"/>
      <c r="AF1513" s="16"/>
      <c r="AG1513" s="4">
        <f t="shared" si="727"/>
        <v>0</v>
      </c>
    </row>
    <row r="1514" spans="1:33">
      <c r="A1514" s="5" t="s">
        <v>3</v>
      </c>
      <c r="B1514" s="16"/>
      <c r="C1514" s="11"/>
      <c r="D1514" s="16"/>
      <c r="E1514" s="4">
        <f t="shared" si="721"/>
        <v>0</v>
      </c>
      <c r="F1514" s="16"/>
      <c r="G1514" s="11"/>
      <c r="H1514" s="16"/>
      <c r="I1514" s="4">
        <f t="shared" si="722"/>
        <v>0</v>
      </c>
      <c r="K1514" s="5" t="s">
        <v>3</v>
      </c>
      <c r="L1514" s="32"/>
      <c r="M1514" s="31"/>
      <c r="N1514" s="32"/>
      <c r="O1514" s="4">
        <f t="shared" si="723"/>
        <v>0</v>
      </c>
      <c r="P1514" s="32"/>
      <c r="Q1514" s="31"/>
      <c r="R1514" s="32"/>
      <c r="S1514" s="4">
        <f t="shared" si="724"/>
        <v>0</v>
      </c>
      <c r="U1514" s="5" t="s">
        <v>3</v>
      </c>
      <c r="V1514" s="32"/>
      <c r="W1514" s="31"/>
      <c r="X1514" s="32"/>
      <c r="Y1514" s="4">
        <f t="shared" si="725"/>
        <v>0</v>
      </c>
      <c r="Z1514" s="32"/>
      <c r="AA1514" s="31"/>
      <c r="AB1514" s="32"/>
      <c r="AC1514" s="4">
        <f t="shared" si="726"/>
        <v>0</v>
      </c>
      <c r="AD1514" s="32"/>
      <c r="AE1514" s="31"/>
      <c r="AF1514" s="32"/>
      <c r="AG1514" s="4">
        <f t="shared" si="727"/>
        <v>0</v>
      </c>
    </row>
    <row r="1515" spans="1:33">
      <c r="A1515" s="5" t="s">
        <v>3</v>
      </c>
      <c r="B1515" s="16"/>
      <c r="C1515" s="11"/>
      <c r="D1515" s="16"/>
      <c r="E1515" s="4">
        <f t="shared" si="721"/>
        <v>0</v>
      </c>
      <c r="F1515" s="16"/>
      <c r="G1515" s="11"/>
      <c r="H1515" s="16"/>
      <c r="I1515" s="4">
        <f t="shared" si="722"/>
        <v>0</v>
      </c>
      <c r="K1515" s="5" t="s">
        <v>3</v>
      </c>
      <c r="L1515" s="32"/>
      <c r="M1515" s="31"/>
      <c r="N1515" s="32"/>
      <c r="O1515" s="4">
        <f t="shared" si="723"/>
        <v>0</v>
      </c>
      <c r="P1515" s="32"/>
      <c r="Q1515" s="31"/>
      <c r="R1515" s="32"/>
      <c r="S1515" s="4">
        <f t="shared" si="724"/>
        <v>0</v>
      </c>
      <c r="U1515" s="5" t="s">
        <v>3</v>
      </c>
      <c r="V1515" s="16"/>
      <c r="W1515" s="11"/>
      <c r="X1515" s="16"/>
      <c r="Y1515" s="4">
        <f t="shared" si="725"/>
        <v>0</v>
      </c>
      <c r="Z1515" s="16"/>
      <c r="AA1515" s="11"/>
      <c r="AB1515" s="16"/>
      <c r="AC1515" s="4">
        <f t="shared" si="726"/>
        <v>0</v>
      </c>
      <c r="AD1515" s="16"/>
      <c r="AE1515" s="11"/>
      <c r="AF1515" s="16"/>
      <c r="AG1515" s="4">
        <f t="shared" si="727"/>
        <v>0</v>
      </c>
    </row>
    <row r="1516" spans="1:33">
      <c r="A1516" s="5" t="s">
        <v>3</v>
      </c>
      <c r="B1516" s="32"/>
      <c r="C1516" s="31"/>
      <c r="D1516" s="32"/>
      <c r="E1516" s="4">
        <f t="shared" si="721"/>
        <v>0</v>
      </c>
      <c r="F1516" s="32"/>
      <c r="G1516" s="31"/>
      <c r="H1516" s="32"/>
      <c r="I1516" s="4">
        <f t="shared" si="722"/>
        <v>0</v>
      </c>
      <c r="K1516" s="5" t="s">
        <v>3</v>
      </c>
      <c r="L1516" s="32"/>
      <c r="M1516" s="31"/>
      <c r="N1516" s="32"/>
      <c r="O1516" s="4">
        <f t="shared" si="723"/>
        <v>0</v>
      </c>
      <c r="P1516" s="32"/>
      <c r="Q1516" s="31"/>
      <c r="R1516" s="32"/>
      <c r="S1516" s="4">
        <f t="shared" si="724"/>
        <v>0</v>
      </c>
      <c r="U1516" s="5" t="s">
        <v>3</v>
      </c>
      <c r="V1516" s="32"/>
      <c r="W1516" s="31"/>
      <c r="X1516" s="32"/>
      <c r="Y1516" s="4">
        <f t="shared" si="725"/>
        <v>0</v>
      </c>
      <c r="Z1516" s="32"/>
      <c r="AA1516" s="31"/>
      <c r="AB1516" s="32"/>
      <c r="AC1516" s="4">
        <f t="shared" si="726"/>
        <v>0</v>
      </c>
      <c r="AD1516" s="32"/>
      <c r="AE1516" s="31"/>
      <c r="AF1516" s="32"/>
      <c r="AG1516" s="4">
        <f t="shared" si="727"/>
        <v>0</v>
      </c>
    </row>
    <row r="1517" spans="1:33">
      <c r="A1517" s="5" t="s">
        <v>3</v>
      </c>
      <c r="B1517" s="32"/>
      <c r="C1517" s="31"/>
      <c r="D1517" s="32"/>
      <c r="E1517" s="4">
        <f t="shared" si="721"/>
        <v>0</v>
      </c>
      <c r="F1517" s="32"/>
      <c r="G1517" s="31"/>
      <c r="H1517" s="32"/>
      <c r="I1517" s="4">
        <f t="shared" si="722"/>
        <v>0</v>
      </c>
      <c r="K1517" s="5" t="s">
        <v>3</v>
      </c>
      <c r="L1517" s="32"/>
      <c r="M1517" s="31"/>
      <c r="N1517" s="32"/>
      <c r="O1517" s="4">
        <f t="shared" si="723"/>
        <v>0</v>
      </c>
      <c r="P1517" s="32"/>
      <c r="Q1517" s="31"/>
      <c r="R1517" s="32"/>
      <c r="S1517" s="4">
        <f t="shared" si="724"/>
        <v>0</v>
      </c>
      <c r="U1517" s="5" t="s">
        <v>3</v>
      </c>
      <c r="V1517" s="32"/>
      <c r="W1517" s="31"/>
      <c r="X1517" s="32"/>
      <c r="Y1517" s="4">
        <f t="shared" si="725"/>
        <v>0</v>
      </c>
      <c r="Z1517" s="32"/>
      <c r="AA1517" s="31"/>
      <c r="AB1517" s="32"/>
      <c r="AC1517" s="4">
        <f t="shared" si="726"/>
        <v>0</v>
      </c>
      <c r="AD1517" s="32"/>
      <c r="AE1517" s="31"/>
      <c r="AF1517" s="32"/>
      <c r="AG1517" s="4">
        <f t="shared" si="727"/>
        <v>0</v>
      </c>
    </row>
    <row r="1518" spans="1:33">
      <c r="A1518" s="5" t="s">
        <v>3</v>
      </c>
      <c r="B1518" s="30"/>
      <c r="C1518" s="31"/>
      <c r="D1518" s="32"/>
      <c r="E1518" s="4">
        <f t="shared" si="721"/>
        <v>0</v>
      </c>
      <c r="F1518" s="30"/>
      <c r="G1518" s="31"/>
      <c r="H1518" s="32"/>
      <c r="I1518" s="4">
        <f t="shared" si="722"/>
        <v>0</v>
      </c>
      <c r="K1518" s="5" t="s">
        <v>3</v>
      </c>
      <c r="L1518" s="32"/>
      <c r="M1518" s="31"/>
      <c r="N1518" s="32"/>
      <c r="O1518" s="4">
        <f t="shared" ref="O1518:O1545" si="728">SUM(L1518:N1518)</f>
        <v>0</v>
      </c>
      <c r="P1518" s="32"/>
      <c r="Q1518" s="31"/>
      <c r="R1518" s="32"/>
      <c r="S1518" s="4">
        <f t="shared" ref="S1518:S1545" si="729">SUM(P1518:R1518)</f>
        <v>0</v>
      </c>
      <c r="U1518" s="5" t="s">
        <v>3</v>
      </c>
      <c r="V1518" s="30"/>
      <c r="W1518" s="31"/>
      <c r="X1518" s="32"/>
      <c r="Y1518" s="4">
        <f t="shared" si="725"/>
        <v>0</v>
      </c>
      <c r="Z1518" s="30"/>
      <c r="AA1518" s="31"/>
      <c r="AB1518" s="32"/>
      <c r="AC1518" s="4">
        <f t="shared" si="726"/>
        <v>0</v>
      </c>
      <c r="AD1518" s="30"/>
      <c r="AE1518" s="31"/>
      <c r="AF1518" s="32"/>
      <c r="AG1518" s="4">
        <f t="shared" si="727"/>
        <v>0</v>
      </c>
    </row>
    <row r="1519" spans="1:33" ht="14.25" thickBot="1">
      <c r="A1519" s="6" t="s">
        <v>3</v>
      </c>
      <c r="B1519" s="36"/>
      <c r="C1519" s="37"/>
      <c r="D1519" s="36"/>
      <c r="E1519" s="20">
        <f t="shared" si="721"/>
        <v>0</v>
      </c>
      <c r="F1519" s="13"/>
      <c r="G1519" s="12"/>
      <c r="H1519" s="13"/>
      <c r="I1519" s="20">
        <f t="shared" si="722"/>
        <v>0</v>
      </c>
      <c r="K1519" s="5" t="s">
        <v>3</v>
      </c>
      <c r="L1519" s="36"/>
      <c r="M1519" s="37"/>
      <c r="N1519" s="36"/>
      <c r="O1519" s="20">
        <f t="shared" si="728"/>
        <v>0</v>
      </c>
      <c r="P1519" s="13"/>
      <c r="Q1519" s="12"/>
      <c r="R1519" s="13"/>
      <c r="S1519" s="20">
        <f t="shared" si="729"/>
        <v>0</v>
      </c>
      <c r="U1519" s="6" t="s">
        <v>3</v>
      </c>
      <c r="V1519" s="13"/>
      <c r="W1519" s="12"/>
      <c r="X1519" s="13"/>
      <c r="Y1519" s="20">
        <f t="shared" si="725"/>
        <v>0</v>
      </c>
      <c r="Z1519" s="13"/>
      <c r="AA1519" s="12"/>
      <c r="AB1519" s="13"/>
      <c r="AC1519" s="20">
        <f t="shared" si="726"/>
        <v>0</v>
      </c>
      <c r="AD1519" s="13"/>
      <c r="AE1519" s="12"/>
      <c r="AF1519" s="13"/>
      <c r="AG1519" s="20">
        <f t="shared" si="727"/>
        <v>0</v>
      </c>
    </row>
    <row r="1520" spans="1:33" ht="14.25" thickBot="1">
      <c r="A1520" s="23" t="s">
        <v>4</v>
      </c>
      <c r="B1520" s="24">
        <f>SUM(B1509:B1519)</f>
        <v>6</v>
      </c>
      <c r="C1520" s="24">
        <f>SUM(C1509:C1519)</f>
        <v>7</v>
      </c>
      <c r="D1520" s="25">
        <f>SUM(D1509:D1519)</f>
        <v>5</v>
      </c>
      <c r="E1520" s="26">
        <f t="shared" si="721"/>
        <v>18</v>
      </c>
      <c r="F1520" s="24">
        <f>SUM(F1509:F1519)</f>
        <v>6</v>
      </c>
      <c r="G1520" s="24">
        <f>SUM(G1509:G1519)</f>
        <v>7</v>
      </c>
      <c r="H1520" s="25">
        <f>SUM(H1509:H1519)</f>
        <v>5</v>
      </c>
      <c r="I1520" s="26">
        <f t="shared" si="722"/>
        <v>18</v>
      </c>
      <c r="K1520" s="23" t="s">
        <v>4</v>
      </c>
      <c r="L1520" s="24">
        <f>SUM(L1509:L1519)</f>
        <v>264</v>
      </c>
      <c r="M1520" s="24">
        <f>SUM(M1509:M1519)</f>
        <v>340</v>
      </c>
      <c r="N1520" s="25">
        <f>SUM(N1509:N1519)</f>
        <v>186</v>
      </c>
      <c r="O1520" s="26">
        <f t="shared" si="728"/>
        <v>790</v>
      </c>
      <c r="P1520" s="24">
        <f>SUM(P1509:P1519)</f>
        <v>264</v>
      </c>
      <c r="Q1520" s="24">
        <f>SUM(Q1509:Q1519)</f>
        <v>340</v>
      </c>
      <c r="R1520" s="25">
        <f>SUM(R1509:R1519)</f>
        <v>186</v>
      </c>
      <c r="S1520" s="26">
        <f t="shared" si="729"/>
        <v>790</v>
      </c>
      <c r="U1520" s="23" t="s">
        <v>4</v>
      </c>
      <c r="V1520" s="24">
        <f>SUM(V1509:V1519)</f>
        <v>12</v>
      </c>
      <c r="W1520" s="24">
        <f>SUM(W1509:W1519)</f>
        <v>18</v>
      </c>
      <c r="X1520" s="25">
        <f>SUM(X1509:X1519)</f>
        <v>14</v>
      </c>
      <c r="Y1520" s="26">
        <f t="shared" si="725"/>
        <v>44</v>
      </c>
      <c r="Z1520" s="24">
        <f>SUM(Z1509:Z1519)</f>
        <v>12</v>
      </c>
      <c r="AA1520" s="24">
        <f>SUM(AA1509:AA1519)</f>
        <v>18</v>
      </c>
      <c r="AB1520" s="25">
        <f>SUM(AB1509:AB1519)</f>
        <v>14</v>
      </c>
      <c r="AC1520" s="26">
        <f t="shared" si="726"/>
        <v>44</v>
      </c>
      <c r="AD1520" s="24">
        <f>SUM(AD1509:AD1519)</f>
        <v>12</v>
      </c>
      <c r="AE1520" s="24">
        <f>SUM(AE1509:AE1519)</f>
        <v>18</v>
      </c>
      <c r="AF1520" s="25">
        <f>SUM(AF1509:AF1519)</f>
        <v>14</v>
      </c>
      <c r="AG1520" s="26">
        <f t="shared" si="727"/>
        <v>44</v>
      </c>
    </row>
    <row r="1521" spans="1:33">
      <c r="A1521" s="3" t="s">
        <v>912</v>
      </c>
      <c r="B1521" s="8"/>
      <c r="C1521" s="9">
        <v>2</v>
      </c>
      <c r="D1521" s="10"/>
      <c r="E1521" s="7">
        <f t="shared" si="721"/>
        <v>2</v>
      </c>
      <c r="F1521" s="8"/>
      <c r="G1521" s="9">
        <v>2</v>
      </c>
      <c r="H1521" s="10"/>
      <c r="I1521" s="7">
        <f t="shared" si="722"/>
        <v>2</v>
      </c>
      <c r="J1521" s="43">
        <v>45428</v>
      </c>
      <c r="K1521" s="3" t="s">
        <v>895</v>
      </c>
      <c r="L1521" s="8">
        <v>10</v>
      </c>
      <c r="M1521" s="9">
        <v>10</v>
      </c>
      <c r="N1521" s="10">
        <v>10</v>
      </c>
      <c r="O1521" s="4">
        <f t="shared" ref="O1521:O1524" si="730">SUM(L1521:N1521)</f>
        <v>30</v>
      </c>
      <c r="P1521" s="8">
        <v>10</v>
      </c>
      <c r="Q1521" s="9">
        <v>10</v>
      </c>
      <c r="R1521" s="10">
        <v>10</v>
      </c>
      <c r="S1521" s="4">
        <f t="shared" ref="S1521:S1524" si="731">SUM(P1521:R1521)</f>
        <v>30</v>
      </c>
      <c r="T1521" s="43">
        <v>45401</v>
      </c>
      <c r="U1521" s="40"/>
      <c r="V1521" s="32"/>
      <c r="W1521" s="31"/>
      <c r="X1521" s="32"/>
      <c r="Y1521" s="4">
        <f t="shared" si="725"/>
        <v>0</v>
      </c>
      <c r="Z1521" s="32"/>
      <c r="AA1521" s="31"/>
      <c r="AB1521" s="32"/>
      <c r="AC1521" s="4">
        <f t="shared" si="726"/>
        <v>0</v>
      </c>
      <c r="AD1521" s="8"/>
      <c r="AE1521" s="9"/>
      <c r="AF1521" s="10"/>
      <c r="AG1521" s="7">
        <f t="shared" si="727"/>
        <v>0</v>
      </c>
    </row>
    <row r="1522" spans="1:33">
      <c r="A1522" s="3" t="s">
        <v>25</v>
      </c>
      <c r="B1522" s="8"/>
      <c r="C1522" s="9">
        <v>1</v>
      </c>
      <c r="D1522" s="10"/>
      <c r="E1522" s="4">
        <f t="shared" si="721"/>
        <v>1</v>
      </c>
      <c r="F1522" s="8"/>
      <c r="G1522" s="9">
        <v>1</v>
      </c>
      <c r="H1522" s="10"/>
      <c r="I1522" s="4">
        <f t="shared" si="722"/>
        <v>1</v>
      </c>
      <c r="J1522" s="43">
        <v>45429</v>
      </c>
      <c r="K1522" s="3" t="s">
        <v>675</v>
      </c>
      <c r="L1522" s="8">
        <v>22</v>
      </c>
      <c r="M1522" s="9">
        <v>35</v>
      </c>
      <c r="N1522" s="10">
        <v>18</v>
      </c>
      <c r="O1522" s="4">
        <f t="shared" si="730"/>
        <v>75</v>
      </c>
      <c r="P1522" s="8">
        <v>22</v>
      </c>
      <c r="Q1522" s="9">
        <v>35</v>
      </c>
      <c r="R1522" s="10">
        <v>18</v>
      </c>
      <c r="S1522" s="4">
        <f t="shared" si="731"/>
        <v>75</v>
      </c>
      <c r="T1522" s="43">
        <v>45414</v>
      </c>
      <c r="U1522" s="40"/>
      <c r="V1522" s="8"/>
      <c r="W1522" s="9"/>
      <c r="X1522" s="10"/>
      <c r="Y1522" s="4">
        <f t="shared" si="725"/>
        <v>0</v>
      </c>
      <c r="Z1522" s="8"/>
      <c r="AA1522" s="9"/>
      <c r="AB1522" s="10"/>
      <c r="AC1522" s="4">
        <f t="shared" si="726"/>
        <v>0</v>
      </c>
      <c r="AD1522" s="8"/>
      <c r="AE1522" s="9"/>
      <c r="AF1522" s="10"/>
      <c r="AG1522" s="4">
        <f t="shared" si="727"/>
        <v>0</v>
      </c>
    </row>
    <row r="1523" spans="1:33">
      <c r="A1523" s="3" t="s">
        <v>914</v>
      </c>
      <c r="B1523" s="8">
        <v>2</v>
      </c>
      <c r="C1523" s="9"/>
      <c r="D1523" s="10"/>
      <c r="E1523" s="7">
        <f t="shared" si="721"/>
        <v>2</v>
      </c>
      <c r="F1523" s="8">
        <v>2</v>
      </c>
      <c r="G1523" s="9"/>
      <c r="H1523" s="10"/>
      <c r="I1523" s="7">
        <f t="shared" si="722"/>
        <v>2</v>
      </c>
      <c r="J1523" s="43">
        <v>45432</v>
      </c>
      <c r="K1523" s="3" t="s">
        <v>903</v>
      </c>
      <c r="L1523" s="8"/>
      <c r="M1523" s="9">
        <v>5</v>
      </c>
      <c r="N1523" s="10"/>
      <c r="O1523" s="4">
        <f t="shared" si="730"/>
        <v>5</v>
      </c>
      <c r="P1523" s="8"/>
      <c r="Q1523" s="9">
        <v>5</v>
      </c>
      <c r="R1523" s="10"/>
      <c r="S1523" s="4">
        <f t="shared" si="731"/>
        <v>5</v>
      </c>
      <c r="T1523" s="43">
        <v>45415</v>
      </c>
      <c r="U1523" s="40"/>
      <c r="V1523" s="8"/>
      <c r="W1523" s="9"/>
      <c r="X1523" s="10"/>
      <c r="Y1523" s="7">
        <f t="shared" si="725"/>
        <v>0</v>
      </c>
      <c r="Z1523" s="8"/>
      <c r="AA1523" s="9"/>
      <c r="AB1523" s="10"/>
      <c r="AC1523" s="7">
        <f t="shared" si="726"/>
        <v>0</v>
      </c>
      <c r="AD1523" s="8"/>
      <c r="AE1523" s="9"/>
      <c r="AF1523" s="10"/>
      <c r="AG1523" s="7">
        <f t="shared" si="727"/>
        <v>0</v>
      </c>
    </row>
    <row r="1524" spans="1:33">
      <c r="A1524" s="3"/>
      <c r="B1524" s="8"/>
      <c r="C1524" s="9"/>
      <c r="D1524" s="10"/>
      <c r="E1524" s="4">
        <f t="shared" si="721"/>
        <v>0</v>
      </c>
      <c r="F1524" s="8"/>
      <c r="G1524" s="9"/>
      <c r="H1524" s="10"/>
      <c r="I1524" s="4">
        <f t="shared" si="722"/>
        <v>0</v>
      </c>
      <c r="K1524" s="3" t="s">
        <v>676</v>
      </c>
      <c r="L1524" s="8">
        <v>4</v>
      </c>
      <c r="M1524" s="9">
        <v>6</v>
      </c>
      <c r="N1524" s="10">
        <v>5</v>
      </c>
      <c r="O1524" s="4">
        <f t="shared" si="730"/>
        <v>15</v>
      </c>
      <c r="P1524" s="8">
        <v>4</v>
      </c>
      <c r="Q1524" s="9">
        <v>6</v>
      </c>
      <c r="R1524" s="10">
        <v>5</v>
      </c>
      <c r="S1524" s="4">
        <f t="shared" si="731"/>
        <v>15</v>
      </c>
      <c r="T1524" s="43">
        <v>45421</v>
      </c>
      <c r="U1524" s="40"/>
      <c r="V1524" s="8"/>
      <c r="W1524" s="9"/>
      <c r="X1524" s="10"/>
      <c r="Y1524" s="4">
        <f t="shared" si="725"/>
        <v>0</v>
      </c>
      <c r="Z1524" s="8"/>
      <c r="AA1524" s="9"/>
      <c r="AB1524" s="10"/>
      <c r="AC1524" s="4">
        <f t="shared" si="726"/>
        <v>0</v>
      </c>
      <c r="AD1524" s="8"/>
      <c r="AE1524" s="9"/>
      <c r="AF1524" s="10"/>
      <c r="AG1524" s="4">
        <f t="shared" si="727"/>
        <v>0</v>
      </c>
    </row>
    <row r="1525" spans="1:33">
      <c r="A1525" s="3"/>
      <c r="B1525" s="8"/>
      <c r="C1525" s="9"/>
      <c r="D1525" s="10"/>
      <c r="E1525" s="4">
        <f t="shared" si="721"/>
        <v>0</v>
      </c>
      <c r="F1525" s="8"/>
      <c r="G1525" s="9"/>
      <c r="H1525" s="10"/>
      <c r="I1525" s="4">
        <f t="shared" si="722"/>
        <v>0</v>
      </c>
      <c r="K1525" s="3" t="s">
        <v>906</v>
      </c>
      <c r="L1525" s="8">
        <v>1</v>
      </c>
      <c r="M1525" s="9">
        <v>2</v>
      </c>
      <c r="N1525" s="10">
        <v>1</v>
      </c>
      <c r="O1525" s="4">
        <f t="shared" si="728"/>
        <v>4</v>
      </c>
      <c r="P1525" s="8">
        <v>1</v>
      </c>
      <c r="Q1525" s="9">
        <v>2</v>
      </c>
      <c r="R1525" s="10">
        <v>1</v>
      </c>
      <c r="S1525" s="4">
        <f t="shared" si="729"/>
        <v>4</v>
      </c>
      <c r="T1525" s="43">
        <v>45421</v>
      </c>
      <c r="U1525" s="3"/>
      <c r="V1525" s="8"/>
      <c r="W1525" s="9"/>
      <c r="X1525" s="10"/>
      <c r="Y1525" s="4">
        <f t="shared" si="725"/>
        <v>0</v>
      </c>
      <c r="Z1525" s="8"/>
      <c r="AA1525" s="9"/>
      <c r="AB1525" s="10"/>
      <c r="AC1525" s="4">
        <f t="shared" si="726"/>
        <v>0</v>
      </c>
      <c r="AD1525" s="8"/>
      <c r="AE1525" s="9"/>
      <c r="AF1525" s="10"/>
      <c r="AG1525" s="4">
        <f t="shared" si="727"/>
        <v>0</v>
      </c>
    </row>
    <row r="1526" spans="1:33">
      <c r="A1526" s="3"/>
      <c r="B1526" s="8"/>
      <c r="C1526" s="9"/>
      <c r="D1526" s="10"/>
      <c r="E1526" s="7">
        <f t="shared" si="721"/>
        <v>0</v>
      </c>
      <c r="F1526" s="8"/>
      <c r="G1526" s="9"/>
      <c r="H1526" s="10"/>
      <c r="I1526" s="7">
        <f t="shared" si="722"/>
        <v>0</v>
      </c>
      <c r="K1526" s="3" t="s">
        <v>907</v>
      </c>
      <c r="L1526" s="8"/>
      <c r="M1526" s="9">
        <v>3</v>
      </c>
      <c r="N1526" s="10"/>
      <c r="O1526" s="7">
        <f t="shared" si="728"/>
        <v>3</v>
      </c>
      <c r="P1526" s="8"/>
      <c r="Q1526" s="9">
        <v>3</v>
      </c>
      <c r="R1526" s="10"/>
      <c r="S1526" s="7">
        <f t="shared" si="729"/>
        <v>3</v>
      </c>
      <c r="T1526" s="43">
        <v>45422</v>
      </c>
      <c r="U1526" s="3"/>
      <c r="V1526" s="8"/>
      <c r="W1526" s="9"/>
      <c r="X1526" s="10"/>
      <c r="Y1526" s="7">
        <f t="shared" si="725"/>
        <v>0</v>
      </c>
      <c r="Z1526" s="8"/>
      <c r="AA1526" s="9"/>
      <c r="AB1526" s="10"/>
      <c r="AC1526" s="7">
        <f t="shared" si="726"/>
        <v>0</v>
      </c>
      <c r="AD1526" s="8"/>
      <c r="AE1526" s="9"/>
      <c r="AF1526" s="10"/>
      <c r="AG1526" s="7">
        <f t="shared" si="727"/>
        <v>0</v>
      </c>
    </row>
    <row r="1527" spans="1:33">
      <c r="A1527" s="3"/>
      <c r="B1527" s="8"/>
      <c r="C1527" s="9"/>
      <c r="D1527" s="10"/>
      <c r="E1527" s="7">
        <f t="shared" si="721"/>
        <v>0</v>
      </c>
      <c r="F1527" s="8"/>
      <c r="G1527" s="9"/>
      <c r="H1527" s="10"/>
      <c r="I1527" s="7">
        <f t="shared" si="722"/>
        <v>0</v>
      </c>
      <c r="K1527" s="3" t="s">
        <v>910</v>
      </c>
      <c r="L1527" s="8">
        <v>10</v>
      </c>
      <c r="M1527" s="9">
        <v>15</v>
      </c>
      <c r="N1527" s="10">
        <v>8</v>
      </c>
      <c r="O1527" s="7">
        <f t="shared" si="728"/>
        <v>33</v>
      </c>
      <c r="P1527" s="8">
        <v>10</v>
      </c>
      <c r="Q1527" s="9">
        <v>15</v>
      </c>
      <c r="R1527" s="10">
        <v>8</v>
      </c>
      <c r="S1527" s="7">
        <f t="shared" si="729"/>
        <v>33</v>
      </c>
      <c r="T1527" s="43">
        <v>45422</v>
      </c>
      <c r="U1527" s="3"/>
      <c r="V1527" s="8"/>
      <c r="W1527" s="9"/>
      <c r="X1527" s="10"/>
      <c r="Y1527" s="7">
        <f t="shared" si="725"/>
        <v>0</v>
      </c>
      <c r="Z1527" s="8"/>
      <c r="AA1527" s="9"/>
      <c r="AB1527" s="10"/>
      <c r="AC1527" s="7">
        <f t="shared" si="726"/>
        <v>0</v>
      </c>
      <c r="AD1527" s="8"/>
      <c r="AE1527" s="9"/>
      <c r="AF1527" s="10"/>
      <c r="AG1527" s="7">
        <f t="shared" si="727"/>
        <v>0</v>
      </c>
    </row>
    <row r="1528" spans="1:33">
      <c r="A1528" s="3"/>
      <c r="B1528" s="8"/>
      <c r="C1528" s="9"/>
      <c r="D1528" s="10"/>
      <c r="E1528" s="7">
        <f t="shared" si="721"/>
        <v>0</v>
      </c>
      <c r="F1528" s="8"/>
      <c r="G1528" s="9"/>
      <c r="H1528" s="10"/>
      <c r="I1528" s="7">
        <f t="shared" si="722"/>
        <v>0</v>
      </c>
      <c r="K1528" s="3" t="s">
        <v>911</v>
      </c>
      <c r="L1528" s="8">
        <v>2</v>
      </c>
      <c r="M1528" s="9">
        <v>2</v>
      </c>
      <c r="N1528" s="10">
        <v>2</v>
      </c>
      <c r="O1528" s="7">
        <f t="shared" si="728"/>
        <v>6</v>
      </c>
      <c r="P1528" s="8">
        <v>2</v>
      </c>
      <c r="Q1528" s="9">
        <v>2</v>
      </c>
      <c r="R1528" s="10">
        <v>2</v>
      </c>
      <c r="S1528" s="7">
        <f t="shared" si="729"/>
        <v>6</v>
      </c>
      <c r="T1528" s="43">
        <v>45429</v>
      </c>
      <c r="U1528" s="3"/>
      <c r="V1528" s="8"/>
      <c r="W1528" s="9"/>
      <c r="X1528" s="10"/>
      <c r="Y1528" s="7">
        <f t="shared" si="725"/>
        <v>0</v>
      </c>
      <c r="Z1528" s="8"/>
      <c r="AA1528" s="9"/>
      <c r="AB1528" s="10"/>
      <c r="AC1528" s="7">
        <f t="shared" si="726"/>
        <v>0</v>
      </c>
      <c r="AD1528" s="8"/>
      <c r="AE1528" s="9"/>
      <c r="AF1528" s="10"/>
      <c r="AG1528" s="7">
        <f t="shared" si="727"/>
        <v>0</v>
      </c>
    </row>
    <row r="1529" spans="1:33">
      <c r="A1529" s="3"/>
      <c r="B1529" s="8"/>
      <c r="C1529" s="9"/>
      <c r="D1529" s="10"/>
      <c r="E1529" s="7">
        <f t="shared" si="721"/>
        <v>0</v>
      </c>
      <c r="F1529" s="8"/>
      <c r="G1529" s="9"/>
      <c r="H1529" s="10"/>
      <c r="I1529" s="7">
        <f t="shared" si="722"/>
        <v>0</v>
      </c>
      <c r="K1529" s="3" t="s">
        <v>23</v>
      </c>
      <c r="L1529" s="8"/>
      <c r="M1529" s="9">
        <v>7</v>
      </c>
      <c r="N1529" s="10"/>
      <c r="O1529" s="7">
        <f t="shared" si="728"/>
        <v>7</v>
      </c>
      <c r="P1529" s="8"/>
      <c r="Q1529" s="9">
        <v>7</v>
      </c>
      <c r="R1529" s="10"/>
      <c r="S1529" s="7">
        <f t="shared" si="729"/>
        <v>7</v>
      </c>
      <c r="T1529" s="43">
        <v>45427</v>
      </c>
      <c r="U1529" s="3"/>
      <c r="V1529" s="8"/>
      <c r="W1529" s="9"/>
      <c r="X1529" s="10"/>
      <c r="Y1529" s="7">
        <f t="shared" si="725"/>
        <v>0</v>
      </c>
      <c r="Z1529" s="8"/>
      <c r="AA1529" s="9"/>
      <c r="AB1529" s="10"/>
      <c r="AC1529" s="7">
        <f t="shared" si="726"/>
        <v>0</v>
      </c>
      <c r="AD1529" s="8"/>
      <c r="AE1529" s="9"/>
      <c r="AF1529" s="10"/>
      <c r="AG1529" s="7">
        <f t="shared" si="727"/>
        <v>0</v>
      </c>
    </row>
    <row r="1530" spans="1:33">
      <c r="A1530" s="3"/>
      <c r="B1530" s="8"/>
      <c r="C1530" s="9"/>
      <c r="D1530" s="10"/>
      <c r="E1530" s="7">
        <f t="shared" si="721"/>
        <v>0</v>
      </c>
      <c r="F1530" s="8"/>
      <c r="G1530" s="9"/>
      <c r="H1530" s="10"/>
      <c r="I1530" s="7">
        <f t="shared" si="722"/>
        <v>0</v>
      </c>
      <c r="K1530" s="3" t="s">
        <v>677</v>
      </c>
      <c r="L1530" s="30">
        <v>6</v>
      </c>
      <c r="M1530" s="9">
        <v>12</v>
      </c>
      <c r="N1530" s="10">
        <v>6</v>
      </c>
      <c r="O1530" s="7">
        <f t="shared" ref="O1530:O1534" si="732">SUM(L1530:N1530)</f>
        <v>24</v>
      </c>
      <c r="P1530" s="8">
        <v>6</v>
      </c>
      <c r="Q1530" s="9">
        <v>12</v>
      </c>
      <c r="R1530" s="10">
        <v>6</v>
      </c>
      <c r="S1530" s="7">
        <f t="shared" ref="S1530:S1534" si="733">SUM(P1530:R1530)</f>
        <v>24</v>
      </c>
      <c r="T1530" s="43">
        <v>45428</v>
      </c>
      <c r="U1530" s="3"/>
      <c r="V1530" s="8"/>
      <c r="W1530" s="9"/>
      <c r="X1530" s="10"/>
      <c r="Y1530" s="7">
        <f t="shared" si="725"/>
        <v>0</v>
      </c>
      <c r="Z1530" s="8"/>
      <c r="AA1530" s="9"/>
      <c r="AB1530" s="10"/>
      <c r="AC1530" s="7">
        <f t="shared" si="726"/>
        <v>0</v>
      </c>
      <c r="AD1530" s="8"/>
      <c r="AE1530" s="9"/>
      <c r="AF1530" s="10"/>
      <c r="AG1530" s="7">
        <f t="shared" si="727"/>
        <v>0</v>
      </c>
    </row>
    <row r="1531" spans="1:33">
      <c r="A1531" s="3"/>
      <c r="B1531" s="8"/>
      <c r="C1531" s="9"/>
      <c r="D1531" s="10"/>
      <c r="E1531" s="7">
        <f t="shared" si="721"/>
        <v>0</v>
      </c>
      <c r="F1531" s="8"/>
      <c r="G1531" s="9"/>
      <c r="H1531" s="10"/>
      <c r="I1531" s="7">
        <f t="shared" si="722"/>
        <v>0</v>
      </c>
      <c r="K1531" s="3" t="s">
        <v>295</v>
      </c>
      <c r="L1531" s="8">
        <v>3</v>
      </c>
      <c r="M1531" s="9">
        <v>3</v>
      </c>
      <c r="N1531" s="10">
        <v>5</v>
      </c>
      <c r="O1531" s="7">
        <f t="shared" si="732"/>
        <v>11</v>
      </c>
      <c r="P1531" s="8">
        <v>3</v>
      </c>
      <c r="Q1531" s="9">
        <v>3</v>
      </c>
      <c r="R1531" s="10">
        <v>5</v>
      </c>
      <c r="S1531" s="7">
        <f t="shared" si="733"/>
        <v>11</v>
      </c>
      <c r="T1531" s="43">
        <v>45427</v>
      </c>
      <c r="U1531" s="3"/>
      <c r="V1531" s="30"/>
      <c r="W1531" s="9"/>
      <c r="X1531" s="10"/>
      <c r="Y1531" s="7">
        <f t="shared" si="725"/>
        <v>0</v>
      </c>
      <c r="Z1531" s="8"/>
      <c r="AA1531" s="9"/>
      <c r="AB1531" s="10"/>
      <c r="AC1531" s="7">
        <f t="shared" si="726"/>
        <v>0</v>
      </c>
      <c r="AD1531" s="8"/>
      <c r="AE1531" s="9"/>
      <c r="AF1531" s="10"/>
      <c r="AG1531" s="7">
        <f t="shared" si="727"/>
        <v>0</v>
      </c>
    </row>
    <row r="1532" spans="1:33">
      <c r="A1532" s="3"/>
      <c r="B1532" s="8"/>
      <c r="C1532" s="9"/>
      <c r="D1532" s="10"/>
      <c r="E1532" s="7">
        <f t="shared" si="721"/>
        <v>0</v>
      </c>
      <c r="F1532" s="8"/>
      <c r="G1532" s="9"/>
      <c r="H1532" s="10"/>
      <c r="I1532" s="7">
        <f t="shared" si="722"/>
        <v>0</v>
      </c>
      <c r="K1532" s="3" t="s">
        <v>27</v>
      </c>
      <c r="L1532" s="8">
        <v>1</v>
      </c>
      <c r="M1532" s="9">
        <v>1</v>
      </c>
      <c r="N1532" s="10">
        <v>4</v>
      </c>
      <c r="O1532" s="7">
        <f t="shared" si="732"/>
        <v>6</v>
      </c>
      <c r="P1532" s="8">
        <v>1</v>
      </c>
      <c r="Q1532" s="9">
        <v>1</v>
      </c>
      <c r="R1532" s="10">
        <v>4</v>
      </c>
      <c r="S1532" s="7">
        <f t="shared" si="733"/>
        <v>6</v>
      </c>
      <c r="T1532" s="43">
        <v>45429</v>
      </c>
      <c r="U1532" s="3"/>
      <c r="V1532" s="8"/>
      <c r="W1532" s="9"/>
      <c r="X1532" s="10"/>
      <c r="Y1532" s="7">
        <f t="shared" si="725"/>
        <v>0</v>
      </c>
      <c r="Z1532" s="8"/>
      <c r="AA1532" s="9"/>
      <c r="AB1532" s="10"/>
      <c r="AC1532" s="7">
        <f t="shared" si="726"/>
        <v>0</v>
      </c>
      <c r="AD1532" s="8"/>
      <c r="AE1532" s="9"/>
      <c r="AF1532" s="10"/>
      <c r="AG1532" s="7">
        <f t="shared" si="727"/>
        <v>0</v>
      </c>
    </row>
    <row r="1533" spans="1:33">
      <c r="A1533" s="3"/>
      <c r="B1533" s="8"/>
      <c r="C1533" s="9"/>
      <c r="D1533" s="10"/>
      <c r="E1533" s="7">
        <f t="shared" si="721"/>
        <v>0</v>
      </c>
      <c r="F1533" s="8"/>
      <c r="G1533" s="9"/>
      <c r="H1533" s="10"/>
      <c r="I1533" s="7">
        <f t="shared" si="722"/>
        <v>0</v>
      </c>
      <c r="K1533" s="3"/>
      <c r="L1533" s="8"/>
      <c r="M1533" s="9"/>
      <c r="N1533" s="10"/>
      <c r="O1533" s="7">
        <f t="shared" ref="O1533" si="734">SUM(L1533:N1533)</f>
        <v>0</v>
      </c>
      <c r="P1533" s="8"/>
      <c r="Q1533" s="9"/>
      <c r="R1533" s="10"/>
      <c r="S1533" s="7">
        <f t="shared" ref="S1533" si="735">SUM(P1533:R1533)</f>
        <v>0</v>
      </c>
      <c r="U1533" s="3"/>
      <c r="V1533" s="8"/>
      <c r="W1533" s="9"/>
      <c r="X1533" s="10"/>
      <c r="Y1533" s="7">
        <f t="shared" si="725"/>
        <v>0</v>
      </c>
      <c r="Z1533" s="8"/>
      <c r="AA1533" s="9"/>
      <c r="AB1533" s="10"/>
      <c r="AC1533" s="7">
        <f t="shared" si="726"/>
        <v>0</v>
      </c>
      <c r="AD1533" s="8"/>
      <c r="AE1533" s="9"/>
      <c r="AF1533" s="10"/>
      <c r="AG1533" s="7">
        <f t="shared" si="727"/>
        <v>0</v>
      </c>
    </row>
    <row r="1534" spans="1:33">
      <c r="A1534" s="3"/>
      <c r="B1534" s="8"/>
      <c r="C1534" s="9"/>
      <c r="D1534" s="10"/>
      <c r="E1534" s="7">
        <f t="shared" si="721"/>
        <v>0</v>
      </c>
      <c r="F1534" s="8"/>
      <c r="G1534" s="9"/>
      <c r="H1534" s="10"/>
      <c r="I1534" s="7">
        <f t="shared" si="722"/>
        <v>0</v>
      </c>
      <c r="K1534" s="3"/>
      <c r="L1534" s="8"/>
      <c r="M1534" s="9"/>
      <c r="N1534" s="10"/>
      <c r="O1534" s="7">
        <f t="shared" si="732"/>
        <v>0</v>
      </c>
      <c r="P1534" s="8"/>
      <c r="Q1534" s="9"/>
      <c r="R1534" s="10"/>
      <c r="S1534" s="7">
        <f t="shared" si="733"/>
        <v>0</v>
      </c>
      <c r="U1534" s="3"/>
      <c r="V1534" s="8"/>
      <c r="W1534" s="9"/>
      <c r="X1534" s="10"/>
      <c r="Y1534" s="7">
        <f t="shared" si="725"/>
        <v>0</v>
      </c>
      <c r="Z1534" s="8"/>
      <c r="AA1534" s="9"/>
      <c r="AB1534" s="10"/>
      <c r="AC1534" s="7">
        <f t="shared" si="726"/>
        <v>0</v>
      </c>
      <c r="AD1534" s="8"/>
      <c r="AE1534" s="9"/>
      <c r="AF1534" s="10"/>
      <c r="AG1534" s="7">
        <f t="shared" si="727"/>
        <v>0</v>
      </c>
    </row>
    <row r="1535" spans="1:33">
      <c r="A1535" s="3"/>
      <c r="B1535" s="8"/>
      <c r="C1535" s="9"/>
      <c r="D1535" s="10"/>
      <c r="E1535" s="7">
        <f t="shared" si="721"/>
        <v>0</v>
      </c>
      <c r="F1535" s="8"/>
      <c r="G1535" s="9"/>
      <c r="H1535" s="10"/>
      <c r="I1535" s="7">
        <f t="shared" si="722"/>
        <v>0</v>
      </c>
      <c r="K1535" s="3"/>
      <c r="L1535" s="8"/>
      <c r="M1535" s="9"/>
      <c r="N1535" s="10"/>
      <c r="O1535" s="7">
        <f t="shared" si="728"/>
        <v>0</v>
      </c>
      <c r="P1535" s="8"/>
      <c r="Q1535" s="9"/>
      <c r="R1535" s="10"/>
      <c r="S1535" s="7">
        <f t="shared" si="729"/>
        <v>0</v>
      </c>
      <c r="U1535" s="3"/>
      <c r="V1535" s="8"/>
      <c r="W1535" s="9"/>
      <c r="X1535" s="10"/>
      <c r="Y1535" s="7">
        <f t="shared" si="725"/>
        <v>0</v>
      </c>
      <c r="Z1535" s="8"/>
      <c r="AA1535" s="9"/>
      <c r="AB1535" s="10"/>
      <c r="AC1535" s="7">
        <f t="shared" si="726"/>
        <v>0</v>
      </c>
      <c r="AD1535" s="8"/>
      <c r="AE1535" s="9"/>
      <c r="AF1535" s="10"/>
      <c r="AG1535" s="7">
        <f t="shared" si="727"/>
        <v>0</v>
      </c>
    </row>
    <row r="1536" spans="1:33">
      <c r="A1536" s="3"/>
      <c r="B1536" s="8"/>
      <c r="C1536" s="9"/>
      <c r="D1536" s="10"/>
      <c r="E1536" s="7">
        <f t="shared" si="721"/>
        <v>0</v>
      </c>
      <c r="F1536" s="8"/>
      <c r="G1536" s="9"/>
      <c r="H1536" s="10"/>
      <c r="I1536" s="7">
        <f t="shared" si="722"/>
        <v>0</v>
      </c>
      <c r="K1536" s="3"/>
      <c r="L1536" s="8"/>
      <c r="M1536" s="9"/>
      <c r="N1536" s="10"/>
      <c r="O1536" s="7">
        <f t="shared" ref="O1536" si="736">SUM(L1536:N1536)</f>
        <v>0</v>
      </c>
      <c r="P1536" s="8"/>
      <c r="Q1536" s="9"/>
      <c r="R1536" s="10"/>
      <c r="S1536" s="7">
        <f t="shared" ref="S1536" si="737">SUM(P1536:R1536)</f>
        <v>0</v>
      </c>
      <c r="U1536" s="3"/>
      <c r="V1536" s="8"/>
      <c r="W1536" s="9"/>
      <c r="X1536" s="10"/>
      <c r="Y1536" s="7">
        <f t="shared" si="725"/>
        <v>0</v>
      </c>
      <c r="Z1536" s="8"/>
      <c r="AA1536" s="9"/>
      <c r="AB1536" s="10"/>
      <c r="AC1536" s="7">
        <f t="shared" si="726"/>
        <v>0</v>
      </c>
      <c r="AD1536" s="8"/>
      <c r="AE1536" s="9"/>
      <c r="AF1536" s="10"/>
      <c r="AG1536" s="7">
        <f t="shared" si="727"/>
        <v>0</v>
      </c>
    </row>
    <row r="1537" spans="1:33">
      <c r="A1537" s="3"/>
      <c r="B1537" s="8"/>
      <c r="C1537" s="9"/>
      <c r="D1537" s="10"/>
      <c r="E1537" s="7">
        <f t="shared" si="721"/>
        <v>0</v>
      </c>
      <c r="F1537" s="8"/>
      <c r="G1537" s="9"/>
      <c r="H1537" s="10"/>
      <c r="I1537" s="7">
        <f t="shared" si="722"/>
        <v>0</v>
      </c>
      <c r="K1537" s="3"/>
      <c r="L1537" s="8"/>
      <c r="M1537" s="9"/>
      <c r="N1537" s="10"/>
      <c r="O1537" s="7">
        <f t="shared" si="728"/>
        <v>0</v>
      </c>
      <c r="P1537" s="8"/>
      <c r="Q1537" s="9"/>
      <c r="R1537" s="10"/>
      <c r="S1537" s="7">
        <f t="shared" si="729"/>
        <v>0</v>
      </c>
      <c r="T1537" s="71"/>
      <c r="U1537" s="3"/>
      <c r="V1537" s="8"/>
      <c r="W1537" s="9"/>
      <c r="X1537" s="10"/>
      <c r="Y1537" s="7">
        <f t="shared" si="725"/>
        <v>0</v>
      </c>
      <c r="Z1537" s="8"/>
      <c r="AA1537" s="9"/>
      <c r="AB1537" s="10"/>
      <c r="AC1537" s="7">
        <f t="shared" si="726"/>
        <v>0</v>
      </c>
      <c r="AD1537" s="8"/>
      <c r="AE1537" s="9"/>
      <c r="AF1537" s="10"/>
      <c r="AG1537" s="7">
        <f t="shared" si="727"/>
        <v>0</v>
      </c>
    </row>
    <row r="1538" spans="1:33">
      <c r="A1538" s="3"/>
      <c r="B1538" s="8"/>
      <c r="C1538" s="9"/>
      <c r="D1538" s="10"/>
      <c r="E1538" s="7">
        <f t="shared" si="721"/>
        <v>0</v>
      </c>
      <c r="F1538" s="8"/>
      <c r="G1538" s="9"/>
      <c r="H1538" s="10"/>
      <c r="I1538" s="7">
        <f t="shared" si="722"/>
        <v>0</v>
      </c>
      <c r="K1538" s="3" t="s">
        <v>888</v>
      </c>
      <c r="L1538" s="8"/>
      <c r="M1538" s="9"/>
      <c r="N1538" s="10"/>
      <c r="O1538" s="7">
        <f t="shared" ref="O1538:O1542" si="738">SUM(L1538:N1538)</f>
        <v>0</v>
      </c>
      <c r="P1538" s="8"/>
      <c r="Q1538" s="9"/>
      <c r="R1538" s="10"/>
      <c r="S1538" s="7">
        <f t="shared" ref="S1538:S1542" si="739">SUM(P1538:R1538)</f>
        <v>0</v>
      </c>
      <c r="T1538" s="71" t="s">
        <v>889</v>
      </c>
      <c r="U1538" s="3"/>
      <c r="V1538" s="8"/>
      <c r="W1538" s="9"/>
      <c r="X1538" s="10"/>
      <c r="Y1538" s="7">
        <f t="shared" si="725"/>
        <v>0</v>
      </c>
      <c r="Z1538" s="8"/>
      <c r="AA1538" s="9"/>
      <c r="AB1538" s="10"/>
      <c r="AC1538" s="7">
        <f t="shared" si="726"/>
        <v>0</v>
      </c>
      <c r="AD1538" s="8"/>
      <c r="AE1538" s="9"/>
      <c r="AF1538" s="10"/>
      <c r="AG1538" s="7">
        <f t="shared" si="727"/>
        <v>0</v>
      </c>
    </row>
    <row r="1539" spans="1:33">
      <c r="A1539" s="11"/>
      <c r="B1539" s="8"/>
      <c r="C1539" s="9"/>
      <c r="D1539" s="10"/>
      <c r="E1539" s="7">
        <f t="shared" si="721"/>
        <v>0</v>
      </c>
      <c r="F1539" s="8"/>
      <c r="G1539" s="9"/>
      <c r="H1539" s="10"/>
      <c r="I1539" s="7">
        <f t="shared" si="722"/>
        <v>0</v>
      </c>
      <c r="K1539" s="3" t="s">
        <v>149</v>
      </c>
      <c r="L1539" s="8"/>
      <c r="M1539" s="9"/>
      <c r="N1539" s="10"/>
      <c r="O1539" s="7">
        <f t="shared" si="738"/>
        <v>0</v>
      </c>
      <c r="P1539" s="8"/>
      <c r="Q1539" s="9"/>
      <c r="R1539" s="10"/>
      <c r="S1539" s="7">
        <f t="shared" si="739"/>
        <v>0</v>
      </c>
      <c r="T1539" s="71" t="s">
        <v>150</v>
      </c>
      <c r="U1539" s="3"/>
      <c r="V1539" s="8"/>
      <c r="W1539" s="9"/>
      <c r="X1539" s="10"/>
      <c r="Y1539" s="7">
        <f t="shared" si="725"/>
        <v>0</v>
      </c>
      <c r="Z1539" s="8"/>
      <c r="AA1539" s="9"/>
      <c r="AB1539" s="10"/>
      <c r="AC1539" s="7">
        <f t="shared" si="726"/>
        <v>0</v>
      </c>
      <c r="AD1539" s="8"/>
      <c r="AE1539" s="9"/>
      <c r="AF1539" s="10"/>
      <c r="AG1539" s="7">
        <f t="shared" si="727"/>
        <v>0</v>
      </c>
    </row>
    <row r="1540" spans="1:33">
      <c r="A1540" s="11"/>
      <c r="B1540" s="8"/>
      <c r="C1540" s="9"/>
      <c r="D1540" s="10"/>
      <c r="E1540" s="7">
        <f t="shared" si="721"/>
        <v>0</v>
      </c>
      <c r="F1540" s="8"/>
      <c r="G1540" s="9"/>
      <c r="H1540" s="10"/>
      <c r="I1540" s="7">
        <f t="shared" si="722"/>
        <v>0</v>
      </c>
      <c r="K1540" s="3" t="s">
        <v>875</v>
      </c>
      <c r="L1540" s="8"/>
      <c r="M1540" s="9"/>
      <c r="N1540" s="10"/>
      <c r="O1540" s="7">
        <f t="shared" si="738"/>
        <v>0</v>
      </c>
      <c r="P1540" s="8"/>
      <c r="Q1540" s="9"/>
      <c r="R1540" s="10"/>
      <c r="S1540" s="7">
        <f t="shared" si="739"/>
        <v>0</v>
      </c>
      <c r="T1540" s="71" t="s">
        <v>876</v>
      </c>
      <c r="U1540" s="3"/>
      <c r="V1540" s="8"/>
      <c r="W1540" s="9"/>
      <c r="X1540" s="10"/>
      <c r="Y1540" s="7">
        <f t="shared" si="725"/>
        <v>0</v>
      </c>
      <c r="Z1540" s="8"/>
      <c r="AA1540" s="9"/>
      <c r="AB1540" s="10"/>
      <c r="AC1540" s="7">
        <f t="shared" si="726"/>
        <v>0</v>
      </c>
      <c r="AD1540" s="8"/>
      <c r="AE1540" s="9"/>
      <c r="AF1540" s="10"/>
      <c r="AG1540" s="7">
        <f t="shared" si="727"/>
        <v>0</v>
      </c>
    </row>
    <row r="1541" spans="1:33">
      <c r="A1541" s="11"/>
      <c r="B1541" s="8"/>
      <c r="C1541" s="9"/>
      <c r="D1541" s="10"/>
      <c r="E1541" s="7">
        <f t="shared" si="721"/>
        <v>0</v>
      </c>
      <c r="F1541" s="8"/>
      <c r="G1541" s="9"/>
      <c r="H1541" s="10"/>
      <c r="I1541" s="7">
        <f t="shared" si="722"/>
        <v>0</v>
      </c>
      <c r="K1541" s="3" t="s">
        <v>873</v>
      </c>
      <c r="L1541" s="8"/>
      <c r="M1541" s="9"/>
      <c r="N1541" s="10"/>
      <c r="O1541" s="7">
        <f t="shared" si="738"/>
        <v>0</v>
      </c>
      <c r="P1541" s="8"/>
      <c r="Q1541" s="9"/>
      <c r="R1541" s="10"/>
      <c r="S1541" s="7">
        <f t="shared" si="739"/>
        <v>0</v>
      </c>
      <c r="T1541" s="71" t="s">
        <v>874</v>
      </c>
      <c r="U1541" s="11"/>
      <c r="V1541" s="8"/>
      <c r="W1541" s="9"/>
      <c r="X1541" s="10"/>
      <c r="Y1541" s="7">
        <f t="shared" si="725"/>
        <v>0</v>
      </c>
      <c r="Z1541" s="8"/>
      <c r="AA1541" s="9"/>
      <c r="AB1541" s="10"/>
      <c r="AC1541" s="7">
        <f t="shared" si="726"/>
        <v>0</v>
      </c>
      <c r="AD1541" s="8"/>
      <c r="AE1541" s="9"/>
      <c r="AF1541" s="10"/>
      <c r="AG1541" s="7">
        <f t="shared" si="727"/>
        <v>0</v>
      </c>
    </row>
    <row r="1542" spans="1:33">
      <c r="A1542" s="11"/>
      <c r="B1542" s="8"/>
      <c r="C1542" s="9"/>
      <c r="D1542" s="10"/>
      <c r="E1542" s="7">
        <f t="shared" si="721"/>
        <v>0</v>
      </c>
      <c r="F1542" s="8"/>
      <c r="G1542" s="9"/>
      <c r="H1542" s="10"/>
      <c r="I1542" s="7">
        <f t="shared" si="722"/>
        <v>0</v>
      </c>
      <c r="K1542" s="3" t="s">
        <v>864</v>
      </c>
      <c r="L1542" s="8"/>
      <c r="M1542" s="9"/>
      <c r="N1542" s="10"/>
      <c r="O1542" s="7">
        <f t="shared" si="738"/>
        <v>0</v>
      </c>
      <c r="P1542" s="8"/>
      <c r="Q1542" s="9"/>
      <c r="R1542" s="10"/>
      <c r="S1542" s="7">
        <f t="shared" si="739"/>
        <v>0</v>
      </c>
      <c r="T1542" s="71" t="s">
        <v>872</v>
      </c>
      <c r="U1542" s="3"/>
      <c r="V1542" s="8"/>
      <c r="W1542" s="9"/>
      <c r="X1542" s="10"/>
      <c r="Y1542" s="7">
        <f t="shared" si="725"/>
        <v>0</v>
      </c>
      <c r="Z1542" s="8"/>
      <c r="AA1542" s="9"/>
      <c r="AB1542" s="10"/>
      <c r="AC1542" s="7">
        <f t="shared" si="726"/>
        <v>0</v>
      </c>
      <c r="AD1542" s="8"/>
      <c r="AE1542" s="9"/>
      <c r="AF1542" s="10"/>
      <c r="AG1542" s="7">
        <f t="shared" si="727"/>
        <v>0</v>
      </c>
    </row>
    <row r="1543" spans="1:33">
      <c r="A1543" s="11"/>
      <c r="B1543" s="8"/>
      <c r="C1543" s="9"/>
      <c r="D1543" s="10"/>
      <c r="E1543" s="7">
        <f t="shared" si="721"/>
        <v>0</v>
      </c>
      <c r="F1543" s="8"/>
      <c r="G1543" s="9"/>
      <c r="H1543" s="10"/>
      <c r="I1543" s="7">
        <f t="shared" si="722"/>
        <v>0</v>
      </c>
      <c r="K1543" s="3" t="s">
        <v>878</v>
      </c>
      <c r="L1543" s="8"/>
      <c r="M1543" s="9"/>
      <c r="N1543" s="10"/>
      <c r="O1543" s="7">
        <f t="shared" si="728"/>
        <v>0</v>
      </c>
      <c r="P1543" s="8"/>
      <c r="Q1543" s="9"/>
      <c r="R1543" s="10"/>
      <c r="S1543" s="7">
        <f t="shared" si="729"/>
        <v>0</v>
      </c>
      <c r="T1543" s="71" t="s">
        <v>682</v>
      </c>
      <c r="U1543" s="3"/>
      <c r="V1543" s="8"/>
      <c r="W1543" s="9"/>
      <c r="X1543" s="10"/>
      <c r="Y1543" s="7">
        <f t="shared" ref="Y1543" si="740">SUM(V1543:X1543)</f>
        <v>0</v>
      </c>
      <c r="Z1543" s="8"/>
      <c r="AA1543" s="9"/>
      <c r="AB1543" s="10"/>
      <c r="AC1543" s="7">
        <f t="shared" ref="AC1543" si="741">SUM(Z1543:AB1543)</f>
        <v>0</v>
      </c>
      <c r="AD1543" s="8"/>
      <c r="AE1543" s="9"/>
      <c r="AF1543" s="10"/>
      <c r="AG1543" s="7">
        <f t="shared" ref="AG1543" si="742">SUM(AD1543:AF1543)</f>
        <v>0</v>
      </c>
    </row>
    <row r="1544" spans="1:33" ht="14.25" thickBot="1">
      <c r="A1544" s="3"/>
      <c r="B1544" s="8"/>
      <c r="C1544" s="9"/>
      <c r="D1544" s="10"/>
      <c r="E1544" s="7">
        <f t="shared" si="721"/>
        <v>0</v>
      </c>
      <c r="F1544" s="8"/>
      <c r="G1544" s="9"/>
      <c r="H1544" s="10"/>
      <c r="I1544" s="7">
        <f t="shared" si="722"/>
        <v>0</v>
      </c>
      <c r="K1544" s="3" t="s">
        <v>877</v>
      </c>
      <c r="L1544" s="8"/>
      <c r="M1544" s="9"/>
      <c r="N1544" s="10"/>
      <c r="O1544" s="7">
        <f t="shared" si="728"/>
        <v>0</v>
      </c>
      <c r="P1544" s="8"/>
      <c r="Q1544" s="9"/>
      <c r="R1544" s="10"/>
      <c r="S1544" s="7">
        <f t="shared" si="729"/>
        <v>0</v>
      </c>
      <c r="T1544" s="71" t="s">
        <v>661</v>
      </c>
      <c r="U1544" s="3"/>
      <c r="V1544" s="8"/>
      <c r="W1544" s="9"/>
      <c r="X1544" s="10"/>
      <c r="Y1544" s="7">
        <f t="shared" ref="Y1544" si="743">SUM(V1544:X1544)</f>
        <v>0</v>
      </c>
      <c r="Z1544" s="8"/>
      <c r="AA1544" s="9"/>
      <c r="AB1544" s="10"/>
      <c r="AC1544" s="7">
        <f t="shared" ref="AC1544" si="744">SUM(Z1544:AB1544)</f>
        <v>0</v>
      </c>
      <c r="AD1544" s="8"/>
      <c r="AE1544" s="9"/>
      <c r="AF1544" s="10"/>
      <c r="AG1544" s="7">
        <f t="shared" ref="AG1544" si="745">SUM(AD1544:AF1544)</f>
        <v>0</v>
      </c>
    </row>
    <row r="1545" spans="1:33" ht="14.25" thickBot="1">
      <c r="A1545" s="2" t="s">
        <v>5</v>
      </c>
      <c r="B1545" s="14">
        <f>SUM(B1521:B1544)</f>
        <v>2</v>
      </c>
      <c r="C1545" s="14">
        <f>SUM(C1521:C1544)</f>
        <v>3</v>
      </c>
      <c r="D1545" s="14">
        <f>SUM(D1521:D1544)</f>
        <v>0</v>
      </c>
      <c r="E1545" s="15">
        <f t="shared" si="721"/>
        <v>5</v>
      </c>
      <c r="F1545" s="14">
        <f>SUM(F1521:F1544)</f>
        <v>2</v>
      </c>
      <c r="G1545" s="14">
        <f>SUM(G1521:G1544)</f>
        <v>3</v>
      </c>
      <c r="H1545" s="14">
        <f>SUM(H1521:H1544)</f>
        <v>0</v>
      </c>
      <c r="I1545" s="15">
        <f t="shared" si="722"/>
        <v>5</v>
      </c>
      <c r="K1545" s="2" t="s">
        <v>5</v>
      </c>
      <c r="L1545" s="14">
        <f>SUM(L1521:L1544)</f>
        <v>59</v>
      </c>
      <c r="M1545" s="14">
        <f>SUM(M1521:M1544)</f>
        <v>101</v>
      </c>
      <c r="N1545" s="14">
        <f>SUM(N1521:N1544)</f>
        <v>59</v>
      </c>
      <c r="O1545" s="15">
        <f t="shared" si="728"/>
        <v>219</v>
      </c>
      <c r="P1545" s="14">
        <f>SUM(P1521:P1544)</f>
        <v>59</v>
      </c>
      <c r="Q1545" s="14">
        <f>SUM(Q1521:Q1544)</f>
        <v>101</v>
      </c>
      <c r="R1545" s="14">
        <f>SUM(R1521:R1544)</f>
        <v>59</v>
      </c>
      <c r="S1545" s="15">
        <f t="shared" si="729"/>
        <v>219</v>
      </c>
      <c r="U1545" s="2" t="s">
        <v>5</v>
      </c>
      <c r="V1545" s="14">
        <f>SUM(V1521:V1544)</f>
        <v>0</v>
      </c>
      <c r="W1545" s="14">
        <f>SUM(W1521:W1544)</f>
        <v>0</v>
      </c>
      <c r="X1545" s="14">
        <f>SUM(X1521:X1544)</f>
        <v>0</v>
      </c>
      <c r="Y1545" s="15">
        <f t="shared" si="725"/>
        <v>0</v>
      </c>
      <c r="Z1545" s="14">
        <f>SUM(Z1521:Z1544)</f>
        <v>0</v>
      </c>
      <c r="AA1545" s="14">
        <f>SUM(AA1521:AA1544)</f>
        <v>0</v>
      </c>
      <c r="AB1545" s="14">
        <f>SUM(AB1521:AB1544)</f>
        <v>0</v>
      </c>
      <c r="AC1545" s="15">
        <f t="shared" si="726"/>
        <v>0</v>
      </c>
      <c r="AD1545" s="14">
        <f>SUM(AD1521:AD1544)</f>
        <v>0</v>
      </c>
      <c r="AE1545" s="14">
        <f>SUM(AE1521:AE1544)</f>
        <v>0</v>
      </c>
      <c r="AF1545" s="14">
        <f>SUM(AF1521:AF1544)</f>
        <v>0</v>
      </c>
      <c r="AG1545" s="15">
        <f t="shared" si="727"/>
        <v>0</v>
      </c>
    </row>
    <row r="1546" spans="1:33" ht="14.25" thickBot="1">
      <c r="A1546" s="27" t="s">
        <v>6</v>
      </c>
      <c r="B1546" s="28">
        <f>B1520-B1545</f>
        <v>4</v>
      </c>
      <c r="C1546" s="28">
        <f t="shared" ref="C1546:E1546" si="746">C1520-C1545</f>
        <v>4</v>
      </c>
      <c r="D1546" s="28">
        <f t="shared" si="746"/>
        <v>5</v>
      </c>
      <c r="E1546" s="28">
        <f t="shared" si="746"/>
        <v>13</v>
      </c>
      <c r="F1546" s="28">
        <f>F1520-F1545</f>
        <v>4</v>
      </c>
      <c r="G1546" s="28">
        <f t="shared" ref="G1546:I1546" si="747">G1520-G1545</f>
        <v>4</v>
      </c>
      <c r="H1546" s="28">
        <f t="shared" si="747"/>
        <v>5</v>
      </c>
      <c r="I1546" s="26">
        <f t="shared" si="747"/>
        <v>13</v>
      </c>
      <c r="K1546" s="27" t="s">
        <v>6</v>
      </c>
      <c r="L1546" s="28">
        <f>L1520-L1545</f>
        <v>205</v>
      </c>
      <c r="M1546" s="28">
        <f t="shared" ref="M1546:O1546" si="748">M1520-M1545</f>
        <v>239</v>
      </c>
      <c r="N1546" s="28">
        <f t="shared" si="748"/>
        <v>127</v>
      </c>
      <c r="O1546" s="28">
        <f t="shared" si="748"/>
        <v>571</v>
      </c>
      <c r="P1546" s="28">
        <f>P1520-P1545</f>
        <v>205</v>
      </c>
      <c r="Q1546" s="28">
        <f t="shared" ref="Q1546:S1546" si="749">Q1520-Q1545</f>
        <v>239</v>
      </c>
      <c r="R1546" s="28">
        <f t="shared" si="749"/>
        <v>127</v>
      </c>
      <c r="S1546" s="26">
        <f t="shared" si="749"/>
        <v>571</v>
      </c>
      <c r="U1546" s="27" t="s">
        <v>6</v>
      </c>
      <c r="V1546" s="28">
        <f>V1520-V1545</f>
        <v>12</v>
      </c>
      <c r="W1546" s="28">
        <f t="shared" ref="W1546:Y1546" si="750">W1520-W1545</f>
        <v>18</v>
      </c>
      <c r="X1546" s="28">
        <f t="shared" si="750"/>
        <v>14</v>
      </c>
      <c r="Y1546" s="28">
        <f t="shared" si="750"/>
        <v>44</v>
      </c>
      <c r="Z1546" s="28">
        <f>Z1520-Z1545</f>
        <v>12</v>
      </c>
      <c r="AA1546" s="28">
        <f t="shared" ref="AA1546:AC1546" si="751">AA1520-AA1545</f>
        <v>18</v>
      </c>
      <c r="AB1546" s="28">
        <f t="shared" si="751"/>
        <v>14</v>
      </c>
      <c r="AC1546" s="26">
        <f t="shared" si="751"/>
        <v>44</v>
      </c>
      <c r="AD1546" s="28">
        <f>AD1520-AD1545</f>
        <v>12</v>
      </c>
      <c r="AE1546" s="28">
        <f t="shared" ref="AE1546:AG1546" si="752">AE1520-AE1545</f>
        <v>18</v>
      </c>
      <c r="AF1546" s="28">
        <f t="shared" si="752"/>
        <v>14</v>
      </c>
      <c r="AG1546" s="26">
        <f t="shared" si="752"/>
        <v>44</v>
      </c>
    </row>
    <row r="1547" spans="1:33">
      <c r="K1547" s="130"/>
      <c r="L1547" s="131"/>
      <c r="M1547" s="131"/>
      <c r="N1547" s="131"/>
      <c r="O1547" s="131"/>
    </row>
    <row r="1548" spans="1:33">
      <c r="L1548" s="74"/>
      <c r="M1548" s="74"/>
      <c r="N1548" s="74"/>
      <c r="O1548" s="106"/>
      <c r="U1548" t="s">
        <v>866</v>
      </c>
    </row>
    <row r="1549" spans="1:33" ht="26.25" thickBot="1">
      <c r="A1549" s="33" t="s">
        <v>831</v>
      </c>
      <c r="B1549" s="34"/>
      <c r="C1549" s="34"/>
      <c r="D1549" s="34"/>
      <c r="E1549" s="34"/>
      <c r="F1549" s="35"/>
      <c r="G1549" s="35"/>
      <c r="H1549" s="35"/>
      <c r="I1549" s="35"/>
      <c r="K1549" s="33" t="s">
        <v>830</v>
      </c>
      <c r="L1549" s="34"/>
      <c r="M1549" s="34"/>
      <c r="N1549" s="34"/>
      <c r="O1549" s="34"/>
      <c r="P1549" s="35"/>
      <c r="Q1549" s="35"/>
      <c r="R1549" s="35"/>
      <c r="S1549" s="35"/>
      <c r="U1549" s="113" t="s">
        <v>622</v>
      </c>
      <c r="V1549" s="114"/>
      <c r="W1549" s="114"/>
      <c r="X1549" s="114"/>
      <c r="Y1549" s="114"/>
      <c r="Z1549" s="115"/>
      <c r="AA1549" s="115"/>
      <c r="AB1549" s="115"/>
      <c r="AC1549" s="115"/>
      <c r="AD1549" s="116"/>
      <c r="AE1549" s="116"/>
    </row>
    <row r="1550" spans="1:33" ht="14.25" thickBot="1">
      <c r="A1550" s="1" t="s">
        <v>0</v>
      </c>
      <c r="B1550" s="182" t="s">
        <v>17</v>
      </c>
      <c r="C1550" s="182"/>
      <c r="D1550" s="182"/>
      <c r="E1550" s="183"/>
      <c r="F1550" s="182" t="s">
        <v>13</v>
      </c>
      <c r="G1550" s="182"/>
      <c r="H1550" s="182"/>
      <c r="I1550" s="183"/>
      <c r="K1550" s="1" t="s">
        <v>0</v>
      </c>
      <c r="L1550" s="132" t="s">
        <v>17</v>
      </c>
      <c r="M1550" s="132"/>
      <c r="N1550" s="132"/>
      <c r="O1550" s="133"/>
      <c r="P1550" s="132" t="s">
        <v>13</v>
      </c>
      <c r="Q1550" s="132"/>
      <c r="R1550" s="132"/>
      <c r="S1550" s="133"/>
      <c r="U1550" s="1" t="s">
        <v>0</v>
      </c>
      <c r="V1550" s="182" t="s">
        <v>17</v>
      </c>
      <c r="W1550" s="182"/>
      <c r="X1550" s="182"/>
      <c r="Y1550" s="183"/>
      <c r="Z1550" s="182" t="s">
        <v>13</v>
      </c>
      <c r="AA1550" s="182"/>
      <c r="AB1550" s="182"/>
      <c r="AC1550" s="183"/>
      <c r="AD1550" s="182" t="s">
        <v>242</v>
      </c>
      <c r="AE1550" s="182"/>
      <c r="AF1550" s="182"/>
      <c r="AG1550" s="183"/>
    </row>
    <row r="1551" spans="1:33" ht="14.25" thickBot="1">
      <c r="A1551" s="1" t="s">
        <v>1</v>
      </c>
      <c r="B1551" s="2" t="s">
        <v>8</v>
      </c>
      <c r="C1551" s="1" t="s">
        <v>9</v>
      </c>
      <c r="D1551" s="19" t="s">
        <v>10</v>
      </c>
      <c r="E1551" s="1" t="s">
        <v>2</v>
      </c>
      <c r="F1551" s="2" t="s">
        <v>8</v>
      </c>
      <c r="G1551" s="1" t="s">
        <v>9</v>
      </c>
      <c r="H1551" s="19" t="s">
        <v>10</v>
      </c>
      <c r="I1551" s="1" t="s">
        <v>2</v>
      </c>
      <c r="K1551" s="1" t="s">
        <v>1</v>
      </c>
      <c r="L1551" s="2" t="s">
        <v>8</v>
      </c>
      <c r="M1551" s="1" t="s">
        <v>9</v>
      </c>
      <c r="N1551" s="19" t="s">
        <v>10</v>
      </c>
      <c r="O1551" s="1" t="s">
        <v>2</v>
      </c>
      <c r="P1551" s="2" t="s">
        <v>8</v>
      </c>
      <c r="Q1551" s="1" t="s">
        <v>9</v>
      </c>
      <c r="R1551" s="19" t="s">
        <v>10</v>
      </c>
      <c r="S1551" s="1" t="s">
        <v>2</v>
      </c>
      <c r="U1551" s="1" t="s">
        <v>1</v>
      </c>
      <c r="V1551" s="2" t="s">
        <v>8</v>
      </c>
      <c r="W1551" s="1" t="s">
        <v>9</v>
      </c>
      <c r="X1551" s="19" t="s">
        <v>10</v>
      </c>
      <c r="Y1551" s="1" t="s">
        <v>2</v>
      </c>
      <c r="Z1551" s="2" t="s">
        <v>8</v>
      </c>
      <c r="AA1551" s="1" t="s">
        <v>9</v>
      </c>
      <c r="AB1551" s="19" t="s">
        <v>10</v>
      </c>
      <c r="AC1551" s="1" t="s">
        <v>2</v>
      </c>
      <c r="AD1551" s="2" t="s">
        <v>8</v>
      </c>
      <c r="AE1551" s="1" t="s">
        <v>9</v>
      </c>
      <c r="AF1551" s="19" t="s">
        <v>10</v>
      </c>
      <c r="AG1551" s="1" t="s">
        <v>2</v>
      </c>
    </row>
    <row r="1552" spans="1:33">
      <c r="A1552" s="21" t="s">
        <v>7</v>
      </c>
      <c r="B1552" s="18">
        <f>B1546</f>
        <v>4</v>
      </c>
      <c r="C1552" s="22">
        <f>C1546</f>
        <v>4</v>
      </c>
      <c r="D1552" s="22">
        <f>D1546</f>
        <v>5</v>
      </c>
      <c r="E1552" s="17">
        <f t="shared" ref="E1552:E1588" si="753">SUM(B1552:D1552)</f>
        <v>13</v>
      </c>
      <c r="F1552" s="22">
        <f>F1546</f>
        <v>4</v>
      </c>
      <c r="G1552" s="22">
        <f>G1546</f>
        <v>4</v>
      </c>
      <c r="H1552" s="22">
        <f>H1546</f>
        <v>5</v>
      </c>
      <c r="I1552" s="17">
        <f t="shared" ref="I1552:I1588" si="754">SUM(F1552:H1552)</f>
        <v>13</v>
      </c>
      <c r="K1552" s="21" t="s">
        <v>7</v>
      </c>
      <c r="L1552" s="18">
        <f>L1546</f>
        <v>205</v>
      </c>
      <c r="M1552" s="22">
        <f>M1546</f>
        <v>239</v>
      </c>
      <c r="N1552" s="22">
        <f>N1546</f>
        <v>127</v>
      </c>
      <c r="O1552" s="17">
        <f t="shared" ref="O1552:O1560" si="755">SUM(L1552:N1552)</f>
        <v>571</v>
      </c>
      <c r="P1552" s="22">
        <f>P1546</f>
        <v>205</v>
      </c>
      <c r="Q1552" s="22">
        <f>Q1546</f>
        <v>239</v>
      </c>
      <c r="R1552" s="22">
        <f>R1546</f>
        <v>127</v>
      </c>
      <c r="S1552" s="17">
        <f t="shared" ref="S1552:S1560" si="756">SUM(P1552:R1552)</f>
        <v>571</v>
      </c>
      <c r="U1552" s="21" t="s">
        <v>7</v>
      </c>
      <c r="V1552" s="18">
        <f>V1546</f>
        <v>12</v>
      </c>
      <c r="W1552" s="22">
        <f>W1546</f>
        <v>18</v>
      </c>
      <c r="X1552" s="22">
        <f>X1546</f>
        <v>14</v>
      </c>
      <c r="Y1552" s="17">
        <f t="shared" ref="Y1552:Y1588" si="757">SUM(V1552:X1552)</f>
        <v>44</v>
      </c>
      <c r="Z1552" s="22">
        <f>Z1546</f>
        <v>12</v>
      </c>
      <c r="AA1552" s="22">
        <f>AA1546</f>
        <v>18</v>
      </c>
      <c r="AB1552" s="22">
        <f>AB1546</f>
        <v>14</v>
      </c>
      <c r="AC1552" s="17">
        <f t="shared" ref="AC1552:AC1588" si="758">SUM(Z1552:AB1552)</f>
        <v>44</v>
      </c>
      <c r="AD1552" s="22">
        <f>AD1546</f>
        <v>12</v>
      </c>
      <c r="AE1552" s="22">
        <f>AE1546</f>
        <v>18</v>
      </c>
      <c r="AF1552" s="22">
        <f>AF1546</f>
        <v>14</v>
      </c>
      <c r="AG1552" s="17">
        <f t="shared" ref="AG1552:AG1588" si="759">SUM(AD1552:AF1552)</f>
        <v>44</v>
      </c>
    </row>
    <row r="1553" spans="1:33">
      <c r="A1553" s="5" t="s">
        <v>3</v>
      </c>
      <c r="B1553" s="30"/>
      <c r="C1553" s="31"/>
      <c r="D1553" s="32"/>
      <c r="E1553" s="4">
        <f t="shared" si="753"/>
        <v>0</v>
      </c>
      <c r="F1553" s="30"/>
      <c r="G1553" s="31"/>
      <c r="H1553" s="32"/>
      <c r="I1553" s="4">
        <f t="shared" si="754"/>
        <v>0</v>
      </c>
      <c r="K1553" s="5" t="s">
        <v>3</v>
      </c>
      <c r="L1553" s="16"/>
      <c r="M1553" s="11"/>
      <c r="N1553" s="16"/>
      <c r="O1553" s="4">
        <f t="shared" si="755"/>
        <v>0</v>
      </c>
      <c r="P1553" s="16"/>
      <c r="Q1553" s="11"/>
      <c r="R1553" s="16"/>
      <c r="S1553" s="4">
        <f t="shared" si="756"/>
        <v>0</v>
      </c>
      <c r="U1553" s="5" t="s">
        <v>3</v>
      </c>
      <c r="V1553" s="16"/>
      <c r="W1553" s="11"/>
      <c r="X1553" s="16"/>
      <c r="Y1553" s="4">
        <f t="shared" si="757"/>
        <v>0</v>
      </c>
      <c r="Z1553" s="16"/>
      <c r="AA1553" s="11"/>
      <c r="AB1553" s="16"/>
      <c r="AC1553" s="4">
        <f t="shared" si="758"/>
        <v>0</v>
      </c>
      <c r="AD1553" s="16"/>
      <c r="AE1553" s="11"/>
      <c r="AF1553" s="16"/>
      <c r="AG1553" s="4">
        <f t="shared" si="759"/>
        <v>0</v>
      </c>
    </row>
    <row r="1554" spans="1:33">
      <c r="A1554" s="5" t="s">
        <v>3</v>
      </c>
      <c r="B1554" s="30"/>
      <c r="C1554" s="31"/>
      <c r="D1554" s="32"/>
      <c r="E1554" s="4">
        <f t="shared" si="753"/>
        <v>0</v>
      </c>
      <c r="F1554" s="30"/>
      <c r="G1554" s="31"/>
      <c r="H1554" s="32"/>
      <c r="I1554" s="4">
        <f t="shared" si="754"/>
        <v>0</v>
      </c>
      <c r="K1554" s="5" t="s">
        <v>3</v>
      </c>
      <c r="L1554" s="32"/>
      <c r="M1554" s="31"/>
      <c r="N1554" s="32"/>
      <c r="O1554" s="4">
        <f t="shared" si="755"/>
        <v>0</v>
      </c>
      <c r="P1554" s="32"/>
      <c r="Q1554" s="31"/>
      <c r="R1554" s="32"/>
      <c r="S1554" s="4">
        <f t="shared" si="756"/>
        <v>0</v>
      </c>
      <c r="U1554" s="5" t="s">
        <v>3</v>
      </c>
      <c r="V1554" s="32"/>
      <c r="W1554" s="31"/>
      <c r="X1554" s="32"/>
      <c r="Y1554" s="4">
        <f t="shared" si="757"/>
        <v>0</v>
      </c>
      <c r="Z1554" s="32"/>
      <c r="AA1554" s="31"/>
      <c r="AB1554" s="32"/>
      <c r="AC1554" s="4">
        <f t="shared" si="758"/>
        <v>0</v>
      </c>
      <c r="AD1554" s="32"/>
      <c r="AE1554" s="31"/>
      <c r="AF1554" s="32"/>
      <c r="AG1554" s="4">
        <f t="shared" si="759"/>
        <v>0</v>
      </c>
    </row>
    <row r="1555" spans="1:33">
      <c r="A1555" s="5" t="s">
        <v>3</v>
      </c>
      <c r="B1555" s="30"/>
      <c r="C1555" s="31"/>
      <c r="D1555" s="32"/>
      <c r="E1555" s="4">
        <f t="shared" si="753"/>
        <v>0</v>
      </c>
      <c r="F1555" s="30"/>
      <c r="G1555" s="31"/>
      <c r="H1555" s="32"/>
      <c r="I1555" s="4">
        <f t="shared" si="754"/>
        <v>0</v>
      </c>
      <c r="K1555" s="5" t="s">
        <v>3</v>
      </c>
      <c r="L1555" s="32"/>
      <c r="M1555" s="31"/>
      <c r="N1555" s="32"/>
      <c r="O1555" s="4">
        <f t="shared" ref="O1555:O1556" si="760">SUM(L1555:N1555)</f>
        <v>0</v>
      </c>
      <c r="P1555" s="32"/>
      <c r="Q1555" s="31"/>
      <c r="R1555" s="32"/>
      <c r="S1555" s="4">
        <f t="shared" ref="S1555:S1556" si="761">SUM(P1555:R1555)</f>
        <v>0</v>
      </c>
      <c r="U1555" s="5" t="s">
        <v>3</v>
      </c>
      <c r="V1555" s="30"/>
      <c r="W1555" s="31"/>
      <c r="X1555" s="32"/>
      <c r="Y1555" s="4">
        <f t="shared" si="757"/>
        <v>0</v>
      </c>
      <c r="Z1555" s="30"/>
      <c r="AA1555" s="31"/>
      <c r="AB1555" s="32"/>
      <c r="AC1555" s="4">
        <f t="shared" si="758"/>
        <v>0</v>
      </c>
      <c r="AD1555" s="30"/>
      <c r="AE1555" s="31"/>
      <c r="AF1555" s="32"/>
      <c r="AG1555" s="4">
        <f t="shared" si="759"/>
        <v>0</v>
      </c>
    </row>
    <row r="1556" spans="1:33">
      <c r="A1556" s="5" t="s">
        <v>3</v>
      </c>
      <c r="B1556" s="16"/>
      <c r="C1556" s="11"/>
      <c r="D1556" s="16"/>
      <c r="E1556" s="4">
        <f t="shared" si="753"/>
        <v>0</v>
      </c>
      <c r="F1556" s="16"/>
      <c r="G1556" s="11"/>
      <c r="H1556" s="16"/>
      <c r="I1556" s="4">
        <f t="shared" si="754"/>
        <v>0</v>
      </c>
      <c r="K1556" s="5" t="s">
        <v>3</v>
      </c>
      <c r="L1556" s="32"/>
      <c r="M1556" s="31"/>
      <c r="N1556" s="32"/>
      <c r="O1556" s="4">
        <f t="shared" si="760"/>
        <v>0</v>
      </c>
      <c r="P1556" s="32"/>
      <c r="Q1556" s="31"/>
      <c r="R1556" s="32"/>
      <c r="S1556" s="4">
        <f t="shared" si="761"/>
        <v>0</v>
      </c>
      <c r="U1556" s="5" t="s">
        <v>3</v>
      </c>
      <c r="V1556" s="32"/>
      <c r="W1556" s="31"/>
      <c r="X1556" s="32"/>
      <c r="Y1556" s="4">
        <f t="shared" ref="Y1556" si="762">SUM(V1556:X1556)</f>
        <v>0</v>
      </c>
      <c r="Z1556" s="32"/>
      <c r="AA1556" s="31"/>
      <c r="AB1556" s="32"/>
      <c r="AC1556" s="4">
        <f t="shared" ref="AC1556" si="763">SUM(Z1556:AB1556)</f>
        <v>0</v>
      </c>
      <c r="AD1556" s="32"/>
      <c r="AE1556" s="31"/>
      <c r="AF1556" s="32"/>
      <c r="AG1556" s="4">
        <f t="shared" ref="AG1556" si="764">SUM(AD1556:AF1556)</f>
        <v>0</v>
      </c>
    </row>
    <row r="1557" spans="1:33">
      <c r="A1557" s="5" t="s">
        <v>3</v>
      </c>
      <c r="B1557" s="16"/>
      <c r="C1557" s="11"/>
      <c r="D1557" s="16"/>
      <c r="E1557" s="4">
        <f t="shared" si="753"/>
        <v>0</v>
      </c>
      <c r="F1557" s="16"/>
      <c r="G1557" s="11"/>
      <c r="H1557" s="16"/>
      <c r="I1557" s="4">
        <f t="shared" si="754"/>
        <v>0</v>
      </c>
      <c r="K1557" s="5" t="s">
        <v>3</v>
      </c>
      <c r="L1557" s="32"/>
      <c r="M1557" s="31"/>
      <c r="N1557" s="32"/>
      <c r="O1557" s="4">
        <f t="shared" si="755"/>
        <v>0</v>
      </c>
      <c r="P1557" s="32"/>
      <c r="Q1557" s="31"/>
      <c r="R1557" s="32"/>
      <c r="S1557" s="4">
        <f t="shared" si="756"/>
        <v>0</v>
      </c>
      <c r="U1557" s="5" t="s">
        <v>3</v>
      </c>
      <c r="V1557" s="32"/>
      <c r="W1557" s="31"/>
      <c r="X1557" s="32"/>
      <c r="Y1557" s="4">
        <f t="shared" si="757"/>
        <v>0</v>
      </c>
      <c r="Z1557" s="32"/>
      <c r="AA1557" s="31"/>
      <c r="AB1557" s="32"/>
      <c r="AC1557" s="4">
        <f t="shared" si="758"/>
        <v>0</v>
      </c>
      <c r="AD1557" s="32"/>
      <c r="AE1557" s="31"/>
      <c r="AF1557" s="32"/>
      <c r="AG1557" s="4">
        <f t="shared" si="759"/>
        <v>0</v>
      </c>
    </row>
    <row r="1558" spans="1:33">
      <c r="A1558" s="5" t="s">
        <v>3</v>
      </c>
      <c r="B1558" s="16"/>
      <c r="C1558" s="11"/>
      <c r="D1558" s="16"/>
      <c r="E1558" s="4">
        <f t="shared" si="753"/>
        <v>0</v>
      </c>
      <c r="F1558" s="16"/>
      <c r="G1558" s="11"/>
      <c r="H1558" s="16"/>
      <c r="I1558" s="4">
        <f t="shared" si="754"/>
        <v>0</v>
      </c>
      <c r="K1558" s="5" t="s">
        <v>3</v>
      </c>
      <c r="L1558" s="32"/>
      <c r="M1558" s="31"/>
      <c r="N1558" s="32"/>
      <c r="O1558" s="4">
        <f t="shared" si="755"/>
        <v>0</v>
      </c>
      <c r="P1558" s="32"/>
      <c r="Q1558" s="31"/>
      <c r="R1558" s="32"/>
      <c r="S1558" s="4">
        <f t="shared" si="756"/>
        <v>0</v>
      </c>
      <c r="U1558" s="5" t="s">
        <v>3</v>
      </c>
      <c r="V1558" s="16"/>
      <c r="W1558" s="11"/>
      <c r="X1558" s="16"/>
      <c r="Y1558" s="4">
        <f t="shared" si="757"/>
        <v>0</v>
      </c>
      <c r="Z1558" s="16"/>
      <c r="AA1558" s="11"/>
      <c r="AB1558" s="16"/>
      <c r="AC1558" s="4">
        <f t="shared" si="758"/>
        <v>0</v>
      </c>
      <c r="AD1558" s="16"/>
      <c r="AE1558" s="11"/>
      <c r="AF1558" s="16"/>
      <c r="AG1558" s="4">
        <f t="shared" si="759"/>
        <v>0</v>
      </c>
    </row>
    <row r="1559" spans="1:33">
      <c r="A1559" s="5" t="s">
        <v>3</v>
      </c>
      <c r="B1559" s="32"/>
      <c r="C1559" s="31"/>
      <c r="D1559" s="32"/>
      <c r="E1559" s="4">
        <f t="shared" si="753"/>
        <v>0</v>
      </c>
      <c r="F1559" s="32"/>
      <c r="G1559" s="31"/>
      <c r="H1559" s="32"/>
      <c r="I1559" s="4">
        <f t="shared" si="754"/>
        <v>0</v>
      </c>
      <c r="K1559" s="5" t="s">
        <v>3</v>
      </c>
      <c r="L1559" s="32"/>
      <c r="M1559" s="31"/>
      <c r="N1559" s="32"/>
      <c r="O1559" s="4">
        <f t="shared" si="755"/>
        <v>0</v>
      </c>
      <c r="P1559" s="32"/>
      <c r="Q1559" s="31"/>
      <c r="R1559" s="32"/>
      <c r="S1559" s="4">
        <f t="shared" si="756"/>
        <v>0</v>
      </c>
      <c r="U1559" s="5" t="s">
        <v>3</v>
      </c>
      <c r="V1559" s="32"/>
      <c r="W1559" s="31"/>
      <c r="X1559" s="32"/>
      <c r="Y1559" s="4">
        <f t="shared" si="757"/>
        <v>0</v>
      </c>
      <c r="Z1559" s="32"/>
      <c r="AA1559" s="31"/>
      <c r="AB1559" s="32"/>
      <c r="AC1559" s="4">
        <f t="shared" si="758"/>
        <v>0</v>
      </c>
      <c r="AD1559" s="32"/>
      <c r="AE1559" s="31"/>
      <c r="AF1559" s="32"/>
      <c r="AG1559" s="4">
        <f t="shared" si="759"/>
        <v>0</v>
      </c>
    </row>
    <row r="1560" spans="1:33">
      <c r="A1560" s="5" t="s">
        <v>3</v>
      </c>
      <c r="B1560" s="32"/>
      <c r="C1560" s="31"/>
      <c r="D1560" s="32"/>
      <c r="E1560" s="4">
        <f t="shared" si="753"/>
        <v>0</v>
      </c>
      <c r="F1560" s="32"/>
      <c r="G1560" s="31"/>
      <c r="H1560" s="32"/>
      <c r="I1560" s="4">
        <f t="shared" si="754"/>
        <v>0</v>
      </c>
      <c r="K1560" s="5" t="s">
        <v>3</v>
      </c>
      <c r="L1560" s="32"/>
      <c r="M1560" s="31"/>
      <c r="N1560" s="32"/>
      <c r="O1560" s="4">
        <f t="shared" si="755"/>
        <v>0</v>
      </c>
      <c r="P1560" s="32"/>
      <c r="Q1560" s="31"/>
      <c r="R1560" s="32"/>
      <c r="S1560" s="4">
        <f t="shared" si="756"/>
        <v>0</v>
      </c>
      <c r="U1560" s="5" t="s">
        <v>3</v>
      </c>
      <c r="V1560" s="32"/>
      <c r="W1560" s="31"/>
      <c r="X1560" s="32"/>
      <c r="Y1560" s="4">
        <f t="shared" si="757"/>
        <v>0</v>
      </c>
      <c r="Z1560" s="32"/>
      <c r="AA1560" s="31"/>
      <c r="AB1560" s="32"/>
      <c r="AC1560" s="4">
        <f t="shared" si="758"/>
        <v>0</v>
      </c>
      <c r="AD1560" s="32"/>
      <c r="AE1560" s="31"/>
      <c r="AF1560" s="32"/>
      <c r="AG1560" s="4">
        <f t="shared" si="759"/>
        <v>0</v>
      </c>
    </row>
    <row r="1561" spans="1:33">
      <c r="A1561" s="5" t="s">
        <v>3</v>
      </c>
      <c r="B1561" s="30"/>
      <c r="C1561" s="31"/>
      <c r="D1561" s="32"/>
      <c r="E1561" s="4">
        <f t="shared" si="753"/>
        <v>0</v>
      </c>
      <c r="F1561" s="30"/>
      <c r="G1561" s="31"/>
      <c r="H1561" s="32"/>
      <c r="I1561" s="4">
        <f t="shared" si="754"/>
        <v>0</v>
      </c>
      <c r="K1561" s="5" t="s">
        <v>3</v>
      </c>
      <c r="L1561" s="32"/>
      <c r="M1561" s="31"/>
      <c r="N1561" s="32"/>
      <c r="O1561" s="4">
        <f t="shared" ref="O1561:O1588" si="765">SUM(L1561:N1561)</f>
        <v>0</v>
      </c>
      <c r="P1561" s="32"/>
      <c r="Q1561" s="31"/>
      <c r="R1561" s="32"/>
      <c r="S1561" s="4">
        <f t="shared" ref="S1561:S1588" si="766">SUM(P1561:R1561)</f>
        <v>0</v>
      </c>
      <c r="U1561" s="5" t="s">
        <v>3</v>
      </c>
      <c r="V1561" s="30"/>
      <c r="W1561" s="31"/>
      <c r="X1561" s="32"/>
      <c r="Y1561" s="4">
        <f t="shared" si="757"/>
        <v>0</v>
      </c>
      <c r="Z1561" s="30"/>
      <c r="AA1561" s="31"/>
      <c r="AB1561" s="32"/>
      <c r="AC1561" s="4">
        <f t="shared" si="758"/>
        <v>0</v>
      </c>
      <c r="AD1561" s="30"/>
      <c r="AE1561" s="31"/>
      <c r="AF1561" s="32"/>
      <c r="AG1561" s="4">
        <f t="shared" si="759"/>
        <v>0</v>
      </c>
    </row>
    <row r="1562" spans="1:33" ht="14.25" thickBot="1">
      <c r="A1562" s="6" t="s">
        <v>3</v>
      </c>
      <c r="B1562" s="36"/>
      <c r="C1562" s="37"/>
      <c r="D1562" s="36"/>
      <c r="E1562" s="20">
        <f t="shared" si="753"/>
        <v>0</v>
      </c>
      <c r="F1562" s="13"/>
      <c r="G1562" s="12"/>
      <c r="H1562" s="13"/>
      <c r="I1562" s="20">
        <f t="shared" si="754"/>
        <v>0</v>
      </c>
      <c r="K1562" s="5" t="s">
        <v>3</v>
      </c>
      <c r="L1562" s="36"/>
      <c r="M1562" s="37"/>
      <c r="N1562" s="36"/>
      <c r="O1562" s="20">
        <f t="shared" si="765"/>
        <v>0</v>
      </c>
      <c r="P1562" s="13"/>
      <c r="Q1562" s="12"/>
      <c r="R1562" s="13"/>
      <c r="S1562" s="20">
        <f t="shared" si="766"/>
        <v>0</v>
      </c>
      <c r="U1562" s="6" t="s">
        <v>3</v>
      </c>
      <c r="V1562" s="13"/>
      <c r="W1562" s="12"/>
      <c r="X1562" s="13"/>
      <c r="Y1562" s="20">
        <f t="shared" si="757"/>
        <v>0</v>
      </c>
      <c r="Z1562" s="13"/>
      <c r="AA1562" s="12"/>
      <c r="AB1562" s="13"/>
      <c r="AC1562" s="20">
        <f t="shared" si="758"/>
        <v>0</v>
      </c>
      <c r="AD1562" s="13"/>
      <c r="AE1562" s="12"/>
      <c r="AF1562" s="13"/>
      <c r="AG1562" s="20">
        <f t="shared" si="759"/>
        <v>0</v>
      </c>
    </row>
    <row r="1563" spans="1:33" ht="14.25" thickBot="1">
      <c r="A1563" s="23" t="s">
        <v>4</v>
      </c>
      <c r="B1563" s="24">
        <f>SUM(B1552:B1562)</f>
        <v>4</v>
      </c>
      <c r="C1563" s="24">
        <f>SUM(C1552:C1562)</f>
        <v>4</v>
      </c>
      <c r="D1563" s="25">
        <f>SUM(D1552:D1562)</f>
        <v>5</v>
      </c>
      <c r="E1563" s="26">
        <f t="shared" si="753"/>
        <v>13</v>
      </c>
      <c r="F1563" s="24">
        <f>SUM(F1552:F1562)</f>
        <v>4</v>
      </c>
      <c r="G1563" s="24">
        <f>SUM(G1552:G1562)</f>
        <v>4</v>
      </c>
      <c r="H1563" s="25">
        <f>SUM(H1552:H1562)</f>
        <v>5</v>
      </c>
      <c r="I1563" s="26">
        <f t="shared" si="754"/>
        <v>13</v>
      </c>
      <c r="K1563" s="23" t="s">
        <v>4</v>
      </c>
      <c r="L1563" s="24">
        <f>SUM(L1552:L1562)</f>
        <v>205</v>
      </c>
      <c r="M1563" s="24">
        <f>SUM(M1552:M1562)</f>
        <v>239</v>
      </c>
      <c r="N1563" s="25">
        <f>SUM(N1552:N1562)</f>
        <v>127</v>
      </c>
      <c r="O1563" s="26">
        <f t="shared" si="765"/>
        <v>571</v>
      </c>
      <c r="P1563" s="24">
        <f>SUM(P1552:P1562)</f>
        <v>205</v>
      </c>
      <c r="Q1563" s="24">
        <f>SUM(Q1552:Q1562)</f>
        <v>239</v>
      </c>
      <c r="R1563" s="25">
        <f>SUM(R1552:R1562)</f>
        <v>127</v>
      </c>
      <c r="S1563" s="26">
        <f t="shared" si="766"/>
        <v>571</v>
      </c>
      <c r="U1563" s="23" t="s">
        <v>4</v>
      </c>
      <c r="V1563" s="24">
        <f>SUM(V1552:V1562)</f>
        <v>12</v>
      </c>
      <c r="W1563" s="24">
        <f>SUM(W1552:W1562)</f>
        <v>18</v>
      </c>
      <c r="X1563" s="25">
        <f>SUM(X1552:X1562)</f>
        <v>14</v>
      </c>
      <c r="Y1563" s="26">
        <f t="shared" si="757"/>
        <v>44</v>
      </c>
      <c r="Z1563" s="24">
        <f>SUM(Z1552:Z1562)</f>
        <v>12</v>
      </c>
      <c r="AA1563" s="24">
        <f>SUM(AA1552:AA1562)</f>
        <v>18</v>
      </c>
      <c r="AB1563" s="25">
        <f>SUM(AB1552:AB1562)</f>
        <v>14</v>
      </c>
      <c r="AC1563" s="26">
        <f t="shared" si="758"/>
        <v>44</v>
      </c>
      <c r="AD1563" s="24">
        <f>SUM(AD1552:AD1562)</f>
        <v>12</v>
      </c>
      <c r="AE1563" s="24">
        <f>SUM(AE1552:AE1562)</f>
        <v>18</v>
      </c>
      <c r="AF1563" s="25">
        <f>SUM(AF1552:AF1562)</f>
        <v>14</v>
      </c>
      <c r="AG1563" s="26">
        <f t="shared" si="759"/>
        <v>44</v>
      </c>
    </row>
    <row r="1564" spans="1:33">
      <c r="A1564" s="3" t="s">
        <v>917</v>
      </c>
      <c r="B1564" s="8">
        <v>2</v>
      </c>
      <c r="C1564" s="9">
        <v>2</v>
      </c>
      <c r="D1564" s="10"/>
      <c r="E1564" s="4">
        <f t="shared" si="753"/>
        <v>4</v>
      </c>
      <c r="F1564" s="8">
        <v>2</v>
      </c>
      <c r="G1564" s="9">
        <v>2</v>
      </c>
      <c r="H1564" s="10"/>
      <c r="I1564" s="4">
        <f t="shared" si="754"/>
        <v>4</v>
      </c>
      <c r="J1564" s="43">
        <v>45437</v>
      </c>
      <c r="K1564" s="3" t="s">
        <v>913</v>
      </c>
      <c r="L1564" s="30"/>
      <c r="M1564" s="9">
        <v>8</v>
      </c>
      <c r="N1564" s="10"/>
      <c r="O1564" s="7">
        <f t="shared" si="765"/>
        <v>8</v>
      </c>
      <c r="P1564" s="8"/>
      <c r="Q1564" s="9">
        <v>8</v>
      </c>
      <c r="R1564" s="10"/>
      <c r="S1564" s="7">
        <f t="shared" si="766"/>
        <v>8</v>
      </c>
      <c r="T1564" s="43">
        <v>45433</v>
      </c>
      <c r="U1564" s="40"/>
      <c r="V1564" s="32"/>
      <c r="W1564" s="31"/>
      <c r="X1564" s="32"/>
      <c r="Y1564" s="4">
        <f t="shared" si="757"/>
        <v>0</v>
      </c>
      <c r="Z1564" s="32"/>
      <c r="AA1564" s="31"/>
      <c r="AB1564" s="32"/>
      <c r="AC1564" s="4">
        <f t="shared" si="758"/>
        <v>0</v>
      </c>
      <c r="AD1564" s="8"/>
      <c r="AE1564" s="9"/>
      <c r="AF1564" s="10"/>
      <c r="AG1564" s="7">
        <f t="shared" si="759"/>
        <v>0</v>
      </c>
    </row>
    <row r="1565" spans="1:33">
      <c r="A1565" s="3"/>
      <c r="B1565" s="8"/>
      <c r="C1565" s="9"/>
      <c r="D1565" s="10"/>
      <c r="E1565" s="4">
        <f t="shared" si="753"/>
        <v>0</v>
      </c>
      <c r="F1565" s="8"/>
      <c r="G1565" s="9"/>
      <c r="H1565" s="10"/>
      <c r="I1565" s="4">
        <f t="shared" si="754"/>
        <v>0</v>
      </c>
      <c r="J1565" s="71"/>
      <c r="K1565" s="3" t="s">
        <v>915</v>
      </c>
      <c r="L1565" s="8">
        <v>14</v>
      </c>
      <c r="M1565" s="9">
        <v>20</v>
      </c>
      <c r="N1565" s="10">
        <v>11</v>
      </c>
      <c r="O1565" s="7">
        <f t="shared" ref="O1565:O1566" si="767">SUM(L1565:N1565)</f>
        <v>45</v>
      </c>
      <c r="P1565" s="8">
        <v>14</v>
      </c>
      <c r="Q1565" s="9">
        <v>20</v>
      </c>
      <c r="R1565" s="10">
        <v>11</v>
      </c>
      <c r="S1565" s="7">
        <f t="shared" ref="S1565:S1566" si="768">SUM(P1565:R1565)</f>
        <v>45</v>
      </c>
      <c r="T1565" s="43">
        <v>45434</v>
      </c>
      <c r="U1565" s="40"/>
      <c r="V1565" s="8"/>
      <c r="W1565" s="9"/>
      <c r="X1565" s="10"/>
      <c r="Y1565" s="4">
        <f t="shared" si="757"/>
        <v>0</v>
      </c>
      <c r="Z1565" s="8"/>
      <c r="AA1565" s="9"/>
      <c r="AB1565" s="10"/>
      <c r="AC1565" s="4">
        <f t="shared" si="758"/>
        <v>0</v>
      </c>
      <c r="AD1565" s="8"/>
      <c r="AE1565" s="9"/>
      <c r="AF1565" s="10"/>
      <c r="AG1565" s="4">
        <f t="shared" si="759"/>
        <v>0</v>
      </c>
    </row>
    <row r="1566" spans="1:33">
      <c r="A1566" s="3"/>
      <c r="B1566" s="8"/>
      <c r="C1566" s="9"/>
      <c r="D1566" s="10"/>
      <c r="E1566" s="7">
        <f t="shared" si="753"/>
        <v>0</v>
      </c>
      <c r="F1566" s="8"/>
      <c r="G1566" s="9"/>
      <c r="H1566" s="10"/>
      <c r="I1566" s="7">
        <f t="shared" si="754"/>
        <v>0</v>
      </c>
      <c r="J1566" s="71"/>
      <c r="K1566" s="3" t="s">
        <v>28</v>
      </c>
      <c r="L1566" s="8">
        <v>5</v>
      </c>
      <c r="M1566" s="9">
        <v>2</v>
      </c>
      <c r="N1566" s="10">
        <v>2</v>
      </c>
      <c r="O1566" s="7">
        <f t="shared" si="767"/>
        <v>9</v>
      </c>
      <c r="P1566" s="8">
        <v>5</v>
      </c>
      <c r="Q1566" s="9">
        <v>2</v>
      </c>
      <c r="R1566" s="10">
        <v>2</v>
      </c>
      <c r="S1566" s="7">
        <f t="shared" si="768"/>
        <v>9</v>
      </c>
      <c r="T1566" s="43">
        <v>45432</v>
      </c>
      <c r="U1566" s="40"/>
      <c r="V1566" s="8"/>
      <c r="W1566" s="9"/>
      <c r="X1566" s="10"/>
      <c r="Y1566" s="7">
        <f t="shared" si="757"/>
        <v>0</v>
      </c>
      <c r="Z1566" s="8"/>
      <c r="AA1566" s="9"/>
      <c r="AB1566" s="10"/>
      <c r="AC1566" s="7">
        <f t="shared" si="758"/>
        <v>0</v>
      </c>
      <c r="AD1566" s="8"/>
      <c r="AE1566" s="9"/>
      <c r="AF1566" s="10"/>
      <c r="AG1566" s="7">
        <f t="shared" si="759"/>
        <v>0</v>
      </c>
    </row>
    <row r="1567" spans="1:33">
      <c r="A1567" s="3"/>
      <c r="B1567" s="8"/>
      <c r="C1567" s="9"/>
      <c r="D1567" s="10"/>
      <c r="E1567" s="4">
        <f t="shared" si="753"/>
        <v>0</v>
      </c>
      <c r="F1567" s="8"/>
      <c r="G1567" s="9"/>
      <c r="H1567" s="10"/>
      <c r="I1567" s="4">
        <f t="shared" si="754"/>
        <v>0</v>
      </c>
      <c r="J1567" s="71"/>
      <c r="K1567" s="3" t="s">
        <v>916</v>
      </c>
      <c r="L1567" s="8">
        <v>10</v>
      </c>
      <c r="M1567" s="9">
        <v>8</v>
      </c>
      <c r="N1567" s="10">
        <v>4</v>
      </c>
      <c r="O1567" s="4">
        <f t="shared" si="765"/>
        <v>22</v>
      </c>
      <c r="P1567" s="8">
        <v>10</v>
      </c>
      <c r="Q1567" s="9">
        <v>8</v>
      </c>
      <c r="R1567" s="10">
        <v>4</v>
      </c>
      <c r="S1567" s="4">
        <f t="shared" si="766"/>
        <v>22</v>
      </c>
      <c r="T1567" s="43">
        <v>45435</v>
      </c>
      <c r="U1567" s="40"/>
      <c r="V1567" s="8"/>
      <c r="W1567" s="9"/>
      <c r="X1567" s="10"/>
      <c r="Y1567" s="4">
        <f t="shared" si="757"/>
        <v>0</v>
      </c>
      <c r="Z1567" s="8"/>
      <c r="AA1567" s="9"/>
      <c r="AB1567" s="10"/>
      <c r="AC1567" s="4">
        <f t="shared" si="758"/>
        <v>0</v>
      </c>
      <c r="AD1567" s="8"/>
      <c r="AE1567" s="9"/>
      <c r="AF1567" s="10"/>
      <c r="AG1567" s="4">
        <f t="shared" si="759"/>
        <v>0</v>
      </c>
    </row>
    <row r="1568" spans="1:33">
      <c r="A1568" s="3"/>
      <c r="B1568" s="8"/>
      <c r="C1568" s="9"/>
      <c r="D1568" s="10"/>
      <c r="E1568" s="4">
        <f t="shared" si="753"/>
        <v>0</v>
      </c>
      <c r="F1568" s="8"/>
      <c r="G1568" s="9"/>
      <c r="H1568" s="10"/>
      <c r="I1568" s="4">
        <f t="shared" si="754"/>
        <v>0</v>
      </c>
      <c r="K1568" s="3" t="s">
        <v>30</v>
      </c>
      <c r="L1568" s="8">
        <v>4</v>
      </c>
      <c r="M1568" s="9">
        <v>8</v>
      </c>
      <c r="N1568" s="10">
        <v>5</v>
      </c>
      <c r="O1568" s="4">
        <f t="shared" si="765"/>
        <v>17</v>
      </c>
      <c r="P1568" s="8">
        <v>4</v>
      </c>
      <c r="Q1568" s="9">
        <v>8</v>
      </c>
      <c r="R1568" s="10">
        <v>5</v>
      </c>
      <c r="S1568" s="4">
        <f t="shared" si="766"/>
        <v>17</v>
      </c>
      <c r="T1568" s="43">
        <v>45435</v>
      </c>
      <c r="U1568" s="3"/>
      <c r="V1568" s="8"/>
      <c r="W1568" s="9"/>
      <c r="X1568" s="10"/>
      <c r="Y1568" s="4">
        <f t="shared" si="757"/>
        <v>0</v>
      </c>
      <c r="Z1568" s="8"/>
      <c r="AA1568" s="9"/>
      <c r="AB1568" s="10"/>
      <c r="AC1568" s="4">
        <f t="shared" si="758"/>
        <v>0</v>
      </c>
      <c r="AD1568" s="8"/>
      <c r="AE1568" s="9"/>
      <c r="AF1568" s="10"/>
      <c r="AG1568" s="4">
        <f t="shared" si="759"/>
        <v>0</v>
      </c>
    </row>
    <row r="1569" spans="1:33">
      <c r="A1569" s="3"/>
      <c r="B1569" s="8"/>
      <c r="C1569" s="9"/>
      <c r="D1569" s="10"/>
      <c r="E1569" s="7">
        <f t="shared" si="753"/>
        <v>0</v>
      </c>
      <c r="F1569" s="8"/>
      <c r="G1569" s="9"/>
      <c r="H1569" s="10"/>
      <c r="I1569" s="7">
        <f t="shared" si="754"/>
        <v>0</v>
      </c>
      <c r="K1569" s="3" t="s">
        <v>910</v>
      </c>
      <c r="L1569" s="8">
        <v>20</v>
      </c>
      <c r="M1569" s="9">
        <v>25</v>
      </c>
      <c r="N1569" s="10">
        <v>20</v>
      </c>
      <c r="O1569" s="7">
        <f t="shared" si="765"/>
        <v>65</v>
      </c>
      <c r="P1569" s="8">
        <v>20</v>
      </c>
      <c r="Q1569" s="9">
        <v>25</v>
      </c>
      <c r="R1569" s="10">
        <v>20</v>
      </c>
      <c r="S1569" s="7">
        <f t="shared" si="766"/>
        <v>65</v>
      </c>
      <c r="T1569" s="43">
        <v>45436</v>
      </c>
      <c r="U1569" s="3"/>
      <c r="V1569" s="8"/>
      <c r="W1569" s="9"/>
      <c r="X1569" s="10"/>
      <c r="Y1569" s="7">
        <f t="shared" si="757"/>
        <v>0</v>
      </c>
      <c r="Z1569" s="8"/>
      <c r="AA1569" s="9"/>
      <c r="AB1569" s="10"/>
      <c r="AC1569" s="7">
        <f t="shared" si="758"/>
        <v>0</v>
      </c>
      <c r="AD1569" s="8"/>
      <c r="AE1569" s="9"/>
      <c r="AF1569" s="10"/>
      <c r="AG1569" s="7">
        <f t="shared" si="759"/>
        <v>0</v>
      </c>
    </row>
    <row r="1570" spans="1:33">
      <c r="A1570" s="3"/>
      <c r="B1570" s="8"/>
      <c r="C1570" s="9"/>
      <c r="D1570" s="10"/>
      <c r="E1570" s="7">
        <f t="shared" si="753"/>
        <v>0</v>
      </c>
      <c r="F1570" s="8"/>
      <c r="G1570" s="9"/>
      <c r="H1570" s="10"/>
      <c r="I1570" s="7">
        <f t="shared" si="754"/>
        <v>0</v>
      </c>
      <c r="K1570" s="3" t="s">
        <v>920</v>
      </c>
      <c r="L1570" s="8">
        <v>10</v>
      </c>
      <c r="M1570" s="9">
        <v>18</v>
      </c>
      <c r="N1570" s="10">
        <v>13</v>
      </c>
      <c r="O1570" s="7">
        <f t="shared" si="765"/>
        <v>41</v>
      </c>
      <c r="P1570" s="8">
        <v>10</v>
      </c>
      <c r="Q1570" s="9">
        <v>18</v>
      </c>
      <c r="R1570" s="10">
        <v>13</v>
      </c>
      <c r="S1570" s="7">
        <f t="shared" si="766"/>
        <v>41</v>
      </c>
      <c r="T1570" s="43">
        <v>45442</v>
      </c>
      <c r="U1570" s="3"/>
      <c r="V1570" s="8"/>
      <c r="W1570" s="9"/>
      <c r="X1570" s="10"/>
      <c r="Y1570" s="7">
        <f t="shared" si="757"/>
        <v>0</v>
      </c>
      <c r="Z1570" s="8"/>
      <c r="AA1570" s="9"/>
      <c r="AB1570" s="10"/>
      <c r="AC1570" s="7">
        <f t="shared" si="758"/>
        <v>0</v>
      </c>
      <c r="AD1570" s="8"/>
      <c r="AE1570" s="9"/>
      <c r="AF1570" s="10"/>
      <c r="AG1570" s="7">
        <f t="shared" si="759"/>
        <v>0</v>
      </c>
    </row>
    <row r="1571" spans="1:33">
      <c r="A1571" s="3"/>
      <c r="B1571" s="8"/>
      <c r="C1571" s="9"/>
      <c r="D1571" s="10"/>
      <c r="E1571" s="7">
        <f t="shared" si="753"/>
        <v>0</v>
      </c>
      <c r="F1571" s="8"/>
      <c r="G1571" s="9"/>
      <c r="H1571" s="10"/>
      <c r="I1571" s="7">
        <f t="shared" si="754"/>
        <v>0</v>
      </c>
      <c r="K1571" s="3" t="s">
        <v>31</v>
      </c>
      <c r="L1571" s="8">
        <v>4</v>
      </c>
      <c r="M1571" s="9">
        <v>1</v>
      </c>
      <c r="N1571" s="10">
        <v>9</v>
      </c>
      <c r="O1571" s="7">
        <f t="shared" si="765"/>
        <v>14</v>
      </c>
      <c r="P1571" s="8">
        <v>4</v>
      </c>
      <c r="Q1571" s="9">
        <v>1</v>
      </c>
      <c r="R1571" s="10">
        <v>9</v>
      </c>
      <c r="S1571" s="7">
        <f t="shared" si="766"/>
        <v>14</v>
      </c>
      <c r="T1571" s="43">
        <v>45441</v>
      </c>
      <c r="U1571" s="3"/>
      <c r="V1571" s="8"/>
      <c r="W1571" s="9"/>
      <c r="X1571" s="10"/>
      <c r="Y1571" s="7">
        <f t="shared" si="757"/>
        <v>0</v>
      </c>
      <c r="Z1571" s="8"/>
      <c r="AA1571" s="9"/>
      <c r="AB1571" s="10"/>
      <c r="AC1571" s="7">
        <f t="shared" si="758"/>
        <v>0</v>
      </c>
      <c r="AD1571" s="8"/>
      <c r="AE1571" s="9"/>
      <c r="AF1571" s="10"/>
      <c r="AG1571" s="7">
        <f t="shared" si="759"/>
        <v>0</v>
      </c>
    </row>
    <row r="1572" spans="1:33">
      <c r="A1572" s="3"/>
      <c r="B1572" s="8"/>
      <c r="C1572" s="9"/>
      <c r="D1572" s="10"/>
      <c r="E1572" s="7">
        <f t="shared" si="753"/>
        <v>0</v>
      </c>
      <c r="F1572" s="8"/>
      <c r="G1572" s="9"/>
      <c r="H1572" s="10"/>
      <c r="I1572" s="7">
        <f t="shared" si="754"/>
        <v>0</v>
      </c>
      <c r="K1572" s="3" t="s">
        <v>921</v>
      </c>
      <c r="L1572" s="8">
        <v>5</v>
      </c>
      <c r="M1572" s="9">
        <v>10</v>
      </c>
      <c r="N1572" s="10"/>
      <c r="O1572" s="7">
        <f t="shared" si="765"/>
        <v>15</v>
      </c>
      <c r="P1572" s="8">
        <v>5</v>
      </c>
      <c r="Q1572" s="9">
        <v>10</v>
      </c>
      <c r="R1572" s="10"/>
      <c r="S1572" s="7">
        <f t="shared" si="766"/>
        <v>15</v>
      </c>
      <c r="T1572" s="43">
        <v>45442</v>
      </c>
      <c r="U1572" s="3"/>
      <c r="V1572" s="8"/>
      <c r="W1572" s="9"/>
      <c r="X1572" s="10"/>
      <c r="Y1572" s="7">
        <f t="shared" si="757"/>
        <v>0</v>
      </c>
      <c r="Z1572" s="8"/>
      <c r="AA1572" s="9"/>
      <c r="AB1572" s="10"/>
      <c r="AC1572" s="7">
        <f t="shared" si="758"/>
        <v>0</v>
      </c>
      <c r="AD1572" s="8"/>
      <c r="AE1572" s="9"/>
      <c r="AF1572" s="10"/>
      <c r="AG1572" s="7">
        <f t="shared" si="759"/>
        <v>0</v>
      </c>
    </row>
    <row r="1573" spans="1:33">
      <c r="A1573" s="3"/>
      <c r="B1573" s="8"/>
      <c r="C1573" s="9"/>
      <c r="D1573" s="10"/>
      <c r="E1573" s="7">
        <f t="shared" si="753"/>
        <v>0</v>
      </c>
      <c r="F1573" s="8"/>
      <c r="G1573" s="9"/>
      <c r="H1573" s="10"/>
      <c r="I1573" s="7">
        <f t="shared" si="754"/>
        <v>0</v>
      </c>
      <c r="K1573" s="3" t="s">
        <v>32</v>
      </c>
      <c r="L1573" s="30"/>
      <c r="M1573" s="9">
        <v>6</v>
      </c>
      <c r="N1573" s="10"/>
      <c r="O1573" s="7">
        <f t="shared" ref="O1573:O1579" si="769">SUM(L1573:N1573)</f>
        <v>6</v>
      </c>
      <c r="P1573" s="8"/>
      <c r="Q1573" s="9">
        <v>6</v>
      </c>
      <c r="R1573" s="10"/>
      <c r="S1573" s="7">
        <f t="shared" ref="S1573:S1579" si="770">SUM(P1573:R1573)</f>
        <v>6</v>
      </c>
      <c r="T1573" s="43">
        <v>45442</v>
      </c>
      <c r="U1573" s="3"/>
      <c r="V1573" s="8"/>
      <c r="W1573" s="9"/>
      <c r="X1573" s="10"/>
      <c r="Y1573" s="7">
        <f t="shared" si="757"/>
        <v>0</v>
      </c>
      <c r="Z1573" s="8"/>
      <c r="AA1573" s="9"/>
      <c r="AB1573" s="10"/>
      <c r="AC1573" s="7">
        <f t="shared" si="758"/>
        <v>0</v>
      </c>
      <c r="AD1573" s="8"/>
      <c r="AE1573" s="9"/>
      <c r="AF1573" s="10"/>
      <c r="AG1573" s="7">
        <f t="shared" si="759"/>
        <v>0</v>
      </c>
    </row>
    <row r="1574" spans="1:33">
      <c r="A1574" s="3"/>
      <c r="B1574" s="8"/>
      <c r="C1574" s="9"/>
      <c r="D1574" s="10"/>
      <c r="E1574" s="7">
        <f t="shared" si="753"/>
        <v>0</v>
      </c>
      <c r="F1574" s="8"/>
      <c r="G1574" s="9"/>
      <c r="H1574" s="10"/>
      <c r="I1574" s="7">
        <f t="shared" si="754"/>
        <v>0</v>
      </c>
      <c r="K1574" s="3" t="s">
        <v>33</v>
      </c>
      <c r="L1574" s="8">
        <v>3</v>
      </c>
      <c r="M1574" s="9"/>
      <c r="N1574" s="10"/>
      <c r="O1574" s="7">
        <f t="shared" si="769"/>
        <v>3</v>
      </c>
      <c r="P1574" s="8">
        <v>3</v>
      </c>
      <c r="Q1574" s="9"/>
      <c r="R1574" s="10"/>
      <c r="S1574" s="7">
        <f t="shared" si="770"/>
        <v>3</v>
      </c>
      <c r="T1574" s="43">
        <v>45443</v>
      </c>
      <c r="U1574" s="3"/>
      <c r="V1574" s="30"/>
      <c r="W1574" s="9"/>
      <c r="X1574" s="10"/>
      <c r="Y1574" s="7">
        <f t="shared" si="757"/>
        <v>0</v>
      </c>
      <c r="Z1574" s="8"/>
      <c r="AA1574" s="9"/>
      <c r="AB1574" s="10"/>
      <c r="AC1574" s="7">
        <f t="shared" si="758"/>
        <v>0</v>
      </c>
      <c r="AD1574" s="8"/>
      <c r="AE1574" s="9"/>
      <c r="AF1574" s="10"/>
      <c r="AG1574" s="7">
        <f t="shared" si="759"/>
        <v>0</v>
      </c>
    </row>
    <row r="1575" spans="1:33">
      <c r="A1575" s="3"/>
      <c r="B1575" s="8"/>
      <c r="C1575" s="9"/>
      <c r="D1575" s="10"/>
      <c r="E1575" s="7">
        <f t="shared" si="753"/>
        <v>0</v>
      </c>
      <c r="F1575" s="8"/>
      <c r="G1575" s="9"/>
      <c r="H1575" s="10"/>
      <c r="I1575" s="7">
        <f t="shared" si="754"/>
        <v>0</v>
      </c>
      <c r="K1575" s="3" t="s">
        <v>924</v>
      </c>
      <c r="L1575" s="8">
        <v>8</v>
      </c>
      <c r="M1575" s="9"/>
      <c r="N1575" s="10">
        <v>7</v>
      </c>
      <c r="O1575" s="7">
        <f t="shared" si="769"/>
        <v>15</v>
      </c>
      <c r="P1575" s="8">
        <v>8</v>
      </c>
      <c r="Q1575" s="9"/>
      <c r="R1575" s="10">
        <v>7</v>
      </c>
      <c r="S1575" s="7">
        <f t="shared" si="770"/>
        <v>15</v>
      </c>
      <c r="T1575" s="43">
        <v>45443</v>
      </c>
      <c r="U1575" s="3"/>
      <c r="V1575" s="8"/>
      <c r="W1575" s="9"/>
      <c r="X1575" s="10"/>
      <c r="Y1575" s="7">
        <f t="shared" si="757"/>
        <v>0</v>
      </c>
      <c r="Z1575" s="8"/>
      <c r="AA1575" s="9"/>
      <c r="AB1575" s="10"/>
      <c r="AC1575" s="7">
        <f t="shared" si="758"/>
        <v>0</v>
      </c>
      <c r="AD1575" s="8"/>
      <c r="AE1575" s="9"/>
      <c r="AF1575" s="10"/>
      <c r="AG1575" s="7">
        <f t="shared" si="759"/>
        <v>0</v>
      </c>
    </row>
    <row r="1576" spans="1:33">
      <c r="A1576" s="3"/>
      <c r="B1576" s="8"/>
      <c r="C1576" s="9"/>
      <c r="D1576" s="10"/>
      <c r="E1576" s="7">
        <f t="shared" si="753"/>
        <v>0</v>
      </c>
      <c r="F1576" s="8"/>
      <c r="G1576" s="9"/>
      <c r="H1576" s="10"/>
      <c r="I1576" s="7">
        <f t="shared" si="754"/>
        <v>0</v>
      </c>
      <c r="K1576" s="3" t="s">
        <v>34</v>
      </c>
      <c r="L1576" s="8"/>
      <c r="M1576" s="9">
        <v>1</v>
      </c>
      <c r="N1576" s="10">
        <v>1</v>
      </c>
      <c r="O1576" s="7">
        <f t="shared" si="769"/>
        <v>2</v>
      </c>
      <c r="P1576" s="8"/>
      <c r="Q1576" s="9">
        <v>1</v>
      </c>
      <c r="R1576" s="10">
        <v>1</v>
      </c>
      <c r="S1576" s="7">
        <f t="shared" si="770"/>
        <v>2</v>
      </c>
      <c r="T1576" s="43">
        <v>45443</v>
      </c>
      <c r="U1576" s="3"/>
      <c r="V1576" s="8"/>
      <c r="W1576" s="9"/>
      <c r="X1576" s="10"/>
      <c r="Y1576" s="7">
        <f t="shared" si="757"/>
        <v>0</v>
      </c>
      <c r="Z1576" s="8"/>
      <c r="AA1576" s="9"/>
      <c r="AB1576" s="10"/>
      <c r="AC1576" s="7">
        <f t="shared" si="758"/>
        <v>0</v>
      </c>
      <c r="AD1576" s="8"/>
      <c r="AE1576" s="9"/>
      <c r="AF1576" s="10"/>
      <c r="AG1576" s="7">
        <f t="shared" si="759"/>
        <v>0</v>
      </c>
    </row>
    <row r="1577" spans="1:33">
      <c r="A1577" s="3"/>
      <c r="B1577" s="8"/>
      <c r="C1577" s="9"/>
      <c r="D1577" s="10"/>
      <c r="E1577" s="7">
        <f t="shared" si="753"/>
        <v>0</v>
      </c>
      <c r="F1577" s="8"/>
      <c r="G1577" s="9"/>
      <c r="H1577" s="10"/>
      <c r="I1577" s="7">
        <f t="shared" si="754"/>
        <v>0</v>
      </c>
      <c r="K1577" s="3" t="s">
        <v>36</v>
      </c>
      <c r="L1577" s="8">
        <v>1</v>
      </c>
      <c r="M1577" s="9">
        <v>3</v>
      </c>
      <c r="N1577" s="10"/>
      <c r="O1577" s="7">
        <f t="shared" si="769"/>
        <v>4</v>
      </c>
      <c r="P1577" s="8">
        <v>1</v>
      </c>
      <c r="Q1577" s="9">
        <v>3</v>
      </c>
      <c r="R1577" s="10"/>
      <c r="S1577" s="7">
        <f t="shared" si="770"/>
        <v>4</v>
      </c>
      <c r="T1577" s="43">
        <v>45446</v>
      </c>
      <c r="U1577" s="3"/>
      <c r="V1577" s="8"/>
      <c r="W1577" s="9"/>
      <c r="X1577" s="10"/>
      <c r="Y1577" s="7">
        <f t="shared" si="757"/>
        <v>0</v>
      </c>
      <c r="Z1577" s="8"/>
      <c r="AA1577" s="9"/>
      <c r="AB1577" s="10"/>
      <c r="AC1577" s="7">
        <f t="shared" si="758"/>
        <v>0</v>
      </c>
      <c r="AD1577" s="8"/>
      <c r="AE1577" s="9"/>
      <c r="AF1577" s="10"/>
      <c r="AG1577" s="7">
        <f t="shared" si="759"/>
        <v>0</v>
      </c>
    </row>
    <row r="1578" spans="1:33">
      <c r="A1578" s="3"/>
      <c r="B1578" s="8"/>
      <c r="C1578" s="9"/>
      <c r="D1578" s="10"/>
      <c r="E1578" s="7">
        <f t="shared" si="753"/>
        <v>0</v>
      </c>
      <c r="F1578" s="8"/>
      <c r="G1578" s="9"/>
      <c r="H1578" s="10"/>
      <c r="I1578" s="7">
        <f t="shared" si="754"/>
        <v>0</v>
      </c>
      <c r="K1578" s="3" t="s">
        <v>922</v>
      </c>
      <c r="L1578" s="8"/>
      <c r="M1578" s="9">
        <v>10</v>
      </c>
      <c r="N1578" s="10"/>
      <c r="O1578" s="7">
        <f t="shared" si="769"/>
        <v>10</v>
      </c>
      <c r="P1578" s="8"/>
      <c r="Q1578" s="9">
        <v>10</v>
      </c>
      <c r="R1578" s="10"/>
      <c r="S1578" s="7">
        <f t="shared" si="770"/>
        <v>10</v>
      </c>
      <c r="T1578" s="43">
        <v>45447</v>
      </c>
      <c r="U1578" s="3"/>
      <c r="V1578" s="8"/>
      <c r="W1578" s="9"/>
      <c r="X1578" s="10"/>
      <c r="Y1578" s="7">
        <f t="shared" si="757"/>
        <v>0</v>
      </c>
      <c r="Z1578" s="8"/>
      <c r="AA1578" s="9"/>
      <c r="AB1578" s="10"/>
      <c r="AC1578" s="7">
        <f t="shared" si="758"/>
        <v>0</v>
      </c>
      <c r="AD1578" s="8"/>
      <c r="AE1578" s="9"/>
      <c r="AF1578" s="10"/>
      <c r="AG1578" s="7">
        <f t="shared" si="759"/>
        <v>0</v>
      </c>
    </row>
    <row r="1579" spans="1:33">
      <c r="A1579" s="3"/>
      <c r="B1579" s="8"/>
      <c r="C1579" s="9"/>
      <c r="D1579" s="10"/>
      <c r="E1579" s="7">
        <f t="shared" si="753"/>
        <v>0</v>
      </c>
      <c r="F1579" s="8"/>
      <c r="G1579" s="9"/>
      <c r="H1579" s="10"/>
      <c r="I1579" s="7">
        <f t="shared" si="754"/>
        <v>0</v>
      </c>
      <c r="K1579" s="3" t="s">
        <v>925</v>
      </c>
      <c r="L1579" s="8">
        <v>15</v>
      </c>
      <c r="M1579" s="9"/>
      <c r="N1579" s="10">
        <v>20</v>
      </c>
      <c r="O1579" s="4">
        <f t="shared" si="769"/>
        <v>35</v>
      </c>
      <c r="P1579" s="8">
        <v>15</v>
      </c>
      <c r="Q1579" s="9"/>
      <c r="R1579" s="10">
        <v>20</v>
      </c>
      <c r="S1579" s="4">
        <f t="shared" si="770"/>
        <v>35</v>
      </c>
      <c r="T1579" s="43">
        <v>45447</v>
      </c>
      <c r="U1579" s="3"/>
      <c r="V1579" s="8"/>
      <c r="W1579" s="9"/>
      <c r="X1579" s="10"/>
      <c r="Y1579" s="7">
        <f t="shared" si="757"/>
        <v>0</v>
      </c>
      <c r="Z1579" s="8"/>
      <c r="AA1579" s="9"/>
      <c r="AB1579" s="10"/>
      <c r="AC1579" s="7">
        <f t="shared" si="758"/>
        <v>0</v>
      </c>
      <c r="AD1579" s="8"/>
      <c r="AE1579" s="9"/>
      <c r="AF1579" s="10"/>
      <c r="AG1579" s="7">
        <f t="shared" si="759"/>
        <v>0</v>
      </c>
    </row>
    <row r="1580" spans="1:33">
      <c r="A1580" s="3"/>
      <c r="B1580" s="8"/>
      <c r="C1580" s="9"/>
      <c r="D1580" s="10"/>
      <c r="E1580" s="7">
        <f t="shared" si="753"/>
        <v>0</v>
      </c>
      <c r="F1580" s="8"/>
      <c r="G1580" s="9"/>
      <c r="H1580" s="10"/>
      <c r="I1580" s="7">
        <f t="shared" si="754"/>
        <v>0</v>
      </c>
      <c r="K1580" s="3"/>
      <c r="L1580" s="8"/>
      <c r="M1580" s="9"/>
      <c r="N1580" s="10"/>
      <c r="O1580" s="7">
        <f t="shared" si="765"/>
        <v>0</v>
      </c>
      <c r="P1580" s="8"/>
      <c r="Q1580" s="9"/>
      <c r="R1580" s="10"/>
      <c r="S1580" s="7">
        <f t="shared" si="766"/>
        <v>0</v>
      </c>
      <c r="U1580" s="3"/>
      <c r="V1580" s="8"/>
      <c r="W1580" s="9"/>
      <c r="X1580" s="10"/>
      <c r="Y1580" s="7">
        <f t="shared" si="757"/>
        <v>0</v>
      </c>
      <c r="Z1580" s="8"/>
      <c r="AA1580" s="9"/>
      <c r="AB1580" s="10"/>
      <c r="AC1580" s="7">
        <f t="shared" si="758"/>
        <v>0</v>
      </c>
      <c r="AD1580" s="8"/>
      <c r="AE1580" s="9"/>
      <c r="AF1580" s="10"/>
      <c r="AG1580" s="7">
        <f t="shared" si="759"/>
        <v>0</v>
      </c>
    </row>
    <row r="1581" spans="1:33">
      <c r="A1581" s="3"/>
      <c r="B1581" s="8"/>
      <c r="C1581" s="9"/>
      <c r="D1581" s="10"/>
      <c r="E1581" s="7">
        <f t="shared" si="753"/>
        <v>0</v>
      </c>
      <c r="F1581" s="8"/>
      <c r="G1581" s="9"/>
      <c r="H1581" s="10"/>
      <c r="I1581" s="7">
        <f t="shared" si="754"/>
        <v>0</v>
      </c>
      <c r="K1581" s="3"/>
      <c r="L1581" s="8"/>
      <c r="M1581" s="9"/>
      <c r="N1581" s="10"/>
      <c r="O1581" s="7">
        <f t="shared" ref="O1581:O1584" si="771">SUM(L1581:N1581)</f>
        <v>0</v>
      </c>
      <c r="P1581" s="8"/>
      <c r="Q1581" s="9"/>
      <c r="R1581" s="10"/>
      <c r="S1581" s="7">
        <f t="shared" ref="S1581:S1584" si="772">SUM(P1581:R1581)</f>
        <v>0</v>
      </c>
      <c r="U1581" s="3"/>
      <c r="V1581" s="8"/>
      <c r="W1581" s="9"/>
      <c r="X1581" s="10"/>
      <c r="Y1581" s="7">
        <f t="shared" si="757"/>
        <v>0</v>
      </c>
      <c r="Z1581" s="8"/>
      <c r="AA1581" s="9"/>
      <c r="AB1581" s="10"/>
      <c r="AC1581" s="7">
        <f t="shared" si="758"/>
        <v>0</v>
      </c>
      <c r="AD1581" s="8"/>
      <c r="AE1581" s="9"/>
      <c r="AF1581" s="10"/>
      <c r="AG1581" s="7">
        <f t="shared" si="759"/>
        <v>0</v>
      </c>
    </row>
    <row r="1582" spans="1:33">
      <c r="A1582" s="11"/>
      <c r="B1582" s="8"/>
      <c r="C1582" s="9"/>
      <c r="D1582" s="10"/>
      <c r="E1582" s="7">
        <f t="shared" si="753"/>
        <v>0</v>
      </c>
      <c r="F1582" s="8"/>
      <c r="G1582" s="9"/>
      <c r="H1582" s="10"/>
      <c r="I1582" s="7">
        <f t="shared" si="754"/>
        <v>0</v>
      </c>
      <c r="K1582" s="3"/>
      <c r="L1582" s="8"/>
      <c r="M1582" s="9"/>
      <c r="N1582" s="10"/>
      <c r="O1582" s="7">
        <f t="shared" si="771"/>
        <v>0</v>
      </c>
      <c r="P1582" s="8"/>
      <c r="Q1582" s="9"/>
      <c r="R1582" s="10"/>
      <c r="S1582" s="7">
        <f t="shared" si="772"/>
        <v>0</v>
      </c>
      <c r="U1582" s="3"/>
      <c r="V1582" s="8"/>
      <c r="W1582" s="9"/>
      <c r="X1582" s="10"/>
      <c r="Y1582" s="7">
        <f t="shared" si="757"/>
        <v>0</v>
      </c>
      <c r="Z1582" s="8"/>
      <c r="AA1582" s="9"/>
      <c r="AB1582" s="10"/>
      <c r="AC1582" s="7">
        <f t="shared" si="758"/>
        <v>0</v>
      </c>
      <c r="AD1582" s="8"/>
      <c r="AE1582" s="9"/>
      <c r="AF1582" s="10"/>
      <c r="AG1582" s="7">
        <f t="shared" si="759"/>
        <v>0</v>
      </c>
    </row>
    <row r="1583" spans="1:33">
      <c r="A1583" s="11"/>
      <c r="B1583" s="8"/>
      <c r="C1583" s="9"/>
      <c r="D1583" s="10"/>
      <c r="E1583" s="7">
        <f t="shared" si="753"/>
        <v>0</v>
      </c>
      <c r="F1583" s="8"/>
      <c r="G1583" s="9"/>
      <c r="H1583" s="10"/>
      <c r="I1583" s="7">
        <f t="shared" si="754"/>
        <v>0</v>
      </c>
      <c r="K1583" s="3"/>
      <c r="L1583" s="8"/>
      <c r="M1583" s="9"/>
      <c r="N1583" s="10"/>
      <c r="O1583" s="7">
        <f t="shared" si="771"/>
        <v>0</v>
      </c>
      <c r="P1583" s="8"/>
      <c r="Q1583" s="9"/>
      <c r="R1583" s="10"/>
      <c r="S1583" s="7">
        <f t="shared" si="772"/>
        <v>0</v>
      </c>
      <c r="U1583" s="3"/>
      <c r="V1583" s="8"/>
      <c r="W1583" s="9"/>
      <c r="X1583" s="10"/>
      <c r="Y1583" s="7">
        <f t="shared" si="757"/>
        <v>0</v>
      </c>
      <c r="Z1583" s="8"/>
      <c r="AA1583" s="9"/>
      <c r="AB1583" s="10"/>
      <c r="AC1583" s="7">
        <f t="shared" si="758"/>
        <v>0</v>
      </c>
      <c r="AD1583" s="8"/>
      <c r="AE1583" s="9"/>
      <c r="AF1583" s="10"/>
      <c r="AG1583" s="7">
        <f t="shared" si="759"/>
        <v>0</v>
      </c>
    </row>
    <row r="1584" spans="1:33">
      <c r="A1584" s="11"/>
      <c r="B1584" s="8"/>
      <c r="C1584" s="9"/>
      <c r="D1584" s="10"/>
      <c r="E1584" s="7">
        <f t="shared" si="753"/>
        <v>0</v>
      </c>
      <c r="F1584" s="8"/>
      <c r="G1584" s="9"/>
      <c r="H1584" s="10"/>
      <c r="I1584" s="7">
        <f t="shared" si="754"/>
        <v>0</v>
      </c>
      <c r="K1584" s="3" t="s">
        <v>893</v>
      </c>
      <c r="L1584" s="8"/>
      <c r="M1584" s="9"/>
      <c r="N1584" s="10"/>
      <c r="O1584" s="7">
        <f t="shared" si="771"/>
        <v>0</v>
      </c>
      <c r="P1584" s="8"/>
      <c r="Q1584" s="9"/>
      <c r="R1584" s="10"/>
      <c r="S1584" s="7">
        <f t="shared" si="772"/>
        <v>0</v>
      </c>
      <c r="T1584" s="71" t="s">
        <v>862</v>
      </c>
      <c r="U1584" s="11"/>
      <c r="V1584" s="8"/>
      <c r="W1584" s="9"/>
      <c r="X1584" s="10"/>
      <c r="Y1584" s="7">
        <f t="shared" si="757"/>
        <v>0</v>
      </c>
      <c r="Z1584" s="8"/>
      <c r="AA1584" s="9"/>
      <c r="AB1584" s="10"/>
      <c r="AC1584" s="7">
        <f t="shared" si="758"/>
        <v>0</v>
      </c>
      <c r="AD1584" s="8"/>
      <c r="AE1584" s="9"/>
      <c r="AF1584" s="10"/>
      <c r="AG1584" s="7">
        <f t="shared" si="759"/>
        <v>0</v>
      </c>
    </row>
    <row r="1585" spans="1:33">
      <c r="A1585" s="11"/>
      <c r="B1585" s="8"/>
      <c r="C1585" s="9"/>
      <c r="D1585" s="10"/>
      <c r="E1585" s="7">
        <f t="shared" si="753"/>
        <v>0</v>
      </c>
      <c r="F1585" s="8"/>
      <c r="G1585" s="9"/>
      <c r="H1585" s="10"/>
      <c r="I1585" s="7">
        <f t="shared" si="754"/>
        <v>0</v>
      </c>
      <c r="K1585" s="3" t="s">
        <v>897</v>
      </c>
      <c r="L1585" s="8"/>
      <c r="M1585" s="9"/>
      <c r="N1585" s="10"/>
      <c r="O1585" s="7">
        <f t="shared" ref="O1585" si="773">SUM(L1585:N1585)</f>
        <v>0</v>
      </c>
      <c r="P1585" s="8"/>
      <c r="Q1585" s="9"/>
      <c r="R1585" s="10"/>
      <c r="S1585" s="7">
        <f t="shared" ref="S1585" si="774">SUM(P1585:R1585)</f>
        <v>0</v>
      </c>
      <c r="T1585" s="71" t="s">
        <v>898</v>
      </c>
      <c r="U1585" s="3"/>
      <c r="V1585" s="8"/>
      <c r="W1585" s="9"/>
      <c r="X1585" s="10"/>
      <c r="Y1585" s="7">
        <f t="shared" si="757"/>
        <v>0</v>
      </c>
      <c r="Z1585" s="8"/>
      <c r="AA1585" s="9"/>
      <c r="AB1585" s="10"/>
      <c r="AC1585" s="7">
        <f t="shared" si="758"/>
        <v>0</v>
      </c>
      <c r="AD1585" s="8"/>
      <c r="AE1585" s="9"/>
      <c r="AF1585" s="10"/>
      <c r="AG1585" s="7">
        <f t="shared" si="759"/>
        <v>0</v>
      </c>
    </row>
    <row r="1586" spans="1:33">
      <c r="A1586" s="11"/>
      <c r="B1586" s="8"/>
      <c r="C1586" s="9"/>
      <c r="D1586" s="10"/>
      <c r="E1586" s="7">
        <f t="shared" si="753"/>
        <v>0</v>
      </c>
      <c r="F1586" s="8"/>
      <c r="G1586" s="9"/>
      <c r="H1586" s="10"/>
      <c r="I1586" s="7">
        <f t="shared" si="754"/>
        <v>0</v>
      </c>
      <c r="K1586" s="3" t="s">
        <v>879</v>
      </c>
      <c r="L1586" s="8">
        <f>58-22-14-10-12</f>
        <v>0</v>
      </c>
      <c r="M1586" s="9">
        <f>90-35-8-20-8-18-1</f>
        <v>0</v>
      </c>
      <c r="N1586" s="10">
        <f>53-18-11-13-11</f>
        <v>0</v>
      </c>
      <c r="O1586" s="7">
        <f t="shared" si="765"/>
        <v>0</v>
      </c>
      <c r="P1586" s="8">
        <f>58-22-14-10-12</f>
        <v>0</v>
      </c>
      <c r="Q1586" s="9">
        <f>90-35-8-20-8-18-1</f>
        <v>0</v>
      </c>
      <c r="R1586" s="10">
        <f>53-18-11-13-11</f>
        <v>0</v>
      </c>
      <c r="S1586" s="7">
        <f t="shared" si="766"/>
        <v>0</v>
      </c>
      <c r="T1586" s="71" t="s">
        <v>661</v>
      </c>
      <c r="U1586" s="3"/>
      <c r="V1586" s="8"/>
      <c r="W1586" s="9"/>
      <c r="X1586" s="10"/>
      <c r="Y1586" s="7">
        <f t="shared" si="757"/>
        <v>0</v>
      </c>
      <c r="Z1586" s="8"/>
      <c r="AA1586" s="9"/>
      <c r="AB1586" s="10"/>
      <c r="AC1586" s="7">
        <f t="shared" si="758"/>
        <v>0</v>
      </c>
      <c r="AD1586" s="8"/>
      <c r="AE1586" s="9"/>
      <c r="AF1586" s="10"/>
      <c r="AG1586" s="7">
        <f t="shared" si="759"/>
        <v>0</v>
      </c>
    </row>
    <row r="1587" spans="1:33" ht="14.25" thickBot="1">
      <c r="A1587" s="3"/>
      <c r="B1587" s="8"/>
      <c r="C1587" s="9"/>
      <c r="D1587" s="10"/>
      <c r="E1587" s="7">
        <f t="shared" si="753"/>
        <v>0</v>
      </c>
      <c r="F1587" s="8"/>
      <c r="G1587" s="9"/>
      <c r="H1587" s="10"/>
      <c r="I1587" s="7">
        <f t="shared" si="754"/>
        <v>0</v>
      </c>
      <c r="K1587" s="3" t="s">
        <v>891</v>
      </c>
      <c r="L1587" s="8">
        <f>12-3-9</f>
        <v>0</v>
      </c>
      <c r="M1587" s="9">
        <f>19-9-10</f>
        <v>0</v>
      </c>
      <c r="N1587" s="10">
        <f>11-9-2</f>
        <v>0</v>
      </c>
      <c r="O1587" s="7">
        <f t="shared" ref="O1587" si="775">SUM(L1587:N1587)</f>
        <v>0</v>
      </c>
      <c r="P1587" s="8">
        <f>12-3-9</f>
        <v>0</v>
      </c>
      <c r="Q1587" s="9">
        <f>19-9-10</f>
        <v>0</v>
      </c>
      <c r="R1587" s="10">
        <f>11-9-2</f>
        <v>0</v>
      </c>
      <c r="S1587" s="7">
        <f t="shared" ref="S1587" si="776">SUM(P1587:R1587)</f>
        <v>0</v>
      </c>
      <c r="T1587" s="71" t="s">
        <v>892</v>
      </c>
      <c r="U1587" s="3"/>
      <c r="V1587" s="8"/>
      <c r="W1587" s="9"/>
      <c r="X1587" s="10"/>
      <c r="Y1587" s="7">
        <f t="shared" ref="Y1587" si="777">SUM(V1587:X1587)</f>
        <v>0</v>
      </c>
      <c r="Z1587" s="8"/>
      <c r="AA1587" s="9"/>
      <c r="AB1587" s="10"/>
      <c r="AC1587" s="7">
        <f t="shared" ref="AC1587" si="778">SUM(Z1587:AB1587)</f>
        <v>0</v>
      </c>
      <c r="AD1587" s="8"/>
      <c r="AE1587" s="9"/>
      <c r="AF1587" s="10"/>
      <c r="AG1587" s="7">
        <f t="shared" ref="AG1587" si="779">SUM(AD1587:AF1587)</f>
        <v>0</v>
      </c>
    </row>
    <row r="1588" spans="1:33" ht="14.25" thickBot="1">
      <c r="A1588" s="2" t="s">
        <v>5</v>
      </c>
      <c r="B1588" s="14">
        <f>SUM(B1564:B1587)</f>
        <v>2</v>
      </c>
      <c r="C1588" s="14">
        <f>SUM(C1564:C1587)</f>
        <v>2</v>
      </c>
      <c r="D1588" s="14">
        <f>SUM(D1564:D1587)</f>
        <v>0</v>
      </c>
      <c r="E1588" s="15">
        <f t="shared" si="753"/>
        <v>4</v>
      </c>
      <c r="F1588" s="14">
        <f>SUM(F1564:F1587)</f>
        <v>2</v>
      </c>
      <c r="G1588" s="14">
        <f>SUM(G1564:G1587)</f>
        <v>2</v>
      </c>
      <c r="H1588" s="14">
        <f>SUM(H1564:H1587)</f>
        <v>0</v>
      </c>
      <c r="I1588" s="15">
        <f t="shared" si="754"/>
        <v>4</v>
      </c>
      <c r="K1588" s="2" t="s">
        <v>5</v>
      </c>
      <c r="L1588" s="14">
        <f>SUM(L1564:L1587)</f>
        <v>99</v>
      </c>
      <c r="M1588" s="14">
        <f>SUM(M1564:M1587)</f>
        <v>120</v>
      </c>
      <c r="N1588" s="14">
        <f>SUM(N1564:N1587)</f>
        <v>92</v>
      </c>
      <c r="O1588" s="15">
        <f t="shared" si="765"/>
        <v>311</v>
      </c>
      <c r="P1588" s="14">
        <f>SUM(P1564:P1587)</f>
        <v>99</v>
      </c>
      <c r="Q1588" s="14">
        <f>SUM(Q1564:Q1587)</f>
        <v>120</v>
      </c>
      <c r="R1588" s="14">
        <f>SUM(R1564:R1587)</f>
        <v>92</v>
      </c>
      <c r="S1588" s="15">
        <f t="shared" si="766"/>
        <v>311</v>
      </c>
      <c r="U1588" s="2" t="s">
        <v>5</v>
      </c>
      <c r="V1588" s="14">
        <f>SUM(V1564:V1587)</f>
        <v>0</v>
      </c>
      <c r="W1588" s="14">
        <f>SUM(W1564:W1587)</f>
        <v>0</v>
      </c>
      <c r="X1588" s="14">
        <f>SUM(X1564:X1587)</f>
        <v>0</v>
      </c>
      <c r="Y1588" s="15">
        <f t="shared" si="757"/>
        <v>0</v>
      </c>
      <c r="Z1588" s="14">
        <f>SUM(Z1564:Z1587)</f>
        <v>0</v>
      </c>
      <c r="AA1588" s="14">
        <f>SUM(AA1564:AA1587)</f>
        <v>0</v>
      </c>
      <c r="AB1588" s="14">
        <f>SUM(AB1564:AB1587)</f>
        <v>0</v>
      </c>
      <c r="AC1588" s="15">
        <f t="shared" si="758"/>
        <v>0</v>
      </c>
      <c r="AD1588" s="14">
        <f>SUM(AD1564:AD1587)</f>
        <v>0</v>
      </c>
      <c r="AE1588" s="14">
        <f>SUM(AE1564:AE1587)</f>
        <v>0</v>
      </c>
      <c r="AF1588" s="14">
        <f>SUM(AF1564:AF1587)</f>
        <v>0</v>
      </c>
      <c r="AG1588" s="15">
        <f t="shared" si="759"/>
        <v>0</v>
      </c>
    </row>
    <row r="1589" spans="1:33" ht="14.25" thickBot="1">
      <c r="A1589" s="27" t="s">
        <v>6</v>
      </c>
      <c r="B1589" s="28">
        <f>B1563-B1588</f>
        <v>2</v>
      </c>
      <c r="C1589" s="28">
        <f t="shared" ref="C1589:E1589" si="780">C1563-C1588</f>
        <v>2</v>
      </c>
      <c r="D1589" s="28">
        <f t="shared" si="780"/>
        <v>5</v>
      </c>
      <c r="E1589" s="28">
        <f t="shared" si="780"/>
        <v>9</v>
      </c>
      <c r="F1589" s="28">
        <f>F1563-F1588</f>
        <v>2</v>
      </c>
      <c r="G1589" s="28">
        <f t="shared" ref="G1589:I1589" si="781">G1563-G1588</f>
        <v>2</v>
      </c>
      <c r="H1589" s="28">
        <f t="shared" si="781"/>
        <v>5</v>
      </c>
      <c r="I1589" s="26">
        <f t="shared" si="781"/>
        <v>9</v>
      </c>
      <c r="K1589" s="27" t="s">
        <v>6</v>
      </c>
      <c r="L1589" s="28">
        <f>L1563-L1588</f>
        <v>106</v>
      </c>
      <c r="M1589" s="28">
        <f t="shared" ref="M1589:O1589" si="782">M1563-M1588</f>
        <v>119</v>
      </c>
      <c r="N1589" s="28">
        <f t="shared" si="782"/>
        <v>35</v>
      </c>
      <c r="O1589" s="28">
        <f t="shared" si="782"/>
        <v>260</v>
      </c>
      <c r="P1589" s="28">
        <f>P1563-P1588</f>
        <v>106</v>
      </c>
      <c r="Q1589" s="28">
        <f t="shared" ref="Q1589:S1589" si="783">Q1563-Q1588</f>
        <v>119</v>
      </c>
      <c r="R1589" s="28">
        <f t="shared" si="783"/>
        <v>35</v>
      </c>
      <c r="S1589" s="26">
        <f t="shared" si="783"/>
        <v>260</v>
      </c>
      <c r="U1589" s="27" t="s">
        <v>6</v>
      </c>
      <c r="V1589" s="28">
        <f>V1563-V1588</f>
        <v>12</v>
      </c>
      <c r="W1589" s="28">
        <f t="shared" ref="W1589:Y1589" si="784">W1563-W1588</f>
        <v>18</v>
      </c>
      <c r="X1589" s="28">
        <f t="shared" si="784"/>
        <v>14</v>
      </c>
      <c r="Y1589" s="28">
        <f t="shared" si="784"/>
        <v>44</v>
      </c>
      <c r="Z1589" s="28">
        <f>Z1563-Z1588</f>
        <v>12</v>
      </c>
      <c r="AA1589" s="28">
        <f t="shared" ref="AA1589:AC1589" si="785">AA1563-AA1588</f>
        <v>18</v>
      </c>
      <c r="AB1589" s="28">
        <f t="shared" si="785"/>
        <v>14</v>
      </c>
      <c r="AC1589" s="26">
        <f t="shared" si="785"/>
        <v>44</v>
      </c>
      <c r="AD1589" s="28">
        <f>AD1563-AD1588</f>
        <v>12</v>
      </c>
      <c r="AE1589" s="28">
        <f t="shared" ref="AE1589:AG1589" si="786">AE1563-AE1588</f>
        <v>18</v>
      </c>
      <c r="AF1589" s="28">
        <f t="shared" si="786"/>
        <v>14</v>
      </c>
      <c r="AG1589" s="26">
        <f t="shared" si="786"/>
        <v>44</v>
      </c>
    </row>
    <row r="1592" spans="1:33" ht="26.25" thickBot="1">
      <c r="A1592" s="33" t="s">
        <v>831</v>
      </c>
      <c r="B1592" s="34"/>
      <c r="C1592" s="34"/>
      <c r="D1592" s="34"/>
      <c r="E1592" s="34"/>
      <c r="F1592" s="35"/>
      <c r="G1592" s="35"/>
      <c r="H1592" s="35"/>
      <c r="I1592" s="35"/>
      <c r="K1592" s="33" t="s">
        <v>830</v>
      </c>
      <c r="L1592" s="34"/>
      <c r="M1592" s="34"/>
      <c r="N1592" s="34"/>
      <c r="O1592" s="34"/>
      <c r="P1592" s="35"/>
      <c r="Q1592" s="35"/>
      <c r="R1592" s="35"/>
      <c r="S1592" s="35"/>
      <c r="U1592" s="113" t="s">
        <v>622</v>
      </c>
      <c r="V1592" s="114"/>
      <c r="W1592" s="114"/>
      <c r="X1592" s="114"/>
      <c r="Y1592" s="114"/>
      <c r="Z1592" s="115"/>
      <c r="AA1592" s="115"/>
      <c r="AB1592" s="115"/>
      <c r="AC1592" s="115"/>
      <c r="AD1592" s="116"/>
      <c r="AE1592" s="116"/>
    </row>
    <row r="1593" spans="1:33" ht="14.25" thickBot="1">
      <c r="A1593" s="1" t="s">
        <v>0</v>
      </c>
      <c r="B1593" s="182" t="s">
        <v>17</v>
      </c>
      <c r="C1593" s="182"/>
      <c r="D1593" s="182"/>
      <c r="E1593" s="183"/>
      <c r="F1593" s="182" t="s">
        <v>13</v>
      </c>
      <c r="G1593" s="182"/>
      <c r="H1593" s="182"/>
      <c r="I1593" s="183"/>
      <c r="K1593" s="1" t="s">
        <v>0</v>
      </c>
      <c r="L1593" s="132" t="s">
        <v>17</v>
      </c>
      <c r="M1593" s="132"/>
      <c r="N1593" s="132"/>
      <c r="O1593" s="133"/>
      <c r="P1593" s="132" t="s">
        <v>13</v>
      </c>
      <c r="Q1593" s="132"/>
      <c r="R1593" s="132"/>
      <c r="S1593" s="133"/>
      <c r="U1593" s="1" t="s">
        <v>0</v>
      </c>
      <c r="V1593" s="182" t="s">
        <v>17</v>
      </c>
      <c r="W1593" s="182"/>
      <c r="X1593" s="182"/>
      <c r="Y1593" s="183"/>
      <c r="Z1593" s="182" t="s">
        <v>13</v>
      </c>
      <c r="AA1593" s="182"/>
      <c r="AB1593" s="182"/>
      <c r="AC1593" s="183"/>
      <c r="AD1593" s="182" t="s">
        <v>242</v>
      </c>
      <c r="AE1593" s="182"/>
      <c r="AF1593" s="182"/>
      <c r="AG1593" s="183"/>
    </row>
    <row r="1594" spans="1:33" ht="14.25" thickBot="1">
      <c r="A1594" s="1" t="s">
        <v>1</v>
      </c>
      <c r="B1594" s="2" t="s">
        <v>8</v>
      </c>
      <c r="C1594" s="1" t="s">
        <v>9</v>
      </c>
      <c r="D1594" s="19" t="s">
        <v>10</v>
      </c>
      <c r="E1594" s="1" t="s">
        <v>2</v>
      </c>
      <c r="F1594" s="2" t="s">
        <v>8</v>
      </c>
      <c r="G1594" s="1" t="s">
        <v>9</v>
      </c>
      <c r="H1594" s="19" t="s">
        <v>10</v>
      </c>
      <c r="I1594" s="1" t="s">
        <v>2</v>
      </c>
      <c r="K1594" s="1" t="s">
        <v>1</v>
      </c>
      <c r="L1594" s="2" t="s">
        <v>8</v>
      </c>
      <c r="M1594" s="1" t="s">
        <v>9</v>
      </c>
      <c r="N1594" s="19" t="s">
        <v>10</v>
      </c>
      <c r="O1594" s="1" t="s">
        <v>2</v>
      </c>
      <c r="P1594" s="2" t="s">
        <v>8</v>
      </c>
      <c r="Q1594" s="1" t="s">
        <v>9</v>
      </c>
      <c r="R1594" s="19" t="s">
        <v>10</v>
      </c>
      <c r="S1594" s="1" t="s">
        <v>2</v>
      </c>
      <c r="U1594" s="1" t="s">
        <v>1</v>
      </c>
      <c r="V1594" s="2" t="s">
        <v>8</v>
      </c>
      <c r="W1594" s="1" t="s">
        <v>9</v>
      </c>
      <c r="X1594" s="19" t="s">
        <v>10</v>
      </c>
      <c r="Y1594" s="1" t="s">
        <v>2</v>
      </c>
      <c r="Z1594" s="2" t="s">
        <v>8</v>
      </c>
      <c r="AA1594" s="1" t="s">
        <v>9</v>
      </c>
      <c r="AB1594" s="19" t="s">
        <v>10</v>
      </c>
      <c r="AC1594" s="1" t="s">
        <v>2</v>
      </c>
      <c r="AD1594" s="2" t="s">
        <v>8</v>
      </c>
      <c r="AE1594" s="1" t="s">
        <v>9</v>
      </c>
      <c r="AF1594" s="19" t="s">
        <v>10</v>
      </c>
      <c r="AG1594" s="1" t="s">
        <v>2</v>
      </c>
    </row>
    <row r="1595" spans="1:33">
      <c r="A1595" s="21" t="s">
        <v>7</v>
      </c>
      <c r="B1595" s="18">
        <f>B1589</f>
        <v>2</v>
      </c>
      <c r="C1595" s="22">
        <f>C1589</f>
        <v>2</v>
      </c>
      <c r="D1595" s="22">
        <f>D1589</f>
        <v>5</v>
      </c>
      <c r="E1595" s="17">
        <f t="shared" ref="E1595:E1631" si="787">SUM(B1595:D1595)</f>
        <v>9</v>
      </c>
      <c r="F1595" s="22">
        <f>F1589</f>
        <v>2</v>
      </c>
      <c r="G1595" s="22">
        <f>G1589</f>
        <v>2</v>
      </c>
      <c r="H1595" s="22">
        <f>H1589</f>
        <v>5</v>
      </c>
      <c r="I1595" s="17">
        <f t="shared" ref="I1595:I1631" si="788">SUM(F1595:H1595)</f>
        <v>9</v>
      </c>
      <c r="K1595" s="21" t="s">
        <v>7</v>
      </c>
      <c r="L1595" s="18">
        <f>L1589</f>
        <v>106</v>
      </c>
      <c r="M1595" s="22">
        <f>M1589</f>
        <v>119</v>
      </c>
      <c r="N1595" s="22">
        <f>N1589</f>
        <v>35</v>
      </c>
      <c r="O1595" s="17">
        <f t="shared" ref="O1595:O1631" si="789">SUM(L1595:N1595)</f>
        <v>260</v>
      </c>
      <c r="P1595" s="22">
        <f>P1589</f>
        <v>106</v>
      </c>
      <c r="Q1595" s="22">
        <f>Q1589</f>
        <v>119</v>
      </c>
      <c r="R1595" s="22">
        <f>R1589</f>
        <v>35</v>
      </c>
      <c r="S1595" s="17">
        <f t="shared" ref="S1595:S1631" si="790">SUM(P1595:R1595)</f>
        <v>260</v>
      </c>
      <c r="U1595" s="21" t="s">
        <v>7</v>
      </c>
      <c r="V1595" s="18">
        <f>V1589</f>
        <v>12</v>
      </c>
      <c r="W1595" s="22">
        <f>W1589</f>
        <v>18</v>
      </c>
      <c r="X1595" s="22">
        <f>X1589</f>
        <v>14</v>
      </c>
      <c r="Y1595" s="17">
        <f t="shared" ref="Y1595:Y1631" si="791">SUM(V1595:X1595)</f>
        <v>44</v>
      </c>
      <c r="Z1595" s="22">
        <f>Z1589</f>
        <v>12</v>
      </c>
      <c r="AA1595" s="22">
        <f>AA1589</f>
        <v>18</v>
      </c>
      <c r="AB1595" s="22">
        <f>AB1589</f>
        <v>14</v>
      </c>
      <c r="AC1595" s="17">
        <f t="shared" ref="AC1595:AC1631" si="792">SUM(Z1595:AB1595)</f>
        <v>44</v>
      </c>
      <c r="AD1595" s="22">
        <f>AD1589</f>
        <v>12</v>
      </c>
      <c r="AE1595" s="22">
        <f>AE1589</f>
        <v>18</v>
      </c>
      <c r="AF1595" s="22">
        <f>AF1589</f>
        <v>14</v>
      </c>
      <c r="AG1595" s="17">
        <f t="shared" ref="AG1595:AG1631" si="793">SUM(AD1595:AF1595)</f>
        <v>44</v>
      </c>
    </row>
    <row r="1596" spans="1:33">
      <c r="A1596" s="5" t="s">
        <v>3</v>
      </c>
      <c r="B1596" s="30">
        <v>5</v>
      </c>
      <c r="C1596" s="31">
        <v>5</v>
      </c>
      <c r="D1596" s="32"/>
      <c r="E1596" s="4">
        <f t="shared" si="787"/>
        <v>10</v>
      </c>
      <c r="F1596" s="30">
        <v>5</v>
      </c>
      <c r="G1596" s="31">
        <v>5</v>
      </c>
      <c r="H1596" s="32"/>
      <c r="I1596" s="4">
        <f t="shared" si="788"/>
        <v>10</v>
      </c>
      <c r="J1596" s="43">
        <v>45449</v>
      </c>
      <c r="K1596" s="5" t="s">
        <v>3</v>
      </c>
      <c r="L1596" s="16"/>
      <c r="M1596" s="11"/>
      <c r="N1596" s="16"/>
      <c r="O1596" s="4">
        <f t="shared" si="789"/>
        <v>0</v>
      </c>
      <c r="P1596" s="16"/>
      <c r="Q1596" s="11"/>
      <c r="R1596" s="16"/>
      <c r="S1596" s="4">
        <f t="shared" si="790"/>
        <v>0</v>
      </c>
      <c r="U1596" s="5" t="s">
        <v>3</v>
      </c>
      <c r="V1596" s="16"/>
      <c r="W1596" s="11"/>
      <c r="X1596" s="16"/>
      <c r="Y1596" s="4">
        <f t="shared" si="791"/>
        <v>0</v>
      </c>
      <c r="Z1596" s="16"/>
      <c r="AA1596" s="11"/>
      <c r="AB1596" s="16"/>
      <c r="AC1596" s="4">
        <f t="shared" si="792"/>
        <v>0</v>
      </c>
      <c r="AD1596" s="16"/>
      <c r="AE1596" s="11"/>
      <c r="AF1596" s="16"/>
      <c r="AG1596" s="4">
        <f t="shared" si="793"/>
        <v>0</v>
      </c>
    </row>
    <row r="1597" spans="1:33">
      <c r="A1597" s="84" t="s">
        <v>939</v>
      </c>
      <c r="B1597" s="8">
        <v>1</v>
      </c>
      <c r="C1597" s="9"/>
      <c r="D1597" s="10"/>
      <c r="E1597" s="7">
        <f t="shared" si="787"/>
        <v>1</v>
      </c>
      <c r="F1597" s="8">
        <v>1</v>
      </c>
      <c r="G1597" s="9"/>
      <c r="H1597" s="10"/>
      <c r="I1597" s="7">
        <f t="shared" si="788"/>
        <v>1</v>
      </c>
      <c r="J1597" s="43">
        <v>45458</v>
      </c>
      <c r="K1597" s="5" t="s">
        <v>3</v>
      </c>
      <c r="L1597" s="32"/>
      <c r="M1597" s="31"/>
      <c r="N1597" s="32"/>
      <c r="O1597" s="4">
        <f t="shared" si="789"/>
        <v>0</v>
      </c>
      <c r="P1597" s="32"/>
      <c r="Q1597" s="31"/>
      <c r="R1597" s="32"/>
      <c r="S1597" s="4">
        <f t="shared" si="790"/>
        <v>0</v>
      </c>
      <c r="U1597" s="5" t="s">
        <v>3</v>
      </c>
      <c r="V1597" s="16"/>
      <c r="W1597" s="11"/>
      <c r="X1597" s="16"/>
      <c r="Y1597" s="4">
        <f t="shared" ref="Y1597:Y1599" si="794">SUM(V1597:X1597)</f>
        <v>0</v>
      </c>
      <c r="Z1597" s="16"/>
      <c r="AA1597" s="11"/>
      <c r="AB1597" s="16"/>
      <c r="AC1597" s="4">
        <f t="shared" ref="AC1597:AC1599" si="795">SUM(Z1597:AB1597)</f>
        <v>0</v>
      </c>
      <c r="AD1597" s="16"/>
      <c r="AE1597" s="11"/>
      <c r="AF1597" s="16"/>
      <c r="AG1597" s="4">
        <f t="shared" ref="AG1597:AG1599" si="796">SUM(AD1597:AF1597)</f>
        <v>0</v>
      </c>
    </row>
    <row r="1598" spans="1:33">
      <c r="A1598" s="5" t="s">
        <v>3</v>
      </c>
      <c r="B1598" s="30"/>
      <c r="C1598" s="31">
        <v>5</v>
      </c>
      <c r="D1598" s="32">
        <v>5</v>
      </c>
      <c r="E1598" s="4">
        <f t="shared" si="787"/>
        <v>10</v>
      </c>
      <c r="F1598" s="30"/>
      <c r="G1598" s="31">
        <v>5</v>
      </c>
      <c r="H1598" s="32">
        <v>5</v>
      </c>
      <c r="I1598" s="4">
        <f t="shared" si="788"/>
        <v>10</v>
      </c>
      <c r="J1598" s="43">
        <v>45462</v>
      </c>
      <c r="K1598" s="5" t="s">
        <v>266</v>
      </c>
      <c r="L1598" s="32">
        <v>220</v>
      </c>
      <c r="M1598" s="31">
        <v>320</v>
      </c>
      <c r="N1598" s="32">
        <v>200</v>
      </c>
      <c r="O1598" s="4">
        <f t="shared" si="789"/>
        <v>740</v>
      </c>
      <c r="P1598" s="32">
        <v>220</v>
      </c>
      <c r="Q1598" s="31">
        <v>320</v>
      </c>
      <c r="R1598" s="32">
        <v>200</v>
      </c>
      <c r="S1598" s="4">
        <f t="shared" si="790"/>
        <v>740</v>
      </c>
      <c r="T1598" s="43" t="s">
        <v>932</v>
      </c>
      <c r="U1598" s="5" t="s">
        <v>3</v>
      </c>
      <c r="V1598" s="32"/>
      <c r="W1598" s="31"/>
      <c r="X1598" s="32"/>
      <c r="Y1598" s="4">
        <f t="shared" si="794"/>
        <v>0</v>
      </c>
      <c r="Z1598" s="32"/>
      <c r="AA1598" s="31"/>
      <c r="AB1598" s="32"/>
      <c r="AC1598" s="4">
        <f t="shared" si="795"/>
        <v>0</v>
      </c>
      <c r="AD1598" s="32"/>
      <c r="AE1598" s="31"/>
      <c r="AF1598" s="32"/>
      <c r="AG1598" s="4">
        <f t="shared" si="796"/>
        <v>0</v>
      </c>
    </row>
    <row r="1599" spans="1:33">
      <c r="A1599" s="5" t="s">
        <v>3</v>
      </c>
      <c r="B1599" s="16"/>
      <c r="C1599" s="11"/>
      <c r="D1599" s="16"/>
      <c r="E1599" s="4">
        <f t="shared" si="787"/>
        <v>0</v>
      </c>
      <c r="F1599" s="16"/>
      <c r="G1599" s="11"/>
      <c r="H1599" s="16"/>
      <c r="I1599" s="4">
        <f t="shared" si="788"/>
        <v>0</v>
      </c>
      <c r="J1599" s="71"/>
      <c r="K1599" s="5" t="s">
        <v>3</v>
      </c>
      <c r="L1599" s="32"/>
      <c r="M1599" s="31"/>
      <c r="N1599" s="32"/>
      <c r="O1599" s="4">
        <f t="shared" ref="O1599" si="797">SUM(L1599:N1599)</f>
        <v>0</v>
      </c>
      <c r="P1599" s="32"/>
      <c r="Q1599" s="31"/>
      <c r="R1599" s="32"/>
      <c r="S1599" s="4">
        <f t="shared" ref="S1599" si="798">SUM(P1599:R1599)</f>
        <v>0</v>
      </c>
      <c r="U1599" s="5" t="s">
        <v>3</v>
      </c>
      <c r="V1599" s="16"/>
      <c r="W1599" s="11"/>
      <c r="X1599" s="16"/>
      <c r="Y1599" s="4">
        <f t="shared" si="794"/>
        <v>0</v>
      </c>
      <c r="Z1599" s="16"/>
      <c r="AA1599" s="11"/>
      <c r="AB1599" s="16"/>
      <c r="AC1599" s="4">
        <f t="shared" si="795"/>
        <v>0</v>
      </c>
      <c r="AD1599" s="16"/>
      <c r="AE1599" s="11"/>
      <c r="AF1599" s="16"/>
      <c r="AG1599" s="4">
        <f t="shared" si="796"/>
        <v>0</v>
      </c>
    </row>
    <row r="1600" spans="1:33">
      <c r="A1600" s="5" t="s">
        <v>3</v>
      </c>
      <c r="B1600" s="16"/>
      <c r="C1600" s="11"/>
      <c r="D1600" s="16"/>
      <c r="E1600" s="4">
        <f t="shared" si="787"/>
        <v>0</v>
      </c>
      <c r="F1600" s="16"/>
      <c r="G1600" s="11"/>
      <c r="H1600" s="16"/>
      <c r="I1600" s="4">
        <f t="shared" si="788"/>
        <v>0</v>
      </c>
      <c r="J1600" s="71"/>
      <c r="K1600" s="5" t="s">
        <v>3</v>
      </c>
      <c r="L1600" s="32"/>
      <c r="M1600" s="31"/>
      <c r="N1600" s="32"/>
      <c r="O1600" s="4">
        <f t="shared" si="789"/>
        <v>0</v>
      </c>
      <c r="P1600" s="32"/>
      <c r="Q1600" s="31"/>
      <c r="R1600" s="32"/>
      <c r="S1600" s="4">
        <f t="shared" si="790"/>
        <v>0</v>
      </c>
      <c r="U1600" s="5" t="s">
        <v>3</v>
      </c>
      <c r="V1600" s="32"/>
      <c r="W1600" s="31"/>
      <c r="X1600" s="32"/>
      <c r="Y1600" s="4">
        <f t="shared" si="791"/>
        <v>0</v>
      </c>
      <c r="Z1600" s="32"/>
      <c r="AA1600" s="31"/>
      <c r="AB1600" s="32"/>
      <c r="AC1600" s="4">
        <f t="shared" si="792"/>
        <v>0</v>
      </c>
      <c r="AD1600" s="32"/>
      <c r="AE1600" s="31"/>
      <c r="AF1600" s="32"/>
      <c r="AG1600" s="4">
        <f t="shared" si="793"/>
        <v>0</v>
      </c>
    </row>
    <row r="1601" spans="1:34">
      <c r="A1601" s="5" t="s">
        <v>3</v>
      </c>
      <c r="B1601" s="16"/>
      <c r="C1601" s="11"/>
      <c r="D1601" s="16"/>
      <c r="E1601" s="4">
        <f t="shared" si="787"/>
        <v>0</v>
      </c>
      <c r="F1601" s="16"/>
      <c r="G1601" s="11"/>
      <c r="H1601" s="16"/>
      <c r="I1601" s="4">
        <f t="shared" si="788"/>
        <v>0</v>
      </c>
      <c r="K1601" s="5" t="s">
        <v>3</v>
      </c>
      <c r="L1601" s="32"/>
      <c r="M1601" s="31"/>
      <c r="N1601" s="32"/>
      <c r="O1601" s="4">
        <f t="shared" si="789"/>
        <v>0</v>
      </c>
      <c r="P1601" s="32"/>
      <c r="Q1601" s="31"/>
      <c r="R1601" s="32"/>
      <c r="S1601" s="4">
        <f t="shared" si="790"/>
        <v>0</v>
      </c>
      <c r="U1601" s="5" t="s">
        <v>3</v>
      </c>
      <c r="V1601" s="16"/>
      <c r="W1601" s="11"/>
      <c r="X1601" s="16"/>
      <c r="Y1601" s="4">
        <f t="shared" si="791"/>
        <v>0</v>
      </c>
      <c r="Z1601" s="16"/>
      <c r="AA1601" s="11"/>
      <c r="AB1601" s="16"/>
      <c r="AC1601" s="4">
        <f t="shared" si="792"/>
        <v>0</v>
      </c>
      <c r="AD1601" s="16"/>
      <c r="AE1601" s="11"/>
      <c r="AF1601" s="16"/>
      <c r="AG1601" s="4">
        <f t="shared" si="793"/>
        <v>0</v>
      </c>
    </row>
    <row r="1602" spans="1:34">
      <c r="A1602" s="5" t="s">
        <v>3</v>
      </c>
      <c r="B1602" s="32"/>
      <c r="C1602" s="31"/>
      <c r="D1602" s="32"/>
      <c r="E1602" s="4">
        <f t="shared" si="787"/>
        <v>0</v>
      </c>
      <c r="F1602" s="32"/>
      <c r="G1602" s="31"/>
      <c r="H1602" s="32"/>
      <c r="I1602" s="4">
        <f t="shared" si="788"/>
        <v>0</v>
      </c>
      <c r="K1602" s="5" t="s">
        <v>3</v>
      </c>
      <c r="L1602" s="32"/>
      <c r="M1602" s="31"/>
      <c r="N1602" s="32"/>
      <c r="O1602" s="4">
        <f t="shared" si="789"/>
        <v>0</v>
      </c>
      <c r="P1602" s="32"/>
      <c r="Q1602" s="31"/>
      <c r="R1602" s="32"/>
      <c r="S1602" s="4">
        <f t="shared" si="790"/>
        <v>0</v>
      </c>
      <c r="U1602" s="5" t="s">
        <v>3</v>
      </c>
      <c r="V1602" s="32"/>
      <c r="W1602" s="31"/>
      <c r="X1602" s="32"/>
      <c r="Y1602" s="4">
        <f t="shared" si="791"/>
        <v>0</v>
      </c>
      <c r="Z1602" s="32"/>
      <c r="AA1602" s="31"/>
      <c r="AB1602" s="32"/>
      <c r="AC1602" s="4">
        <f t="shared" si="792"/>
        <v>0</v>
      </c>
      <c r="AD1602" s="32"/>
      <c r="AE1602" s="31"/>
      <c r="AF1602" s="32"/>
      <c r="AG1602" s="4">
        <f t="shared" si="793"/>
        <v>0</v>
      </c>
    </row>
    <row r="1603" spans="1:34">
      <c r="A1603" s="5" t="s">
        <v>3</v>
      </c>
      <c r="B1603" s="32"/>
      <c r="C1603" s="31"/>
      <c r="D1603" s="32"/>
      <c r="E1603" s="4">
        <f t="shared" si="787"/>
        <v>0</v>
      </c>
      <c r="F1603" s="32"/>
      <c r="G1603" s="31"/>
      <c r="H1603" s="32"/>
      <c r="I1603" s="4">
        <f t="shared" si="788"/>
        <v>0</v>
      </c>
      <c r="K1603" s="5" t="s">
        <v>3</v>
      </c>
      <c r="L1603" s="32"/>
      <c r="M1603" s="31"/>
      <c r="N1603" s="32"/>
      <c r="O1603" s="4">
        <f t="shared" si="789"/>
        <v>0</v>
      </c>
      <c r="P1603" s="32"/>
      <c r="Q1603" s="31"/>
      <c r="R1603" s="32"/>
      <c r="S1603" s="4">
        <f t="shared" si="790"/>
        <v>0</v>
      </c>
      <c r="U1603" s="5" t="s">
        <v>3</v>
      </c>
      <c r="V1603" s="32"/>
      <c r="W1603" s="31"/>
      <c r="X1603" s="32"/>
      <c r="Y1603" s="4">
        <f t="shared" si="791"/>
        <v>0</v>
      </c>
      <c r="Z1603" s="32"/>
      <c r="AA1603" s="31"/>
      <c r="AB1603" s="32"/>
      <c r="AC1603" s="4">
        <f t="shared" si="792"/>
        <v>0</v>
      </c>
      <c r="AD1603" s="32"/>
      <c r="AE1603" s="31"/>
      <c r="AF1603" s="32"/>
      <c r="AG1603" s="4">
        <f t="shared" si="793"/>
        <v>0</v>
      </c>
    </row>
    <row r="1604" spans="1:34">
      <c r="A1604" s="5" t="s">
        <v>3</v>
      </c>
      <c r="B1604" s="30"/>
      <c r="C1604" s="31"/>
      <c r="D1604" s="32"/>
      <c r="E1604" s="4">
        <f t="shared" si="787"/>
        <v>0</v>
      </c>
      <c r="F1604" s="30"/>
      <c r="G1604" s="31"/>
      <c r="H1604" s="32"/>
      <c r="I1604" s="4">
        <f t="shared" si="788"/>
        <v>0</v>
      </c>
      <c r="K1604" s="5" t="s">
        <v>3</v>
      </c>
      <c r="L1604" s="32"/>
      <c r="M1604" s="31"/>
      <c r="N1604" s="32"/>
      <c r="O1604" s="4">
        <f t="shared" si="789"/>
        <v>0</v>
      </c>
      <c r="P1604" s="32"/>
      <c r="Q1604" s="31"/>
      <c r="R1604" s="32"/>
      <c r="S1604" s="4">
        <f t="shared" si="790"/>
        <v>0</v>
      </c>
      <c r="U1604" s="5" t="s">
        <v>3</v>
      </c>
      <c r="V1604" s="30"/>
      <c r="W1604" s="31"/>
      <c r="X1604" s="32"/>
      <c r="Y1604" s="4">
        <f t="shared" si="791"/>
        <v>0</v>
      </c>
      <c r="Z1604" s="30"/>
      <c r="AA1604" s="31"/>
      <c r="AB1604" s="32"/>
      <c r="AC1604" s="4">
        <f t="shared" si="792"/>
        <v>0</v>
      </c>
      <c r="AD1604" s="30"/>
      <c r="AE1604" s="31"/>
      <c r="AF1604" s="32"/>
      <c r="AG1604" s="4">
        <f t="shared" si="793"/>
        <v>0</v>
      </c>
    </row>
    <row r="1605" spans="1:34" ht="14.25" thickBot="1">
      <c r="A1605" s="6" t="s">
        <v>3</v>
      </c>
      <c r="B1605" s="36"/>
      <c r="C1605" s="37"/>
      <c r="D1605" s="36"/>
      <c r="E1605" s="20">
        <f t="shared" si="787"/>
        <v>0</v>
      </c>
      <c r="F1605" s="13"/>
      <c r="G1605" s="12"/>
      <c r="H1605" s="13"/>
      <c r="I1605" s="20">
        <f t="shared" si="788"/>
        <v>0</v>
      </c>
      <c r="K1605" s="5" t="s">
        <v>3</v>
      </c>
      <c r="L1605" s="36"/>
      <c r="M1605" s="37"/>
      <c r="N1605" s="36"/>
      <c r="O1605" s="20">
        <f t="shared" si="789"/>
        <v>0</v>
      </c>
      <c r="P1605" s="13"/>
      <c r="Q1605" s="12"/>
      <c r="R1605" s="13"/>
      <c r="S1605" s="20">
        <f t="shared" si="790"/>
        <v>0</v>
      </c>
      <c r="U1605" s="6" t="s">
        <v>3</v>
      </c>
      <c r="V1605" s="13"/>
      <c r="W1605" s="12"/>
      <c r="X1605" s="13"/>
      <c r="Y1605" s="20">
        <f t="shared" si="791"/>
        <v>0</v>
      </c>
      <c r="Z1605" s="13"/>
      <c r="AA1605" s="12"/>
      <c r="AB1605" s="13"/>
      <c r="AC1605" s="20">
        <f t="shared" si="792"/>
        <v>0</v>
      </c>
      <c r="AD1605" s="13"/>
      <c r="AE1605" s="12"/>
      <c r="AF1605" s="13"/>
      <c r="AG1605" s="20">
        <f t="shared" si="793"/>
        <v>0</v>
      </c>
    </row>
    <row r="1606" spans="1:34" ht="14.25" thickBot="1">
      <c r="A1606" s="23" t="s">
        <v>4</v>
      </c>
      <c r="B1606" s="24">
        <f>SUM(B1595:B1605)</f>
        <v>8</v>
      </c>
      <c r="C1606" s="24">
        <f>SUM(C1595:C1605)</f>
        <v>12</v>
      </c>
      <c r="D1606" s="25">
        <f>SUM(D1595:D1605)</f>
        <v>10</v>
      </c>
      <c r="E1606" s="26">
        <f t="shared" si="787"/>
        <v>30</v>
      </c>
      <c r="F1606" s="24">
        <f>SUM(F1595:F1605)</f>
        <v>8</v>
      </c>
      <c r="G1606" s="24">
        <f>SUM(G1595:G1605)</f>
        <v>12</v>
      </c>
      <c r="H1606" s="25">
        <f>SUM(H1595:H1605)</f>
        <v>10</v>
      </c>
      <c r="I1606" s="26">
        <f t="shared" si="788"/>
        <v>30</v>
      </c>
      <c r="K1606" s="23" t="s">
        <v>4</v>
      </c>
      <c r="L1606" s="24">
        <f>SUM(L1595:L1605)</f>
        <v>326</v>
      </c>
      <c r="M1606" s="24">
        <f>SUM(M1595:M1605)</f>
        <v>439</v>
      </c>
      <c r="N1606" s="25">
        <f>SUM(N1595:N1605)</f>
        <v>235</v>
      </c>
      <c r="O1606" s="26">
        <f t="shared" si="789"/>
        <v>1000</v>
      </c>
      <c r="P1606" s="24">
        <f>SUM(P1595:P1605)</f>
        <v>326</v>
      </c>
      <c r="Q1606" s="24">
        <f>SUM(Q1595:Q1605)</f>
        <v>439</v>
      </c>
      <c r="R1606" s="25">
        <f>SUM(R1595:R1605)</f>
        <v>235</v>
      </c>
      <c r="S1606" s="26">
        <f t="shared" si="790"/>
        <v>1000</v>
      </c>
      <c r="U1606" s="23" t="s">
        <v>4</v>
      </c>
      <c r="V1606" s="24">
        <f>SUM(V1595:V1605)</f>
        <v>12</v>
      </c>
      <c r="W1606" s="24">
        <f>SUM(W1595:W1605)</f>
        <v>18</v>
      </c>
      <c r="X1606" s="25">
        <f>SUM(X1595:X1605)</f>
        <v>14</v>
      </c>
      <c r="Y1606" s="26">
        <f t="shared" si="791"/>
        <v>44</v>
      </c>
      <c r="Z1606" s="24">
        <f>SUM(Z1595:Z1605)</f>
        <v>12</v>
      </c>
      <c r="AA1606" s="24">
        <f>SUM(AA1595:AA1605)</f>
        <v>18</v>
      </c>
      <c r="AB1606" s="25">
        <f>SUM(AB1595:AB1605)</f>
        <v>14</v>
      </c>
      <c r="AC1606" s="26">
        <f t="shared" si="792"/>
        <v>44</v>
      </c>
      <c r="AD1606" s="24">
        <f>SUM(AD1595:AD1605)</f>
        <v>12</v>
      </c>
      <c r="AE1606" s="24">
        <f>SUM(AE1595:AE1605)</f>
        <v>18</v>
      </c>
      <c r="AF1606" s="25">
        <f>SUM(AF1595:AF1605)</f>
        <v>14</v>
      </c>
      <c r="AG1606" s="26">
        <f t="shared" si="793"/>
        <v>44</v>
      </c>
    </row>
    <row r="1607" spans="1:34">
      <c r="A1607" s="3" t="s">
        <v>930</v>
      </c>
      <c r="B1607" s="8">
        <v>1</v>
      </c>
      <c r="C1607" s="9">
        <v>2</v>
      </c>
      <c r="D1607" s="10"/>
      <c r="E1607" s="7">
        <f t="shared" si="787"/>
        <v>3</v>
      </c>
      <c r="F1607" s="8">
        <v>1</v>
      </c>
      <c r="G1607" s="9">
        <v>2</v>
      </c>
      <c r="H1607" s="10"/>
      <c r="I1607" s="7">
        <f t="shared" si="788"/>
        <v>3</v>
      </c>
      <c r="J1607" s="43">
        <v>45448</v>
      </c>
      <c r="K1607" s="3" t="s">
        <v>928</v>
      </c>
      <c r="L1607" s="8">
        <v>27</v>
      </c>
      <c r="M1607" s="9">
        <v>57</v>
      </c>
      <c r="N1607" s="10">
        <v>17</v>
      </c>
      <c r="O1607" s="7">
        <f t="shared" si="789"/>
        <v>101</v>
      </c>
      <c r="P1607" s="8">
        <v>27</v>
      </c>
      <c r="Q1607" s="9">
        <v>57</v>
      </c>
      <c r="R1607" s="10">
        <v>17</v>
      </c>
      <c r="S1607" s="7">
        <f t="shared" si="790"/>
        <v>101</v>
      </c>
      <c r="T1607" s="43">
        <v>45448</v>
      </c>
      <c r="U1607" s="3" t="s">
        <v>923</v>
      </c>
      <c r="V1607" s="32">
        <v>10</v>
      </c>
      <c r="W1607" s="31">
        <v>12</v>
      </c>
      <c r="X1607" s="32">
        <v>10</v>
      </c>
      <c r="Y1607" s="4">
        <f t="shared" si="791"/>
        <v>32</v>
      </c>
      <c r="Z1607" s="32">
        <v>10</v>
      </c>
      <c r="AA1607" s="31">
        <v>12</v>
      </c>
      <c r="AB1607" s="32">
        <v>10</v>
      </c>
      <c r="AC1607" s="4">
        <f t="shared" si="792"/>
        <v>32</v>
      </c>
      <c r="AD1607" s="8">
        <v>10</v>
      </c>
      <c r="AE1607" s="9">
        <v>12</v>
      </c>
      <c r="AF1607" s="10">
        <v>10</v>
      </c>
      <c r="AG1607" s="7">
        <f t="shared" si="793"/>
        <v>32</v>
      </c>
      <c r="AH1607" s="43">
        <v>45446</v>
      </c>
    </row>
    <row r="1608" spans="1:34">
      <c r="A1608" s="3" t="s">
        <v>933</v>
      </c>
      <c r="B1608" s="8">
        <v>1</v>
      </c>
      <c r="C1608" s="9">
        <v>2</v>
      </c>
      <c r="D1608" s="10"/>
      <c r="E1608" s="4">
        <f t="shared" si="787"/>
        <v>3</v>
      </c>
      <c r="F1608" s="8">
        <v>1</v>
      </c>
      <c r="G1608" s="9">
        <v>2</v>
      </c>
      <c r="H1608" s="10"/>
      <c r="I1608" s="4">
        <f t="shared" si="788"/>
        <v>3</v>
      </c>
      <c r="J1608" s="43">
        <v>45455</v>
      </c>
      <c r="K1608" s="3" t="s">
        <v>926</v>
      </c>
      <c r="L1608" s="8">
        <v>4</v>
      </c>
      <c r="M1608" s="9">
        <v>5</v>
      </c>
      <c r="N1608" s="10">
        <v>2</v>
      </c>
      <c r="O1608" s="7">
        <f t="shared" si="789"/>
        <v>11</v>
      </c>
      <c r="P1608" s="8">
        <v>4</v>
      </c>
      <c r="Q1608" s="9">
        <v>5</v>
      </c>
      <c r="R1608" s="10">
        <v>2</v>
      </c>
      <c r="S1608" s="7">
        <f t="shared" si="790"/>
        <v>11</v>
      </c>
      <c r="T1608" s="43">
        <v>45446</v>
      </c>
      <c r="U1608" s="40"/>
      <c r="V1608" s="8"/>
      <c r="W1608" s="9"/>
      <c r="X1608" s="10"/>
      <c r="Y1608" s="4">
        <f t="shared" si="791"/>
        <v>0</v>
      </c>
      <c r="Z1608" s="8"/>
      <c r="AA1608" s="9"/>
      <c r="AB1608" s="10"/>
      <c r="AC1608" s="4">
        <f t="shared" si="792"/>
        <v>0</v>
      </c>
      <c r="AD1608" s="8"/>
      <c r="AE1608" s="9"/>
      <c r="AF1608" s="10"/>
      <c r="AG1608" s="4">
        <f t="shared" si="793"/>
        <v>0</v>
      </c>
    </row>
    <row r="1609" spans="1:34">
      <c r="A1609" s="3" t="s">
        <v>48</v>
      </c>
      <c r="B1609" s="8"/>
      <c r="C1609" s="9"/>
      <c r="D1609" s="10">
        <v>2</v>
      </c>
      <c r="E1609" s="4">
        <f t="shared" ref="E1609:E1613" si="799">SUM(B1609:D1609)</f>
        <v>2</v>
      </c>
      <c r="F1609" s="8"/>
      <c r="G1609" s="9"/>
      <c r="H1609" s="10">
        <v>2</v>
      </c>
      <c r="I1609" s="4">
        <f t="shared" ref="I1609:I1613" si="800">SUM(F1609:H1609)</f>
        <v>2</v>
      </c>
      <c r="J1609" s="43">
        <v>45457</v>
      </c>
      <c r="K1609" s="3" t="s">
        <v>927</v>
      </c>
      <c r="L1609" s="8">
        <v>5</v>
      </c>
      <c r="M1609" s="9">
        <v>10</v>
      </c>
      <c r="N1609" s="10"/>
      <c r="O1609" s="4">
        <f t="shared" si="789"/>
        <v>15</v>
      </c>
      <c r="P1609" s="8">
        <v>5</v>
      </c>
      <c r="Q1609" s="9">
        <v>10</v>
      </c>
      <c r="R1609" s="10"/>
      <c r="S1609" s="4">
        <f t="shared" si="790"/>
        <v>15</v>
      </c>
      <c r="T1609" s="43">
        <v>45447</v>
      </c>
      <c r="U1609" s="40"/>
      <c r="V1609" s="8"/>
      <c r="W1609" s="9"/>
      <c r="X1609" s="10"/>
      <c r="Y1609" s="7">
        <f t="shared" si="791"/>
        <v>0</v>
      </c>
      <c r="Z1609" s="8"/>
      <c r="AA1609" s="9"/>
      <c r="AB1609" s="10"/>
      <c r="AC1609" s="7">
        <f t="shared" si="792"/>
        <v>0</v>
      </c>
      <c r="AD1609" s="8"/>
      <c r="AE1609" s="9"/>
      <c r="AF1609" s="10"/>
      <c r="AG1609" s="7">
        <f t="shared" si="793"/>
        <v>0</v>
      </c>
    </row>
    <row r="1610" spans="1:34">
      <c r="A1610" s="3" t="s">
        <v>51</v>
      </c>
      <c r="B1610" s="8"/>
      <c r="C1610" s="9"/>
      <c r="D1610" s="10">
        <v>2</v>
      </c>
      <c r="E1610" s="4">
        <f t="shared" si="799"/>
        <v>2</v>
      </c>
      <c r="F1610" s="8"/>
      <c r="G1610" s="9"/>
      <c r="H1610" s="10">
        <v>2</v>
      </c>
      <c r="I1610" s="4">
        <f t="shared" si="800"/>
        <v>2</v>
      </c>
      <c r="J1610" s="43">
        <v>45462</v>
      </c>
      <c r="K1610" s="3" t="s">
        <v>929</v>
      </c>
      <c r="L1610" s="8">
        <v>1</v>
      </c>
      <c r="M1610" s="9"/>
      <c r="N1610" s="10"/>
      <c r="O1610" s="4">
        <f t="shared" si="789"/>
        <v>1</v>
      </c>
      <c r="P1610" s="8">
        <v>1</v>
      </c>
      <c r="Q1610" s="9"/>
      <c r="R1610" s="10"/>
      <c r="S1610" s="4">
        <f t="shared" si="790"/>
        <v>1</v>
      </c>
      <c r="T1610" s="43">
        <v>45447</v>
      </c>
      <c r="U1610" s="40"/>
      <c r="V1610" s="8"/>
      <c r="W1610" s="9"/>
      <c r="X1610" s="10"/>
      <c r="Y1610" s="4">
        <f t="shared" si="791"/>
        <v>0</v>
      </c>
      <c r="Z1610" s="8"/>
      <c r="AA1610" s="9"/>
      <c r="AB1610" s="10"/>
      <c r="AC1610" s="4">
        <f t="shared" si="792"/>
        <v>0</v>
      </c>
      <c r="AD1610" s="8"/>
      <c r="AE1610" s="9"/>
      <c r="AF1610" s="10"/>
      <c r="AG1610" s="4">
        <f t="shared" si="793"/>
        <v>0</v>
      </c>
    </row>
    <row r="1611" spans="1:34">
      <c r="A1611" s="3" t="s">
        <v>940</v>
      </c>
      <c r="B1611" s="8"/>
      <c r="C1611" s="9"/>
      <c r="D1611" s="10">
        <v>1</v>
      </c>
      <c r="E1611" s="7">
        <f t="shared" si="799"/>
        <v>1</v>
      </c>
      <c r="F1611" s="8"/>
      <c r="G1611" s="9"/>
      <c r="H1611" s="10">
        <v>1</v>
      </c>
      <c r="I1611" s="7">
        <f t="shared" si="800"/>
        <v>1</v>
      </c>
      <c r="J1611" s="43">
        <v>45463</v>
      </c>
      <c r="K1611" s="3" t="s">
        <v>931</v>
      </c>
      <c r="L1611" s="8"/>
      <c r="M1611" s="9">
        <v>1</v>
      </c>
      <c r="N1611" s="10"/>
      <c r="O1611" s="7">
        <f t="shared" si="789"/>
        <v>1</v>
      </c>
      <c r="P1611" s="8"/>
      <c r="Q1611" s="9">
        <v>1</v>
      </c>
      <c r="R1611" s="10"/>
      <c r="S1611" s="7">
        <f t="shared" si="790"/>
        <v>1</v>
      </c>
      <c r="T1611" s="43">
        <v>45447</v>
      </c>
      <c r="U1611" s="3"/>
      <c r="V1611" s="8"/>
      <c r="W1611" s="9"/>
      <c r="X1611" s="10"/>
      <c r="Y1611" s="4">
        <f t="shared" si="791"/>
        <v>0</v>
      </c>
      <c r="Z1611" s="8"/>
      <c r="AA1611" s="9"/>
      <c r="AB1611" s="10"/>
      <c r="AC1611" s="4">
        <f t="shared" si="792"/>
        <v>0</v>
      </c>
      <c r="AD1611" s="8"/>
      <c r="AE1611" s="9"/>
      <c r="AF1611" s="10"/>
      <c r="AG1611" s="4">
        <f t="shared" si="793"/>
        <v>0</v>
      </c>
    </row>
    <row r="1612" spans="1:34">
      <c r="A1612" s="3"/>
      <c r="B1612" s="8"/>
      <c r="C1612" s="9"/>
      <c r="D1612" s="10"/>
      <c r="E1612" s="7">
        <f t="shared" si="799"/>
        <v>0</v>
      </c>
      <c r="F1612" s="8"/>
      <c r="G1612" s="9"/>
      <c r="H1612" s="10"/>
      <c r="I1612" s="7">
        <f t="shared" si="800"/>
        <v>0</v>
      </c>
      <c r="J1612" s="71"/>
      <c r="K1612" s="3" t="s">
        <v>36</v>
      </c>
      <c r="L1612" s="8">
        <v>4</v>
      </c>
      <c r="M1612" s="9">
        <v>7</v>
      </c>
      <c r="N1612" s="10">
        <v>5</v>
      </c>
      <c r="O1612" s="7">
        <f t="shared" si="789"/>
        <v>16</v>
      </c>
      <c r="P1612" s="8">
        <v>4</v>
      </c>
      <c r="Q1612" s="9">
        <v>7</v>
      </c>
      <c r="R1612" s="10">
        <v>5</v>
      </c>
      <c r="S1612" s="7">
        <f t="shared" si="790"/>
        <v>16</v>
      </c>
      <c r="T1612" s="43">
        <v>45448</v>
      </c>
      <c r="U1612" s="3"/>
      <c r="V1612" s="8"/>
      <c r="W1612" s="9"/>
      <c r="X1612" s="10"/>
      <c r="Y1612" s="7">
        <f t="shared" si="791"/>
        <v>0</v>
      </c>
      <c r="Z1612" s="8"/>
      <c r="AA1612" s="9"/>
      <c r="AB1612" s="10"/>
      <c r="AC1612" s="7">
        <f t="shared" si="792"/>
        <v>0</v>
      </c>
      <c r="AD1612" s="8"/>
      <c r="AE1612" s="9"/>
      <c r="AF1612" s="10"/>
      <c r="AG1612" s="7">
        <f t="shared" si="793"/>
        <v>0</v>
      </c>
    </row>
    <row r="1613" spans="1:34">
      <c r="A1613" s="3"/>
      <c r="B1613" s="8"/>
      <c r="C1613" s="9"/>
      <c r="D1613" s="10"/>
      <c r="E1613" s="7">
        <f t="shared" si="799"/>
        <v>0</v>
      </c>
      <c r="F1613" s="8"/>
      <c r="G1613" s="9"/>
      <c r="H1613" s="10"/>
      <c r="I1613" s="7">
        <f t="shared" si="800"/>
        <v>0</v>
      </c>
      <c r="K1613" s="3" t="s">
        <v>39</v>
      </c>
      <c r="L1613" s="8">
        <v>8</v>
      </c>
      <c r="M1613" s="9">
        <v>7</v>
      </c>
      <c r="N1613" s="10">
        <v>3</v>
      </c>
      <c r="O1613" s="7">
        <f t="shared" ref="O1613:O1625" si="801">SUM(L1613:N1613)</f>
        <v>18</v>
      </c>
      <c r="P1613" s="8">
        <v>8</v>
      </c>
      <c r="Q1613" s="9">
        <v>7</v>
      </c>
      <c r="R1613" s="10">
        <v>3</v>
      </c>
      <c r="S1613" s="7">
        <f t="shared" ref="S1613:S1625" si="802">SUM(P1613:R1613)</f>
        <v>18</v>
      </c>
      <c r="T1613" s="43">
        <v>45449</v>
      </c>
      <c r="U1613" s="3"/>
      <c r="V1613" s="8"/>
      <c r="W1613" s="9"/>
      <c r="X1613" s="10"/>
      <c r="Y1613" s="7">
        <f t="shared" si="791"/>
        <v>0</v>
      </c>
      <c r="Z1613" s="8"/>
      <c r="AA1613" s="9"/>
      <c r="AB1613" s="10"/>
      <c r="AC1613" s="7">
        <f t="shared" si="792"/>
        <v>0</v>
      </c>
      <c r="AD1613" s="8"/>
      <c r="AE1613" s="9"/>
      <c r="AF1613" s="10"/>
      <c r="AG1613" s="7">
        <f t="shared" si="793"/>
        <v>0</v>
      </c>
    </row>
    <row r="1614" spans="1:34">
      <c r="A1614" s="3"/>
      <c r="B1614" s="8"/>
      <c r="C1614" s="9"/>
      <c r="D1614" s="10"/>
      <c r="E1614" s="7">
        <f t="shared" si="787"/>
        <v>0</v>
      </c>
      <c r="F1614" s="8"/>
      <c r="G1614" s="9"/>
      <c r="H1614" s="10"/>
      <c r="I1614" s="7">
        <f t="shared" si="788"/>
        <v>0</v>
      </c>
      <c r="K1614" s="3" t="s">
        <v>295</v>
      </c>
      <c r="L1614" s="59">
        <v>5</v>
      </c>
      <c r="M1614" s="60">
        <v>5</v>
      </c>
      <c r="N1614" s="61"/>
      <c r="O1614" s="7">
        <f t="shared" si="801"/>
        <v>10</v>
      </c>
      <c r="P1614" s="59">
        <v>5</v>
      </c>
      <c r="Q1614" s="60">
        <v>5</v>
      </c>
      <c r="R1614" s="61"/>
      <c r="S1614" s="7">
        <f t="shared" si="802"/>
        <v>10</v>
      </c>
      <c r="T1614" s="43">
        <v>45449</v>
      </c>
      <c r="U1614" s="3"/>
      <c r="V1614" s="8"/>
      <c r="W1614" s="9"/>
      <c r="X1614" s="10"/>
      <c r="Y1614" s="7">
        <f t="shared" si="791"/>
        <v>0</v>
      </c>
      <c r="Z1614" s="8"/>
      <c r="AA1614" s="9"/>
      <c r="AB1614" s="10"/>
      <c r="AC1614" s="7">
        <f t="shared" si="792"/>
        <v>0</v>
      </c>
      <c r="AD1614" s="8"/>
      <c r="AE1614" s="9"/>
      <c r="AF1614" s="10"/>
      <c r="AG1614" s="7">
        <f t="shared" si="793"/>
        <v>0</v>
      </c>
    </row>
    <row r="1615" spans="1:34">
      <c r="A1615" s="3"/>
      <c r="B1615" s="8"/>
      <c r="C1615" s="9"/>
      <c r="D1615" s="10"/>
      <c r="E1615" s="7">
        <f t="shared" si="787"/>
        <v>0</v>
      </c>
      <c r="F1615" s="8"/>
      <c r="G1615" s="9"/>
      <c r="H1615" s="10"/>
      <c r="I1615" s="7">
        <f t="shared" si="788"/>
        <v>0</v>
      </c>
      <c r="K1615" s="3" t="s">
        <v>40</v>
      </c>
      <c r="L1615" s="8">
        <v>1</v>
      </c>
      <c r="M1615" s="9"/>
      <c r="N1615" s="10">
        <v>2</v>
      </c>
      <c r="O1615" s="7">
        <f t="shared" si="801"/>
        <v>3</v>
      </c>
      <c r="P1615" s="8">
        <v>1</v>
      </c>
      <c r="Q1615" s="9"/>
      <c r="R1615" s="10">
        <v>2</v>
      </c>
      <c r="S1615" s="7">
        <f t="shared" si="802"/>
        <v>3</v>
      </c>
      <c r="T1615" s="43">
        <v>45450</v>
      </c>
      <c r="U1615" s="3"/>
      <c r="V1615" s="8"/>
      <c r="W1615" s="9"/>
      <c r="X1615" s="10"/>
      <c r="Y1615" s="7">
        <f t="shared" si="791"/>
        <v>0</v>
      </c>
      <c r="Z1615" s="8"/>
      <c r="AA1615" s="9"/>
      <c r="AB1615" s="10"/>
      <c r="AC1615" s="7">
        <f t="shared" si="792"/>
        <v>0</v>
      </c>
      <c r="AD1615" s="8"/>
      <c r="AE1615" s="9"/>
      <c r="AF1615" s="10"/>
      <c r="AG1615" s="7">
        <f t="shared" si="793"/>
        <v>0</v>
      </c>
    </row>
    <row r="1616" spans="1:34">
      <c r="A1616" s="3"/>
      <c r="B1616" s="8"/>
      <c r="C1616" s="9"/>
      <c r="D1616" s="10"/>
      <c r="E1616" s="7">
        <f t="shared" si="787"/>
        <v>0</v>
      </c>
      <c r="F1616" s="8"/>
      <c r="G1616" s="9"/>
      <c r="H1616" s="10"/>
      <c r="I1616" s="7">
        <f t="shared" si="788"/>
        <v>0</v>
      </c>
      <c r="K1616" s="3" t="s">
        <v>41</v>
      </c>
      <c r="L1616" s="8">
        <v>4</v>
      </c>
      <c r="M1616" s="9">
        <v>4</v>
      </c>
      <c r="N1616" s="10"/>
      <c r="O1616" s="7">
        <f t="shared" si="801"/>
        <v>8</v>
      </c>
      <c r="P1616" s="8">
        <v>4</v>
      </c>
      <c r="Q1616" s="9">
        <v>4</v>
      </c>
      <c r="R1616" s="10"/>
      <c r="S1616" s="7">
        <f t="shared" si="802"/>
        <v>8</v>
      </c>
      <c r="T1616" s="43">
        <v>45450</v>
      </c>
      <c r="U1616" s="3"/>
      <c r="V1616" s="8"/>
      <c r="W1616" s="9"/>
      <c r="X1616" s="10"/>
      <c r="Y1616" s="7">
        <f t="shared" si="791"/>
        <v>0</v>
      </c>
      <c r="Z1616" s="8"/>
      <c r="AA1616" s="9"/>
      <c r="AB1616" s="10"/>
      <c r="AC1616" s="7">
        <f t="shared" si="792"/>
        <v>0</v>
      </c>
      <c r="AD1616" s="8"/>
      <c r="AE1616" s="9"/>
      <c r="AF1616" s="10"/>
      <c r="AG1616" s="7">
        <f t="shared" si="793"/>
        <v>0</v>
      </c>
    </row>
    <row r="1617" spans="1:34">
      <c r="A1617" s="3"/>
      <c r="B1617" s="8"/>
      <c r="C1617" s="9"/>
      <c r="D1617" s="10"/>
      <c r="E1617" s="7">
        <f t="shared" si="787"/>
        <v>0</v>
      </c>
      <c r="F1617" s="8"/>
      <c r="G1617" s="9"/>
      <c r="H1617" s="10"/>
      <c r="I1617" s="7">
        <f t="shared" si="788"/>
        <v>0</v>
      </c>
      <c r="K1617" s="3" t="s">
        <v>43</v>
      </c>
      <c r="L1617" s="8"/>
      <c r="M1617" s="9">
        <v>4</v>
      </c>
      <c r="N1617" s="10"/>
      <c r="O1617" s="7">
        <f t="shared" si="801"/>
        <v>4</v>
      </c>
      <c r="P1617" s="8"/>
      <c r="Q1617" s="9">
        <v>4</v>
      </c>
      <c r="R1617" s="10"/>
      <c r="S1617" s="7">
        <f t="shared" si="802"/>
        <v>4</v>
      </c>
      <c r="T1617" s="43">
        <v>45453</v>
      </c>
      <c r="U1617" s="3"/>
      <c r="V1617" s="30"/>
      <c r="W1617" s="9"/>
      <c r="X1617" s="10"/>
      <c r="Y1617" s="7">
        <f t="shared" si="791"/>
        <v>0</v>
      </c>
      <c r="Z1617" s="8"/>
      <c r="AA1617" s="9"/>
      <c r="AB1617" s="10"/>
      <c r="AC1617" s="7">
        <f t="shared" si="792"/>
        <v>0</v>
      </c>
      <c r="AD1617" s="8"/>
      <c r="AE1617" s="9"/>
      <c r="AF1617" s="10"/>
      <c r="AG1617" s="7">
        <f t="shared" si="793"/>
        <v>0</v>
      </c>
    </row>
    <row r="1618" spans="1:34">
      <c r="A1618" s="3"/>
      <c r="B1618" s="8"/>
      <c r="C1618" s="9"/>
      <c r="D1618" s="10"/>
      <c r="E1618" s="7">
        <f t="shared" si="787"/>
        <v>0</v>
      </c>
      <c r="F1618" s="8"/>
      <c r="G1618" s="9"/>
      <c r="H1618" s="10"/>
      <c r="I1618" s="7">
        <f t="shared" si="788"/>
        <v>0</v>
      </c>
      <c r="K1618" s="3" t="s">
        <v>45</v>
      </c>
      <c r="L1618" s="8"/>
      <c r="M1618" s="9">
        <v>5</v>
      </c>
      <c r="N1618" s="10">
        <v>1</v>
      </c>
      <c r="O1618" s="7">
        <f t="shared" si="801"/>
        <v>6</v>
      </c>
      <c r="P1618" s="8"/>
      <c r="Q1618" s="9">
        <v>5</v>
      </c>
      <c r="R1618" s="10">
        <v>1</v>
      </c>
      <c r="S1618" s="7">
        <f t="shared" si="802"/>
        <v>6</v>
      </c>
      <c r="T1618" s="43">
        <v>45455</v>
      </c>
      <c r="U1618" s="3"/>
      <c r="V1618" s="8"/>
      <c r="W1618" s="9"/>
      <c r="X1618" s="10"/>
      <c r="Y1618" s="7">
        <f t="shared" si="791"/>
        <v>0</v>
      </c>
      <c r="Z1618" s="8"/>
      <c r="AA1618" s="9"/>
      <c r="AB1618" s="10"/>
      <c r="AC1618" s="7">
        <f t="shared" si="792"/>
        <v>0</v>
      </c>
      <c r="AD1618" s="8"/>
      <c r="AE1618" s="9"/>
      <c r="AF1618" s="10"/>
      <c r="AG1618" s="7">
        <f t="shared" si="793"/>
        <v>0</v>
      </c>
    </row>
    <row r="1619" spans="1:34">
      <c r="A1619" s="3"/>
      <c r="B1619" s="8"/>
      <c r="C1619" s="9"/>
      <c r="D1619" s="10"/>
      <c r="E1619" s="7">
        <f t="shared" si="787"/>
        <v>0</v>
      </c>
      <c r="F1619" s="8"/>
      <c r="G1619" s="9"/>
      <c r="H1619" s="10"/>
      <c r="I1619" s="7">
        <f t="shared" si="788"/>
        <v>0</v>
      </c>
      <c r="K1619" s="3" t="s">
        <v>46</v>
      </c>
      <c r="L1619" s="8"/>
      <c r="M1619" s="9">
        <v>5</v>
      </c>
      <c r="N1619" s="10">
        <v>2</v>
      </c>
      <c r="O1619" s="7">
        <f t="shared" si="801"/>
        <v>7</v>
      </c>
      <c r="P1619" s="8"/>
      <c r="Q1619" s="9">
        <v>5</v>
      </c>
      <c r="R1619" s="10">
        <v>2</v>
      </c>
      <c r="S1619" s="7">
        <f t="shared" si="802"/>
        <v>7</v>
      </c>
      <c r="T1619" s="43">
        <v>45456</v>
      </c>
      <c r="U1619" s="3"/>
      <c r="V1619" s="8"/>
      <c r="W1619" s="9"/>
      <c r="X1619" s="10"/>
      <c r="Y1619" s="7">
        <f t="shared" si="791"/>
        <v>0</v>
      </c>
      <c r="Z1619" s="8"/>
      <c r="AA1619" s="9"/>
      <c r="AB1619" s="10"/>
      <c r="AC1619" s="7">
        <f t="shared" si="792"/>
        <v>0</v>
      </c>
      <c r="AD1619" s="8"/>
      <c r="AE1619" s="9"/>
      <c r="AF1619" s="10"/>
      <c r="AG1619" s="7">
        <f t="shared" si="793"/>
        <v>0</v>
      </c>
    </row>
    <row r="1620" spans="1:34">
      <c r="A1620" s="3"/>
      <c r="B1620" s="8"/>
      <c r="C1620" s="9"/>
      <c r="D1620" s="10"/>
      <c r="E1620" s="7">
        <f t="shared" si="787"/>
        <v>0</v>
      </c>
      <c r="F1620" s="8"/>
      <c r="G1620" s="9"/>
      <c r="H1620" s="10"/>
      <c r="I1620" s="7">
        <f t="shared" si="788"/>
        <v>0</v>
      </c>
      <c r="K1620" s="3" t="s">
        <v>47</v>
      </c>
      <c r="L1620" s="8">
        <v>7</v>
      </c>
      <c r="M1620" s="9"/>
      <c r="N1620" s="10">
        <v>2</v>
      </c>
      <c r="O1620" s="7">
        <f t="shared" si="801"/>
        <v>9</v>
      </c>
      <c r="P1620" s="8">
        <v>7</v>
      </c>
      <c r="Q1620" s="9"/>
      <c r="R1620" s="10">
        <v>2</v>
      </c>
      <c r="S1620" s="7">
        <f t="shared" si="802"/>
        <v>9</v>
      </c>
      <c r="T1620" s="43">
        <v>45457</v>
      </c>
      <c r="U1620" s="3"/>
      <c r="V1620" s="8"/>
      <c r="W1620" s="9"/>
      <c r="X1620" s="10"/>
      <c r="Y1620" s="7">
        <f t="shared" si="791"/>
        <v>0</v>
      </c>
      <c r="Z1620" s="8"/>
      <c r="AA1620" s="9"/>
      <c r="AB1620" s="10"/>
      <c r="AC1620" s="7">
        <f t="shared" si="792"/>
        <v>0</v>
      </c>
      <c r="AD1620" s="8"/>
      <c r="AE1620" s="9"/>
      <c r="AF1620" s="10"/>
      <c r="AG1620" s="7">
        <f t="shared" si="793"/>
        <v>0</v>
      </c>
    </row>
    <row r="1621" spans="1:34">
      <c r="A1621" s="3"/>
      <c r="B1621" s="8"/>
      <c r="C1621" s="9"/>
      <c r="D1621" s="10"/>
      <c r="E1621" s="7">
        <f t="shared" si="787"/>
        <v>0</v>
      </c>
      <c r="F1621" s="8"/>
      <c r="G1621" s="9"/>
      <c r="H1621" s="10"/>
      <c r="I1621" s="7">
        <f t="shared" si="788"/>
        <v>0</v>
      </c>
      <c r="K1621" s="3" t="s">
        <v>49</v>
      </c>
      <c r="L1621" s="8">
        <v>4</v>
      </c>
      <c r="M1621" s="9">
        <v>6</v>
      </c>
      <c r="N1621" s="10">
        <v>5</v>
      </c>
      <c r="O1621" s="7">
        <f t="shared" si="801"/>
        <v>15</v>
      </c>
      <c r="P1621" s="8">
        <v>4</v>
      </c>
      <c r="Q1621" s="9">
        <v>6</v>
      </c>
      <c r="R1621" s="10">
        <v>5</v>
      </c>
      <c r="S1621" s="7">
        <f t="shared" si="802"/>
        <v>15</v>
      </c>
      <c r="T1621" s="43">
        <v>45460</v>
      </c>
      <c r="U1621" s="3"/>
      <c r="V1621" s="8"/>
      <c r="W1621" s="9"/>
      <c r="X1621" s="10"/>
      <c r="Y1621" s="7">
        <f t="shared" si="791"/>
        <v>0</v>
      </c>
      <c r="Z1621" s="8"/>
      <c r="AA1621" s="9"/>
      <c r="AB1621" s="10"/>
      <c r="AC1621" s="7">
        <f t="shared" si="792"/>
        <v>0</v>
      </c>
      <c r="AD1621" s="8"/>
      <c r="AE1621" s="9"/>
      <c r="AF1621" s="10"/>
      <c r="AG1621" s="7">
        <f t="shared" si="793"/>
        <v>0</v>
      </c>
    </row>
    <row r="1622" spans="1:34">
      <c r="A1622" s="3"/>
      <c r="B1622" s="8"/>
      <c r="C1622" s="9"/>
      <c r="D1622" s="10"/>
      <c r="E1622" s="7">
        <f t="shared" si="787"/>
        <v>0</v>
      </c>
      <c r="F1622" s="8"/>
      <c r="G1622" s="9"/>
      <c r="H1622" s="10"/>
      <c r="I1622" s="7">
        <f t="shared" si="788"/>
        <v>0</v>
      </c>
      <c r="K1622" s="3" t="s">
        <v>936</v>
      </c>
      <c r="L1622" s="8"/>
      <c r="M1622" s="9">
        <v>1</v>
      </c>
      <c r="N1622" s="10"/>
      <c r="O1622" s="7">
        <f t="shared" si="801"/>
        <v>1</v>
      </c>
      <c r="P1622" s="8"/>
      <c r="Q1622" s="9">
        <v>1</v>
      </c>
      <c r="R1622" s="10"/>
      <c r="S1622" s="7">
        <f t="shared" si="802"/>
        <v>1</v>
      </c>
      <c r="T1622" s="43">
        <v>45458</v>
      </c>
      <c r="U1622" s="3"/>
      <c r="V1622" s="8"/>
      <c r="W1622" s="9"/>
      <c r="X1622" s="10"/>
      <c r="Y1622" s="7">
        <f t="shared" si="791"/>
        <v>0</v>
      </c>
      <c r="Z1622" s="8"/>
      <c r="AA1622" s="9"/>
      <c r="AB1622" s="10"/>
      <c r="AC1622" s="7">
        <f t="shared" si="792"/>
        <v>0</v>
      </c>
      <c r="AD1622" s="8"/>
      <c r="AE1622" s="9"/>
      <c r="AF1622" s="10"/>
      <c r="AG1622" s="7">
        <f t="shared" si="793"/>
        <v>0</v>
      </c>
    </row>
    <row r="1623" spans="1:34">
      <c r="A1623" s="3"/>
      <c r="B1623" s="8"/>
      <c r="C1623" s="9"/>
      <c r="D1623" s="10"/>
      <c r="E1623" s="7">
        <f t="shared" si="787"/>
        <v>0</v>
      </c>
      <c r="F1623" s="8"/>
      <c r="G1623" s="9"/>
      <c r="H1623" s="10"/>
      <c r="I1623" s="7">
        <f t="shared" si="788"/>
        <v>0</v>
      </c>
      <c r="K1623" s="3" t="s">
        <v>52</v>
      </c>
      <c r="L1623" s="8"/>
      <c r="M1623" s="9"/>
      <c r="N1623" s="10">
        <v>2</v>
      </c>
      <c r="O1623" s="7">
        <f t="shared" si="801"/>
        <v>2</v>
      </c>
      <c r="P1623" s="8"/>
      <c r="Q1623" s="9"/>
      <c r="R1623" s="10">
        <v>2</v>
      </c>
      <c r="S1623" s="7">
        <f t="shared" si="802"/>
        <v>2</v>
      </c>
      <c r="T1623" s="43">
        <v>45463</v>
      </c>
      <c r="U1623" s="3"/>
      <c r="V1623" s="8"/>
      <c r="W1623" s="9"/>
      <c r="X1623" s="10"/>
      <c r="Y1623" s="7">
        <f t="shared" si="791"/>
        <v>0</v>
      </c>
      <c r="Z1623" s="8"/>
      <c r="AA1623" s="9"/>
      <c r="AB1623" s="10"/>
      <c r="AC1623" s="7">
        <f t="shared" si="792"/>
        <v>0</v>
      </c>
      <c r="AD1623" s="8"/>
      <c r="AE1623" s="9"/>
      <c r="AF1623" s="10"/>
      <c r="AG1623" s="7">
        <f t="shared" si="793"/>
        <v>0</v>
      </c>
    </row>
    <row r="1624" spans="1:34">
      <c r="A1624" s="3"/>
      <c r="B1624" s="8"/>
      <c r="C1624" s="9"/>
      <c r="D1624" s="10"/>
      <c r="E1624" s="7">
        <f t="shared" si="787"/>
        <v>0</v>
      </c>
      <c r="F1624" s="8"/>
      <c r="G1624" s="9"/>
      <c r="H1624" s="10"/>
      <c r="I1624" s="7">
        <f t="shared" si="788"/>
        <v>0</v>
      </c>
      <c r="K1624" s="3" t="s">
        <v>941</v>
      </c>
      <c r="L1624" s="8"/>
      <c r="M1624" s="9">
        <v>24</v>
      </c>
      <c r="N1624" s="10">
        <v>17</v>
      </c>
      <c r="O1624" s="7">
        <f t="shared" si="801"/>
        <v>41</v>
      </c>
      <c r="P1624" s="8"/>
      <c r="Q1624" s="9">
        <v>24</v>
      </c>
      <c r="R1624" s="10">
        <v>17</v>
      </c>
      <c r="S1624" s="7">
        <f t="shared" si="802"/>
        <v>41</v>
      </c>
      <c r="T1624" s="43">
        <v>45463</v>
      </c>
      <c r="U1624" s="3"/>
      <c r="V1624" s="8"/>
      <c r="W1624" s="9"/>
      <c r="X1624" s="10"/>
      <c r="Y1624" s="7">
        <f t="shared" si="791"/>
        <v>0</v>
      </c>
      <c r="Z1624" s="8"/>
      <c r="AA1624" s="9"/>
      <c r="AB1624" s="10"/>
      <c r="AC1624" s="7">
        <f t="shared" si="792"/>
        <v>0</v>
      </c>
      <c r="AD1624" s="8"/>
      <c r="AE1624" s="9"/>
      <c r="AF1624" s="10"/>
      <c r="AG1624" s="7">
        <f t="shared" si="793"/>
        <v>0</v>
      </c>
    </row>
    <row r="1625" spans="1:34">
      <c r="A1625" s="11"/>
      <c r="B1625" s="8"/>
      <c r="C1625" s="9"/>
      <c r="D1625" s="10"/>
      <c r="E1625" s="7">
        <f t="shared" si="787"/>
        <v>0</v>
      </c>
      <c r="F1625" s="8"/>
      <c r="G1625" s="9"/>
      <c r="H1625" s="10"/>
      <c r="I1625" s="7">
        <f t="shared" si="788"/>
        <v>0</v>
      </c>
      <c r="K1625" s="3" t="s">
        <v>295</v>
      </c>
      <c r="L1625" s="8"/>
      <c r="M1625" s="9">
        <v>5</v>
      </c>
      <c r="N1625" s="10">
        <v>5</v>
      </c>
      <c r="O1625" s="7">
        <f t="shared" si="801"/>
        <v>10</v>
      </c>
      <c r="P1625" s="8"/>
      <c r="Q1625" s="9">
        <v>5</v>
      </c>
      <c r="R1625" s="10">
        <v>5</v>
      </c>
      <c r="S1625" s="7">
        <f t="shared" si="802"/>
        <v>10</v>
      </c>
      <c r="T1625" s="43">
        <v>45462</v>
      </c>
      <c r="U1625" s="3"/>
      <c r="V1625" s="8"/>
      <c r="W1625" s="9"/>
      <c r="X1625" s="10"/>
      <c r="Y1625" s="7">
        <f t="shared" si="791"/>
        <v>0</v>
      </c>
      <c r="Z1625" s="8"/>
      <c r="AA1625" s="9"/>
      <c r="AB1625" s="10"/>
      <c r="AC1625" s="7">
        <f t="shared" si="792"/>
        <v>0</v>
      </c>
      <c r="AD1625" s="8"/>
      <c r="AE1625" s="9"/>
      <c r="AF1625" s="10"/>
      <c r="AG1625" s="7">
        <f t="shared" si="793"/>
        <v>0</v>
      </c>
    </row>
    <row r="1626" spans="1:34">
      <c r="A1626" s="11"/>
      <c r="B1626" s="8"/>
      <c r="C1626" s="9"/>
      <c r="D1626" s="10"/>
      <c r="E1626" s="7">
        <f t="shared" si="787"/>
        <v>0</v>
      </c>
      <c r="F1626" s="8"/>
      <c r="G1626" s="9"/>
      <c r="H1626" s="10"/>
      <c r="I1626" s="7">
        <f t="shared" si="788"/>
        <v>0</v>
      </c>
      <c r="K1626" s="3"/>
      <c r="L1626" s="8"/>
      <c r="M1626" s="9"/>
      <c r="N1626" s="10"/>
      <c r="O1626" s="7">
        <f t="shared" si="789"/>
        <v>0</v>
      </c>
      <c r="P1626" s="8"/>
      <c r="Q1626" s="9"/>
      <c r="R1626" s="10"/>
      <c r="S1626" s="7">
        <f t="shared" si="790"/>
        <v>0</v>
      </c>
      <c r="T1626" s="71"/>
      <c r="U1626" s="3"/>
      <c r="V1626" s="8"/>
      <c r="W1626" s="9"/>
      <c r="X1626" s="10"/>
      <c r="Y1626" s="7">
        <f t="shared" si="791"/>
        <v>0</v>
      </c>
      <c r="Z1626" s="8"/>
      <c r="AA1626" s="9"/>
      <c r="AB1626" s="10"/>
      <c r="AC1626" s="7">
        <f t="shared" si="792"/>
        <v>0</v>
      </c>
      <c r="AD1626" s="8"/>
      <c r="AE1626" s="9"/>
      <c r="AF1626" s="10"/>
      <c r="AG1626" s="7">
        <f t="shared" si="793"/>
        <v>0</v>
      </c>
    </row>
    <row r="1627" spans="1:34">
      <c r="A1627" s="11"/>
      <c r="B1627" s="8"/>
      <c r="C1627" s="9"/>
      <c r="D1627" s="10"/>
      <c r="E1627" s="7">
        <f t="shared" si="787"/>
        <v>0</v>
      </c>
      <c r="F1627" s="8"/>
      <c r="G1627" s="9"/>
      <c r="H1627" s="10"/>
      <c r="I1627" s="7">
        <f t="shared" si="788"/>
        <v>0</v>
      </c>
      <c r="K1627" s="3" t="s">
        <v>904</v>
      </c>
      <c r="L1627" s="8"/>
      <c r="M1627" s="9"/>
      <c r="N1627" s="10"/>
      <c r="O1627" s="7">
        <f t="shared" si="789"/>
        <v>0</v>
      </c>
      <c r="P1627" s="8"/>
      <c r="Q1627" s="9"/>
      <c r="R1627" s="10"/>
      <c r="S1627" s="7">
        <f t="shared" si="790"/>
        <v>0</v>
      </c>
      <c r="T1627" s="71" t="s">
        <v>164</v>
      </c>
      <c r="U1627" s="11"/>
      <c r="V1627" s="8"/>
      <c r="W1627" s="9"/>
      <c r="X1627" s="10"/>
      <c r="Y1627" s="7">
        <f t="shared" si="791"/>
        <v>0</v>
      </c>
      <c r="Z1627" s="8"/>
      <c r="AA1627" s="9"/>
      <c r="AB1627" s="10"/>
      <c r="AC1627" s="7">
        <f t="shared" si="792"/>
        <v>0</v>
      </c>
      <c r="AD1627" s="8"/>
      <c r="AE1627" s="9"/>
      <c r="AF1627" s="10"/>
      <c r="AG1627" s="7">
        <f t="shared" si="793"/>
        <v>0</v>
      </c>
    </row>
    <row r="1628" spans="1:34">
      <c r="A1628" s="11"/>
      <c r="B1628" s="8"/>
      <c r="C1628" s="9"/>
      <c r="D1628" s="10"/>
      <c r="E1628" s="7">
        <f t="shared" si="787"/>
        <v>0</v>
      </c>
      <c r="F1628" s="8"/>
      <c r="G1628" s="9"/>
      <c r="H1628" s="10"/>
      <c r="I1628" s="7">
        <f t="shared" si="788"/>
        <v>0</v>
      </c>
      <c r="K1628" s="3" t="s">
        <v>902</v>
      </c>
      <c r="L1628" s="8"/>
      <c r="M1628" s="9"/>
      <c r="N1628" s="10"/>
      <c r="O1628" s="7">
        <f t="shared" si="789"/>
        <v>0</v>
      </c>
      <c r="P1628" s="8"/>
      <c r="Q1628" s="9"/>
      <c r="R1628" s="10"/>
      <c r="S1628" s="7">
        <f t="shared" si="790"/>
        <v>0</v>
      </c>
      <c r="T1628" s="71" t="s">
        <v>901</v>
      </c>
      <c r="U1628" s="3"/>
      <c r="V1628" s="8"/>
      <c r="W1628" s="9"/>
      <c r="X1628" s="10"/>
      <c r="Y1628" s="7">
        <f t="shared" si="791"/>
        <v>0</v>
      </c>
      <c r="Z1628" s="8"/>
      <c r="AA1628" s="9"/>
      <c r="AB1628" s="10"/>
      <c r="AC1628" s="7">
        <f t="shared" si="792"/>
        <v>0</v>
      </c>
      <c r="AD1628" s="8"/>
      <c r="AE1628" s="9"/>
      <c r="AF1628" s="10"/>
      <c r="AG1628" s="7">
        <f t="shared" si="793"/>
        <v>0</v>
      </c>
    </row>
    <row r="1629" spans="1:34">
      <c r="A1629" s="11"/>
      <c r="B1629" s="8"/>
      <c r="C1629" s="9"/>
      <c r="D1629" s="10"/>
      <c r="E1629" s="7">
        <f t="shared" si="787"/>
        <v>0</v>
      </c>
      <c r="F1629" s="8"/>
      <c r="G1629" s="9"/>
      <c r="H1629" s="10"/>
      <c r="I1629" s="7">
        <f t="shared" si="788"/>
        <v>0</v>
      </c>
      <c r="K1629" s="3" t="s">
        <v>900</v>
      </c>
      <c r="L1629" s="8"/>
      <c r="M1629" s="9"/>
      <c r="N1629" s="10"/>
      <c r="O1629" s="7">
        <f t="shared" si="789"/>
        <v>0</v>
      </c>
      <c r="P1629" s="8"/>
      <c r="Q1629" s="9"/>
      <c r="R1629" s="10"/>
      <c r="S1629" s="7">
        <f t="shared" si="790"/>
        <v>0</v>
      </c>
      <c r="T1629" s="71" t="s">
        <v>901</v>
      </c>
      <c r="U1629" s="3"/>
      <c r="V1629" s="8"/>
      <c r="W1629" s="9"/>
      <c r="X1629" s="10"/>
      <c r="Y1629" s="7">
        <f t="shared" si="791"/>
        <v>0</v>
      </c>
      <c r="Z1629" s="8"/>
      <c r="AA1629" s="9"/>
      <c r="AB1629" s="10"/>
      <c r="AC1629" s="7">
        <f t="shared" si="792"/>
        <v>0</v>
      </c>
      <c r="AD1629" s="8"/>
      <c r="AE1629" s="9"/>
      <c r="AF1629" s="10"/>
      <c r="AG1629" s="7">
        <f t="shared" si="793"/>
        <v>0</v>
      </c>
    </row>
    <row r="1630" spans="1:34" ht="14.25" thickBot="1">
      <c r="A1630" s="3"/>
      <c r="B1630" s="8"/>
      <c r="C1630" s="9"/>
      <c r="D1630" s="10"/>
      <c r="E1630" s="7">
        <f t="shared" si="787"/>
        <v>0</v>
      </c>
      <c r="F1630" s="8"/>
      <c r="G1630" s="9"/>
      <c r="H1630" s="10"/>
      <c r="I1630" s="7">
        <f t="shared" si="788"/>
        <v>0</v>
      </c>
      <c r="K1630" s="3" t="s">
        <v>884</v>
      </c>
      <c r="L1630" s="8"/>
      <c r="M1630" s="9"/>
      <c r="N1630" s="10"/>
      <c r="O1630" s="7">
        <f t="shared" si="789"/>
        <v>0</v>
      </c>
      <c r="P1630" s="8"/>
      <c r="Q1630" s="9"/>
      <c r="R1630" s="10"/>
      <c r="S1630" s="7">
        <f t="shared" si="790"/>
        <v>0</v>
      </c>
      <c r="T1630" s="71" t="s">
        <v>885</v>
      </c>
      <c r="U1630" s="3" t="s">
        <v>882</v>
      </c>
      <c r="V1630" s="8"/>
      <c r="W1630" s="9"/>
      <c r="X1630" s="10"/>
      <c r="Y1630" s="7">
        <f t="shared" si="791"/>
        <v>0</v>
      </c>
      <c r="Z1630" s="8"/>
      <c r="AA1630" s="9"/>
      <c r="AB1630" s="10"/>
      <c r="AC1630" s="7">
        <f t="shared" si="792"/>
        <v>0</v>
      </c>
      <c r="AD1630" s="8"/>
      <c r="AE1630" s="9"/>
      <c r="AF1630" s="10"/>
      <c r="AG1630" s="7">
        <f t="shared" si="793"/>
        <v>0</v>
      </c>
      <c r="AH1630" s="71" t="s">
        <v>883</v>
      </c>
    </row>
    <row r="1631" spans="1:34" ht="14.25" thickBot="1">
      <c r="A1631" s="2" t="s">
        <v>5</v>
      </c>
      <c r="B1631" s="14">
        <f>SUM(B1607:B1630)</f>
        <v>2</v>
      </c>
      <c r="C1631" s="14">
        <f>SUM(C1607:C1630)</f>
        <v>4</v>
      </c>
      <c r="D1631" s="14">
        <f>SUM(D1607:D1630)</f>
        <v>5</v>
      </c>
      <c r="E1631" s="15">
        <f t="shared" si="787"/>
        <v>11</v>
      </c>
      <c r="F1631" s="14">
        <f>SUM(F1607:F1630)</f>
        <v>2</v>
      </c>
      <c r="G1631" s="14">
        <f>SUM(G1607:G1630)</f>
        <v>4</v>
      </c>
      <c r="H1631" s="14">
        <f>SUM(H1607:H1630)</f>
        <v>5</v>
      </c>
      <c r="I1631" s="15">
        <f t="shared" si="788"/>
        <v>11</v>
      </c>
      <c r="K1631" s="2" t="s">
        <v>5</v>
      </c>
      <c r="L1631" s="14">
        <f>SUM(L1607:L1630)</f>
        <v>70</v>
      </c>
      <c r="M1631" s="14">
        <f>SUM(M1607:M1630)</f>
        <v>146</v>
      </c>
      <c r="N1631" s="14">
        <f>SUM(N1607:N1630)</f>
        <v>63</v>
      </c>
      <c r="O1631" s="15">
        <f t="shared" si="789"/>
        <v>279</v>
      </c>
      <c r="P1631" s="14">
        <f>SUM(P1607:P1630)</f>
        <v>70</v>
      </c>
      <c r="Q1631" s="14">
        <f>SUM(Q1607:Q1630)</f>
        <v>146</v>
      </c>
      <c r="R1631" s="14">
        <f>SUM(R1607:R1630)</f>
        <v>63</v>
      </c>
      <c r="S1631" s="15">
        <f t="shared" si="790"/>
        <v>279</v>
      </c>
      <c r="U1631" s="2" t="s">
        <v>5</v>
      </c>
      <c r="V1631" s="14">
        <f>SUM(V1607:V1630)</f>
        <v>10</v>
      </c>
      <c r="W1631" s="14">
        <f>SUM(W1607:W1630)</f>
        <v>12</v>
      </c>
      <c r="X1631" s="14">
        <f>SUM(X1607:X1630)</f>
        <v>10</v>
      </c>
      <c r="Y1631" s="15">
        <f t="shared" si="791"/>
        <v>32</v>
      </c>
      <c r="Z1631" s="14">
        <f>SUM(Z1607:Z1630)</f>
        <v>10</v>
      </c>
      <c r="AA1631" s="14">
        <f>SUM(AA1607:AA1630)</f>
        <v>12</v>
      </c>
      <c r="AB1631" s="14">
        <f>SUM(AB1607:AB1630)</f>
        <v>10</v>
      </c>
      <c r="AC1631" s="15">
        <f t="shared" si="792"/>
        <v>32</v>
      </c>
      <c r="AD1631" s="14">
        <f>SUM(AD1607:AD1630)</f>
        <v>10</v>
      </c>
      <c r="AE1631" s="14">
        <f>SUM(AE1607:AE1630)</f>
        <v>12</v>
      </c>
      <c r="AF1631" s="14">
        <f>SUM(AF1607:AF1630)</f>
        <v>10</v>
      </c>
      <c r="AG1631" s="15">
        <f t="shared" si="793"/>
        <v>32</v>
      </c>
    </row>
    <row r="1632" spans="1:34" ht="14.25" thickBot="1">
      <c r="A1632" s="27" t="s">
        <v>6</v>
      </c>
      <c r="B1632" s="28">
        <f>B1606-B1631</f>
        <v>6</v>
      </c>
      <c r="C1632" s="28">
        <f t="shared" ref="C1632:E1632" si="803">C1606-C1631</f>
        <v>8</v>
      </c>
      <c r="D1632" s="28">
        <f t="shared" si="803"/>
        <v>5</v>
      </c>
      <c r="E1632" s="28">
        <f t="shared" si="803"/>
        <v>19</v>
      </c>
      <c r="F1632" s="28">
        <f>F1606-F1631</f>
        <v>6</v>
      </c>
      <c r="G1632" s="28">
        <f t="shared" ref="G1632:I1632" si="804">G1606-G1631</f>
        <v>8</v>
      </c>
      <c r="H1632" s="28">
        <f t="shared" si="804"/>
        <v>5</v>
      </c>
      <c r="I1632" s="26">
        <f t="shared" si="804"/>
        <v>19</v>
      </c>
      <c r="K1632" s="27" t="s">
        <v>6</v>
      </c>
      <c r="L1632" s="28">
        <f>L1606-L1631</f>
        <v>256</v>
      </c>
      <c r="M1632" s="28">
        <f t="shared" ref="M1632:O1632" si="805">M1606-M1631</f>
        <v>293</v>
      </c>
      <c r="N1632" s="28">
        <f t="shared" si="805"/>
        <v>172</v>
      </c>
      <c r="O1632" s="28">
        <f t="shared" si="805"/>
        <v>721</v>
      </c>
      <c r="P1632" s="28">
        <f>P1606-P1631</f>
        <v>256</v>
      </c>
      <c r="Q1632" s="28">
        <f t="shared" ref="Q1632:S1632" si="806">Q1606-Q1631</f>
        <v>293</v>
      </c>
      <c r="R1632" s="28">
        <f t="shared" si="806"/>
        <v>172</v>
      </c>
      <c r="S1632" s="26">
        <f t="shared" si="806"/>
        <v>721</v>
      </c>
      <c r="U1632" s="27" t="s">
        <v>6</v>
      </c>
      <c r="V1632" s="28">
        <f>V1606-V1631</f>
        <v>2</v>
      </c>
      <c r="W1632" s="28">
        <f t="shared" ref="W1632:Y1632" si="807">W1606-W1631</f>
        <v>6</v>
      </c>
      <c r="X1632" s="28">
        <f t="shared" si="807"/>
        <v>4</v>
      </c>
      <c r="Y1632" s="28">
        <f t="shared" si="807"/>
        <v>12</v>
      </c>
      <c r="Z1632" s="28">
        <f>Z1606-Z1631</f>
        <v>2</v>
      </c>
      <c r="AA1632" s="28">
        <f t="shared" ref="AA1632:AC1632" si="808">AA1606-AA1631</f>
        <v>6</v>
      </c>
      <c r="AB1632" s="28">
        <f t="shared" si="808"/>
        <v>4</v>
      </c>
      <c r="AC1632" s="26">
        <f t="shared" si="808"/>
        <v>12</v>
      </c>
      <c r="AD1632" s="28">
        <f>AD1606-AD1631</f>
        <v>2</v>
      </c>
      <c r="AE1632" s="28">
        <f t="shared" ref="AE1632:AG1632" si="809">AE1606-AE1631</f>
        <v>6</v>
      </c>
      <c r="AF1632" s="28">
        <f t="shared" si="809"/>
        <v>4</v>
      </c>
      <c r="AG1632" s="26">
        <f t="shared" si="809"/>
        <v>12</v>
      </c>
    </row>
    <row r="1635" spans="1:34" ht="26.25" thickBot="1">
      <c r="A1635" s="33" t="s">
        <v>831</v>
      </c>
      <c r="B1635" s="34"/>
      <c r="C1635" s="34"/>
      <c r="D1635" s="34"/>
      <c r="E1635" s="34"/>
      <c r="F1635" s="35"/>
      <c r="G1635" s="35"/>
      <c r="H1635" s="35"/>
      <c r="I1635" s="35"/>
      <c r="K1635" s="33" t="s">
        <v>830</v>
      </c>
      <c r="L1635" s="34"/>
      <c r="M1635" s="34"/>
      <c r="N1635" s="34"/>
      <c r="O1635" s="34"/>
      <c r="P1635" s="35"/>
      <c r="Q1635" s="35"/>
      <c r="R1635" s="35"/>
      <c r="S1635" s="35"/>
      <c r="U1635" s="113" t="s">
        <v>622</v>
      </c>
      <c r="V1635" s="114"/>
      <c r="W1635" s="114"/>
      <c r="X1635" s="114"/>
      <c r="Y1635" s="114"/>
      <c r="Z1635" s="115"/>
      <c r="AA1635" s="115"/>
      <c r="AB1635" s="115"/>
      <c r="AC1635" s="115"/>
      <c r="AD1635" s="116"/>
      <c r="AE1635" s="116"/>
    </row>
    <row r="1636" spans="1:34" ht="14.25" thickBot="1">
      <c r="A1636" s="1" t="s">
        <v>0</v>
      </c>
      <c r="B1636" s="182" t="s">
        <v>17</v>
      </c>
      <c r="C1636" s="182"/>
      <c r="D1636" s="182"/>
      <c r="E1636" s="183"/>
      <c r="F1636" s="182" t="s">
        <v>13</v>
      </c>
      <c r="G1636" s="182"/>
      <c r="H1636" s="182"/>
      <c r="I1636" s="183"/>
      <c r="K1636" s="1" t="s">
        <v>0</v>
      </c>
      <c r="L1636" s="132" t="s">
        <v>17</v>
      </c>
      <c r="M1636" s="132"/>
      <c r="N1636" s="132"/>
      <c r="O1636" s="133"/>
      <c r="P1636" s="132" t="s">
        <v>13</v>
      </c>
      <c r="Q1636" s="132"/>
      <c r="R1636" s="132"/>
      <c r="S1636" s="133"/>
      <c r="U1636" s="1" t="s">
        <v>0</v>
      </c>
      <c r="V1636" s="182" t="s">
        <v>17</v>
      </c>
      <c r="W1636" s="182"/>
      <c r="X1636" s="182"/>
      <c r="Y1636" s="183"/>
      <c r="Z1636" s="182" t="s">
        <v>13</v>
      </c>
      <c r="AA1636" s="182"/>
      <c r="AB1636" s="182"/>
      <c r="AC1636" s="183"/>
      <c r="AD1636" s="182" t="s">
        <v>242</v>
      </c>
      <c r="AE1636" s="182"/>
      <c r="AF1636" s="182"/>
      <c r="AG1636" s="183"/>
    </row>
    <row r="1637" spans="1:34" ht="14.25" thickBot="1">
      <c r="A1637" s="1" t="s">
        <v>1</v>
      </c>
      <c r="B1637" s="2" t="s">
        <v>8</v>
      </c>
      <c r="C1637" s="1" t="s">
        <v>9</v>
      </c>
      <c r="D1637" s="19" t="s">
        <v>10</v>
      </c>
      <c r="E1637" s="1" t="s">
        <v>2</v>
      </c>
      <c r="F1637" s="2" t="s">
        <v>8</v>
      </c>
      <c r="G1637" s="1" t="s">
        <v>9</v>
      </c>
      <c r="H1637" s="19" t="s">
        <v>10</v>
      </c>
      <c r="I1637" s="1" t="s">
        <v>2</v>
      </c>
      <c r="K1637" s="1" t="s">
        <v>1</v>
      </c>
      <c r="L1637" s="2" t="s">
        <v>8</v>
      </c>
      <c r="M1637" s="1" t="s">
        <v>9</v>
      </c>
      <c r="N1637" s="19" t="s">
        <v>10</v>
      </c>
      <c r="O1637" s="1" t="s">
        <v>2</v>
      </c>
      <c r="P1637" s="2" t="s">
        <v>8</v>
      </c>
      <c r="Q1637" s="1" t="s">
        <v>9</v>
      </c>
      <c r="R1637" s="19" t="s">
        <v>10</v>
      </c>
      <c r="S1637" s="1" t="s">
        <v>2</v>
      </c>
      <c r="U1637" s="1" t="s">
        <v>1</v>
      </c>
      <c r="V1637" s="2" t="s">
        <v>8</v>
      </c>
      <c r="W1637" s="1" t="s">
        <v>9</v>
      </c>
      <c r="X1637" s="19" t="s">
        <v>10</v>
      </c>
      <c r="Y1637" s="1" t="s">
        <v>2</v>
      </c>
      <c r="Z1637" s="2" t="s">
        <v>8</v>
      </c>
      <c r="AA1637" s="1" t="s">
        <v>9</v>
      </c>
      <c r="AB1637" s="19" t="s">
        <v>10</v>
      </c>
      <c r="AC1637" s="1" t="s">
        <v>2</v>
      </c>
      <c r="AD1637" s="2" t="s">
        <v>8</v>
      </c>
      <c r="AE1637" s="1" t="s">
        <v>9</v>
      </c>
      <c r="AF1637" s="19" t="s">
        <v>10</v>
      </c>
      <c r="AG1637" s="1" t="s">
        <v>2</v>
      </c>
    </row>
    <row r="1638" spans="1:34">
      <c r="A1638" s="21" t="s">
        <v>7</v>
      </c>
      <c r="B1638" s="18">
        <f>B1632</f>
        <v>6</v>
      </c>
      <c r="C1638" s="22">
        <f>C1632</f>
        <v>8</v>
      </c>
      <c r="D1638" s="22">
        <f>D1632</f>
        <v>5</v>
      </c>
      <c r="E1638" s="17">
        <f t="shared" ref="E1638:E1674" si="810">SUM(B1638:D1638)</f>
        <v>19</v>
      </c>
      <c r="F1638" s="22">
        <f>F1632</f>
        <v>6</v>
      </c>
      <c r="G1638" s="22">
        <f>G1632</f>
        <v>8</v>
      </c>
      <c r="H1638" s="22">
        <f>H1632</f>
        <v>5</v>
      </c>
      <c r="I1638" s="17">
        <f t="shared" ref="I1638:I1674" si="811">SUM(F1638:H1638)</f>
        <v>19</v>
      </c>
      <c r="K1638" s="21" t="s">
        <v>7</v>
      </c>
      <c r="L1638" s="18">
        <f>L1632</f>
        <v>256</v>
      </c>
      <c r="M1638" s="22">
        <f>M1632</f>
        <v>293</v>
      </c>
      <c r="N1638" s="22">
        <f>N1632</f>
        <v>172</v>
      </c>
      <c r="O1638" s="17">
        <f t="shared" ref="O1638:O1674" si="812">SUM(L1638:N1638)</f>
        <v>721</v>
      </c>
      <c r="P1638" s="22">
        <f>P1632</f>
        <v>256</v>
      </c>
      <c r="Q1638" s="22">
        <f>Q1632</f>
        <v>293</v>
      </c>
      <c r="R1638" s="22">
        <f>R1632</f>
        <v>172</v>
      </c>
      <c r="S1638" s="17">
        <f t="shared" ref="S1638:S1674" si="813">SUM(P1638:R1638)</f>
        <v>721</v>
      </c>
      <c r="U1638" s="21" t="s">
        <v>7</v>
      </c>
      <c r="V1638" s="18">
        <f>V1632</f>
        <v>2</v>
      </c>
      <c r="W1638" s="22">
        <f>W1632</f>
        <v>6</v>
      </c>
      <c r="X1638" s="22">
        <f>X1632</f>
        <v>4</v>
      </c>
      <c r="Y1638" s="17">
        <f t="shared" ref="Y1638:Y1674" si="814">SUM(V1638:X1638)</f>
        <v>12</v>
      </c>
      <c r="Z1638" s="22">
        <f>Z1632</f>
        <v>2</v>
      </c>
      <c r="AA1638" s="22">
        <f>AA1632</f>
        <v>6</v>
      </c>
      <c r="AB1638" s="22">
        <f>AB1632</f>
        <v>4</v>
      </c>
      <c r="AC1638" s="17">
        <f t="shared" ref="AC1638:AC1674" si="815">SUM(Z1638:AB1638)</f>
        <v>12</v>
      </c>
      <c r="AD1638" s="22">
        <f>AD1632</f>
        <v>2</v>
      </c>
      <c r="AE1638" s="22">
        <f>AE1632</f>
        <v>6</v>
      </c>
      <c r="AF1638" s="22">
        <f>AF1632</f>
        <v>4</v>
      </c>
      <c r="AG1638" s="17">
        <f t="shared" ref="AG1638:AG1674" si="816">SUM(AD1638:AF1638)</f>
        <v>12</v>
      </c>
    </row>
    <row r="1639" spans="1:34">
      <c r="A1639" s="5" t="s">
        <v>37</v>
      </c>
      <c r="B1639" s="30">
        <v>1</v>
      </c>
      <c r="C1639" s="31"/>
      <c r="D1639" s="32"/>
      <c r="E1639" s="4">
        <f t="shared" si="810"/>
        <v>1</v>
      </c>
      <c r="F1639" s="30">
        <v>1</v>
      </c>
      <c r="G1639" s="31"/>
      <c r="H1639" s="32"/>
      <c r="I1639" s="4">
        <f t="shared" si="811"/>
        <v>1</v>
      </c>
      <c r="J1639" s="49">
        <v>45469</v>
      </c>
      <c r="K1639" s="5" t="s">
        <v>3</v>
      </c>
      <c r="L1639" s="16"/>
      <c r="M1639" s="11"/>
      <c r="N1639" s="16"/>
      <c r="O1639" s="4">
        <f t="shared" si="812"/>
        <v>0</v>
      </c>
      <c r="P1639" s="16"/>
      <c r="Q1639" s="11"/>
      <c r="R1639" s="16"/>
      <c r="S1639" s="4">
        <f t="shared" si="813"/>
        <v>0</v>
      </c>
      <c r="U1639" s="5" t="s">
        <v>3</v>
      </c>
      <c r="V1639" s="16"/>
      <c r="W1639" s="11"/>
      <c r="X1639" s="16"/>
      <c r="Y1639" s="4">
        <f t="shared" si="814"/>
        <v>0</v>
      </c>
      <c r="Z1639" s="16"/>
      <c r="AA1639" s="11"/>
      <c r="AB1639" s="16"/>
      <c r="AC1639" s="4">
        <f t="shared" si="815"/>
        <v>0</v>
      </c>
      <c r="AD1639" s="16"/>
      <c r="AE1639" s="11"/>
      <c r="AF1639" s="16"/>
      <c r="AG1639" s="4">
        <f t="shared" si="816"/>
        <v>0</v>
      </c>
    </row>
    <row r="1640" spans="1:34">
      <c r="A1640" s="5" t="s">
        <v>37</v>
      </c>
      <c r="B1640" s="30"/>
      <c r="C1640" s="31">
        <v>2</v>
      </c>
      <c r="D1640" s="32">
        <v>1</v>
      </c>
      <c r="E1640" s="4">
        <f t="shared" si="810"/>
        <v>3</v>
      </c>
      <c r="F1640" s="30"/>
      <c r="G1640" s="31">
        <v>2</v>
      </c>
      <c r="H1640" s="32">
        <v>1</v>
      </c>
      <c r="I1640" s="4">
        <f t="shared" si="811"/>
        <v>3</v>
      </c>
      <c r="J1640" s="43">
        <v>45477</v>
      </c>
      <c r="K1640" s="5" t="s">
        <v>3</v>
      </c>
      <c r="L1640" s="32"/>
      <c r="M1640" s="31"/>
      <c r="N1640" s="32"/>
      <c r="O1640" s="4">
        <f t="shared" si="812"/>
        <v>0</v>
      </c>
      <c r="P1640" s="32"/>
      <c r="Q1640" s="31"/>
      <c r="R1640" s="32"/>
      <c r="S1640" s="4">
        <f t="shared" si="813"/>
        <v>0</v>
      </c>
      <c r="U1640" s="5" t="s">
        <v>3</v>
      </c>
      <c r="V1640" s="32"/>
      <c r="W1640" s="31"/>
      <c r="X1640" s="32"/>
      <c r="Y1640" s="4">
        <f t="shared" si="814"/>
        <v>0</v>
      </c>
      <c r="Z1640" s="32"/>
      <c r="AA1640" s="31"/>
      <c r="AB1640" s="32"/>
      <c r="AC1640" s="4">
        <f t="shared" si="815"/>
        <v>0</v>
      </c>
      <c r="AD1640" s="32"/>
      <c r="AE1640" s="31"/>
      <c r="AF1640" s="32"/>
      <c r="AG1640" s="4">
        <f t="shared" si="816"/>
        <v>0</v>
      </c>
    </row>
    <row r="1641" spans="1:34">
      <c r="A1641" s="5" t="s">
        <v>3</v>
      </c>
      <c r="B1641" s="30">
        <v>5</v>
      </c>
      <c r="C1641" s="31"/>
      <c r="D1641" s="32">
        <v>5</v>
      </c>
      <c r="E1641" s="4">
        <f t="shared" si="810"/>
        <v>10</v>
      </c>
      <c r="F1641" s="30">
        <v>5</v>
      </c>
      <c r="G1641" s="31"/>
      <c r="H1641" s="32">
        <v>5</v>
      </c>
      <c r="I1641" s="4">
        <f t="shared" si="811"/>
        <v>10</v>
      </c>
      <c r="J1641" s="43">
        <v>45479</v>
      </c>
      <c r="K1641" s="5" t="s">
        <v>3</v>
      </c>
      <c r="L1641" s="32"/>
      <c r="M1641" s="31"/>
      <c r="N1641" s="32"/>
      <c r="O1641" s="4">
        <f t="shared" si="812"/>
        <v>0</v>
      </c>
      <c r="P1641" s="32"/>
      <c r="Q1641" s="31"/>
      <c r="R1641" s="32"/>
      <c r="S1641" s="4">
        <f t="shared" si="813"/>
        <v>0</v>
      </c>
      <c r="U1641" s="5" t="s">
        <v>3</v>
      </c>
      <c r="V1641" s="30"/>
      <c r="W1641" s="31"/>
      <c r="X1641" s="32"/>
      <c r="Y1641" s="4">
        <f t="shared" si="814"/>
        <v>0</v>
      </c>
      <c r="Z1641" s="30"/>
      <c r="AA1641" s="31"/>
      <c r="AB1641" s="32"/>
      <c r="AC1641" s="4">
        <f t="shared" si="815"/>
        <v>0</v>
      </c>
      <c r="AD1641" s="30"/>
      <c r="AE1641" s="31"/>
      <c r="AF1641" s="32"/>
      <c r="AG1641" s="4">
        <f t="shared" si="816"/>
        <v>0</v>
      </c>
    </row>
    <row r="1642" spans="1:34">
      <c r="A1642" s="5" t="s">
        <v>3</v>
      </c>
      <c r="B1642" s="16"/>
      <c r="C1642" s="11"/>
      <c r="D1642" s="16"/>
      <c r="E1642" s="4">
        <f t="shared" si="810"/>
        <v>0</v>
      </c>
      <c r="F1642" s="16"/>
      <c r="G1642" s="11"/>
      <c r="H1642" s="16"/>
      <c r="I1642" s="4">
        <f t="shared" si="811"/>
        <v>0</v>
      </c>
      <c r="K1642" s="5" t="s">
        <v>343</v>
      </c>
      <c r="L1642" s="32">
        <v>220</v>
      </c>
      <c r="M1642" s="31">
        <v>320</v>
      </c>
      <c r="N1642" s="32">
        <v>200</v>
      </c>
      <c r="O1642" s="4">
        <f t="shared" si="812"/>
        <v>740</v>
      </c>
      <c r="P1642" s="32">
        <v>220</v>
      </c>
      <c r="Q1642" s="31">
        <v>320</v>
      </c>
      <c r="R1642" s="32">
        <v>200</v>
      </c>
      <c r="S1642" s="4">
        <f t="shared" si="813"/>
        <v>740</v>
      </c>
      <c r="T1642" s="43" t="s">
        <v>948</v>
      </c>
      <c r="U1642" s="5" t="s">
        <v>3</v>
      </c>
      <c r="V1642" s="16">
        <v>10</v>
      </c>
      <c r="W1642" s="11">
        <v>15</v>
      </c>
      <c r="X1642" s="16">
        <v>8</v>
      </c>
      <c r="Y1642" s="4">
        <f t="shared" si="814"/>
        <v>33</v>
      </c>
      <c r="Z1642" s="16">
        <v>10</v>
      </c>
      <c r="AA1642" s="11">
        <v>15</v>
      </c>
      <c r="AB1642" s="16">
        <v>8</v>
      </c>
      <c r="AC1642" s="4">
        <f t="shared" si="815"/>
        <v>33</v>
      </c>
      <c r="AD1642" s="16">
        <v>10</v>
      </c>
      <c r="AE1642" s="11">
        <v>15</v>
      </c>
      <c r="AF1642" s="16">
        <v>8</v>
      </c>
      <c r="AG1642" s="4">
        <f t="shared" si="816"/>
        <v>33</v>
      </c>
      <c r="AH1642" s="43" t="s">
        <v>949</v>
      </c>
    </row>
    <row r="1643" spans="1:34">
      <c r="A1643" s="5" t="s">
        <v>3</v>
      </c>
      <c r="B1643" s="16"/>
      <c r="C1643" s="11"/>
      <c r="D1643" s="16"/>
      <c r="E1643" s="4">
        <f t="shared" si="810"/>
        <v>0</v>
      </c>
      <c r="F1643" s="16"/>
      <c r="G1643" s="11"/>
      <c r="H1643" s="16"/>
      <c r="I1643" s="4">
        <f t="shared" si="811"/>
        <v>0</v>
      </c>
      <c r="K1643" s="5" t="s">
        <v>3</v>
      </c>
      <c r="L1643" s="32"/>
      <c r="M1643" s="31"/>
      <c r="N1643" s="32"/>
      <c r="O1643" s="4">
        <f t="shared" si="812"/>
        <v>0</v>
      </c>
      <c r="P1643" s="32"/>
      <c r="Q1643" s="31"/>
      <c r="R1643" s="32"/>
      <c r="S1643" s="4">
        <f t="shared" si="813"/>
        <v>0</v>
      </c>
      <c r="U1643" s="5" t="s">
        <v>3</v>
      </c>
      <c r="V1643" s="32"/>
      <c r="W1643" s="31"/>
      <c r="X1643" s="32"/>
      <c r="Y1643" s="4">
        <f t="shared" si="814"/>
        <v>0</v>
      </c>
      <c r="Z1643" s="32"/>
      <c r="AA1643" s="31"/>
      <c r="AB1643" s="32"/>
      <c r="AC1643" s="4">
        <f t="shared" si="815"/>
        <v>0</v>
      </c>
      <c r="AD1643" s="32"/>
      <c r="AE1643" s="31"/>
      <c r="AF1643" s="32"/>
      <c r="AG1643" s="4">
        <f t="shared" si="816"/>
        <v>0</v>
      </c>
      <c r="AH1643" s="71"/>
    </row>
    <row r="1644" spans="1:34">
      <c r="A1644" s="5" t="s">
        <v>3</v>
      </c>
      <c r="B1644" s="16"/>
      <c r="C1644" s="11"/>
      <c r="D1644" s="16"/>
      <c r="E1644" s="4">
        <f t="shared" si="810"/>
        <v>0</v>
      </c>
      <c r="F1644" s="16"/>
      <c r="G1644" s="11"/>
      <c r="H1644" s="16"/>
      <c r="I1644" s="4">
        <f t="shared" si="811"/>
        <v>0</v>
      </c>
      <c r="K1644" s="5" t="s">
        <v>3</v>
      </c>
      <c r="L1644" s="32"/>
      <c r="M1644" s="31"/>
      <c r="N1644" s="32"/>
      <c r="O1644" s="4">
        <f t="shared" si="812"/>
        <v>0</v>
      </c>
      <c r="P1644" s="32"/>
      <c r="Q1644" s="31"/>
      <c r="R1644" s="32"/>
      <c r="S1644" s="4">
        <f t="shared" si="813"/>
        <v>0</v>
      </c>
      <c r="U1644" s="5" t="s">
        <v>3</v>
      </c>
      <c r="V1644" s="32">
        <v>20</v>
      </c>
      <c r="W1644" s="31">
        <v>25</v>
      </c>
      <c r="X1644" s="32">
        <v>20</v>
      </c>
      <c r="Y1644" s="4">
        <f t="shared" ref="Y1644" si="817">SUM(V1644:X1644)</f>
        <v>65</v>
      </c>
      <c r="Z1644" s="32">
        <v>20</v>
      </c>
      <c r="AA1644" s="31">
        <v>25</v>
      </c>
      <c r="AB1644" s="32">
        <v>20</v>
      </c>
      <c r="AC1644" s="4">
        <f t="shared" ref="AC1644" si="818">SUM(Z1644:AB1644)</f>
        <v>65</v>
      </c>
      <c r="AD1644" s="32">
        <v>20</v>
      </c>
      <c r="AE1644" s="31">
        <v>25</v>
      </c>
      <c r="AF1644" s="32">
        <v>20</v>
      </c>
      <c r="AG1644" s="4">
        <f t="shared" ref="AG1644" si="819">SUM(AD1644:AF1644)</f>
        <v>65</v>
      </c>
      <c r="AH1644" s="43" t="s">
        <v>949</v>
      </c>
    </row>
    <row r="1645" spans="1:34">
      <c r="A1645" s="5" t="s">
        <v>3</v>
      </c>
      <c r="B1645" s="32"/>
      <c r="C1645" s="31"/>
      <c r="D1645" s="32"/>
      <c r="E1645" s="4">
        <f t="shared" si="810"/>
        <v>0</v>
      </c>
      <c r="F1645" s="32"/>
      <c r="G1645" s="31"/>
      <c r="H1645" s="32"/>
      <c r="I1645" s="4">
        <f t="shared" si="811"/>
        <v>0</v>
      </c>
      <c r="K1645" s="5" t="s">
        <v>3</v>
      </c>
      <c r="L1645" s="32"/>
      <c r="M1645" s="31"/>
      <c r="N1645" s="32"/>
      <c r="O1645" s="4">
        <f t="shared" si="812"/>
        <v>0</v>
      </c>
      <c r="P1645" s="32"/>
      <c r="Q1645" s="31"/>
      <c r="R1645" s="32"/>
      <c r="S1645" s="4">
        <f t="shared" si="813"/>
        <v>0</v>
      </c>
      <c r="U1645" s="5" t="s">
        <v>3</v>
      </c>
      <c r="V1645" s="32"/>
      <c r="W1645" s="31"/>
      <c r="X1645" s="32"/>
      <c r="Y1645" s="4">
        <f t="shared" si="814"/>
        <v>0</v>
      </c>
      <c r="Z1645" s="32"/>
      <c r="AA1645" s="31"/>
      <c r="AB1645" s="32"/>
      <c r="AC1645" s="4">
        <f t="shared" si="815"/>
        <v>0</v>
      </c>
      <c r="AD1645" s="32"/>
      <c r="AE1645" s="31"/>
      <c r="AF1645" s="32"/>
      <c r="AG1645" s="4">
        <f t="shared" si="816"/>
        <v>0</v>
      </c>
    </row>
    <row r="1646" spans="1:34">
      <c r="A1646" s="5" t="s">
        <v>3</v>
      </c>
      <c r="B1646" s="32"/>
      <c r="C1646" s="31"/>
      <c r="D1646" s="32"/>
      <c r="E1646" s="4">
        <f t="shared" si="810"/>
        <v>0</v>
      </c>
      <c r="F1646" s="32"/>
      <c r="G1646" s="31"/>
      <c r="H1646" s="32"/>
      <c r="I1646" s="4">
        <f t="shared" si="811"/>
        <v>0</v>
      </c>
      <c r="K1646" s="5" t="s">
        <v>3</v>
      </c>
      <c r="L1646" s="32"/>
      <c r="M1646" s="31"/>
      <c r="N1646" s="32"/>
      <c r="O1646" s="4">
        <f t="shared" si="812"/>
        <v>0</v>
      </c>
      <c r="P1646" s="32"/>
      <c r="Q1646" s="31"/>
      <c r="R1646" s="32"/>
      <c r="S1646" s="4">
        <f t="shared" si="813"/>
        <v>0</v>
      </c>
      <c r="U1646" s="5" t="s">
        <v>3</v>
      </c>
      <c r="V1646" s="30"/>
      <c r="W1646" s="31"/>
      <c r="X1646" s="32"/>
      <c r="Y1646" s="4">
        <f t="shared" ref="Y1646" si="820">SUM(V1646:X1646)</f>
        <v>0</v>
      </c>
      <c r="Z1646" s="30"/>
      <c r="AA1646" s="31"/>
      <c r="AB1646" s="32"/>
      <c r="AC1646" s="4">
        <f t="shared" ref="AC1646" si="821">SUM(Z1646:AB1646)</f>
        <v>0</v>
      </c>
      <c r="AD1646" s="30"/>
      <c r="AE1646" s="31"/>
      <c r="AF1646" s="32"/>
      <c r="AG1646" s="4">
        <f t="shared" ref="AG1646" si="822">SUM(AD1646:AF1646)</f>
        <v>0</v>
      </c>
    </row>
    <row r="1647" spans="1:34">
      <c r="A1647" s="5" t="s">
        <v>3</v>
      </c>
      <c r="B1647" s="30"/>
      <c r="C1647" s="31"/>
      <c r="D1647" s="32"/>
      <c r="E1647" s="4">
        <f t="shared" si="810"/>
        <v>0</v>
      </c>
      <c r="F1647" s="30"/>
      <c r="G1647" s="31"/>
      <c r="H1647" s="32"/>
      <c r="I1647" s="4">
        <f t="shared" si="811"/>
        <v>0</v>
      </c>
      <c r="K1647" s="5" t="s">
        <v>3</v>
      </c>
      <c r="L1647" s="32"/>
      <c r="M1647" s="31"/>
      <c r="N1647" s="32"/>
      <c r="O1647" s="4">
        <f t="shared" si="812"/>
        <v>0</v>
      </c>
      <c r="P1647" s="32"/>
      <c r="Q1647" s="31"/>
      <c r="R1647" s="32"/>
      <c r="S1647" s="4">
        <f t="shared" si="813"/>
        <v>0</v>
      </c>
      <c r="U1647" s="5" t="s">
        <v>3</v>
      </c>
      <c r="V1647" s="30"/>
      <c r="W1647" s="31"/>
      <c r="X1647" s="32"/>
      <c r="Y1647" s="4">
        <f t="shared" si="814"/>
        <v>0</v>
      </c>
      <c r="Z1647" s="30"/>
      <c r="AA1647" s="31"/>
      <c r="AB1647" s="32"/>
      <c r="AC1647" s="4">
        <f t="shared" si="815"/>
        <v>0</v>
      </c>
      <c r="AD1647" s="30"/>
      <c r="AE1647" s="31"/>
      <c r="AF1647" s="32"/>
      <c r="AG1647" s="4">
        <f t="shared" si="816"/>
        <v>0</v>
      </c>
    </row>
    <row r="1648" spans="1:34" ht="14.25" thickBot="1">
      <c r="A1648" s="6" t="s">
        <v>3</v>
      </c>
      <c r="B1648" s="36"/>
      <c r="C1648" s="37"/>
      <c r="D1648" s="36"/>
      <c r="E1648" s="20">
        <f t="shared" si="810"/>
        <v>0</v>
      </c>
      <c r="F1648" s="13"/>
      <c r="G1648" s="12"/>
      <c r="H1648" s="13"/>
      <c r="I1648" s="20">
        <f t="shared" si="811"/>
        <v>0</v>
      </c>
      <c r="K1648" s="5" t="s">
        <v>3</v>
      </c>
      <c r="L1648" s="36"/>
      <c r="M1648" s="37"/>
      <c r="N1648" s="36"/>
      <c r="O1648" s="20">
        <f t="shared" si="812"/>
        <v>0</v>
      </c>
      <c r="P1648" s="13"/>
      <c r="Q1648" s="12"/>
      <c r="R1648" s="13"/>
      <c r="S1648" s="20">
        <f t="shared" si="813"/>
        <v>0</v>
      </c>
      <c r="U1648" s="6" t="s">
        <v>3</v>
      </c>
      <c r="V1648" s="13"/>
      <c r="W1648" s="12"/>
      <c r="X1648" s="13"/>
      <c r="Y1648" s="20">
        <f t="shared" si="814"/>
        <v>0</v>
      </c>
      <c r="Z1648" s="13"/>
      <c r="AA1648" s="12"/>
      <c r="AB1648" s="13"/>
      <c r="AC1648" s="20">
        <f t="shared" si="815"/>
        <v>0</v>
      </c>
      <c r="AD1648" s="13"/>
      <c r="AE1648" s="12"/>
      <c r="AF1648" s="13"/>
      <c r="AG1648" s="20">
        <f t="shared" si="816"/>
        <v>0</v>
      </c>
    </row>
    <row r="1649" spans="1:37" ht="14.25" thickBot="1">
      <c r="A1649" s="23" t="s">
        <v>4</v>
      </c>
      <c r="B1649" s="24">
        <f>SUM(B1638:B1648)</f>
        <v>12</v>
      </c>
      <c r="C1649" s="24">
        <f>SUM(C1638:C1648)</f>
        <v>10</v>
      </c>
      <c r="D1649" s="25">
        <f>SUM(D1638:D1648)</f>
        <v>11</v>
      </c>
      <c r="E1649" s="26">
        <f t="shared" si="810"/>
        <v>33</v>
      </c>
      <c r="F1649" s="24">
        <f>SUM(F1638:F1648)</f>
        <v>12</v>
      </c>
      <c r="G1649" s="24">
        <f>SUM(G1638:G1648)</f>
        <v>10</v>
      </c>
      <c r="H1649" s="25">
        <f>SUM(H1638:H1648)</f>
        <v>11</v>
      </c>
      <c r="I1649" s="26">
        <f t="shared" si="811"/>
        <v>33</v>
      </c>
      <c r="K1649" s="23" t="s">
        <v>4</v>
      </c>
      <c r="L1649" s="24">
        <f>SUM(L1638:L1648)</f>
        <v>476</v>
      </c>
      <c r="M1649" s="24">
        <f>SUM(M1638:M1648)</f>
        <v>613</v>
      </c>
      <c r="N1649" s="25">
        <f>SUM(N1638:N1648)</f>
        <v>372</v>
      </c>
      <c r="O1649" s="26">
        <f t="shared" si="812"/>
        <v>1461</v>
      </c>
      <c r="P1649" s="24">
        <f>SUM(P1638:P1648)</f>
        <v>476</v>
      </c>
      <c r="Q1649" s="24">
        <f>SUM(Q1638:Q1648)</f>
        <v>613</v>
      </c>
      <c r="R1649" s="25">
        <f>SUM(R1638:R1648)</f>
        <v>372</v>
      </c>
      <c r="S1649" s="26">
        <f t="shared" si="813"/>
        <v>1461</v>
      </c>
      <c r="U1649" s="23" t="s">
        <v>4</v>
      </c>
      <c r="V1649" s="24">
        <f>SUM(V1638:V1648)</f>
        <v>32</v>
      </c>
      <c r="W1649" s="24">
        <f>SUM(W1638:W1648)</f>
        <v>46</v>
      </c>
      <c r="X1649" s="25">
        <f>SUM(X1638:X1648)</f>
        <v>32</v>
      </c>
      <c r="Y1649" s="26">
        <f t="shared" si="814"/>
        <v>110</v>
      </c>
      <c r="Z1649" s="24">
        <f>SUM(Z1638:Z1648)</f>
        <v>32</v>
      </c>
      <c r="AA1649" s="24">
        <f>SUM(AA1638:AA1648)</f>
        <v>46</v>
      </c>
      <c r="AB1649" s="25">
        <f>SUM(AB1638:AB1648)</f>
        <v>32</v>
      </c>
      <c r="AC1649" s="26">
        <f t="shared" si="815"/>
        <v>110</v>
      </c>
      <c r="AD1649" s="24">
        <f>SUM(AD1638:AD1648)</f>
        <v>32</v>
      </c>
      <c r="AE1649" s="24">
        <f>SUM(AE1638:AE1648)</f>
        <v>46</v>
      </c>
      <c r="AF1649" s="25">
        <f>SUM(AF1638:AF1648)</f>
        <v>32</v>
      </c>
      <c r="AG1649" s="26">
        <f t="shared" si="816"/>
        <v>110</v>
      </c>
    </row>
    <row r="1650" spans="1:37">
      <c r="A1650" s="3" t="s">
        <v>67</v>
      </c>
      <c r="B1650" s="8">
        <v>2</v>
      </c>
      <c r="C1650" s="9"/>
      <c r="D1650" s="10"/>
      <c r="E1650" s="4">
        <f t="shared" si="810"/>
        <v>2</v>
      </c>
      <c r="F1650" s="8">
        <v>2</v>
      </c>
      <c r="G1650" s="9"/>
      <c r="H1650" s="10"/>
      <c r="I1650" s="4">
        <f t="shared" si="811"/>
        <v>2</v>
      </c>
      <c r="J1650" s="43">
        <v>45477</v>
      </c>
      <c r="K1650" s="3" t="s">
        <v>53</v>
      </c>
      <c r="L1650" s="8"/>
      <c r="M1650" s="9">
        <v>1</v>
      </c>
      <c r="N1650" s="10">
        <v>3</v>
      </c>
      <c r="O1650" s="4">
        <f t="shared" si="812"/>
        <v>4</v>
      </c>
      <c r="P1650" s="8"/>
      <c r="Q1650" s="9">
        <v>1</v>
      </c>
      <c r="R1650" s="10">
        <v>3</v>
      </c>
      <c r="S1650" s="4">
        <f t="shared" si="813"/>
        <v>4</v>
      </c>
      <c r="T1650" s="43">
        <v>45464</v>
      </c>
      <c r="U1650" s="3" t="s">
        <v>944</v>
      </c>
      <c r="V1650" s="61">
        <v>11</v>
      </c>
      <c r="W1650" s="60">
        <v>22</v>
      </c>
      <c r="X1650" s="61">
        <v>11</v>
      </c>
      <c r="Y1650" s="4">
        <f t="shared" si="814"/>
        <v>44</v>
      </c>
      <c r="Z1650" s="61">
        <v>11</v>
      </c>
      <c r="AA1650" s="60">
        <v>22</v>
      </c>
      <c r="AB1650" s="61">
        <v>11</v>
      </c>
      <c r="AC1650" s="4">
        <f t="shared" si="815"/>
        <v>44</v>
      </c>
      <c r="AD1650" s="8">
        <v>11</v>
      </c>
      <c r="AE1650" s="9">
        <v>22</v>
      </c>
      <c r="AF1650" s="10">
        <v>11</v>
      </c>
      <c r="AG1650" s="7">
        <f t="shared" si="816"/>
        <v>44</v>
      </c>
      <c r="AH1650" s="43">
        <v>45475</v>
      </c>
      <c r="AI1650" s="29"/>
      <c r="AJ1650" s="29"/>
      <c r="AK1650" s="29"/>
    </row>
    <row r="1651" spans="1:37">
      <c r="A1651" s="3" t="s">
        <v>952</v>
      </c>
      <c r="B1651" s="8"/>
      <c r="C1651" s="9">
        <v>2</v>
      </c>
      <c r="D1651" s="10">
        <v>3</v>
      </c>
      <c r="E1651" s="7">
        <f t="shared" si="810"/>
        <v>5</v>
      </c>
      <c r="F1651" s="8"/>
      <c r="G1651" s="9">
        <v>2</v>
      </c>
      <c r="H1651" s="10">
        <v>3</v>
      </c>
      <c r="I1651" s="7">
        <f t="shared" si="811"/>
        <v>5</v>
      </c>
      <c r="J1651" s="43">
        <v>45481</v>
      </c>
      <c r="K1651" s="3" t="s">
        <v>942</v>
      </c>
      <c r="L1651" s="8">
        <v>1</v>
      </c>
      <c r="M1651" s="9">
        <v>2</v>
      </c>
      <c r="N1651" s="10">
        <v>1</v>
      </c>
      <c r="O1651" s="4">
        <f t="shared" si="812"/>
        <v>4</v>
      </c>
      <c r="P1651" s="8">
        <v>1</v>
      </c>
      <c r="Q1651" s="9">
        <v>2</v>
      </c>
      <c r="R1651" s="10">
        <v>1</v>
      </c>
      <c r="S1651" s="4">
        <f t="shared" si="813"/>
        <v>4</v>
      </c>
      <c r="T1651" s="43">
        <v>45464</v>
      </c>
      <c r="U1651" s="3" t="s">
        <v>963</v>
      </c>
      <c r="V1651" s="8">
        <v>10</v>
      </c>
      <c r="W1651" s="9">
        <v>24</v>
      </c>
      <c r="X1651" s="10">
        <v>15</v>
      </c>
      <c r="Y1651" s="4">
        <f t="shared" si="814"/>
        <v>49</v>
      </c>
      <c r="Z1651" s="8">
        <v>10</v>
      </c>
      <c r="AA1651" s="9">
        <v>24</v>
      </c>
      <c r="AB1651" s="10">
        <v>15</v>
      </c>
      <c r="AC1651" s="4">
        <f t="shared" si="815"/>
        <v>49</v>
      </c>
      <c r="AD1651" s="8">
        <v>10</v>
      </c>
      <c r="AE1651" s="9">
        <v>24</v>
      </c>
      <c r="AF1651" s="10">
        <v>15</v>
      </c>
      <c r="AG1651" s="4">
        <f t="shared" si="816"/>
        <v>49</v>
      </c>
      <c r="AH1651" s="43">
        <v>45495</v>
      </c>
      <c r="AI1651" s="29"/>
      <c r="AJ1651" s="29"/>
      <c r="AK1651" s="29"/>
    </row>
    <row r="1652" spans="1:37">
      <c r="A1652" s="3" t="s">
        <v>953</v>
      </c>
      <c r="B1652" s="8">
        <v>2</v>
      </c>
      <c r="C1652" s="9"/>
      <c r="D1652" s="10"/>
      <c r="E1652" s="7">
        <f t="shared" si="810"/>
        <v>2</v>
      </c>
      <c r="F1652" s="8">
        <v>2</v>
      </c>
      <c r="G1652" s="9"/>
      <c r="H1652" s="10"/>
      <c r="I1652" s="7">
        <f t="shared" si="811"/>
        <v>2</v>
      </c>
      <c r="J1652" s="43">
        <v>45481</v>
      </c>
      <c r="K1652" s="3" t="s">
        <v>54</v>
      </c>
      <c r="L1652" s="8"/>
      <c r="M1652" s="9">
        <v>2</v>
      </c>
      <c r="N1652" s="10">
        <v>4</v>
      </c>
      <c r="O1652" s="7">
        <f t="shared" si="812"/>
        <v>6</v>
      </c>
      <c r="P1652" s="8"/>
      <c r="Q1652" s="9">
        <v>2</v>
      </c>
      <c r="R1652" s="10">
        <v>4</v>
      </c>
      <c r="S1652" s="7">
        <f t="shared" si="813"/>
        <v>6</v>
      </c>
      <c r="T1652" s="43">
        <v>45464</v>
      </c>
      <c r="U1652" s="40"/>
      <c r="V1652" s="8"/>
      <c r="W1652" s="9"/>
      <c r="X1652" s="10"/>
      <c r="Y1652" s="7">
        <f t="shared" si="814"/>
        <v>0</v>
      </c>
      <c r="Z1652" s="8"/>
      <c r="AA1652" s="9"/>
      <c r="AB1652" s="10"/>
      <c r="AC1652" s="7">
        <f t="shared" si="815"/>
        <v>0</v>
      </c>
      <c r="AD1652" s="8"/>
      <c r="AE1652" s="9"/>
      <c r="AF1652" s="10"/>
      <c r="AG1652" s="7">
        <f t="shared" si="816"/>
        <v>0</v>
      </c>
      <c r="AH1652" s="71"/>
    </row>
    <row r="1653" spans="1:37">
      <c r="A1653" s="3" t="s">
        <v>72</v>
      </c>
      <c r="B1653" s="8"/>
      <c r="C1653" s="9">
        <v>1</v>
      </c>
      <c r="D1653" s="10"/>
      <c r="E1653" s="4">
        <f t="shared" si="810"/>
        <v>1</v>
      </c>
      <c r="F1653" s="8"/>
      <c r="G1653" s="9">
        <v>1</v>
      </c>
      <c r="H1653" s="10"/>
      <c r="I1653" s="4">
        <f t="shared" si="811"/>
        <v>1</v>
      </c>
      <c r="J1653" s="43">
        <v>45485</v>
      </c>
      <c r="K1653" s="3" t="s">
        <v>943</v>
      </c>
      <c r="L1653" s="8">
        <v>10</v>
      </c>
      <c r="M1653" s="9">
        <v>16</v>
      </c>
      <c r="N1653" s="10">
        <v>10</v>
      </c>
      <c r="O1653" s="4">
        <f t="shared" si="812"/>
        <v>36</v>
      </c>
      <c r="P1653" s="8">
        <v>10</v>
      </c>
      <c r="Q1653" s="9">
        <v>16</v>
      </c>
      <c r="R1653" s="10">
        <v>10</v>
      </c>
      <c r="S1653" s="4">
        <f t="shared" si="813"/>
        <v>36</v>
      </c>
      <c r="T1653" s="43">
        <v>45467</v>
      </c>
      <c r="U1653" s="40"/>
      <c r="V1653" s="8"/>
      <c r="W1653" s="9"/>
      <c r="X1653" s="10"/>
      <c r="Y1653" s="4">
        <f t="shared" si="814"/>
        <v>0</v>
      </c>
      <c r="Z1653" s="8"/>
      <c r="AA1653" s="9"/>
      <c r="AB1653" s="10"/>
      <c r="AC1653" s="4">
        <f t="shared" si="815"/>
        <v>0</v>
      </c>
      <c r="AD1653" s="8"/>
      <c r="AE1653" s="9"/>
      <c r="AF1653" s="10"/>
      <c r="AG1653" s="4">
        <f t="shared" si="816"/>
        <v>0</v>
      </c>
    </row>
    <row r="1654" spans="1:37">
      <c r="A1654" s="3"/>
      <c r="B1654" s="8"/>
      <c r="C1654" s="9"/>
      <c r="D1654" s="10"/>
      <c r="E1654" s="4">
        <f t="shared" si="810"/>
        <v>0</v>
      </c>
      <c r="F1654" s="8"/>
      <c r="G1654" s="9"/>
      <c r="H1654" s="10"/>
      <c r="I1654" s="4">
        <f t="shared" si="811"/>
        <v>0</v>
      </c>
      <c r="J1654" s="71"/>
      <c r="K1654" s="3" t="s">
        <v>57</v>
      </c>
      <c r="L1654" s="8"/>
      <c r="M1654" s="9">
        <v>4</v>
      </c>
      <c r="N1654" s="10"/>
      <c r="O1654" s="4">
        <f t="shared" si="812"/>
        <v>4</v>
      </c>
      <c r="P1654" s="8"/>
      <c r="Q1654" s="9">
        <v>4</v>
      </c>
      <c r="R1654" s="10"/>
      <c r="S1654" s="4">
        <f t="shared" si="813"/>
        <v>4</v>
      </c>
      <c r="T1654" s="43">
        <v>45467</v>
      </c>
      <c r="U1654" s="3"/>
      <c r="V1654" s="8"/>
      <c r="W1654" s="9"/>
      <c r="X1654" s="10"/>
      <c r="Y1654" s="4">
        <f t="shared" si="814"/>
        <v>0</v>
      </c>
      <c r="Z1654" s="8"/>
      <c r="AA1654" s="9"/>
      <c r="AB1654" s="10"/>
      <c r="AC1654" s="4">
        <f t="shared" si="815"/>
        <v>0</v>
      </c>
      <c r="AD1654" s="8"/>
      <c r="AE1654" s="9"/>
      <c r="AF1654" s="10"/>
      <c r="AG1654" s="4">
        <f t="shared" si="816"/>
        <v>0</v>
      </c>
    </row>
    <row r="1655" spans="1:37">
      <c r="A1655" s="3"/>
      <c r="B1655" s="8"/>
      <c r="C1655" s="9"/>
      <c r="D1655" s="10"/>
      <c r="E1655" s="7">
        <f t="shared" si="810"/>
        <v>0</v>
      </c>
      <c r="F1655" s="8"/>
      <c r="G1655" s="9"/>
      <c r="H1655" s="10"/>
      <c r="I1655" s="7">
        <f t="shared" si="811"/>
        <v>0</v>
      </c>
      <c r="J1655" s="71"/>
      <c r="K1655" s="3" t="s">
        <v>59</v>
      </c>
      <c r="L1655" s="8">
        <v>4</v>
      </c>
      <c r="M1655" s="9">
        <v>7</v>
      </c>
      <c r="N1655" s="10">
        <v>11</v>
      </c>
      <c r="O1655" s="7">
        <f t="shared" si="812"/>
        <v>22</v>
      </c>
      <c r="P1655" s="8">
        <v>4</v>
      </c>
      <c r="Q1655" s="9">
        <v>7</v>
      </c>
      <c r="R1655" s="10">
        <v>11</v>
      </c>
      <c r="S1655" s="7">
        <f t="shared" si="813"/>
        <v>22</v>
      </c>
      <c r="T1655" s="43">
        <v>45469</v>
      </c>
      <c r="U1655" s="3"/>
      <c r="V1655" s="8"/>
      <c r="W1655" s="9"/>
      <c r="X1655" s="10"/>
      <c r="Y1655" s="7">
        <f t="shared" si="814"/>
        <v>0</v>
      </c>
      <c r="Z1655" s="8"/>
      <c r="AA1655" s="9"/>
      <c r="AB1655" s="10"/>
      <c r="AC1655" s="7">
        <f t="shared" si="815"/>
        <v>0</v>
      </c>
      <c r="AD1655" s="8"/>
      <c r="AE1655" s="9"/>
      <c r="AF1655" s="10"/>
      <c r="AG1655" s="7">
        <f t="shared" si="816"/>
        <v>0</v>
      </c>
    </row>
    <row r="1656" spans="1:37">
      <c r="A1656" s="3"/>
      <c r="B1656" s="8"/>
      <c r="C1656" s="9"/>
      <c r="D1656" s="10"/>
      <c r="E1656" s="7">
        <f t="shared" si="810"/>
        <v>0</v>
      </c>
      <c r="F1656" s="8"/>
      <c r="G1656" s="9"/>
      <c r="H1656" s="10"/>
      <c r="I1656" s="7">
        <f t="shared" si="811"/>
        <v>0</v>
      </c>
      <c r="J1656" s="71"/>
      <c r="K1656" s="3" t="s">
        <v>60</v>
      </c>
      <c r="L1656" s="8">
        <v>3</v>
      </c>
      <c r="M1656" s="9">
        <v>13</v>
      </c>
      <c r="N1656" s="10"/>
      <c r="O1656" s="7">
        <f t="shared" si="812"/>
        <v>16</v>
      </c>
      <c r="P1656" s="8">
        <v>3</v>
      </c>
      <c r="Q1656" s="9">
        <v>13</v>
      </c>
      <c r="R1656" s="10"/>
      <c r="S1656" s="7">
        <f t="shared" si="813"/>
        <v>16</v>
      </c>
      <c r="T1656" s="43">
        <v>45470</v>
      </c>
      <c r="U1656" s="3"/>
      <c r="V1656" s="8"/>
      <c r="W1656" s="9"/>
      <c r="X1656" s="10"/>
      <c r="Y1656" s="7">
        <f t="shared" si="814"/>
        <v>0</v>
      </c>
      <c r="Z1656" s="8"/>
      <c r="AA1656" s="9"/>
      <c r="AB1656" s="10"/>
      <c r="AC1656" s="7">
        <f t="shared" si="815"/>
        <v>0</v>
      </c>
      <c r="AD1656" s="8"/>
      <c r="AE1656" s="9"/>
      <c r="AF1656" s="10"/>
      <c r="AG1656" s="7">
        <f t="shared" si="816"/>
        <v>0</v>
      </c>
    </row>
    <row r="1657" spans="1:37">
      <c r="A1657" s="3"/>
      <c r="B1657" s="8"/>
      <c r="C1657" s="9"/>
      <c r="D1657" s="10"/>
      <c r="E1657" s="7">
        <f t="shared" si="810"/>
        <v>0</v>
      </c>
      <c r="F1657" s="8"/>
      <c r="G1657" s="9"/>
      <c r="H1657" s="10"/>
      <c r="I1657" s="7">
        <f t="shared" si="811"/>
        <v>0</v>
      </c>
      <c r="K1657" s="3" t="s">
        <v>62</v>
      </c>
      <c r="L1657" s="8">
        <v>5</v>
      </c>
      <c r="M1657" s="9">
        <v>5</v>
      </c>
      <c r="N1657" s="10">
        <v>4</v>
      </c>
      <c r="O1657" s="7">
        <f t="shared" si="812"/>
        <v>14</v>
      </c>
      <c r="P1657" s="8">
        <v>5</v>
      </c>
      <c r="Q1657" s="9">
        <v>5</v>
      </c>
      <c r="R1657" s="10">
        <v>4</v>
      </c>
      <c r="S1657" s="7">
        <f t="shared" si="813"/>
        <v>14</v>
      </c>
      <c r="T1657" s="43">
        <v>45471</v>
      </c>
      <c r="U1657" s="3"/>
      <c r="V1657" s="8"/>
      <c r="W1657" s="9"/>
      <c r="X1657" s="10"/>
      <c r="Y1657" s="7">
        <f t="shared" si="814"/>
        <v>0</v>
      </c>
      <c r="Z1657" s="8"/>
      <c r="AA1657" s="9"/>
      <c r="AB1657" s="10"/>
      <c r="AC1657" s="7">
        <f t="shared" si="815"/>
        <v>0</v>
      </c>
      <c r="AD1657" s="8"/>
      <c r="AE1657" s="9"/>
      <c r="AF1657" s="10"/>
      <c r="AG1657" s="7">
        <f t="shared" si="816"/>
        <v>0</v>
      </c>
    </row>
    <row r="1658" spans="1:37">
      <c r="A1658" s="3"/>
      <c r="B1658" s="8"/>
      <c r="C1658" s="9"/>
      <c r="D1658" s="10"/>
      <c r="E1658" s="7">
        <f t="shared" si="810"/>
        <v>0</v>
      </c>
      <c r="F1658" s="8"/>
      <c r="G1658" s="9"/>
      <c r="H1658" s="10"/>
      <c r="I1658" s="7">
        <f t="shared" si="811"/>
        <v>0</v>
      </c>
      <c r="K1658" s="3" t="s">
        <v>63</v>
      </c>
      <c r="L1658" s="8"/>
      <c r="M1658" s="9">
        <v>4</v>
      </c>
      <c r="N1658" s="10">
        <v>2</v>
      </c>
      <c r="O1658" s="7">
        <f t="shared" si="812"/>
        <v>6</v>
      </c>
      <c r="P1658" s="8"/>
      <c r="Q1658" s="9">
        <v>4</v>
      </c>
      <c r="R1658" s="10">
        <v>2</v>
      </c>
      <c r="S1658" s="7">
        <f t="shared" si="813"/>
        <v>6</v>
      </c>
      <c r="T1658" s="43">
        <v>45471</v>
      </c>
      <c r="U1658" s="3"/>
      <c r="V1658" s="8"/>
      <c r="W1658" s="9"/>
      <c r="X1658" s="10"/>
      <c r="Y1658" s="7">
        <f t="shared" si="814"/>
        <v>0</v>
      </c>
      <c r="Z1658" s="8"/>
      <c r="AA1658" s="9"/>
      <c r="AB1658" s="10"/>
      <c r="AC1658" s="7">
        <f t="shared" si="815"/>
        <v>0</v>
      </c>
      <c r="AD1658" s="8"/>
      <c r="AE1658" s="9"/>
      <c r="AF1658" s="10"/>
      <c r="AG1658" s="7">
        <f t="shared" si="816"/>
        <v>0</v>
      </c>
    </row>
    <row r="1659" spans="1:37">
      <c r="A1659" s="3"/>
      <c r="B1659" s="8"/>
      <c r="C1659" s="9"/>
      <c r="D1659" s="10"/>
      <c r="E1659" s="7">
        <f t="shared" si="810"/>
        <v>0</v>
      </c>
      <c r="F1659" s="8"/>
      <c r="G1659" s="9"/>
      <c r="H1659" s="10"/>
      <c r="I1659" s="7">
        <f t="shared" si="811"/>
        <v>0</v>
      </c>
      <c r="K1659" s="3" t="s">
        <v>64</v>
      </c>
      <c r="L1659" s="8">
        <v>2</v>
      </c>
      <c r="M1659" s="9">
        <v>1</v>
      </c>
      <c r="N1659" s="10">
        <v>1</v>
      </c>
      <c r="O1659" s="7">
        <f t="shared" si="812"/>
        <v>4</v>
      </c>
      <c r="P1659" s="8">
        <v>2</v>
      </c>
      <c r="Q1659" s="9">
        <v>1</v>
      </c>
      <c r="R1659" s="10">
        <v>1</v>
      </c>
      <c r="S1659" s="7">
        <f t="shared" si="813"/>
        <v>4</v>
      </c>
      <c r="T1659" s="43">
        <v>45474</v>
      </c>
      <c r="U1659" s="3"/>
      <c r="V1659" s="8"/>
      <c r="W1659" s="9"/>
      <c r="X1659" s="10"/>
      <c r="Y1659" s="7">
        <f t="shared" si="814"/>
        <v>0</v>
      </c>
      <c r="Z1659" s="8"/>
      <c r="AA1659" s="9"/>
      <c r="AB1659" s="10"/>
      <c r="AC1659" s="7">
        <f t="shared" si="815"/>
        <v>0</v>
      </c>
      <c r="AD1659" s="8"/>
      <c r="AE1659" s="9"/>
      <c r="AF1659" s="10"/>
      <c r="AG1659" s="7">
        <f t="shared" si="816"/>
        <v>0</v>
      </c>
    </row>
    <row r="1660" spans="1:37">
      <c r="A1660" s="3"/>
      <c r="B1660" s="8"/>
      <c r="C1660" s="9"/>
      <c r="D1660" s="10"/>
      <c r="E1660" s="7">
        <f t="shared" si="810"/>
        <v>0</v>
      </c>
      <c r="F1660" s="8"/>
      <c r="G1660" s="9"/>
      <c r="H1660" s="10"/>
      <c r="I1660" s="7">
        <f t="shared" si="811"/>
        <v>0</v>
      </c>
      <c r="K1660" s="3" t="s">
        <v>947</v>
      </c>
      <c r="L1660" s="59">
        <v>1</v>
      </c>
      <c r="M1660" s="60">
        <v>1</v>
      </c>
      <c r="N1660" s="10"/>
      <c r="O1660" s="7">
        <f t="shared" si="812"/>
        <v>2</v>
      </c>
      <c r="P1660" s="8">
        <v>1</v>
      </c>
      <c r="Q1660" s="9">
        <v>1</v>
      </c>
      <c r="R1660" s="10"/>
      <c r="S1660" s="7">
        <f t="shared" si="813"/>
        <v>2</v>
      </c>
      <c r="T1660" s="43">
        <v>45476</v>
      </c>
      <c r="U1660" s="3"/>
      <c r="V1660" s="30"/>
      <c r="W1660" s="9"/>
      <c r="X1660" s="10"/>
      <c r="Y1660" s="7">
        <f t="shared" si="814"/>
        <v>0</v>
      </c>
      <c r="Z1660" s="8"/>
      <c r="AA1660" s="9"/>
      <c r="AB1660" s="10"/>
      <c r="AC1660" s="7">
        <f t="shared" si="815"/>
        <v>0</v>
      </c>
      <c r="AD1660" s="8"/>
      <c r="AE1660" s="9"/>
      <c r="AF1660" s="10"/>
      <c r="AG1660" s="7">
        <f t="shared" si="816"/>
        <v>0</v>
      </c>
    </row>
    <row r="1661" spans="1:37">
      <c r="A1661" s="3"/>
      <c r="B1661" s="8"/>
      <c r="C1661" s="9"/>
      <c r="D1661" s="10"/>
      <c r="E1661" s="7">
        <f t="shared" si="810"/>
        <v>0</v>
      </c>
      <c r="F1661" s="8"/>
      <c r="G1661" s="9"/>
      <c r="H1661" s="10"/>
      <c r="I1661" s="7">
        <f t="shared" si="811"/>
        <v>0</v>
      </c>
      <c r="K1661" s="3" t="s">
        <v>66</v>
      </c>
      <c r="L1661" s="8">
        <v>2</v>
      </c>
      <c r="M1661" s="9">
        <v>5</v>
      </c>
      <c r="N1661" s="10">
        <v>4</v>
      </c>
      <c r="O1661" s="7">
        <f t="shared" si="812"/>
        <v>11</v>
      </c>
      <c r="P1661" s="8">
        <v>2</v>
      </c>
      <c r="Q1661" s="9">
        <v>5</v>
      </c>
      <c r="R1661" s="10">
        <v>4</v>
      </c>
      <c r="S1661" s="7">
        <f t="shared" si="813"/>
        <v>11</v>
      </c>
      <c r="T1661" s="43">
        <v>45476</v>
      </c>
      <c r="U1661" s="3"/>
      <c r="V1661" s="8"/>
      <c r="W1661" s="9"/>
      <c r="X1661" s="10"/>
      <c r="Y1661" s="7">
        <f t="shared" si="814"/>
        <v>0</v>
      </c>
      <c r="Z1661" s="8"/>
      <c r="AA1661" s="9"/>
      <c r="AB1661" s="10"/>
      <c r="AC1661" s="7">
        <f t="shared" si="815"/>
        <v>0</v>
      </c>
      <c r="AD1661" s="8"/>
      <c r="AE1661" s="9"/>
      <c r="AF1661" s="10"/>
      <c r="AG1661" s="7">
        <f t="shared" si="816"/>
        <v>0</v>
      </c>
    </row>
    <row r="1662" spans="1:37">
      <c r="A1662" s="3"/>
      <c r="B1662" s="8"/>
      <c r="C1662" s="9"/>
      <c r="D1662" s="10"/>
      <c r="E1662" s="7">
        <f t="shared" si="810"/>
        <v>0</v>
      </c>
      <c r="F1662" s="8"/>
      <c r="G1662" s="9"/>
      <c r="H1662" s="10"/>
      <c r="I1662" s="7">
        <f t="shared" si="811"/>
        <v>0</v>
      </c>
      <c r="K1662" s="3" t="s">
        <v>68</v>
      </c>
      <c r="L1662" s="8">
        <v>3</v>
      </c>
      <c r="M1662" s="9">
        <v>1</v>
      </c>
      <c r="N1662" s="10"/>
      <c r="O1662" s="7">
        <f t="shared" si="812"/>
        <v>4</v>
      </c>
      <c r="P1662" s="8">
        <v>3</v>
      </c>
      <c r="Q1662" s="9">
        <v>1</v>
      </c>
      <c r="R1662" s="10"/>
      <c r="S1662" s="7">
        <f t="shared" si="813"/>
        <v>4</v>
      </c>
      <c r="T1662" s="43">
        <v>45478</v>
      </c>
      <c r="U1662" s="3"/>
      <c r="V1662" s="8"/>
      <c r="W1662" s="9"/>
      <c r="X1662" s="10"/>
      <c r="Y1662" s="7">
        <f t="shared" si="814"/>
        <v>0</v>
      </c>
      <c r="Z1662" s="8"/>
      <c r="AA1662" s="9"/>
      <c r="AB1662" s="10"/>
      <c r="AC1662" s="7">
        <f t="shared" si="815"/>
        <v>0</v>
      </c>
      <c r="AD1662" s="8"/>
      <c r="AE1662" s="9"/>
      <c r="AF1662" s="10"/>
      <c r="AG1662" s="7">
        <f t="shared" si="816"/>
        <v>0</v>
      </c>
    </row>
    <row r="1663" spans="1:37">
      <c r="A1663" s="3"/>
      <c r="B1663" s="8"/>
      <c r="C1663" s="9"/>
      <c r="D1663" s="10"/>
      <c r="E1663" s="7">
        <f t="shared" si="810"/>
        <v>0</v>
      </c>
      <c r="F1663" s="8"/>
      <c r="G1663" s="9"/>
      <c r="H1663" s="10"/>
      <c r="I1663" s="7">
        <f t="shared" si="811"/>
        <v>0</v>
      </c>
      <c r="K1663" s="3" t="s">
        <v>69</v>
      </c>
      <c r="L1663" s="8">
        <v>2</v>
      </c>
      <c r="M1663" s="9">
        <v>1</v>
      </c>
      <c r="N1663" s="10"/>
      <c r="O1663" s="7">
        <f t="shared" ref="O1663" si="823">SUM(L1663:N1663)</f>
        <v>3</v>
      </c>
      <c r="P1663" s="8">
        <v>2</v>
      </c>
      <c r="Q1663" s="9">
        <v>1</v>
      </c>
      <c r="R1663" s="10"/>
      <c r="S1663" s="7">
        <f t="shared" ref="S1663" si="824">SUM(P1663:R1663)</f>
        <v>3</v>
      </c>
      <c r="T1663" s="43">
        <v>45478</v>
      </c>
      <c r="U1663" s="3"/>
      <c r="V1663" s="8"/>
      <c r="W1663" s="9"/>
      <c r="X1663" s="10"/>
      <c r="Y1663" s="7">
        <f t="shared" si="814"/>
        <v>0</v>
      </c>
      <c r="Z1663" s="8"/>
      <c r="AA1663" s="9"/>
      <c r="AB1663" s="10"/>
      <c r="AC1663" s="7">
        <f t="shared" si="815"/>
        <v>0</v>
      </c>
      <c r="AD1663" s="8"/>
      <c r="AE1663" s="9"/>
      <c r="AF1663" s="10"/>
      <c r="AG1663" s="7">
        <f t="shared" si="816"/>
        <v>0</v>
      </c>
    </row>
    <row r="1664" spans="1:37">
      <c r="A1664" s="3"/>
      <c r="B1664" s="8"/>
      <c r="C1664" s="9"/>
      <c r="D1664" s="10"/>
      <c r="E1664" s="7">
        <f t="shared" si="810"/>
        <v>0</v>
      </c>
      <c r="F1664" s="8"/>
      <c r="G1664" s="9"/>
      <c r="H1664" s="10"/>
      <c r="I1664" s="7">
        <f t="shared" si="811"/>
        <v>0</v>
      </c>
      <c r="K1664" s="3" t="s">
        <v>70</v>
      </c>
      <c r="L1664" s="8"/>
      <c r="M1664" s="9">
        <v>2</v>
      </c>
      <c r="N1664" s="10"/>
      <c r="O1664" s="7">
        <f t="shared" si="812"/>
        <v>2</v>
      </c>
      <c r="P1664" s="8"/>
      <c r="Q1664" s="9">
        <v>2</v>
      </c>
      <c r="R1664" s="10"/>
      <c r="S1664" s="7">
        <f t="shared" si="813"/>
        <v>2</v>
      </c>
      <c r="T1664" s="43">
        <v>45481</v>
      </c>
      <c r="U1664" s="3"/>
      <c r="V1664" s="8"/>
      <c r="W1664" s="9"/>
      <c r="X1664" s="10"/>
      <c r="Y1664" s="7">
        <f t="shared" si="814"/>
        <v>0</v>
      </c>
      <c r="Z1664" s="8"/>
      <c r="AA1664" s="9"/>
      <c r="AB1664" s="10"/>
      <c r="AC1664" s="7">
        <f t="shared" si="815"/>
        <v>0</v>
      </c>
      <c r="AD1664" s="8"/>
      <c r="AE1664" s="9"/>
      <c r="AF1664" s="10"/>
      <c r="AG1664" s="7">
        <f t="shared" si="816"/>
        <v>0</v>
      </c>
    </row>
    <row r="1665" spans="1:34">
      <c r="A1665" s="3"/>
      <c r="B1665" s="8"/>
      <c r="C1665" s="9"/>
      <c r="D1665" s="10"/>
      <c r="E1665" s="7">
        <f t="shared" si="810"/>
        <v>0</v>
      </c>
      <c r="F1665" s="8"/>
      <c r="G1665" s="9"/>
      <c r="H1665" s="10"/>
      <c r="I1665" s="7">
        <f t="shared" si="811"/>
        <v>0</v>
      </c>
      <c r="K1665" s="3" t="s">
        <v>954</v>
      </c>
      <c r="L1665" s="8">
        <v>20</v>
      </c>
      <c r="M1665" s="9">
        <v>10</v>
      </c>
      <c r="N1665" s="10">
        <v>20</v>
      </c>
      <c r="O1665" s="7">
        <f t="shared" si="812"/>
        <v>50</v>
      </c>
      <c r="P1665" s="8">
        <v>20</v>
      </c>
      <c r="Q1665" s="9">
        <v>10</v>
      </c>
      <c r="R1665" s="10">
        <v>20</v>
      </c>
      <c r="S1665" s="7">
        <f t="shared" si="813"/>
        <v>50</v>
      </c>
      <c r="T1665" s="43">
        <v>45482</v>
      </c>
      <c r="U1665" s="3"/>
      <c r="V1665" s="8"/>
      <c r="W1665" s="9"/>
      <c r="X1665" s="10"/>
      <c r="Y1665" s="7">
        <f t="shared" si="814"/>
        <v>0</v>
      </c>
      <c r="Z1665" s="8"/>
      <c r="AA1665" s="9"/>
      <c r="AB1665" s="10"/>
      <c r="AC1665" s="7">
        <f t="shared" si="815"/>
        <v>0</v>
      </c>
      <c r="AD1665" s="8"/>
      <c r="AE1665" s="9"/>
      <c r="AF1665" s="10"/>
      <c r="AG1665" s="7">
        <f t="shared" si="816"/>
        <v>0</v>
      </c>
    </row>
    <row r="1666" spans="1:34">
      <c r="A1666" s="3"/>
      <c r="B1666" s="8"/>
      <c r="C1666" s="9"/>
      <c r="D1666" s="10"/>
      <c r="E1666" s="7">
        <f t="shared" si="810"/>
        <v>0</v>
      </c>
      <c r="F1666" s="8"/>
      <c r="G1666" s="9"/>
      <c r="H1666" s="10"/>
      <c r="I1666" s="7">
        <f t="shared" si="811"/>
        <v>0</v>
      </c>
      <c r="K1666" s="3" t="s">
        <v>295</v>
      </c>
      <c r="L1666" s="8">
        <v>5</v>
      </c>
      <c r="M1666" s="9"/>
      <c r="N1666" s="10">
        <v>5</v>
      </c>
      <c r="O1666" s="7">
        <f t="shared" si="812"/>
        <v>10</v>
      </c>
      <c r="P1666" s="8">
        <v>5</v>
      </c>
      <c r="Q1666" s="9"/>
      <c r="R1666" s="10">
        <v>5</v>
      </c>
      <c r="S1666" s="7">
        <f t="shared" si="813"/>
        <v>10</v>
      </c>
      <c r="T1666" s="43">
        <v>45479</v>
      </c>
      <c r="U1666" s="3"/>
      <c r="V1666" s="8"/>
      <c r="W1666" s="9"/>
      <c r="X1666" s="10"/>
      <c r="Y1666" s="7">
        <f t="shared" si="814"/>
        <v>0</v>
      </c>
      <c r="Z1666" s="8"/>
      <c r="AA1666" s="9"/>
      <c r="AB1666" s="10"/>
      <c r="AC1666" s="7">
        <f t="shared" si="815"/>
        <v>0</v>
      </c>
      <c r="AD1666" s="8"/>
      <c r="AE1666" s="9"/>
      <c r="AF1666" s="10"/>
      <c r="AG1666" s="7">
        <f t="shared" si="816"/>
        <v>0</v>
      </c>
    </row>
    <row r="1667" spans="1:34">
      <c r="A1667" s="3"/>
      <c r="B1667" s="8"/>
      <c r="C1667" s="9"/>
      <c r="D1667" s="10"/>
      <c r="E1667" s="7">
        <f t="shared" si="810"/>
        <v>0</v>
      </c>
      <c r="F1667" s="8"/>
      <c r="G1667" s="9"/>
      <c r="H1667" s="10"/>
      <c r="I1667" s="7">
        <f t="shared" si="811"/>
        <v>0</v>
      </c>
      <c r="K1667" s="3" t="s">
        <v>957</v>
      </c>
      <c r="L1667" s="8"/>
      <c r="M1667" s="9">
        <v>1</v>
      </c>
      <c r="N1667" s="10"/>
      <c r="O1667" s="7">
        <f t="shared" si="812"/>
        <v>1</v>
      </c>
      <c r="P1667" s="8"/>
      <c r="Q1667" s="9">
        <v>1</v>
      </c>
      <c r="R1667" s="10"/>
      <c r="S1667" s="7">
        <f t="shared" si="813"/>
        <v>1</v>
      </c>
      <c r="T1667" s="43">
        <v>45484</v>
      </c>
      <c r="U1667" s="3"/>
      <c r="V1667" s="8"/>
      <c r="W1667" s="9"/>
      <c r="X1667" s="10"/>
      <c r="Y1667" s="7">
        <f t="shared" si="814"/>
        <v>0</v>
      </c>
      <c r="Z1667" s="8"/>
      <c r="AA1667" s="9"/>
      <c r="AB1667" s="10"/>
      <c r="AC1667" s="7">
        <f t="shared" si="815"/>
        <v>0</v>
      </c>
      <c r="AD1667" s="8"/>
      <c r="AE1667" s="9"/>
      <c r="AF1667" s="10"/>
      <c r="AG1667" s="7">
        <f t="shared" si="816"/>
        <v>0</v>
      </c>
    </row>
    <row r="1668" spans="1:34">
      <c r="A1668" s="11"/>
      <c r="B1668" s="8"/>
      <c r="C1668" s="9"/>
      <c r="D1668" s="10"/>
      <c r="E1668" s="7">
        <f t="shared" si="810"/>
        <v>0</v>
      </c>
      <c r="F1668" s="8"/>
      <c r="G1668" s="9"/>
      <c r="H1668" s="10"/>
      <c r="I1668" s="7">
        <f t="shared" si="811"/>
        <v>0</v>
      </c>
      <c r="K1668" s="3" t="s">
        <v>71</v>
      </c>
      <c r="L1668" s="8">
        <v>2</v>
      </c>
      <c r="M1668" s="9">
        <v>2</v>
      </c>
      <c r="N1668" s="10"/>
      <c r="O1668" s="7">
        <f t="shared" si="812"/>
        <v>4</v>
      </c>
      <c r="P1668" s="8">
        <v>2</v>
      </c>
      <c r="Q1668" s="9">
        <v>2</v>
      </c>
      <c r="R1668" s="10"/>
      <c r="S1668" s="7">
        <f t="shared" si="813"/>
        <v>4</v>
      </c>
      <c r="T1668" s="43">
        <v>45484</v>
      </c>
      <c r="U1668" s="3"/>
      <c r="V1668" s="8"/>
      <c r="W1668" s="9"/>
      <c r="X1668" s="10"/>
      <c r="Y1668" s="7">
        <f t="shared" si="814"/>
        <v>0</v>
      </c>
      <c r="Z1668" s="8"/>
      <c r="AA1668" s="9"/>
      <c r="AB1668" s="10"/>
      <c r="AC1668" s="7">
        <f t="shared" si="815"/>
        <v>0</v>
      </c>
      <c r="AD1668" s="8"/>
      <c r="AE1668" s="9"/>
      <c r="AF1668" s="10"/>
      <c r="AG1668" s="7">
        <f t="shared" si="816"/>
        <v>0</v>
      </c>
    </row>
    <row r="1669" spans="1:34">
      <c r="A1669" s="11"/>
      <c r="B1669" s="8"/>
      <c r="C1669" s="9"/>
      <c r="D1669" s="10"/>
      <c r="E1669" s="7">
        <f t="shared" si="810"/>
        <v>0</v>
      </c>
      <c r="F1669" s="8"/>
      <c r="G1669" s="9"/>
      <c r="H1669" s="10"/>
      <c r="I1669" s="7">
        <f t="shared" si="811"/>
        <v>0</v>
      </c>
      <c r="K1669" s="3" t="s">
        <v>958</v>
      </c>
      <c r="L1669" s="8"/>
      <c r="M1669" s="9">
        <v>2</v>
      </c>
      <c r="N1669" s="10">
        <v>3</v>
      </c>
      <c r="O1669" s="4">
        <f t="shared" si="812"/>
        <v>5</v>
      </c>
      <c r="P1669" s="8"/>
      <c r="Q1669" s="9">
        <v>2</v>
      </c>
      <c r="R1669" s="10">
        <v>3</v>
      </c>
      <c r="S1669" s="4">
        <f t="shared" si="813"/>
        <v>5</v>
      </c>
      <c r="T1669" s="43">
        <v>45489</v>
      </c>
      <c r="U1669" s="3"/>
      <c r="V1669" s="8"/>
      <c r="W1669" s="9"/>
      <c r="X1669" s="10"/>
      <c r="Y1669" s="7">
        <f t="shared" si="814"/>
        <v>0</v>
      </c>
      <c r="Z1669" s="8"/>
      <c r="AA1669" s="9"/>
      <c r="AB1669" s="10"/>
      <c r="AC1669" s="7">
        <f t="shared" si="815"/>
        <v>0</v>
      </c>
      <c r="AD1669" s="8"/>
      <c r="AE1669" s="9"/>
      <c r="AF1669" s="10"/>
      <c r="AG1669" s="7">
        <f t="shared" si="816"/>
        <v>0</v>
      </c>
    </row>
    <row r="1670" spans="1:34">
      <c r="A1670" s="11"/>
      <c r="B1670" s="8"/>
      <c r="C1670" s="9"/>
      <c r="D1670" s="10"/>
      <c r="E1670" s="7">
        <f t="shared" si="810"/>
        <v>0</v>
      </c>
      <c r="F1670" s="8"/>
      <c r="G1670" s="9"/>
      <c r="H1670" s="10"/>
      <c r="I1670" s="7">
        <f t="shared" si="811"/>
        <v>0</v>
      </c>
      <c r="K1670" s="3" t="s">
        <v>75</v>
      </c>
      <c r="L1670" s="8">
        <v>3</v>
      </c>
      <c r="M1670" s="9"/>
      <c r="N1670" s="10">
        <v>1</v>
      </c>
      <c r="O1670" s="4">
        <f t="shared" si="812"/>
        <v>4</v>
      </c>
      <c r="P1670" s="8">
        <v>3</v>
      </c>
      <c r="Q1670" s="9"/>
      <c r="R1670" s="10">
        <v>1</v>
      </c>
      <c r="S1670" s="4">
        <f t="shared" si="813"/>
        <v>4</v>
      </c>
      <c r="T1670" s="43">
        <v>45492</v>
      </c>
      <c r="U1670" s="11"/>
      <c r="V1670" s="8"/>
      <c r="W1670" s="9"/>
      <c r="X1670" s="10"/>
      <c r="Y1670" s="7">
        <f t="shared" si="814"/>
        <v>0</v>
      </c>
      <c r="Z1670" s="8"/>
      <c r="AA1670" s="9"/>
      <c r="AB1670" s="10"/>
      <c r="AC1670" s="7">
        <f t="shared" si="815"/>
        <v>0</v>
      </c>
      <c r="AD1670" s="8"/>
      <c r="AE1670" s="9"/>
      <c r="AF1670" s="10"/>
      <c r="AG1670" s="7">
        <f t="shared" si="816"/>
        <v>0</v>
      </c>
    </row>
    <row r="1671" spans="1:34">
      <c r="A1671" s="11"/>
      <c r="B1671" s="8"/>
      <c r="C1671" s="9"/>
      <c r="D1671" s="10"/>
      <c r="E1671" s="7">
        <f t="shared" si="810"/>
        <v>0</v>
      </c>
      <c r="F1671" s="8"/>
      <c r="G1671" s="9"/>
      <c r="H1671" s="10"/>
      <c r="I1671" s="7">
        <f t="shared" si="811"/>
        <v>0</v>
      </c>
      <c r="K1671" s="3"/>
      <c r="L1671" s="8"/>
      <c r="M1671" s="9"/>
      <c r="N1671" s="10"/>
      <c r="O1671" s="7">
        <f t="shared" ref="O1671" si="825">SUM(L1671:N1671)</f>
        <v>0</v>
      </c>
      <c r="P1671" s="8"/>
      <c r="Q1671" s="9"/>
      <c r="R1671" s="10"/>
      <c r="S1671" s="7">
        <f t="shared" ref="S1671" si="826">SUM(P1671:R1671)</f>
        <v>0</v>
      </c>
      <c r="T1671" s="71"/>
      <c r="U1671" s="3"/>
      <c r="V1671" s="8"/>
      <c r="W1671" s="9"/>
      <c r="X1671" s="10"/>
      <c r="Y1671" s="7">
        <f t="shared" si="814"/>
        <v>0</v>
      </c>
      <c r="Z1671" s="8"/>
      <c r="AA1671" s="9"/>
      <c r="AB1671" s="10"/>
      <c r="AC1671" s="7">
        <f t="shared" si="815"/>
        <v>0</v>
      </c>
      <c r="AD1671" s="8"/>
      <c r="AE1671" s="9"/>
      <c r="AF1671" s="10"/>
      <c r="AG1671" s="7">
        <f t="shared" si="816"/>
        <v>0</v>
      </c>
    </row>
    <row r="1672" spans="1:34">
      <c r="A1672" s="11"/>
      <c r="B1672" s="8"/>
      <c r="C1672" s="9"/>
      <c r="D1672" s="10"/>
      <c r="E1672" s="7">
        <f t="shared" si="810"/>
        <v>0</v>
      </c>
      <c r="F1672" s="8"/>
      <c r="G1672" s="9"/>
      <c r="H1672" s="10"/>
      <c r="I1672" s="7">
        <f t="shared" si="811"/>
        <v>0</v>
      </c>
      <c r="K1672" s="3" t="s">
        <v>934</v>
      </c>
      <c r="L1672" s="8">
        <f>56-10-20-22-4</f>
        <v>0</v>
      </c>
      <c r="M1672" s="9">
        <f>87-24-16-10-24-13</f>
        <v>0</v>
      </c>
      <c r="N1672" s="10">
        <f>51-17-10-20-4</f>
        <v>0</v>
      </c>
      <c r="O1672" s="7">
        <f t="shared" si="812"/>
        <v>0</v>
      </c>
      <c r="P1672" s="8">
        <f>56-10-20-22-4</f>
        <v>0</v>
      </c>
      <c r="Q1672" s="9">
        <f>87-24-16-10-24-13</f>
        <v>0</v>
      </c>
      <c r="R1672" s="10">
        <f>51-17-10-20-4</f>
        <v>0</v>
      </c>
      <c r="S1672" s="7">
        <f t="shared" si="813"/>
        <v>0</v>
      </c>
      <c r="T1672" s="71" t="s">
        <v>935</v>
      </c>
      <c r="U1672" s="3"/>
      <c r="V1672" s="8"/>
      <c r="W1672" s="9"/>
      <c r="X1672" s="10"/>
      <c r="Y1672" s="7">
        <f t="shared" ref="Y1672" si="827">SUM(V1672:X1672)</f>
        <v>0</v>
      </c>
      <c r="Z1672" s="8"/>
      <c r="AA1672" s="9"/>
      <c r="AB1672" s="10"/>
      <c r="AC1672" s="7">
        <f t="shared" ref="AC1672" si="828">SUM(Z1672:AB1672)</f>
        <v>0</v>
      </c>
      <c r="AD1672" s="8"/>
      <c r="AE1672" s="9"/>
      <c r="AF1672" s="10"/>
      <c r="AG1672" s="7">
        <f t="shared" ref="AG1672" si="829">SUM(AD1672:AF1672)</f>
        <v>0</v>
      </c>
    </row>
    <row r="1673" spans="1:34" ht="14.25" thickBot="1">
      <c r="A1673" s="3"/>
      <c r="B1673" s="8"/>
      <c r="C1673" s="9"/>
      <c r="D1673" s="10"/>
      <c r="E1673" s="7">
        <f t="shared" si="810"/>
        <v>0</v>
      </c>
      <c r="F1673" s="8"/>
      <c r="G1673" s="9"/>
      <c r="H1673" s="10"/>
      <c r="I1673" s="7">
        <f t="shared" si="811"/>
        <v>0</v>
      </c>
      <c r="K1673" s="3" t="s">
        <v>955</v>
      </c>
      <c r="L1673" s="8">
        <f>49-21-28</f>
        <v>0</v>
      </c>
      <c r="M1673" s="9">
        <f>76-27-49</f>
        <v>0</v>
      </c>
      <c r="N1673" s="10">
        <f>45-8-23-14</f>
        <v>0</v>
      </c>
      <c r="O1673" s="7">
        <f t="shared" si="812"/>
        <v>0</v>
      </c>
      <c r="P1673" s="8">
        <f>49-21-28</f>
        <v>0</v>
      </c>
      <c r="Q1673" s="9">
        <f>76-27-49</f>
        <v>0</v>
      </c>
      <c r="R1673" s="10">
        <f>45-8-23-14</f>
        <v>0</v>
      </c>
      <c r="S1673" s="7">
        <f t="shared" si="813"/>
        <v>0</v>
      </c>
      <c r="T1673" s="71" t="s">
        <v>956</v>
      </c>
      <c r="U1673" s="3" t="s">
        <v>908</v>
      </c>
      <c r="V1673" s="8">
        <f>15-11-4</f>
        <v>0</v>
      </c>
      <c r="W1673" s="9">
        <f>20-20</f>
        <v>0</v>
      </c>
      <c r="X1673" s="10">
        <f>15-11-4</f>
        <v>0</v>
      </c>
      <c r="Y1673" s="7">
        <f t="shared" ref="Y1673" si="830">SUM(V1673:X1673)</f>
        <v>0</v>
      </c>
      <c r="Z1673" s="8">
        <f>15-11-4</f>
        <v>0</v>
      </c>
      <c r="AA1673" s="9">
        <f>20-20</f>
        <v>0</v>
      </c>
      <c r="AB1673" s="10">
        <f>15-11-4</f>
        <v>0</v>
      </c>
      <c r="AC1673" s="7">
        <f t="shared" ref="AC1673" si="831">SUM(Z1673:AB1673)</f>
        <v>0</v>
      </c>
      <c r="AD1673" s="8">
        <f>15-11-4</f>
        <v>0</v>
      </c>
      <c r="AE1673" s="9">
        <f>20-20</f>
        <v>0</v>
      </c>
      <c r="AF1673" s="10">
        <f>15-11-4</f>
        <v>0</v>
      </c>
      <c r="AG1673" s="7">
        <f t="shared" ref="AG1673" si="832">SUM(AD1673:AF1673)</f>
        <v>0</v>
      </c>
      <c r="AH1673" s="71" t="s">
        <v>909</v>
      </c>
    </row>
    <row r="1674" spans="1:34" ht="14.25" thickBot="1">
      <c r="A1674" s="2" t="s">
        <v>5</v>
      </c>
      <c r="B1674" s="14">
        <f>SUM(B1650:B1673)</f>
        <v>4</v>
      </c>
      <c r="C1674" s="14">
        <f>SUM(C1650:C1673)</f>
        <v>3</v>
      </c>
      <c r="D1674" s="14">
        <f>SUM(D1650:D1673)</f>
        <v>3</v>
      </c>
      <c r="E1674" s="15">
        <f t="shared" si="810"/>
        <v>10</v>
      </c>
      <c r="F1674" s="14">
        <f>SUM(F1650:F1673)</f>
        <v>4</v>
      </c>
      <c r="G1674" s="14">
        <f>SUM(G1650:G1673)</f>
        <v>3</v>
      </c>
      <c r="H1674" s="14">
        <f>SUM(H1650:H1673)</f>
        <v>3</v>
      </c>
      <c r="I1674" s="15">
        <f t="shared" si="811"/>
        <v>10</v>
      </c>
      <c r="K1674" s="2" t="s">
        <v>5</v>
      </c>
      <c r="L1674" s="14">
        <f>SUM(L1650:L1673)</f>
        <v>63</v>
      </c>
      <c r="M1674" s="14">
        <f>SUM(M1650:M1673)</f>
        <v>80</v>
      </c>
      <c r="N1674" s="14">
        <f>SUM(N1650:N1673)</f>
        <v>69</v>
      </c>
      <c r="O1674" s="15">
        <f t="shared" si="812"/>
        <v>212</v>
      </c>
      <c r="P1674" s="14">
        <f>SUM(P1650:P1673)</f>
        <v>63</v>
      </c>
      <c r="Q1674" s="14">
        <f>SUM(Q1650:Q1673)</f>
        <v>80</v>
      </c>
      <c r="R1674" s="14">
        <f>SUM(R1650:R1673)</f>
        <v>69</v>
      </c>
      <c r="S1674" s="15">
        <f t="shared" si="813"/>
        <v>212</v>
      </c>
      <c r="U1674" s="2" t="s">
        <v>5</v>
      </c>
      <c r="V1674" s="14">
        <f>SUM(V1650:V1673)</f>
        <v>21</v>
      </c>
      <c r="W1674" s="14">
        <f>SUM(W1650:W1673)</f>
        <v>46</v>
      </c>
      <c r="X1674" s="14">
        <f>SUM(X1650:X1673)</f>
        <v>26</v>
      </c>
      <c r="Y1674" s="15">
        <f t="shared" si="814"/>
        <v>93</v>
      </c>
      <c r="Z1674" s="14">
        <f>SUM(Z1650:Z1673)</f>
        <v>21</v>
      </c>
      <c r="AA1674" s="14">
        <f>SUM(AA1650:AA1673)</f>
        <v>46</v>
      </c>
      <c r="AB1674" s="14">
        <f>SUM(AB1650:AB1673)</f>
        <v>26</v>
      </c>
      <c r="AC1674" s="15">
        <f t="shared" si="815"/>
        <v>93</v>
      </c>
      <c r="AD1674" s="14">
        <f>SUM(AD1650:AD1673)</f>
        <v>21</v>
      </c>
      <c r="AE1674" s="14">
        <f>SUM(AE1650:AE1673)</f>
        <v>46</v>
      </c>
      <c r="AF1674" s="14">
        <f>SUM(AF1650:AF1673)</f>
        <v>26</v>
      </c>
      <c r="AG1674" s="15">
        <f t="shared" si="816"/>
        <v>93</v>
      </c>
    </row>
    <row r="1675" spans="1:34" ht="14.25" thickBot="1">
      <c r="A1675" s="27" t="s">
        <v>6</v>
      </c>
      <c r="B1675" s="28">
        <f>B1649-B1674</f>
        <v>8</v>
      </c>
      <c r="C1675" s="28">
        <f t="shared" ref="C1675:E1675" si="833">C1649-C1674</f>
        <v>7</v>
      </c>
      <c r="D1675" s="28">
        <f t="shared" si="833"/>
        <v>8</v>
      </c>
      <c r="E1675" s="28">
        <f t="shared" si="833"/>
        <v>23</v>
      </c>
      <c r="F1675" s="28">
        <f>F1649-F1674</f>
        <v>8</v>
      </c>
      <c r="G1675" s="28">
        <f t="shared" ref="G1675:I1675" si="834">G1649-G1674</f>
        <v>7</v>
      </c>
      <c r="H1675" s="28">
        <f t="shared" si="834"/>
        <v>8</v>
      </c>
      <c r="I1675" s="26">
        <f t="shared" si="834"/>
        <v>23</v>
      </c>
      <c r="K1675" s="27" t="s">
        <v>6</v>
      </c>
      <c r="L1675" s="28">
        <f>L1649-L1674</f>
        <v>413</v>
      </c>
      <c r="M1675" s="28">
        <f t="shared" ref="M1675:O1675" si="835">M1649-M1674</f>
        <v>533</v>
      </c>
      <c r="N1675" s="28">
        <f t="shared" si="835"/>
        <v>303</v>
      </c>
      <c r="O1675" s="28">
        <f t="shared" si="835"/>
        <v>1249</v>
      </c>
      <c r="P1675" s="28">
        <f>P1649-P1674</f>
        <v>413</v>
      </c>
      <c r="Q1675" s="28">
        <f t="shared" ref="Q1675:S1675" si="836">Q1649-Q1674</f>
        <v>533</v>
      </c>
      <c r="R1675" s="28">
        <f t="shared" si="836"/>
        <v>303</v>
      </c>
      <c r="S1675" s="26">
        <f t="shared" si="836"/>
        <v>1249</v>
      </c>
      <c r="U1675" s="27" t="s">
        <v>6</v>
      </c>
      <c r="V1675" s="28">
        <f>V1649-V1674</f>
        <v>11</v>
      </c>
      <c r="W1675" s="28">
        <f t="shared" ref="W1675:Y1675" si="837">W1649-W1674</f>
        <v>0</v>
      </c>
      <c r="X1675" s="28">
        <f t="shared" si="837"/>
        <v>6</v>
      </c>
      <c r="Y1675" s="28">
        <f t="shared" si="837"/>
        <v>17</v>
      </c>
      <c r="Z1675" s="28">
        <f>Z1649-Z1674</f>
        <v>11</v>
      </c>
      <c r="AA1675" s="28">
        <f t="shared" ref="AA1675:AC1675" si="838">AA1649-AA1674</f>
        <v>0</v>
      </c>
      <c r="AB1675" s="28">
        <f t="shared" si="838"/>
        <v>6</v>
      </c>
      <c r="AC1675" s="26">
        <f t="shared" si="838"/>
        <v>17</v>
      </c>
      <c r="AD1675" s="28">
        <f>AD1649-AD1674</f>
        <v>11</v>
      </c>
      <c r="AE1675" s="28">
        <f t="shared" ref="AE1675:AG1675" si="839">AE1649-AE1674</f>
        <v>0</v>
      </c>
      <c r="AF1675" s="28">
        <f t="shared" si="839"/>
        <v>6</v>
      </c>
      <c r="AG1675" s="26">
        <f t="shared" si="839"/>
        <v>17</v>
      </c>
    </row>
    <row r="1678" spans="1:34" ht="26.25" thickBot="1">
      <c r="A1678" s="33" t="s">
        <v>831</v>
      </c>
      <c r="B1678" s="34"/>
      <c r="C1678" s="34"/>
      <c r="D1678" s="34"/>
      <c r="E1678" s="34"/>
      <c r="F1678" s="35"/>
      <c r="G1678" s="35"/>
      <c r="H1678" s="35"/>
      <c r="I1678" s="35"/>
      <c r="K1678" s="33" t="s">
        <v>830</v>
      </c>
      <c r="L1678" s="34"/>
      <c r="M1678" s="34"/>
      <c r="N1678" s="34"/>
      <c r="O1678" s="34"/>
      <c r="P1678" s="35"/>
      <c r="Q1678" s="35"/>
      <c r="R1678" s="35"/>
      <c r="S1678" s="35"/>
      <c r="U1678" s="113" t="s">
        <v>622</v>
      </c>
      <c r="V1678" s="114"/>
      <c r="W1678" s="114"/>
      <c r="X1678" s="114"/>
      <c r="Y1678" s="114"/>
      <c r="Z1678" s="115"/>
      <c r="AA1678" s="115"/>
      <c r="AB1678" s="115"/>
      <c r="AC1678" s="115"/>
      <c r="AD1678" s="116"/>
      <c r="AE1678" s="116"/>
    </row>
    <row r="1679" spans="1:34" ht="14.25" thickBot="1">
      <c r="A1679" s="1" t="s">
        <v>0</v>
      </c>
      <c r="B1679" s="182" t="s">
        <v>17</v>
      </c>
      <c r="C1679" s="182"/>
      <c r="D1679" s="182"/>
      <c r="E1679" s="183"/>
      <c r="F1679" s="182" t="s">
        <v>13</v>
      </c>
      <c r="G1679" s="182"/>
      <c r="H1679" s="182"/>
      <c r="I1679" s="183"/>
      <c r="K1679" s="1" t="s">
        <v>0</v>
      </c>
      <c r="L1679" s="132" t="s">
        <v>17</v>
      </c>
      <c r="M1679" s="132"/>
      <c r="N1679" s="132"/>
      <c r="O1679" s="133"/>
      <c r="P1679" s="132" t="s">
        <v>13</v>
      </c>
      <c r="Q1679" s="132"/>
      <c r="R1679" s="132"/>
      <c r="S1679" s="133"/>
      <c r="U1679" s="1" t="s">
        <v>0</v>
      </c>
      <c r="V1679" s="182" t="s">
        <v>17</v>
      </c>
      <c r="W1679" s="182"/>
      <c r="X1679" s="182"/>
      <c r="Y1679" s="183"/>
      <c r="Z1679" s="182" t="s">
        <v>13</v>
      </c>
      <c r="AA1679" s="182"/>
      <c r="AB1679" s="182"/>
      <c r="AC1679" s="183"/>
      <c r="AD1679" s="182" t="s">
        <v>242</v>
      </c>
      <c r="AE1679" s="182"/>
      <c r="AF1679" s="182"/>
      <c r="AG1679" s="183"/>
    </row>
    <row r="1680" spans="1:34" ht="14.25" thickBot="1">
      <c r="A1680" s="1" t="s">
        <v>1</v>
      </c>
      <c r="B1680" s="2" t="s">
        <v>8</v>
      </c>
      <c r="C1680" s="1" t="s">
        <v>9</v>
      </c>
      <c r="D1680" s="19" t="s">
        <v>10</v>
      </c>
      <c r="E1680" s="1" t="s">
        <v>2</v>
      </c>
      <c r="F1680" s="2" t="s">
        <v>8</v>
      </c>
      <c r="G1680" s="1" t="s">
        <v>9</v>
      </c>
      <c r="H1680" s="19" t="s">
        <v>10</v>
      </c>
      <c r="I1680" s="1" t="s">
        <v>2</v>
      </c>
      <c r="K1680" s="1" t="s">
        <v>1</v>
      </c>
      <c r="L1680" s="2" t="s">
        <v>8</v>
      </c>
      <c r="M1680" s="1" t="s">
        <v>9</v>
      </c>
      <c r="N1680" s="19" t="s">
        <v>10</v>
      </c>
      <c r="O1680" s="1" t="s">
        <v>2</v>
      </c>
      <c r="P1680" s="2" t="s">
        <v>8</v>
      </c>
      <c r="Q1680" s="1" t="s">
        <v>9</v>
      </c>
      <c r="R1680" s="19" t="s">
        <v>10</v>
      </c>
      <c r="S1680" s="1" t="s">
        <v>2</v>
      </c>
      <c r="U1680" s="1" t="s">
        <v>1</v>
      </c>
      <c r="V1680" s="2" t="s">
        <v>8</v>
      </c>
      <c r="W1680" s="1" t="s">
        <v>9</v>
      </c>
      <c r="X1680" s="19" t="s">
        <v>10</v>
      </c>
      <c r="Y1680" s="1" t="s">
        <v>2</v>
      </c>
      <c r="Z1680" s="2" t="s">
        <v>8</v>
      </c>
      <c r="AA1680" s="1" t="s">
        <v>9</v>
      </c>
      <c r="AB1680" s="19" t="s">
        <v>10</v>
      </c>
      <c r="AC1680" s="1" t="s">
        <v>2</v>
      </c>
      <c r="AD1680" s="2" t="s">
        <v>8</v>
      </c>
      <c r="AE1680" s="1" t="s">
        <v>9</v>
      </c>
      <c r="AF1680" s="19" t="s">
        <v>10</v>
      </c>
      <c r="AG1680" s="1" t="s">
        <v>2</v>
      </c>
    </row>
    <row r="1681" spans="1:34">
      <c r="A1681" s="21" t="s">
        <v>7</v>
      </c>
      <c r="B1681" s="18">
        <f>B1675</f>
        <v>8</v>
      </c>
      <c r="C1681" s="22">
        <f>C1675</f>
        <v>7</v>
      </c>
      <c r="D1681" s="22">
        <f>D1675</f>
        <v>8</v>
      </c>
      <c r="E1681" s="17">
        <f t="shared" ref="E1681:E1717" si="840">SUM(B1681:D1681)</f>
        <v>23</v>
      </c>
      <c r="F1681" s="22">
        <f>F1675</f>
        <v>8</v>
      </c>
      <c r="G1681" s="22">
        <f>G1675</f>
        <v>7</v>
      </c>
      <c r="H1681" s="22">
        <f>H1675</f>
        <v>8</v>
      </c>
      <c r="I1681" s="17">
        <f t="shared" ref="I1681:I1717" si="841">SUM(F1681:H1681)</f>
        <v>23</v>
      </c>
      <c r="K1681" s="21" t="s">
        <v>7</v>
      </c>
      <c r="L1681" s="18">
        <f>L1675</f>
        <v>413</v>
      </c>
      <c r="M1681" s="22">
        <f t="shared" ref="M1681:S1681" si="842">M1675</f>
        <v>533</v>
      </c>
      <c r="N1681" s="22">
        <f t="shared" si="842"/>
        <v>303</v>
      </c>
      <c r="O1681" s="17">
        <f t="shared" si="842"/>
        <v>1249</v>
      </c>
      <c r="P1681" s="22">
        <f t="shared" si="842"/>
        <v>413</v>
      </c>
      <c r="Q1681" s="22">
        <f t="shared" si="842"/>
        <v>533</v>
      </c>
      <c r="R1681" s="22">
        <f t="shared" si="842"/>
        <v>303</v>
      </c>
      <c r="S1681" s="17">
        <f t="shared" si="842"/>
        <v>1249</v>
      </c>
      <c r="U1681" s="21" t="s">
        <v>7</v>
      </c>
      <c r="V1681" s="18">
        <f>V1675</f>
        <v>11</v>
      </c>
      <c r="W1681" s="22">
        <f>W1675</f>
        <v>0</v>
      </c>
      <c r="X1681" s="22">
        <f>X1675</f>
        <v>6</v>
      </c>
      <c r="Y1681" s="17">
        <f t="shared" ref="Y1681:Y1717" si="843">SUM(V1681:X1681)</f>
        <v>17</v>
      </c>
      <c r="Z1681" s="22">
        <f>Z1675</f>
        <v>11</v>
      </c>
      <c r="AA1681" s="22">
        <f>AA1675</f>
        <v>0</v>
      </c>
      <c r="AB1681" s="22">
        <f>AB1675</f>
        <v>6</v>
      </c>
      <c r="AC1681" s="17">
        <f t="shared" ref="AC1681:AC1717" si="844">SUM(Z1681:AB1681)</f>
        <v>17</v>
      </c>
      <c r="AD1681" s="22">
        <f>AD1675</f>
        <v>11</v>
      </c>
      <c r="AE1681" s="22">
        <f>AE1675</f>
        <v>0</v>
      </c>
      <c r="AF1681" s="22">
        <f>AF1675</f>
        <v>6</v>
      </c>
      <c r="AG1681" s="17">
        <f t="shared" ref="AG1681:AG1717" si="845">SUM(AD1681:AF1681)</f>
        <v>17</v>
      </c>
    </row>
    <row r="1682" spans="1:34">
      <c r="A1682" s="5" t="s">
        <v>3</v>
      </c>
      <c r="B1682" s="30">
        <v>5</v>
      </c>
      <c r="C1682" s="31"/>
      <c r="D1682" s="32"/>
      <c r="E1682" s="4">
        <f t="shared" si="840"/>
        <v>5</v>
      </c>
      <c r="F1682" s="30">
        <v>5</v>
      </c>
      <c r="G1682" s="31"/>
      <c r="H1682" s="32"/>
      <c r="I1682" s="4">
        <f t="shared" si="841"/>
        <v>5</v>
      </c>
      <c r="J1682" s="43">
        <v>45493</v>
      </c>
      <c r="K1682" s="5" t="s">
        <v>3</v>
      </c>
      <c r="L1682" s="16"/>
      <c r="M1682" s="11"/>
      <c r="N1682" s="16"/>
      <c r="O1682" s="4">
        <f t="shared" ref="O1682:O1717" si="846">SUM(L1682:N1682)</f>
        <v>0</v>
      </c>
      <c r="P1682" s="16"/>
      <c r="Q1682" s="11"/>
      <c r="R1682" s="16"/>
      <c r="S1682" s="4">
        <f t="shared" ref="S1682:S1717" si="847">SUM(P1682:R1682)</f>
        <v>0</v>
      </c>
      <c r="U1682" s="5" t="s">
        <v>3</v>
      </c>
      <c r="V1682" s="16"/>
      <c r="W1682" s="11"/>
      <c r="X1682" s="16"/>
      <c r="Y1682" s="4">
        <f t="shared" si="843"/>
        <v>0</v>
      </c>
      <c r="Z1682" s="16"/>
      <c r="AA1682" s="11"/>
      <c r="AB1682" s="16"/>
      <c r="AC1682" s="4">
        <f t="shared" si="844"/>
        <v>0</v>
      </c>
      <c r="AD1682" s="16"/>
      <c r="AE1682" s="11"/>
      <c r="AF1682" s="16"/>
      <c r="AG1682" s="4">
        <f t="shared" si="845"/>
        <v>0</v>
      </c>
    </row>
    <row r="1683" spans="1:34">
      <c r="A1683" s="5" t="s">
        <v>971</v>
      </c>
      <c r="B1683" s="30">
        <v>3</v>
      </c>
      <c r="C1683" s="31">
        <v>3</v>
      </c>
      <c r="D1683" s="32">
        <v>2</v>
      </c>
      <c r="E1683" s="4">
        <f t="shared" si="840"/>
        <v>8</v>
      </c>
      <c r="F1683" s="30">
        <v>3</v>
      </c>
      <c r="G1683" s="31">
        <v>3</v>
      </c>
      <c r="H1683" s="32">
        <v>2</v>
      </c>
      <c r="I1683" s="4">
        <f t="shared" si="841"/>
        <v>8</v>
      </c>
      <c r="J1683" s="43">
        <v>45503</v>
      </c>
      <c r="K1683" s="5" t="s">
        <v>3</v>
      </c>
      <c r="L1683" s="32"/>
      <c r="M1683" s="31"/>
      <c r="N1683" s="32"/>
      <c r="O1683" s="4">
        <f t="shared" si="846"/>
        <v>0</v>
      </c>
      <c r="P1683" s="32"/>
      <c r="Q1683" s="31"/>
      <c r="R1683" s="32"/>
      <c r="S1683" s="4">
        <f t="shared" si="847"/>
        <v>0</v>
      </c>
      <c r="U1683" s="5" t="s">
        <v>3</v>
      </c>
      <c r="V1683" s="32"/>
      <c r="W1683" s="31"/>
      <c r="X1683" s="32"/>
      <c r="Y1683" s="4">
        <f t="shared" si="843"/>
        <v>0</v>
      </c>
      <c r="Z1683" s="32"/>
      <c r="AA1683" s="31"/>
      <c r="AB1683" s="32"/>
      <c r="AC1683" s="4">
        <f t="shared" si="844"/>
        <v>0</v>
      </c>
      <c r="AD1683" s="32"/>
      <c r="AE1683" s="31"/>
      <c r="AF1683" s="32"/>
      <c r="AG1683" s="4">
        <f t="shared" si="845"/>
        <v>0</v>
      </c>
    </row>
    <row r="1684" spans="1:34">
      <c r="A1684" s="5" t="s">
        <v>213</v>
      </c>
      <c r="B1684" s="30">
        <v>-1</v>
      </c>
      <c r="C1684" s="31">
        <v>2</v>
      </c>
      <c r="D1684" s="32"/>
      <c r="E1684" s="4">
        <f t="shared" si="840"/>
        <v>1</v>
      </c>
      <c r="F1684" s="30">
        <v>-1</v>
      </c>
      <c r="G1684" s="31">
        <v>2</v>
      </c>
      <c r="H1684" s="32"/>
      <c r="I1684" s="4">
        <f t="shared" si="841"/>
        <v>1</v>
      </c>
      <c r="J1684" s="43">
        <v>45527</v>
      </c>
      <c r="K1684" s="5" t="s">
        <v>3</v>
      </c>
      <c r="L1684" s="32"/>
      <c r="M1684" s="31"/>
      <c r="N1684" s="32"/>
      <c r="O1684" s="4">
        <f t="shared" si="846"/>
        <v>0</v>
      </c>
      <c r="P1684" s="32"/>
      <c r="Q1684" s="31"/>
      <c r="R1684" s="32"/>
      <c r="S1684" s="4">
        <f t="shared" si="847"/>
        <v>0</v>
      </c>
      <c r="U1684" s="5" t="s">
        <v>3</v>
      </c>
      <c r="V1684" s="139"/>
      <c r="W1684" s="76">
        <v>10</v>
      </c>
      <c r="X1684" s="75"/>
      <c r="Y1684" s="77">
        <f t="shared" ref="Y1684" si="848">SUM(V1684:X1684)</f>
        <v>10</v>
      </c>
      <c r="Z1684" s="139"/>
      <c r="AA1684" s="76">
        <v>10</v>
      </c>
      <c r="AB1684" s="75"/>
      <c r="AC1684" s="77">
        <f t="shared" ref="AC1684" si="849">SUM(Z1684:AB1684)</f>
        <v>10</v>
      </c>
      <c r="AD1684" s="139"/>
      <c r="AE1684" s="76">
        <v>10</v>
      </c>
      <c r="AF1684" s="75"/>
      <c r="AG1684" s="77">
        <f t="shared" ref="AG1684" si="850">SUM(AD1684:AF1684)</f>
        <v>10</v>
      </c>
      <c r="AH1684" s="78">
        <v>45506</v>
      </c>
    </row>
    <row r="1685" spans="1:34">
      <c r="A1685" s="5" t="s">
        <v>3</v>
      </c>
      <c r="B1685" s="16"/>
      <c r="C1685" s="11"/>
      <c r="D1685" s="16"/>
      <c r="E1685" s="4">
        <f t="shared" si="840"/>
        <v>0</v>
      </c>
      <c r="F1685" s="16"/>
      <c r="G1685" s="11"/>
      <c r="H1685" s="16"/>
      <c r="I1685" s="4">
        <f t="shared" si="841"/>
        <v>0</v>
      </c>
      <c r="J1685" s="71"/>
      <c r="K1685" s="5" t="s">
        <v>3</v>
      </c>
      <c r="L1685" s="32"/>
      <c r="M1685" s="31"/>
      <c r="N1685" s="32"/>
      <c r="O1685" s="4">
        <f t="shared" ref="O1685" si="851">SUM(L1685:N1685)</f>
        <v>0</v>
      </c>
      <c r="P1685" s="32"/>
      <c r="Q1685" s="31"/>
      <c r="R1685" s="32"/>
      <c r="S1685" s="4">
        <f t="shared" ref="S1685" si="852">SUM(P1685:R1685)</f>
        <v>0</v>
      </c>
      <c r="U1685" s="5" t="s">
        <v>3</v>
      </c>
      <c r="V1685" s="30"/>
      <c r="W1685" s="31"/>
      <c r="X1685" s="32"/>
      <c r="Y1685" s="4">
        <f t="shared" ref="Y1685:Y1687" si="853">SUM(V1685:X1685)</f>
        <v>0</v>
      </c>
      <c r="Z1685" s="30"/>
      <c r="AA1685" s="31"/>
      <c r="AB1685" s="32"/>
      <c r="AC1685" s="4">
        <f t="shared" ref="AC1685:AC1687" si="854">SUM(Z1685:AB1685)</f>
        <v>0</v>
      </c>
      <c r="AD1685" s="30"/>
      <c r="AE1685" s="31"/>
      <c r="AF1685" s="32"/>
      <c r="AG1685" s="4">
        <f t="shared" ref="AG1685:AG1687" si="855">SUM(AD1685:AF1685)</f>
        <v>0</v>
      </c>
      <c r="AH1685" s="48" t="s">
        <v>973</v>
      </c>
    </row>
    <row r="1686" spans="1:34">
      <c r="A1686" s="5" t="s">
        <v>3</v>
      </c>
      <c r="B1686" s="16"/>
      <c r="C1686" s="11"/>
      <c r="D1686" s="16"/>
      <c r="E1686" s="4">
        <f t="shared" si="840"/>
        <v>0</v>
      </c>
      <c r="F1686" s="16"/>
      <c r="G1686" s="11"/>
      <c r="H1686" s="16"/>
      <c r="I1686" s="4">
        <f t="shared" si="841"/>
        <v>0</v>
      </c>
      <c r="J1686" s="71"/>
      <c r="K1686" s="5" t="s">
        <v>3</v>
      </c>
      <c r="L1686" s="32"/>
      <c r="M1686" s="31"/>
      <c r="N1686" s="32"/>
      <c r="O1686" s="4">
        <f t="shared" si="846"/>
        <v>0</v>
      </c>
      <c r="P1686" s="32"/>
      <c r="Q1686" s="31"/>
      <c r="R1686" s="32"/>
      <c r="S1686" s="4">
        <f t="shared" si="847"/>
        <v>0</v>
      </c>
      <c r="U1686" s="5" t="s">
        <v>3</v>
      </c>
      <c r="V1686" s="30"/>
      <c r="W1686" s="31"/>
      <c r="X1686" s="32"/>
      <c r="Y1686" s="4">
        <f t="shared" si="853"/>
        <v>0</v>
      </c>
      <c r="Z1686" s="30"/>
      <c r="AA1686" s="31"/>
      <c r="AB1686" s="32"/>
      <c r="AC1686" s="4">
        <f t="shared" si="854"/>
        <v>0</v>
      </c>
      <c r="AD1686" s="30"/>
      <c r="AE1686" s="31"/>
      <c r="AF1686" s="32"/>
      <c r="AG1686" s="4">
        <f t="shared" si="855"/>
        <v>0</v>
      </c>
    </row>
    <row r="1687" spans="1:34">
      <c r="A1687" s="5" t="s">
        <v>3</v>
      </c>
      <c r="B1687" s="16"/>
      <c r="C1687" s="11"/>
      <c r="D1687" s="16"/>
      <c r="E1687" s="4">
        <f t="shared" si="840"/>
        <v>0</v>
      </c>
      <c r="F1687" s="16"/>
      <c r="G1687" s="11"/>
      <c r="H1687" s="16"/>
      <c r="I1687" s="4">
        <f t="shared" si="841"/>
        <v>0</v>
      </c>
      <c r="K1687" s="5" t="s">
        <v>3</v>
      </c>
      <c r="L1687" s="32"/>
      <c r="M1687" s="31"/>
      <c r="N1687" s="32"/>
      <c r="O1687" s="4">
        <f t="shared" si="846"/>
        <v>0</v>
      </c>
      <c r="P1687" s="32"/>
      <c r="Q1687" s="31"/>
      <c r="R1687" s="32"/>
      <c r="S1687" s="4">
        <f t="shared" si="847"/>
        <v>0</v>
      </c>
      <c r="U1687" s="5" t="s">
        <v>3</v>
      </c>
      <c r="V1687" s="30"/>
      <c r="W1687" s="31"/>
      <c r="X1687" s="32"/>
      <c r="Y1687" s="4">
        <f t="shared" si="853"/>
        <v>0</v>
      </c>
      <c r="Z1687" s="30"/>
      <c r="AA1687" s="31"/>
      <c r="AB1687" s="32"/>
      <c r="AC1687" s="4">
        <f t="shared" si="854"/>
        <v>0</v>
      </c>
      <c r="AD1687" s="30"/>
      <c r="AE1687" s="31"/>
      <c r="AF1687" s="32"/>
      <c r="AG1687" s="4">
        <f t="shared" si="855"/>
        <v>0</v>
      </c>
    </row>
    <row r="1688" spans="1:34">
      <c r="A1688" s="5" t="s">
        <v>3</v>
      </c>
      <c r="B1688" s="32"/>
      <c r="C1688" s="31"/>
      <c r="D1688" s="32"/>
      <c r="E1688" s="4">
        <f t="shared" si="840"/>
        <v>0</v>
      </c>
      <c r="F1688" s="32"/>
      <c r="G1688" s="31"/>
      <c r="H1688" s="32"/>
      <c r="I1688" s="4">
        <f t="shared" si="841"/>
        <v>0</v>
      </c>
      <c r="K1688" s="5" t="s">
        <v>3</v>
      </c>
      <c r="L1688" s="32"/>
      <c r="M1688" s="31"/>
      <c r="N1688" s="32"/>
      <c r="O1688" s="4">
        <f t="shared" si="846"/>
        <v>0</v>
      </c>
      <c r="P1688" s="32"/>
      <c r="Q1688" s="31"/>
      <c r="R1688" s="32"/>
      <c r="S1688" s="4">
        <f t="shared" si="847"/>
        <v>0</v>
      </c>
      <c r="U1688" s="5" t="s">
        <v>3</v>
      </c>
      <c r="V1688" s="32"/>
      <c r="W1688" s="31"/>
      <c r="X1688" s="32"/>
      <c r="Y1688" s="4">
        <f t="shared" si="843"/>
        <v>0</v>
      </c>
      <c r="Z1688" s="32"/>
      <c r="AA1688" s="31"/>
      <c r="AB1688" s="32"/>
      <c r="AC1688" s="4">
        <f t="shared" si="844"/>
        <v>0</v>
      </c>
      <c r="AD1688" s="32"/>
      <c r="AE1688" s="31"/>
      <c r="AF1688" s="32"/>
      <c r="AG1688" s="4">
        <f t="shared" si="845"/>
        <v>0</v>
      </c>
    </row>
    <row r="1689" spans="1:34">
      <c r="A1689" s="5" t="s">
        <v>3</v>
      </c>
      <c r="B1689" s="32"/>
      <c r="C1689" s="31"/>
      <c r="D1689" s="32"/>
      <c r="E1689" s="4">
        <f t="shared" si="840"/>
        <v>0</v>
      </c>
      <c r="F1689" s="32"/>
      <c r="G1689" s="31"/>
      <c r="H1689" s="32"/>
      <c r="I1689" s="4">
        <f t="shared" si="841"/>
        <v>0</v>
      </c>
      <c r="K1689" s="5" t="s">
        <v>3</v>
      </c>
      <c r="L1689" s="32"/>
      <c r="M1689" s="31"/>
      <c r="N1689" s="32"/>
      <c r="O1689" s="4">
        <f t="shared" si="846"/>
        <v>0</v>
      </c>
      <c r="P1689" s="32"/>
      <c r="Q1689" s="31"/>
      <c r="R1689" s="32"/>
      <c r="S1689" s="4">
        <f t="shared" si="847"/>
        <v>0</v>
      </c>
      <c r="U1689" s="5" t="s">
        <v>3</v>
      </c>
      <c r="V1689" s="32"/>
      <c r="W1689" s="31"/>
      <c r="X1689" s="32"/>
      <c r="Y1689" s="4">
        <f t="shared" ref="Y1689" si="856">SUM(V1689:X1689)</f>
        <v>0</v>
      </c>
      <c r="Z1689" s="32"/>
      <c r="AA1689" s="31"/>
      <c r="AB1689" s="32"/>
      <c r="AC1689" s="4">
        <f t="shared" ref="AC1689" si="857">SUM(Z1689:AB1689)</f>
        <v>0</v>
      </c>
      <c r="AD1689" s="32"/>
      <c r="AE1689" s="31"/>
      <c r="AF1689" s="32"/>
      <c r="AG1689" s="4">
        <f t="shared" ref="AG1689" si="858">SUM(AD1689:AF1689)</f>
        <v>0</v>
      </c>
    </row>
    <row r="1690" spans="1:34">
      <c r="A1690" s="5" t="s">
        <v>3</v>
      </c>
      <c r="B1690" s="30"/>
      <c r="C1690" s="31"/>
      <c r="D1690" s="32"/>
      <c r="E1690" s="4">
        <f t="shared" si="840"/>
        <v>0</v>
      </c>
      <c r="F1690" s="30"/>
      <c r="G1690" s="31"/>
      <c r="H1690" s="32"/>
      <c r="I1690" s="4">
        <f t="shared" si="841"/>
        <v>0</v>
      </c>
      <c r="K1690" s="5" t="s">
        <v>3</v>
      </c>
      <c r="L1690" s="32"/>
      <c r="M1690" s="31"/>
      <c r="N1690" s="32"/>
      <c r="O1690" s="4">
        <f t="shared" si="846"/>
        <v>0</v>
      </c>
      <c r="P1690" s="32"/>
      <c r="Q1690" s="31"/>
      <c r="R1690" s="32"/>
      <c r="S1690" s="4">
        <f t="shared" si="847"/>
        <v>0</v>
      </c>
      <c r="U1690" s="5" t="s">
        <v>3</v>
      </c>
      <c r="V1690" s="30"/>
      <c r="W1690" s="31"/>
      <c r="X1690" s="32"/>
      <c r="Y1690" s="4">
        <f t="shared" si="843"/>
        <v>0</v>
      </c>
      <c r="Z1690" s="30"/>
      <c r="AA1690" s="31"/>
      <c r="AB1690" s="32"/>
      <c r="AC1690" s="4">
        <f t="shared" si="844"/>
        <v>0</v>
      </c>
      <c r="AD1690" s="30"/>
      <c r="AE1690" s="31"/>
      <c r="AF1690" s="32"/>
      <c r="AG1690" s="4">
        <f t="shared" si="845"/>
        <v>0</v>
      </c>
    </row>
    <row r="1691" spans="1:34" ht="14.25" thickBot="1">
      <c r="A1691" s="6" t="s">
        <v>3</v>
      </c>
      <c r="B1691" s="36"/>
      <c r="C1691" s="37"/>
      <c r="D1691" s="36"/>
      <c r="E1691" s="20">
        <f t="shared" si="840"/>
        <v>0</v>
      </c>
      <c r="F1691" s="13"/>
      <c r="G1691" s="12"/>
      <c r="H1691" s="13"/>
      <c r="I1691" s="20">
        <f t="shared" si="841"/>
        <v>0</v>
      </c>
      <c r="K1691" s="5" t="s">
        <v>3</v>
      </c>
      <c r="L1691" s="36"/>
      <c r="M1691" s="37"/>
      <c r="N1691" s="36"/>
      <c r="O1691" s="20">
        <f t="shared" si="846"/>
        <v>0</v>
      </c>
      <c r="P1691" s="13"/>
      <c r="Q1691" s="12"/>
      <c r="R1691" s="13"/>
      <c r="S1691" s="20">
        <f t="shared" si="847"/>
        <v>0</v>
      </c>
      <c r="U1691" s="6" t="s">
        <v>3</v>
      </c>
      <c r="V1691" s="13"/>
      <c r="W1691" s="12"/>
      <c r="X1691" s="13"/>
      <c r="Y1691" s="20">
        <f t="shared" si="843"/>
        <v>0</v>
      </c>
      <c r="Z1691" s="13"/>
      <c r="AA1691" s="12"/>
      <c r="AB1691" s="13"/>
      <c r="AC1691" s="20">
        <f t="shared" si="844"/>
        <v>0</v>
      </c>
      <c r="AD1691" s="13"/>
      <c r="AE1691" s="12"/>
      <c r="AF1691" s="13"/>
      <c r="AG1691" s="20">
        <f t="shared" si="845"/>
        <v>0</v>
      </c>
    </row>
    <row r="1692" spans="1:34" ht="14.25" thickBot="1">
      <c r="A1692" s="23" t="s">
        <v>4</v>
      </c>
      <c r="B1692" s="24">
        <f>SUM(B1681:B1691)</f>
        <v>15</v>
      </c>
      <c r="C1692" s="24">
        <f>SUM(C1681:C1691)</f>
        <v>12</v>
      </c>
      <c r="D1692" s="25">
        <f>SUM(D1681:D1691)</f>
        <v>10</v>
      </c>
      <c r="E1692" s="26">
        <f t="shared" si="840"/>
        <v>37</v>
      </c>
      <c r="F1692" s="24">
        <f>SUM(F1681:F1691)</f>
        <v>15</v>
      </c>
      <c r="G1692" s="24">
        <f>SUM(G1681:G1691)</f>
        <v>12</v>
      </c>
      <c r="H1692" s="25">
        <f>SUM(H1681:H1691)</f>
        <v>10</v>
      </c>
      <c r="I1692" s="26">
        <f t="shared" si="841"/>
        <v>37</v>
      </c>
      <c r="K1692" s="23" t="s">
        <v>4</v>
      </c>
      <c r="L1692" s="24">
        <f>SUM(L1681:L1691)</f>
        <v>413</v>
      </c>
      <c r="M1692" s="24">
        <f>SUM(M1681:M1691)</f>
        <v>533</v>
      </c>
      <c r="N1692" s="25">
        <f>SUM(N1681:N1691)</f>
        <v>303</v>
      </c>
      <c r="O1692" s="26">
        <f t="shared" si="846"/>
        <v>1249</v>
      </c>
      <c r="P1692" s="24">
        <f>SUM(P1681:P1691)</f>
        <v>413</v>
      </c>
      <c r="Q1692" s="24">
        <f>SUM(Q1681:Q1691)</f>
        <v>533</v>
      </c>
      <c r="R1692" s="25">
        <f>SUM(R1681:R1691)</f>
        <v>303</v>
      </c>
      <c r="S1692" s="26">
        <f t="shared" si="847"/>
        <v>1249</v>
      </c>
      <c r="U1692" s="23" t="s">
        <v>4</v>
      </c>
      <c r="V1692" s="24">
        <f>SUM(V1681:V1691)</f>
        <v>11</v>
      </c>
      <c r="W1692" s="24">
        <f>SUM(W1681:W1691)</f>
        <v>10</v>
      </c>
      <c r="X1692" s="25">
        <f>SUM(X1681:X1691)</f>
        <v>6</v>
      </c>
      <c r="Y1692" s="26">
        <f t="shared" si="843"/>
        <v>27</v>
      </c>
      <c r="Z1692" s="24">
        <f>SUM(Z1681:Z1691)</f>
        <v>11</v>
      </c>
      <c r="AA1692" s="24">
        <f>SUM(AA1681:AA1691)</f>
        <v>10</v>
      </c>
      <c r="AB1692" s="25">
        <f>SUM(AB1681:AB1691)</f>
        <v>6</v>
      </c>
      <c r="AC1692" s="26">
        <f t="shared" si="844"/>
        <v>27</v>
      </c>
      <c r="AD1692" s="24">
        <f>SUM(AD1681:AD1691)</f>
        <v>11</v>
      </c>
      <c r="AE1692" s="24">
        <f>SUM(AE1681:AE1691)</f>
        <v>10</v>
      </c>
      <c r="AF1692" s="25">
        <f>SUM(AF1681:AF1691)</f>
        <v>6</v>
      </c>
      <c r="AG1692" s="26">
        <f t="shared" si="845"/>
        <v>27</v>
      </c>
    </row>
    <row r="1693" spans="1:34">
      <c r="A1693" s="3" t="s">
        <v>73</v>
      </c>
      <c r="B1693" s="8"/>
      <c r="C1693" s="9">
        <v>1</v>
      </c>
      <c r="D1693" s="10">
        <v>1</v>
      </c>
      <c r="E1693" s="4">
        <f t="shared" si="840"/>
        <v>2</v>
      </c>
      <c r="F1693" s="8"/>
      <c r="G1693" s="9">
        <v>1</v>
      </c>
      <c r="H1693" s="10">
        <v>1</v>
      </c>
      <c r="I1693" s="4">
        <f t="shared" si="841"/>
        <v>2</v>
      </c>
      <c r="J1693" s="43">
        <v>45485</v>
      </c>
      <c r="K1693" s="3" t="s">
        <v>959</v>
      </c>
      <c r="L1693" s="8">
        <v>22</v>
      </c>
      <c r="M1693" s="9">
        <v>24</v>
      </c>
      <c r="N1693" s="10">
        <v>12</v>
      </c>
      <c r="O1693" s="4">
        <f t="shared" ref="O1693:O1698" si="859">SUM(L1693:N1693)</f>
        <v>58</v>
      </c>
      <c r="P1693" s="8">
        <v>22</v>
      </c>
      <c r="Q1693" s="9">
        <v>24</v>
      </c>
      <c r="R1693" s="10">
        <v>12</v>
      </c>
      <c r="S1693" s="4">
        <f t="shared" ref="S1693:S1698" si="860">SUM(P1693:R1693)</f>
        <v>58</v>
      </c>
      <c r="T1693" s="43">
        <v>45490</v>
      </c>
      <c r="U1693" s="40"/>
      <c r="V1693" s="8"/>
      <c r="W1693" s="9"/>
      <c r="X1693" s="10"/>
      <c r="Y1693" s="4">
        <f t="shared" ref="Y1693" si="861">SUM(V1693:X1693)</f>
        <v>0</v>
      </c>
      <c r="Z1693" s="8"/>
      <c r="AA1693" s="9"/>
      <c r="AB1693" s="10"/>
      <c r="AC1693" s="4">
        <f t="shared" ref="AC1693" si="862">SUM(Z1693:AB1693)</f>
        <v>0</v>
      </c>
      <c r="AD1693" s="8"/>
      <c r="AE1693" s="9"/>
      <c r="AF1693" s="10"/>
      <c r="AG1693" s="4">
        <f t="shared" ref="AG1693" si="863">SUM(AD1693:AF1693)</f>
        <v>0</v>
      </c>
    </row>
    <row r="1694" spans="1:34">
      <c r="A1694" s="3" t="s">
        <v>74</v>
      </c>
      <c r="B1694" s="8"/>
      <c r="C1694" s="9">
        <v>1</v>
      </c>
      <c r="D1694" s="10">
        <v>1</v>
      </c>
      <c r="E1694" s="4">
        <f t="shared" si="840"/>
        <v>2</v>
      </c>
      <c r="F1694" s="8"/>
      <c r="G1694" s="9">
        <v>1</v>
      </c>
      <c r="H1694" s="10">
        <v>1</v>
      </c>
      <c r="I1694" s="4">
        <f t="shared" si="841"/>
        <v>2</v>
      </c>
      <c r="J1694" s="43">
        <v>45489</v>
      </c>
      <c r="K1694" s="3" t="s">
        <v>960</v>
      </c>
      <c r="L1694" s="8">
        <v>25</v>
      </c>
      <c r="M1694" s="9">
        <v>40</v>
      </c>
      <c r="N1694" s="10">
        <v>23</v>
      </c>
      <c r="O1694" s="7">
        <f t="shared" si="859"/>
        <v>88</v>
      </c>
      <c r="P1694" s="8">
        <v>25</v>
      </c>
      <c r="Q1694" s="9">
        <v>40</v>
      </c>
      <c r="R1694" s="10">
        <v>23</v>
      </c>
      <c r="S1694" s="7">
        <f t="shared" si="860"/>
        <v>88</v>
      </c>
      <c r="T1694" s="43">
        <v>45490</v>
      </c>
      <c r="U1694" s="40"/>
      <c r="V1694" s="8"/>
      <c r="W1694" s="9"/>
      <c r="X1694" s="10"/>
      <c r="Y1694" s="4">
        <f t="shared" si="843"/>
        <v>0</v>
      </c>
      <c r="Z1694" s="8"/>
      <c r="AA1694" s="9"/>
      <c r="AB1694" s="10"/>
      <c r="AC1694" s="4">
        <f t="shared" si="844"/>
        <v>0</v>
      </c>
      <c r="AD1694" s="8"/>
      <c r="AE1694" s="9"/>
      <c r="AF1694" s="10"/>
      <c r="AG1694" s="4">
        <f t="shared" si="845"/>
        <v>0</v>
      </c>
    </row>
    <row r="1695" spans="1:34">
      <c r="A1695" s="3" t="s">
        <v>962</v>
      </c>
      <c r="B1695" s="8">
        <v>6</v>
      </c>
      <c r="C1695" s="9"/>
      <c r="D1695" s="10"/>
      <c r="E1695" s="7">
        <f t="shared" si="840"/>
        <v>6</v>
      </c>
      <c r="F1695" s="8">
        <v>6</v>
      </c>
      <c r="G1695" s="9"/>
      <c r="H1695" s="10"/>
      <c r="I1695" s="7">
        <f t="shared" si="841"/>
        <v>6</v>
      </c>
      <c r="J1695" s="43">
        <v>45491</v>
      </c>
      <c r="K1695" s="3" t="s">
        <v>961</v>
      </c>
      <c r="L1695" s="8"/>
      <c r="M1695" s="9">
        <v>1</v>
      </c>
      <c r="N1695" s="10"/>
      <c r="O1695" s="4">
        <f t="shared" si="859"/>
        <v>1</v>
      </c>
      <c r="P1695" s="8"/>
      <c r="Q1695" s="9">
        <v>1</v>
      </c>
      <c r="R1695" s="10"/>
      <c r="S1695" s="4">
        <f t="shared" si="860"/>
        <v>1</v>
      </c>
      <c r="T1695" s="43">
        <v>45492</v>
      </c>
      <c r="U1695" s="40"/>
      <c r="V1695" s="8"/>
      <c r="W1695" s="9"/>
      <c r="X1695" s="10"/>
      <c r="Y1695" s="7">
        <f t="shared" si="843"/>
        <v>0</v>
      </c>
      <c r="Z1695" s="8"/>
      <c r="AA1695" s="9"/>
      <c r="AB1695" s="10"/>
      <c r="AC1695" s="7">
        <f t="shared" si="844"/>
        <v>0</v>
      </c>
      <c r="AD1695" s="8"/>
      <c r="AE1695" s="9"/>
      <c r="AF1695" s="10"/>
      <c r="AG1695" s="7">
        <f t="shared" si="845"/>
        <v>0</v>
      </c>
    </row>
    <row r="1696" spans="1:34">
      <c r="A1696" s="3" t="s">
        <v>75</v>
      </c>
      <c r="B1696" s="8"/>
      <c r="C1696" s="9">
        <v>1</v>
      </c>
      <c r="D1696" s="10"/>
      <c r="E1696" s="4">
        <f t="shared" si="840"/>
        <v>1</v>
      </c>
      <c r="F1696" s="8"/>
      <c r="G1696" s="9">
        <v>1</v>
      </c>
      <c r="H1696" s="10"/>
      <c r="I1696" s="4">
        <f t="shared" si="841"/>
        <v>1</v>
      </c>
      <c r="J1696" s="43">
        <v>45497</v>
      </c>
      <c r="K1696" s="3" t="s">
        <v>964</v>
      </c>
      <c r="L1696" s="8">
        <v>50</v>
      </c>
      <c r="M1696" s="9">
        <v>70</v>
      </c>
      <c r="N1696" s="10">
        <v>40</v>
      </c>
      <c r="O1696" s="7">
        <f t="shared" si="859"/>
        <v>160</v>
      </c>
      <c r="P1696" s="8">
        <v>50</v>
      </c>
      <c r="Q1696" s="9">
        <v>70</v>
      </c>
      <c r="R1696" s="10">
        <v>40</v>
      </c>
      <c r="S1696" s="7">
        <f t="shared" si="860"/>
        <v>160</v>
      </c>
      <c r="T1696" s="43">
        <v>45496</v>
      </c>
      <c r="U1696" s="40"/>
      <c r="V1696" s="8"/>
      <c r="W1696" s="9"/>
      <c r="X1696" s="10"/>
      <c r="Y1696" s="4">
        <f t="shared" si="843"/>
        <v>0</v>
      </c>
      <c r="Z1696" s="8"/>
      <c r="AA1696" s="9"/>
      <c r="AB1696" s="10"/>
      <c r="AC1696" s="4">
        <f t="shared" si="844"/>
        <v>0</v>
      </c>
      <c r="AD1696" s="8"/>
      <c r="AE1696" s="9"/>
      <c r="AF1696" s="10"/>
      <c r="AG1696" s="4">
        <f t="shared" si="845"/>
        <v>0</v>
      </c>
    </row>
    <row r="1697" spans="1:33">
      <c r="A1697" s="3"/>
      <c r="B1697" s="8"/>
      <c r="C1697" s="9"/>
      <c r="D1697" s="10"/>
      <c r="E1697" s="4">
        <f t="shared" si="840"/>
        <v>0</v>
      </c>
      <c r="F1697" s="8"/>
      <c r="G1697" s="9"/>
      <c r="H1697" s="10"/>
      <c r="I1697" s="4">
        <f t="shared" si="841"/>
        <v>0</v>
      </c>
      <c r="J1697" s="71"/>
      <c r="K1697" s="3" t="s">
        <v>295</v>
      </c>
      <c r="L1697" s="8">
        <v>5</v>
      </c>
      <c r="M1697" s="9"/>
      <c r="N1697" s="10"/>
      <c r="O1697" s="7">
        <f t="shared" si="859"/>
        <v>5</v>
      </c>
      <c r="P1697" s="8">
        <v>5</v>
      </c>
      <c r="Q1697" s="9"/>
      <c r="R1697" s="10"/>
      <c r="S1697" s="7">
        <f t="shared" si="860"/>
        <v>5</v>
      </c>
      <c r="T1697" s="43">
        <v>45493</v>
      </c>
      <c r="U1697" s="3"/>
      <c r="V1697" s="8"/>
      <c r="W1697" s="9"/>
      <c r="X1697" s="10"/>
      <c r="Y1697" s="4">
        <f t="shared" si="843"/>
        <v>0</v>
      </c>
      <c r="Z1697" s="8"/>
      <c r="AA1697" s="9"/>
      <c r="AB1697" s="10"/>
      <c r="AC1697" s="4">
        <f t="shared" si="844"/>
        <v>0</v>
      </c>
      <c r="AD1697" s="8"/>
      <c r="AE1697" s="9"/>
      <c r="AF1697" s="10"/>
      <c r="AG1697" s="4">
        <f t="shared" si="845"/>
        <v>0</v>
      </c>
    </row>
    <row r="1698" spans="1:33">
      <c r="A1698" s="3"/>
      <c r="B1698" s="8"/>
      <c r="C1698" s="9"/>
      <c r="D1698" s="10"/>
      <c r="E1698" s="7">
        <f t="shared" si="840"/>
        <v>0</v>
      </c>
      <c r="F1698" s="8"/>
      <c r="G1698" s="9"/>
      <c r="H1698" s="10"/>
      <c r="I1698" s="7">
        <f t="shared" si="841"/>
        <v>0</v>
      </c>
      <c r="J1698" s="71"/>
      <c r="K1698" s="3" t="s">
        <v>965</v>
      </c>
      <c r="L1698" s="8">
        <v>30</v>
      </c>
      <c r="M1698" s="9">
        <v>44</v>
      </c>
      <c r="N1698" s="10">
        <v>48</v>
      </c>
      <c r="O1698" s="7">
        <f t="shared" si="859"/>
        <v>122</v>
      </c>
      <c r="P1698" s="8">
        <v>30</v>
      </c>
      <c r="Q1698" s="9">
        <v>44</v>
      </c>
      <c r="R1698" s="10">
        <v>48</v>
      </c>
      <c r="S1698" s="7">
        <f t="shared" si="860"/>
        <v>122</v>
      </c>
      <c r="T1698" s="43">
        <v>45498</v>
      </c>
      <c r="U1698" s="3"/>
      <c r="V1698" s="8"/>
      <c r="W1698" s="9"/>
      <c r="X1698" s="10"/>
      <c r="Y1698" s="7">
        <f t="shared" si="843"/>
        <v>0</v>
      </c>
      <c r="Z1698" s="8"/>
      <c r="AA1698" s="9"/>
      <c r="AB1698" s="10"/>
      <c r="AC1698" s="7">
        <f t="shared" si="844"/>
        <v>0</v>
      </c>
      <c r="AD1698" s="8"/>
      <c r="AE1698" s="9"/>
      <c r="AF1698" s="10"/>
      <c r="AG1698" s="7">
        <f t="shared" si="845"/>
        <v>0</v>
      </c>
    </row>
    <row r="1699" spans="1:33">
      <c r="A1699" s="3"/>
      <c r="B1699" s="8"/>
      <c r="C1699" s="9"/>
      <c r="D1699" s="10"/>
      <c r="E1699" s="7">
        <f t="shared" si="840"/>
        <v>0</v>
      </c>
      <c r="F1699" s="8"/>
      <c r="G1699" s="9"/>
      <c r="H1699" s="10"/>
      <c r="I1699" s="7">
        <f t="shared" si="841"/>
        <v>0</v>
      </c>
      <c r="K1699" s="3" t="s">
        <v>76</v>
      </c>
      <c r="L1699" s="8">
        <v>1</v>
      </c>
      <c r="M1699" s="9"/>
      <c r="N1699" s="10">
        <v>2</v>
      </c>
      <c r="O1699" s="7">
        <f t="shared" si="846"/>
        <v>3</v>
      </c>
      <c r="P1699" s="8">
        <v>1</v>
      </c>
      <c r="Q1699" s="9"/>
      <c r="R1699" s="10">
        <v>2</v>
      </c>
      <c r="S1699" s="7">
        <f t="shared" si="847"/>
        <v>3</v>
      </c>
      <c r="T1699" s="43">
        <v>45498</v>
      </c>
      <c r="U1699" s="3"/>
      <c r="V1699" s="8"/>
      <c r="W1699" s="9"/>
      <c r="X1699" s="10"/>
      <c r="Y1699" s="7">
        <f t="shared" si="843"/>
        <v>0</v>
      </c>
      <c r="Z1699" s="8"/>
      <c r="AA1699" s="9"/>
      <c r="AB1699" s="10"/>
      <c r="AC1699" s="7">
        <f t="shared" si="844"/>
        <v>0</v>
      </c>
      <c r="AD1699" s="8"/>
      <c r="AE1699" s="9"/>
      <c r="AF1699" s="10"/>
      <c r="AG1699" s="7">
        <f t="shared" si="845"/>
        <v>0</v>
      </c>
    </row>
    <row r="1700" spans="1:33">
      <c r="A1700" s="3"/>
      <c r="B1700" s="8"/>
      <c r="C1700" s="9"/>
      <c r="D1700" s="10"/>
      <c r="E1700" s="7">
        <f t="shared" si="840"/>
        <v>0</v>
      </c>
      <c r="F1700" s="8"/>
      <c r="G1700" s="9"/>
      <c r="H1700" s="10"/>
      <c r="I1700" s="7">
        <f t="shared" si="841"/>
        <v>0</v>
      </c>
      <c r="K1700" s="3" t="s">
        <v>77</v>
      </c>
      <c r="L1700" s="8">
        <v>2</v>
      </c>
      <c r="M1700" s="9">
        <v>6</v>
      </c>
      <c r="N1700" s="10">
        <v>4</v>
      </c>
      <c r="O1700" s="7">
        <f t="shared" si="846"/>
        <v>12</v>
      </c>
      <c r="P1700" s="8">
        <v>2</v>
      </c>
      <c r="Q1700" s="9">
        <v>6</v>
      </c>
      <c r="R1700" s="10">
        <v>4</v>
      </c>
      <c r="S1700" s="7">
        <f t="shared" si="847"/>
        <v>12</v>
      </c>
      <c r="T1700" s="43">
        <v>45499</v>
      </c>
      <c r="U1700" s="3"/>
      <c r="V1700" s="8"/>
      <c r="W1700" s="9"/>
      <c r="X1700" s="10"/>
      <c r="Y1700" s="7">
        <f t="shared" si="843"/>
        <v>0</v>
      </c>
      <c r="Z1700" s="8"/>
      <c r="AA1700" s="9"/>
      <c r="AB1700" s="10"/>
      <c r="AC1700" s="7">
        <f t="shared" si="844"/>
        <v>0</v>
      </c>
      <c r="AD1700" s="8"/>
      <c r="AE1700" s="9"/>
      <c r="AF1700" s="10"/>
      <c r="AG1700" s="7">
        <f t="shared" si="845"/>
        <v>0</v>
      </c>
    </row>
    <row r="1701" spans="1:33">
      <c r="A1701" s="3"/>
      <c r="B1701" s="8"/>
      <c r="C1701" s="9"/>
      <c r="D1701" s="10"/>
      <c r="E1701" s="7">
        <f t="shared" si="840"/>
        <v>0</v>
      </c>
      <c r="F1701" s="8"/>
      <c r="G1701" s="9"/>
      <c r="H1701" s="10"/>
      <c r="I1701" s="7">
        <f t="shared" si="841"/>
        <v>0</v>
      </c>
      <c r="K1701" s="3" t="s">
        <v>966</v>
      </c>
      <c r="L1701" s="8">
        <v>14</v>
      </c>
      <c r="M1701" s="9">
        <v>12</v>
      </c>
      <c r="N1701" s="10"/>
      <c r="O1701" s="7">
        <f t="shared" si="846"/>
        <v>26</v>
      </c>
      <c r="P1701" s="8">
        <v>14</v>
      </c>
      <c r="Q1701" s="9">
        <v>12</v>
      </c>
      <c r="R1701" s="10"/>
      <c r="S1701" s="7">
        <f t="shared" si="847"/>
        <v>26</v>
      </c>
      <c r="T1701" s="43">
        <v>45506</v>
      </c>
      <c r="U1701" s="3"/>
      <c r="V1701" s="8"/>
      <c r="W1701" s="9"/>
      <c r="X1701" s="10"/>
      <c r="Y1701" s="7">
        <f t="shared" si="843"/>
        <v>0</v>
      </c>
      <c r="Z1701" s="8"/>
      <c r="AA1701" s="9"/>
      <c r="AB1701" s="10"/>
      <c r="AC1701" s="7">
        <f t="shared" si="844"/>
        <v>0</v>
      </c>
      <c r="AD1701" s="8"/>
      <c r="AE1701" s="9"/>
      <c r="AF1701" s="10"/>
      <c r="AG1701" s="7">
        <f t="shared" si="845"/>
        <v>0</v>
      </c>
    </row>
    <row r="1702" spans="1:33">
      <c r="A1702" s="3"/>
      <c r="B1702" s="8"/>
      <c r="C1702" s="9"/>
      <c r="D1702" s="10"/>
      <c r="E1702" s="7">
        <f t="shared" si="840"/>
        <v>0</v>
      </c>
      <c r="F1702" s="8"/>
      <c r="G1702" s="9"/>
      <c r="H1702" s="10"/>
      <c r="I1702" s="7">
        <f t="shared" si="841"/>
        <v>0</v>
      </c>
      <c r="K1702" s="3" t="s">
        <v>967</v>
      </c>
      <c r="L1702" s="8">
        <v>8</v>
      </c>
      <c r="M1702" s="9">
        <v>8</v>
      </c>
      <c r="N1702" s="10">
        <v>3</v>
      </c>
      <c r="O1702" s="7">
        <f t="shared" si="846"/>
        <v>19</v>
      </c>
      <c r="P1702" s="8">
        <v>8</v>
      </c>
      <c r="Q1702" s="9">
        <v>8</v>
      </c>
      <c r="R1702" s="10">
        <v>3</v>
      </c>
      <c r="S1702" s="7">
        <f t="shared" si="847"/>
        <v>19</v>
      </c>
      <c r="T1702" s="43">
        <v>45503</v>
      </c>
      <c r="U1702" s="3"/>
      <c r="V1702" s="8"/>
      <c r="W1702" s="9"/>
      <c r="X1702" s="10"/>
      <c r="Y1702" s="7">
        <f t="shared" si="843"/>
        <v>0</v>
      </c>
      <c r="Z1702" s="8"/>
      <c r="AA1702" s="9"/>
      <c r="AB1702" s="10"/>
      <c r="AC1702" s="7">
        <f t="shared" si="844"/>
        <v>0</v>
      </c>
      <c r="AD1702" s="8"/>
      <c r="AE1702" s="9"/>
      <c r="AF1702" s="10"/>
      <c r="AG1702" s="7">
        <f t="shared" si="845"/>
        <v>0</v>
      </c>
    </row>
    <row r="1703" spans="1:33">
      <c r="A1703" s="3"/>
      <c r="B1703" s="8"/>
      <c r="C1703" s="9"/>
      <c r="D1703" s="10"/>
      <c r="E1703" s="7">
        <f t="shared" si="840"/>
        <v>0</v>
      </c>
      <c r="F1703" s="8"/>
      <c r="G1703" s="9"/>
      <c r="H1703" s="10"/>
      <c r="I1703" s="7">
        <f t="shared" si="841"/>
        <v>0</v>
      </c>
      <c r="K1703" s="3" t="s">
        <v>77</v>
      </c>
      <c r="L1703" s="59">
        <v>3</v>
      </c>
      <c r="M1703" s="60">
        <v>6</v>
      </c>
      <c r="N1703" s="10"/>
      <c r="O1703" s="7">
        <f t="shared" si="846"/>
        <v>9</v>
      </c>
      <c r="P1703" s="8">
        <v>3</v>
      </c>
      <c r="Q1703" s="9">
        <v>6</v>
      </c>
      <c r="R1703" s="10"/>
      <c r="S1703" s="7">
        <f t="shared" si="847"/>
        <v>9</v>
      </c>
      <c r="T1703" s="43">
        <v>45506</v>
      </c>
      <c r="U1703" s="3"/>
      <c r="V1703" s="30"/>
      <c r="W1703" s="9"/>
      <c r="X1703" s="10"/>
      <c r="Y1703" s="7">
        <f t="shared" si="843"/>
        <v>0</v>
      </c>
      <c r="Z1703" s="8"/>
      <c r="AA1703" s="9"/>
      <c r="AB1703" s="10"/>
      <c r="AC1703" s="7">
        <f t="shared" si="844"/>
        <v>0</v>
      </c>
      <c r="AD1703" s="8"/>
      <c r="AE1703" s="9"/>
      <c r="AF1703" s="10"/>
      <c r="AG1703" s="7">
        <f t="shared" si="845"/>
        <v>0</v>
      </c>
    </row>
    <row r="1704" spans="1:33">
      <c r="A1704" s="3"/>
      <c r="B1704" s="8"/>
      <c r="C1704" s="9"/>
      <c r="D1704" s="10"/>
      <c r="E1704" s="7">
        <f t="shared" si="840"/>
        <v>0</v>
      </c>
      <c r="F1704" s="8"/>
      <c r="G1704" s="9"/>
      <c r="H1704" s="10"/>
      <c r="I1704" s="7">
        <f t="shared" si="841"/>
        <v>0</v>
      </c>
      <c r="K1704" s="3" t="s">
        <v>80</v>
      </c>
      <c r="L1704" s="8">
        <v>6</v>
      </c>
      <c r="M1704" s="9">
        <v>4</v>
      </c>
      <c r="N1704" s="10">
        <v>3</v>
      </c>
      <c r="O1704" s="7">
        <f t="shared" si="846"/>
        <v>13</v>
      </c>
      <c r="P1704" s="8">
        <v>6</v>
      </c>
      <c r="Q1704" s="9">
        <v>4</v>
      </c>
      <c r="R1704" s="10">
        <v>3</v>
      </c>
      <c r="S1704" s="7">
        <f t="shared" si="847"/>
        <v>13</v>
      </c>
      <c r="T1704" s="43">
        <v>45506</v>
      </c>
      <c r="U1704" s="3"/>
      <c r="V1704" s="8"/>
      <c r="W1704" s="9"/>
      <c r="X1704" s="10"/>
      <c r="Y1704" s="7">
        <f t="shared" si="843"/>
        <v>0</v>
      </c>
      <c r="Z1704" s="8"/>
      <c r="AA1704" s="9"/>
      <c r="AB1704" s="10"/>
      <c r="AC1704" s="7">
        <f t="shared" si="844"/>
        <v>0</v>
      </c>
      <c r="AD1704" s="8"/>
      <c r="AE1704" s="9"/>
      <c r="AF1704" s="10"/>
      <c r="AG1704" s="7">
        <f t="shared" si="845"/>
        <v>0</v>
      </c>
    </row>
    <row r="1705" spans="1:33">
      <c r="A1705" s="3"/>
      <c r="B1705" s="8"/>
      <c r="C1705" s="9"/>
      <c r="D1705" s="10"/>
      <c r="E1705" s="7">
        <f t="shared" si="840"/>
        <v>0</v>
      </c>
      <c r="F1705" s="8"/>
      <c r="G1705" s="9"/>
      <c r="H1705" s="10"/>
      <c r="I1705" s="7">
        <f t="shared" si="841"/>
        <v>0</v>
      </c>
      <c r="K1705" s="3" t="s">
        <v>972</v>
      </c>
      <c r="L1705" s="8">
        <v>10</v>
      </c>
      <c r="M1705" s="9">
        <v>13</v>
      </c>
      <c r="N1705" s="10">
        <v>6</v>
      </c>
      <c r="O1705" s="7">
        <f t="shared" si="846"/>
        <v>29</v>
      </c>
      <c r="P1705" s="8">
        <v>10</v>
      </c>
      <c r="Q1705" s="9">
        <v>13</v>
      </c>
      <c r="R1705" s="10">
        <v>6</v>
      </c>
      <c r="S1705" s="7">
        <f t="shared" si="847"/>
        <v>29</v>
      </c>
      <c r="T1705" s="43">
        <v>45511</v>
      </c>
      <c r="U1705" s="3"/>
      <c r="V1705" s="8"/>
      <c r="W1705" s="9"/>
      <c r="X1705" s="10"/>
      <c r="Y1705" s="7">
        <f t="shared" si="843"/>
        <v>0</v>
      </c>
      <c r="Z1705" s="8"/>
      <c r="AA1705" s="9"/>
      <c r="AB1705" s="10"/>
      <c r="AC1705" s="7">
        <f t="shared" si="844"/>
        <v>0</v>
      </c>
      <c r="AD1705" s="8"/>
      <c r="AE1705" s="9"/>
      <c r="AF1705" s="10"/>
      <c r="AG1705" s="7">
        <f t="shared" si="845"/>
        <v>0</v>
      </c>
    </row>
    <row r="1706" spans="1:33">
      <c r="A1706" s="3"/>
      <c r="B1706" s="8"/>
      <c r="C1706" s="9"/>
      <c r="D1706" s="10"/>
      <c r="E1706" s="7">
        <f t="shared" si="840"/>
        <v>0</v>
      </c>
      <c r="F1706" s="8"/>
      <c r="G1706" s="9"/>
      <c r="H1706" s="10"/>
      <c r="I1706" s="7">
        <f t="shared" si="841"/>
        <v>0</v>
      </c>
      <c r="K1706" s="3" t="s">
        <v>356</v>
      </c>
      <c r="L1706" s="8">
        <v>3</v>
      </c>
      <c r="M1706" s="9">
        <v>3</v>
      </c>
      <c r="N1706" s="10">
        <v>1</v>
      </c>
      <c r="O1706" s="7">
        <f t="shared" si="846"/>
        <v>7</v>
      </c>
      <c r="P1706" s="8">
        <v>3</v>
      </c>
      <c r="Q1706" s="9">
        <v>3</v>
      </c>
      <c r="R1706" s="10">
        <v>1</v>
      </c>
      <c r="S1706" s="7">
        <f t="shared" si="847"/>
        <v>7</v>
      </c>
      <c r="T1706" s="43">
        <v>45509</v>
      </c>
      <c r="U1706" s="3"/>
      <c r="V1706" s="8"/>
      <c r="W1706" s="9"/>
      <c r="X1706" s="10"/>
      <c r="Y1706" s="7">
        <f t="shared" si="843"/>
        <v>0</v>
      </c>
      <c r="Z1706" s="8"/>
      <c r="AA1706" s="9"/>
      <c r="AB1706" s="10"/>
      <c r="AC1706" s="7">
        <f t="shared" si="844"/>
        <v>0</v>
      </c>
      <c r="AD1706" s="8"/>
      <c r="AE1706" s="9"/>
      <c r="AF1706" s="10"/>
      <c r="AG1706" s="7">
        <f t="shared" si="845"/>
        <v>0</v>
      </c>
    </row>
    <row r="1707" spans="1:33">
      <c r="A1707" s="3"/>
      <c r="B1707" s="8"/>
      <c r="C1707" s="9"/>
      <c r="D1707" s="10"/>
      <c r="E1707" s="7">
        <f t="shared" si="840"/>
        <v>0</v>
      </c>
      <c r="F1707" s="8"/>
      <c r="G1707" s="9"/>
      <c r="H1707" s="10"/>
      <c r="I1707" s="7">
        <f t="shared" si="841"/>
        <v>0</v>
      </c>
      <c r="K1707" s="3" t="s">
        <v>357</v>
      </c>
      <c r="L1707" s="8">
        <v>3</v>
      </c>
      <c r="M1707" s="9">
        <v>9</v>
      </c>
      <c r="N1707" s="10">
        <v>8</v>
      </c>
      <c r="O1707" s="7">
        <f t="shared" si="846"/>
        <v>20</v>
      </c>
      <c r="P1707" s="8">
        <v>3</v>
      </c>
      <c r="Q1707" s="9">
        <v>9</v>
      </c>
      <c r="R1707" s="10">
        <v>8</v>
      </c>
      <c r="S1707" s="7">
        <f t="shared" si="847"/>
        <v>20</v>
      </c>
      <c r="T1707" s="43">
        <v>45511</v>
      </c>
      <c r="U1707" s="3"/>
      <c r="V1707" s="8"/>
      <c r="W1707" s="9"/>
      <c r="X1707" s="10"/>
      <c r="Y1707" s="7">
        <f t="shared" si="843"/>
        <v>0</v>
      </c>
      <c r="Z1707" s="8"/>
      <c r="AA1707" s="9"/>
      <c r="AB1707" s="10"/>
      <c r="AC1707" s="7">
        <f t="shared" si="844"/>
        <v>0</v>
      </c>
      <c r="AD1707" s="8"/>
      <c r="AE1707" s="9"/>
      <c r="AF1707" s="10"/>
      <c r="AG1707" s="7">
        <f t="shared" si="845"/>
        <v>0</v>
      </c>
    </row>
    <row r="1708" spans="1:33">
      <c r="A1708" s="3"/>
      <c r="B1708" s="8"/>
      <c r="C1708" s="9"/>
      <c r="D1708" s="10"/>
      <c r="E1708" s="7">
        <f t="shared" si="840"/>
        <v>0</v>
      </c>
      <c r="F1708" s="8"/>
      <c r="G1708" s="9"/>
      <c r="H1708" s="10"/>
      <c r="I1708" s="7">
        <f t="shared" si="841"/>
        <v>0</v>
      </c>
      <c r="K1708" s="3" t="s">
        <v>358</v>
      </c>
      <c r="L1708" s="8"/>
      <c r="M1708" s="9">
        <v>3</v>
      </c>
      <c r="N1708" s="10">
        <v>1</v>
      </c>
      <c r="O1708" s="7">
        <f t="shared" si="846"/>
        <v>4</v>
      </c>
      <c r="P1708" s="8"/>
      <c r="Q1708" s="9">
        <v>3</v>
      </c>
      <c r="R1708" s="10">
        <v>1</v>
      </c>
      <c r="S1708" s="7">
        <f t="shared" si="847"/>
        <v>4</v>
      </c>
      <c r="T1708" s="43">
        <v>45512</v>
      </c>
      <c r="U1708" s="3"/>
      <c r="V1708" s="8"/>
      <c r="W1708" s="9"/>
      <c r="X1708" s="10"/>
      <c r="Y1708" s="7">
        <f t="shared" si="843"/>
        <v>0</v>
      </c>
      <c r="Z1708" s="8"/>
      <c r="AA1708" s="9"/>
      <c r="AB1708" s="10"/>
      <c r="AC1708" s="7">
        <f t="shared" si="844"/>
        <v>0</v>
      </c>
      <c r="AD1708" s="8"/>
      <c r="AE1708" s="9"/>
      <c r="AF1708" s="10"/>
      <c r="AG1708" s="7">
        <f t="shared" si="845"/>
        <v>0</v>
      </c>
    </row>
    <row r="1709" spans="1:33">
      <c r="A1709" s="3"/>
      <c r="B1709" s="8"/>
      <c r="C1709" s="9"/>
      <c r="D1709" s="10"/>
      <c r="E1709" s="7">
        <f t="shared" si="840"/>
        <v>0</v>
      </c>
      <c r="F1709" s="8"/>
      <c r="G1709" s="9"/>
      <c r="H1709" s="10"/>
      <c r="I1709" s="7">
        <f t="shared" si="841"/>
        <v>0</v>
      </c>
      <c r="K1709" s="3" t="s">
        <v>361</v>
      </c>
      <c r="L1709" s="8">
        <v>4</v>
      </c>
      <c r="M1709" s="9">
        <v>12</v>
      </c>
      <c r="N1709" s="10">
        <v>1</v>
      </c>
      <c r="O1709" s="7">
        <f t="shared" si="846"/>
        <v>17</v>
      </c>
      <c r="P1709" s="8">
        <v>4</v>
      </c>
      <c r="Q1709" s="9">
        <v>12</v>
      </c>
      <c r="R1709" s="10">
        <v>1</v>
      </c>
      <c r="S1709" s="7">
        <f t="shared" si="847"/>
        <v>17</v>
      </c>
      <c r="T1709" s="43">
        <v>45513</v>
      </c>
      <c r="U1709" s="3"/>
      <c r="V1709" s="8"/>
      <c r="W1709" s="9"/>
      <c r="X1709" s="10"/>
      <c r="Y1709" s="7">
        <f t="shared" si="843"/>
        <v>0</v>
      </c>
      <c r="Z1709" s="8"/>
      <c r="AA1709" s="9"/>
      <c r="AB1709" s="10"/>
      <c r="AC1709" s="7">
        <f t="shared" si="844"/>
        <v>0</v>
      </c>
      <c r="AD1709" s="8"/>
      <c r="AE1709" s="9"/>
      <c r="AF1709" s="10"/>
      <c r="AG1709" s="7">
        <f t="shared" si="845"/>
        <v>0</v>
      </c>
    </row>
    <row r="1710" spans="1:33">
      <c r="A1710" s="3"/>
      <c r="B1710" s="8"/>
      <c r="C1710" s="9"/>
      <c r="D1710" s="10"/>
      <c r="E1710" s="7">
        <f t="shared" si="840"/>
        <v>0</v>
      </c>
      <c r="F1710" s="8"/>
      <c r="G1710" s="9"/>
      <c r="H1710" s="10"/>
      <c r="I1710" s="7">
        <f t="shared" si="841"/>
        <v>0</v>
      </c>
      <c r="K1710" s="3" t="s">
        <v>364</v>
      </c>
      <c r="L1710" s="8">
        <v>9</v>
      </c>
      <c r="M1710" s="9">
        <v>11</v>
      </c>
      <c r="N1710" s="10">
        <v>3</v>
      </c>
      <c r="O1710" s="7">
        <f t="shared" si="846"/>
        <v>23</v>
      </c>
      <c r="P1710" s="8">
        <v>9</v>
      </c>
      <c r="Q1710" s="9">
        <v>11</v>
      </c>
      <c r="R1710" s="10">
        <v>3</v>
      </c>
      <c r="S1710" s="7">
        <f t="shared" si="847"/>
        <v>23</v>
      </c>
      <c r="T1710" s="43">
        <v>45513</v>
      </c>
      <c r="U1710" s="3"/>
      <c r="V1710" s="8"/>
      <c r="W1710" s="9"/>
      <c r="X1710" s="10"/>
      <c r="Y1710" s="7">
        <f t="shared" si="843"/>
        <v>0</v>
      </c>
      <c r="Z1710" s="8"/>
      <c r="AA1710" s="9"/>
      <c r="AB1710" s="10"/>
      <c r="AC1710" s="7">
        <f t="shared" si="844"/>
        <v>0</v>
      </c>
      <c r="AD1710" s="8"/>
      <c r="AE1710" s="9"/>
      <c r="AF1710" s="10"/>
      <c r="AG1710" s="7">
        <f t="shared" si="845"/>
        <v>0</v>
      </c>
    </row>
    <row r="1711" spans="1:33">
      <c r="A1711" s="11"/>
      <c r="B1711" s="8"/>
      <c r="C1711" s="9"/>
      <c r="D1711" s="10"/>
      <c r="E1711" s="7">
        <f t="shared" si="840"/>
        <v>0</v>
      </c>
      <c r="F1711" s="8"/>
      <c r="G1711" s="9"/>
      <c r="H1711" s="10"/>
      <c r="I1711" s="7">
        <f t="shared" si="841"/>
        <v>0</v>
      </c>
      <c r="K1711" s="3" t="s">
        <v>366</v>
      </c>
      <c r="L1711" s="8"/>
      <c r="M1711" s="9">
        <v>6</v>
      </c>
      <c r="N1711" s="10">
        <v>3</v>
      </c>
      <c r="O1711" s="7">
        <f t="shared" si="846"/>
        <v>9</v>
      </c>
      <c r="P1711" s="8"/>
      <c r="Q1711" s="9">
        <v>6</v>
      </c>
      <c r="R1711" s="10">
        <v>3</v>
      </c>
      <c r="S1711" s="7">
        <f t="shared" si="847"/>
        <v>9</v>
      </c>
      <c r="T1711" s="43">
        <v>45520</v>
      </c>
      <c r="U1711" s="3"/>
      <c r="V1711" s="8"/>
      <c r="W1711" s="9"/>
      <c r="X1711" s="10"/>
      <c r="Y1711" s="7">
        <f t="shared" si="843"/>
        <v>0</v>
      </c>
      <c r="Z1711" s="8"/>
      <c r="AA1711" s="9"/>
      <c r="AB1711" s="10"/>
      <c r="AC1711" s="7">
        <f t="shared" si="844"/>
        <v>0</v>
      </c>
      <c r="AD1711" s="8"/>
      <c r="AE1711" s="9"/>
      <c r="AF1711" s="10"/>
      <c r="AG1711" s="7">
        <f t="shared" si="845"/>
        <v>0</v>
      </c>
    </row>
    <row r="1712" spans="1:33">
      <c r="A1712" s="11"/>
      <c r="B1712" s="8"/>
      <c r="C1712" s="9"/>
      <c r="D1712" s="10"/>
      <c r="E1712" s="7">
        <f t="shared" si="840"/>
        <v>0</v>
      </c>
      <c r="F1712" s="8"/>
      <c r="G1712" s="9"/>
      <c r="H1712" s="10"/>
      <c r="I1712" s="7">
        <f t="shared" si="841"/>
        <v>0</v>
      </c>
      <c r="K1712" s="3" t="s">
        <v>974</v>
      </c>
      <c r="L1712" s="8">
        <v>30</v>
      </c>
      <c r="M1712" s="9">
        <v>40</v>
      </c>
      <c r="N1712" s="10">
        <v>20</v>
      </c>
      <c r="O1712" s="7">
        <f t="shared" ref="O1712" si="864">SUM(L1712:N1712)</f>
        <v>90</v>
      </c>
      <c r="P1712" s="8">
        <v>30</v>
      </c>
      <c r="Q1712" s="9">
        <v>40</v>
      </c>
      <c r="R1712" s="10">
        <v>20</v>
      </c>
      <c r="S1712" s="7">
        <f t="shared" ref="S1712" si="865">SUM(P1712:R1712)</f>
        <v>90</v>
      </c>
      <c r="T1712" s="43">
        <v>45524</v>
      </c>
      <c r="U1712" s="3"/>
      <c r="V1712" s="8"/>
      <c r="W1712" s="9"/>
      <c r="X1712" s="10"/>
      <c r="Y1712" s="7">
        <f t="shared" si="843"/>
        <v>0</v>
      </c>
      <c r="Z1712" s="8"/>
      <c r="AA1712" s="9"/>
      <c r="AB1712" s="10"/>
      <c r="AC1712" s="7">
        <f t="shared" si="844"/>
        <v>0</v>
      </c>
      <c r="AD1712" s="8"/>
      <c r="AE1712" s="9"/>
      <c r="AF1712" s="10"/>
      <c r="AG1712" s="7">
        <f t="shared" si="845"/>
        <v>0</v>
      </c>
    </row>
    <row r="1713" spans="1:34">
      <c r="A1713" s="11"/>
      <c r="B1713" s="8"/>
      <c r="C1713" s="9"/>
      <c r="D1713" s="10"/>
      <c r="E1713" s="7">
        <f t="shared" si="840"/>
        <v>0</v>
      </c>
      <c r="F1713" s="8"/>
      <c r="G1713" s="9"/>
      <c r="H1713" s="10"/>
      <c r="I1713" s="7">
        <f t="shared" si="841"/>
        <v>0</v>
      </c>
      <c r="K1713" s="3" t="s">
        <v>581</v>
      </c>
      <c r="L1713" s="8">
        <v>2</v>
      </c>
      <c r="M1713" s="9">
        <v>6</v>
      </c>
      <c r="N1713" s="10">
        <v>16</v>
      </c>
      <c r="O1713" s="7">
        <f t="shared" si="846"/>
        <v>24</v>
      </c>
      <c r="P1713" s="8">
        <v>2</v>
      </c>
      <c r="Q1713" s="9">
        <v>6</v>
      </c>
      <c r="R1713" s="10">
        <v>16</v>
      </c>
      <c r="S1713" s="7">
        <f t="shared" si="847"/>
        <v>24</v>
      </c>
      <c r="T1713" s="43">
        <v>45523</v>
      </c>
      <c r="U1713" s="11"/>
      <c r="V1713" s="8"/>
      <c r="W1713" s="9"/>
      <c r="X1713" s="10"/>
      <c r="Y1713" s="7">
        <f t="shared" si="843"/>
        <v>0</v>
      </c>
      <c r="Z1713" s="8"/>
      <c r="AA1713" s="9"/>
      <c r="AB1713" s="10"/>
      <c r="AC1713" s="7">
        <f t="shared" si="844"/>
        <v>0</v>
      </c>
      <c r="AD1713" s="8"/>
      <c r="AE1713" s="9"/>
      <c r="AF1713" s="10"/>
      <c r="AG1713" s="7">
        <f t="shared" si="845"/>
        <v>0</v>
      </c>
    </row>
    <row r="1714" spans="1:34">
      <c r="A1714" s="11"/>
      <c r="B1714" s="8"/>
      <c r="C1714" s="9"/>
      <c r="D1714" s="10"/>
      <c r="E1714" s="7">
        <f t="shared" si="840"/>
        <v>0</v>
      </c>
      <c r="F1714" s="8"/>
      <c r="G1714" s="9"/>
      <c r="H1714" s="10"/>
      <c r="I1714" s="7">
        <f t="shared" si="841"/>
        <v>0</v>
      </c>
      <c r="K1714" s="3"/>
      <c r="L1714" s="8"/>
      <c r="M1714" s="9"/>
      <c r="N1714" s="10"/>
      <c r="O1714" s="7">
        <f t="shared" ref="O1714" si="866">SUM(L1714:N1714)</f>
        <v>0</v>
      </c>
      <c r="P1714" s="8"/>
      <c r="Q1714" s="9"/>
      <c r="R1714" s="10"/>
      <c r="S1714" s="7">
        <f t="shared" ref="S1714" si="867">SUM(P1714:R1714)</f>
        <v>0</v>
      </c>
      <c r="T1714" s="43"/>
      <c r="U1714" s="3"/>
      <c r="V1714" s="8"/>
      <c r="W1714" s="9"/>
      <c r="X1714" s="10"/>
      <c r="Y1714" s="7">
        <f t="shared" si="843"/>
        <v>0</v>
      </c>
      <c r="Z1714" s="8"/>
      <c r="AA1714" s="9"/>
      <c r="AB1714" s="10"/>
      <c r="AC1714" s="7">
        <f t="shared" si="844"/>
        <v>0</v>
      </c>
      <c r="AD1714" s="8"/>
      <c r="AE1714" s="9"/>
      <c r="AF1714" s="10"/>
      <c r="AG1714" s="7">
        <f t="shared" si="845"/>
        <v>0</v>
      </c>
    </row>
    <row r="1715" spans="1:34">
      <c r="A1715" s="11"/>
      <c r="B1715" s="8"/>
      <c r="C1715" s="9"/>
      <c r="D1715" s="10"/>
      <c r="E1715" s="7">
        <f t="shared" si="840"/>
        <v>0</v>
      </c>
      <c r="F1715" s="8"/>
      <c r="G1715" s="9"/>
      <c r="H1715" s="10"/>
      <c r="I1715" s="7">
        <f t="shared" si="841"/>
        <v>0</v>
      </c>
      <c r="K1715" s="3" t="s">
        <v>969</v>
      </c>
      <c r="L1715" s="8"/>
      <c r="M1715" s="9"/>
      <c r="N1715" s="10"/>
      <c r="O1715" s="7">
        <f t="shared" ref="O1715" si="868">SUM(L1715:N1715)</f>
        <v>0</v>
      </c>
      <c r="P1715" s="8"/>
      <c r="Q1715" s="9"/>
      <c r="R1715" s="10"/>
      <c r="S1715" s="7">
        <f t="shared" ref="S1715" si="869">SUM(P1715:R1715)</f>
        <v>0</v>
      </c>
      <c r="T1715" s="43">
        <v>45524</v>
      </c>
      <c r="U1715" s="3"/>
      <c r="V1715" s="8"/>
      <c r="W1715" s="9"/>
      <c r="X1715" s="10"/>
      <c r="Y1715" s="7">
        <f t="shared" ref="Y1715" si="870">SUM(V1715:X1715)</f>
        <v>0</v>
      </c>
      <c r="Z1715" s="8"/>
      <c r="AA1715" s="9"/>
      <c r="AB1715" s="10"/>
      <c r="AC1715" s="7">
        <f t="shared" ref="AC1715" si="871">SUM(Z1715:AB1715)</f>
        <v>0</v>
      </c>
      <c r="AD1715" s="8"/>
      <c r="AE1715" s="9"/>
      <c r="AF1715" s="10"/>
      <c r="AG1715" s="7">
        <f t="shared" ref="AG1715" si="872">SUM(AD1715:AF1715)</f>
        <v>0</v>
      </c>
    </row>
    <row r="1716" spans="1:34" ht="14.25" thickBot="1">
      <c r="A1716" s="3"/>
      <c r="B1716" s="8"/>
      <c r="C1716" s="9"/>
      <c r="D1716" s="10"/>
      <c r="E1716" s="7">
        <f t="shared" si="840"/>
        <v>0</v>
      </c>
      <c r="F1716" s="8"/>
      <c r="G1716" s="9"/>
      <c r="H1716" s="10"/>
      <c r="I1716" s="7">
        <f t="shared" si="841"/>
        <v>0</v>
      </c>
      <c r="K1716" s="3" t="s">
        <v>937</v>
      </c>
      <c r="L1716" s="8"/>
      <c r="M1716" s="9"/>
      <c r="N1716" s="10"/>
      <c r="O1716" s="7">
        <f t="shared" ref="O1716" si="873">SUM(L1716:N1716)</f>
        <v>0</v>
      </c>
      <c r="P1716" s="8"/>
      <c r="Q1716" s="9"/>
      <c r="R1716" s="10"/>
      <c r="S1716" s="7">
        <f t="shared" ref="S1716" si="874">SUM(P1716:R1716)</f>
        <v>0</v>
      </c>
      <c r="T1716" s="71" t="s">
        <v>938</v>
      </c>
      <c r="U1716" s="3" t="s">
        <v>918</v>
      </c>
      <c r="V1716" s="8"/>
      <c r="W1716" s="9"/>
      <c r="X1716" s="10"/>
      <c r="Y1716" s="7">
        <f t="shared" ref="Y1716" si="875">SUM(V1716:X1716)</f>
        <v>0</v>
      </c>
      <c r="Z1716" s="8"/>
      <c r="AA1716" s="9"/>
      <c r="AB1716" s="10"/>
      <c r="AC1716" s="7">
        <f t="shared" ref="AC1716" si="876">SUM(Z1716:AB1716)</f>
        <v>0</v>
      </c>
      <c r="AD1716" s="8"/>
      <c r="AE1716" s="9"/>
      <c r="AF1716" s="10"/>
      <c r="AG1716" s="7">
        <f t="shared" ref="AG1716" si="877">SUM(AD1716:AF1716)</f>
        <v>0</v>
      </c>
      <c r="AH1716" s="43" t="s">
        <v>919</v>
      </c>
    </row>
    <row r="1717" spans="1:34" ht="14.25" thickBot="1">
      <c r="A1717" s="2" t="s">
        <v>5</v>
      </c>
      <c r="B1717" s="14">
        <f>SUM(B1693:B1716)</f>
        <v>6</v>
      </c>
      <c r="C1717" s="14">
        <f>SUM(C1693:C1716)</f>
        <v>3</v>
      </c>
      <c r="D1717" s="14">
        <f>SUM(D1693:D1716)</f>
        <v>2</v>
      </c>
      <c r="E1717" s="15">
        <f t="shared" si="840"/>
        <v>11</v>
      </c>
      <c r="F1717" s="14">
        <f>SUM(F1693:F1716)</f>
        <v>6</v>
      </c>
      <c r="G1717" s="14">
        <f>SUM(G1693:G1716)</f>
        <v>3</v>
      </c>
      <c r="H1717" s="14">
        <f>SUM(H1693:H1716)</f>
        <v>2</v>
      </c>
      <c r="I1717" s="15">
        <f t="shared" si="841"/>
        <v>11</v>
      </c>
      <c r="K1717" s="2" t="s">
        <v>5</v>
      </c>
      <c r="L1717" s="14">
        <f>SUM(L1693:L1716)</f>
        <v>227</v>
      </c>
      <c r="M1717" s="14">
        <f>SUM(M1693:M1716)</f>
        <v>318</v>
      </c>
      <c r="N1717" s="14">
        <f>SUM(N1693:N1716)</f>
        <v>194</v>
      </c>
      <c r="O1717" s="15">
        <f t="shared" si="846"/>
        <v>739</v>
      </c>
      <c r="P1717" s="14">
        <f>SUM(P1693:P1716)</f>
        <v>227</v>
      </c>
      <c r="Q1717" s="14">
        <f>SUM(Q1693:Q1716)</f>
        <v>318</v>
      </c>
      <c r="R1717" s="14">
        <f>SUM(R1693:R1716)</f>
        <v>194</v>
      </c>
      <c r="S1717" s="15">
        <f t="shared" si="847"/>
        <v>739</v>
      </c>
      <c r="U1717" s="2" t="s">
        <v>5</v>
      </c>
      <c r="V1717" s="14">
        <f>SUM(V1693:V1716)</f>
        <v>0</v>
      </c>
      <c r="W1717" s="14">
        <f>SUM(W1693:W1716)</f>
        <v>0</v>
      </c>
      <c r="X1717" s="14">
        <f>SUM(X1693:X1716)</f>
        <v>0</v>
      </c>
      <c r="Y1717" s="15">
        <f t="shared" si="843"/>
        <v>0</v>
      </c>
      <c r="Z1717" s="14">
        <f>SUM(Z1693:Z1716)</f>
        <v>0</v>
      </c>
      <c r="AA1717" s="14">
        <f>SUM(AA1693:AA1716)</f>
        <v>0</v>
      </c>
      <c r="AB1717" s="14">
        <f>SUM(AB1693:AB1716)</f>
        <v>0</v>
      </c>
      <c r="AC1717" s="15">
        <f t="shared" si="844"/>
        <v>0</v>
      </c>
      <c r="AD1717" s="14">
        <f>SUM(AD1693:AD1716)</f>
        <v>0</v>
      </c>
      <c r="AE1717" s="14">
        <f>SUM(AE1693:AE1716)</f>
        <v>0</v>
      </c>
      <c r="AF1717" s="14">
        <f>SUM(AF1693:AF1716)</f>
        <v>0</v>
      </c>
      <c r="AG1717" s="15">
        <f t="shared" si="845"/>
        <v>0</v>
      </c>
    </row>
    <row r="1718" spans="1:34" ht="14.25" thickBot="1">
      <c r="A1718" s="27" t="s">
        <v>6</v>
      </c>
      <c r="B1718" s="28">
        <f>B1692-B1717</f>
        <v>9</v>
      </c>
      <c r="C1718" s="28">
        <f t="shared" ref="C1718:E1718" si="878">C1692-C1717</f>
        <v>9</v>
      </c>
      <c r="D1718" s="28">
        <f t="shared" si="878"/>
        <v>8</v>
      </c>
      <c r="E1718" s="28">
        <f t="shared" si="878"/>
        <v>26</v>
      </c>
      <c r="F1718" s="28">
        <f>F1692-F1717</f>
        <v>9</v>
      </c>
      <c r="G1718" s="28">
        <f t="shared" ref="G1718:I1718" si="879">G1692-G1717</f>
        <v>9</v>
      </c>
      <c r="H1718" s="28">
        <f t="shared" si="879"/>
        <v>8</v>
      </c>
      <c r="I1718" s="26">
        <f t="shared" si="879"/>
        <v>26</v>
      </c>
      <c r="K1718" s="27" t="s">
        <v>6</v>
      </c>
      <c r="L1718" s="28">
        <f>L1692-L1717</f>
        <v>186</v>
      </c>
      <c r="M1718" s="28">
        <f t="shared" ref="M1718:O1718" si="880">M1692-M1717</f>
        <v>215</v>
      </c>
      <c r="N1718" s="28">
        <f t="shared" si="880"/>
        <v>109</v>
      </c>
      <c r="O1718" s="28">
        <f t="shared" si="880"/>
        <v>510</v>
      </c>
      <c r="P1718" s="28">
        <f>P1692-P1717</f>
        <v>186</v>
      </c>
      <c r="Q1718" s="28">
        <f t="shared" ref="Q1718:S1718" si="881">Q1692-Q1717</f>
        <v>215</v>
      </c>
      <c r="R1718" s="28">
        <f t="shared" si="881"/>
        <v>109</v>
      </c>
      <c r="S1718" s="26">
        <f t="shared" si="881"/>
        <v>510</v>
      </c>
      <c r="U1718" s="27" t="s">
        <v>6</v>
      </c>
      <c r="V1718" s="28">
        <f>V1692-V1717</f>
        <v>11</v>
      </c>
      <c r="W1718" s="28">
        <f t="shared" ref="W1718:Y1718" si="882">W1692-W1717</f>
        <v>10</v>
      </c>
      <c r="X1718" s="28">
        <f t="shared" si="882"/>
        <v>6</v>
      </c>
      <c r="Y1718" s="28">
        <f t="shared" si="882"/>
        <v>27</v>
      </c>
      <c r="Z1718" s="28">
        <f>Z1692-Z1717</f>
        <v>11</v>
      </c>
      <c r="AA1718" s="28">
        <f t="shared" ref="AA1718:AC1718" si="883">AA1692-AA1717</f>
        <v>10</v>
      </c>
      <c r="AB1718" s="28">
        <f t="shared" si="883"/>
        <v>6</v>
      </c>
      <c r="AC1718" s="26">
        <f t="shared" si="883"/>
        <v>27</v>
      </c>
      <c r="AD1718" s="28">
        <f>AD1692-AD1717</f>
        <v>11</v>
      </c>
      <c r="AE1718" s="28">
        <f t="shared" ref="AE1718:AG1718" si="884">AE1692-AE1717</f>
        <v>10</v>
      </c>
      <c r="AF1718" s="28">
        <f t="shared" si="884"/>
        <v>6</v>
      </c>
      <c r="AG1718" s="26">
        <f t="shared" si="884"/>
        <v>27</v>
      </c>
    </row>
    <row r="1719" spans="1:34">
      <c r="K1719" s="140" t="s">
        <v>986</v>
      </c>
      <c r="L1719">
        <f>L1760+L1717+L1674+L1631+L1588+L1545+L1502</f>
        <v>576</v>
      </c>
      <c r="M1719">
        <f t="shared" ref="M1719:O1719" si="885">M1760+M1717+M1674+M1631+M1588+M1545+M1502</f>
        <v>860</v>
      </c>
      <c r="N1719">
        <f t="shared" si="885"/>
        <v>543</v>
      </c>
      <c r="O1719">
        <f t="shared" si="885"/>
        <v>1979</v>
      </c>
    </row>
    <row r="1720" spans="1:34">
      <c r="L1720" s="67">
        <f>L1719/$O$1719*100</f>
        <v>29.105608893380499</v>
      </c>
      <c r="M1720" s="67">
        <f t="shared" ref="M1720:O1720" si="886">M1719/$O$1719*100</f>
        <v>43.456291056088936</v>
      </c>
      <c r="N1720" s="67">
        <f t="shared" si="886"/>
        <v>27.438100050530572</v>
      </c>
      <c r="O1720" s="67">
        <f t="shared" si="886"/>
        <v>100</v>
      </c>
    </row>
    <row r="1721" spans="1:34" ht="26.25" thickBot="1">
      <c r="A1721" s="33" t="s">
        <v>831</v>
      </c>
      <c r="B1721" s="34"/>
      <c r="C1721" s="34"/>
      <c r="D1721" s="34"/>
      <c r="E1721" s="34"/>
      <c r="F1721" s="35"/>
      <c r="G1721" s="35"/>
      <c r="H1721" s="35"/>
      <c r="I1721" s="35"/>
      <c r="K1721" s="33" t="s">
        <v>830</v>
      </c>
      <c r="L1721" s="34"/>
      <c r="M1721" s="34"/>
      <c r="N1721" s="34"/>
      <c r="O1721" s="34"/>
      <c r="P1721" s="35"/>
      <c r="Q1721" s="35"/>
      <c r="R1721" s="35"/>
      <c r="S1721" s="35"/>
      <c r="U1721" s="113" t="s">
        <v>622</v>
      </c>
      <c r="V1721" s="114"/>
      <c r="W1721" s="114"/>
      <c r="X1721" s="114"/>
      <c r="Y1721" s="114"/>
      <c r="Z1721" s="115"/>
      <c r="AA1721" s="115"/>
      <c r="AB1721" s="115"/>
      <c r="AC1721" s="115"/>
      <c r="AD1721" s="116"/>
      <c r="AE1721" s="116"/>
    </row>
    <row r="1722" spans="1:34" ht="14.25" thickBot="1">
      <c r="A1722" s="1" t="s">
        <v>0</v>
      </c>
      <c r="B1722" s="182" t="s">
        <v>17</v>
      </c>
      <c r="C1722" s="182"/>
      <c r="D1722" s="182"/>
      <c r="E1722" s="183"/>
      <c r="F1722" s="182" t="s">
        <v>13</v>
      </c>
      <c r="G1722" s="182"/>
      <c r="H1722" s="182"/>
      <c r="I1722" s="183"/>
      <c r="K1722" s="1" t="s">
        <v>0</v>
      </c>
      <c r="L1722" s="132" t="s">
        <v>17</v>
      </c>
      <c r="M1722" s="132"/>
      <c r="N1722" s="132"/>
      <c r="O1722" s="133"/>
      <c r="P1722" s="132" t="s">
        <v>13</v>
      </c>
      <c r="Q1722" s="132"/>
      <c r="R1722" s="132"/>
      <c r="S1722" s="133"/>
      <c r="U1722" s="1" t="s">
        <v>0</v>
      </c>
      <c r="V1722" s="182" t="s">
        <v>17</v>
      </c>
      <c r="W1722" s="182"/>
      <c r="X1722" s="182"/>
      <c r="Y1722" s="183"/>
      <c r="Z1722" s="182" t="s">
        <v>13</v>
      </c>
      <c r="AA1722" s="182"/>
      <c r="AB1722" s="182"/>
      <c r="AC1722" s="183"/>
      <c r="AD1722" s="182" t="s">
        <v>242</v>
      </c>
      <c r="AE1722" s="182"/>
      <c r="AF1722" s="182"/>
      <c r="AG1722" s="183"/>
    </row>
    <row r="1723" spans="1:34" ht="14.25" thickBot="1">
      <c r="A1723" s="1" t="s">
        <v>1</v>
      </c>
      <c r="B1723" s="2" t="s">
        <v>8</v>
      </c>
      <c r="C1723" s="1" t="s">
        <v>9</v>
      </c>
      <c r="D1723" s="19" t="s">
        <v>10</v>
      </c>
      <c r="E1723" s="1" t="s">
        <v>2</v>
      </c>
      <c r="F1723" s="2" t="s">
        <v>8</v>
      </c>
      <c r="G1723" s="1" t="s">
        <v>9</v>
      </c>
      <c r="H1723" s="19" t="s">
        <v>10</v>
      </c>
      <c r="I1723" s="1" t="s">
        <v>2</v>
      </c>
      <c r="K1723" s="1" t="s">
        <v>1</v>
      </c>
      <c r="L1723" s="2" t="s">
        <v>8</v>
      </c>
      <c r="M1723" s="1" t="s">
        <v>9</v>
      </c>
      <c r="N1723" s="19" t="s">
        <v>10</v>
      </c>
      <c r="O1723" s="1" t="s">
        <v>2</v>
      </c>
      <c r="P1723" s="2" t="s">
        <v>8</v>
      </c>
      <c r="Q1723" s="1" t="s">
        <v>9</v>
      </c>
      <c r="R1723" s="19" t="s">
        <v>10</v>
      </c>
      <c r="S1723" s="1" t="s">
        <v>2</v>
      </c>
      <c r="U1723" s="1" t="s">
        <v>1</v>
      </c>
      <c r="V1723" s="2" t="s">
        <v>8</v>
      </c>
      <c r="W1723" s="1" t="s">
        <v>9</v>
      </c>
      <c r="X1723" s="19" t="s">
        <v>10</v>
      </c>
      <c r="Y1723" s="1" t="s">
        <v>2</v>
      </c>
      <c r="Z1723" s="2" t="s">
        <v>8</v>
      </c>
      <c r="AA1723" s="1" t="s">
        <v>9</v>
      </c>
      <c r="AB1723" s="19" t="s">
        <v>10</v>
      </c>
      <c r="AC1723" s="1" t="s">
        <v>2</v>
      </c>
      <c r="AD1723" s="2" t="s">
        <v>8</v>
      </c>
      <c r="AE1723" s="1" t="s">
        <v>9</v>
      </c>
      <c r="AF1723" s="19" t="s">
        <v>10</v>
      </c>
      <c r="AG1723" s="1" t="s">
        <v>2</v>
      </c>
    </row>
    <row r="1724" spans="1:34">
      <c r="A1724" s="21" t="s">
        <v>7</v>
      </c>
      <c r="B1724" s="18">
        <f>B1718</f>
        <v>9</v>
      </c>
      <c r="C1724" s="22">
        <f>C1718</f>
        <v>9</v>
      </c>
      <c r="D1724" s="22">
        <f>D1718</f>
        <v>8</v>
      </c>
      <c r="E1724" s="17">
        <f t="shared" ref="E1724:E1760" si="887">SUM(B1724:D1724)</f>
        <v>26</v>
      </c>
      <c r="F1724" s="22">
        <f>F1718</f>
        <v>9</v>
      </c>
      <c r="G1724" s="22">
        <f>G1718</f>
        <v>9</v>
      </c>
      <c r="H1724" s="22">
        <f>H1718</f>
        <v>8</v>
      </c>
      <c r="I1724" s="17">
        <f t="shared" ref="I1724:I1760" si="888">SUM(F1724:H1724)</f>
        <v>26</v>
      </c>
      <c r="K1724" s="21" t="s">
        <v>7</v>
      </c>
      <c r="L1724" s="18">
        <f>L1718</f>
        <v>186</v>
      </c>
      <c r="M1724" s="22">
        <f t="shared" ref="M1724:S1724" si="889">M1718</f>
        <v>215</v>
      </c>
      <c r="N1724" s="22">
        <f t="shared" si="889"/>
        <v>109</v>
      </c>
      <c r="O1724" s="17">
        <f t="shared" si="889"/>
        <v>510</v>
      </c>
      <c r="P1724" s="22">
        <f t="shared" si="889"/>
        <v>186</v>
      </c>
      <c r="Q1724" s="22">
        <f t="shared" si="889"/>
        <v>215</v>
      </c>
      <c r="R1724" s="22">
        <f t="shared" si="889"/>
        <v>109</v>
      </c>
      <c r="S1724" s="17">
        <f t="shared" si="889"/>
        <v>510</v>
      </c>
      <c r="U1724" s="21" t="s">
        <v>7</v>
      </c>
      <c r="V1724" s="18">
        <f>V1718</f>
        <v>11</v>
      </c>
      <c r="W1724" s="22">
        <f>W1718</f>
        <v>10</v>
      </c>
      <c r="X1724" s="22">
        <f>X1718</f>
        <v>6</v>
      </c>
      <c r="Y1724" s="17">
        <f t="shared" ref="Y1724:Y1760" si="890">SUM(V1724:X1724)</f>
        <v>27</v>
      </c>
      <c r="Z1724" s="22">
        <f>Z1718</f>
        <v>11</v>
      </c>
      <c r="AA1724" s="22">
        <f>AA1718</f>
        <v>10</v>
      </c>
      <c r="AB1724" s="22">
        <f>AB1718</f>
        <v>6</v>
      </c>
      <c r="AC1724" s="17">
        <f t="shared" ref="AC1724:AC1760" si="891">SUM(Z1724:AB1724)</f>
        <v>27</v>
      </c>
      <c r="AD1724" s="22">
        <f>AD1718</f>
        <v>11</v>
      </c>
      <c r="AE1724" s="22">
        <f>AE1718</f>
        <v>10</v>
      </c>
      <c r="AF1724" s="22">
        <f>AF1718</f>
        <v>6</v>
      </c>
      <c r="AG1724" s="17">
        <f t="shared" ref="AG1724:AG1760" si="892">SUM(AD1724:AF1724)</f>
        <v>27</v>
      </c>
    </row>
    <row r="1725" spans="1:34">
      <c r="A1725" s="5" t="s">
        <v>37</v>
      </c>
      <c r="B1725" s="16">
        <v>3</v>
      </c>
      <c r="C1725" s="11">
        <v>2</v>
      </c>
      <c r="D1725" s="16">
        <v>1</v>
      </c>
      <c r="E1725" s="4">
        <f t="shared" ref="E1725:E1727" si="893">SUM(B1725:D1725)</f>
        <v>6</v>
      </c>
      <c r="F1725" s="16">
        <v>3</v>
      </c>
      <c r="G1725" s="11">
        <v>2</v>
      </c>
      <c r="H1725" s="16">
        <v>1</v>
      </c>
      <c r="I1725" s="4">
        <f t="shared" ref="I1725:I1727" si="894">SUM(F1725:H1725)</f>
        <v>6</v>
      </c>
      <c r="J1725" s="43">
        <v>45533</v>
      </c>
      <c r="K1725" s="5" t="s">
        <v>3</v>
      </c>
      <c r="L1725" s="16"/>
      <c r="M1725" s="11"/>
      <c r="N1725" s="16"/>
      <c r="O1725" s="4">
        <f t="shared" ref="O1725:O1759" si="895">SUM(L1725:N1725)</f>
        <v>0</v>
      </c>
      <c r="P1725" s="16"/>
      <c r="Q1725" s="11"/>
      <c r="R1725" s="16"/>
      <c r="S1725" s="4">
        <f t="shared" ref="S1725:S1759" si="896">SUM(P1725:R1725)</f>
        <v>0</v>
      </c>
      <c r="U1725" s="5" t="s">
        <v>3</v>
      </c>
      <c r="V1725" s="16"/>
      <c r="W1725" s="11"/>
      <c r="X1725" s="16"/>
      <c r="Y1725" s="4">
        <f t="shared" si="890"/>
        <v>0</v>
      </c>
      <c r="Z1725" s="16"/>
      <c r="AA1725" s="11"/>
      <c r="AB1725" s="16"/>
      <c r="AC1725" s="4">
        <f t="shared" si="891"/>
        <v>0</v>
      </c>
      <c r="AD1725" s="16"/>
      <c r="AE1725" s="11"/>
      <c r="AF1725" s="16"/>
      <c r="AG1725" s="4">
        <f t="shared" si="892"/>
        <v>0</v>
      </c>
    </row>
    <row r="1726" spans="1:34">
      <c r="A1726" s="5" t="s">
        <v>3</v>
      </c>
      <c r="B1726" s="16"/>
      <c r="C1726" s="11"/>
      <c r="D1726" s="16">
        <v>3</v>
      </c>
      <c r="E1726" s="4">
        <f t="shared" si="893"/>
        <v>3</v>
      </c>
      <c r="F1726" s="16"/>
      <c r="G1726" s="11"/>
      <c r="H1726" s="16">
        <v>3</v>
      </c>
      <c r="I1726" s="4">
        <f t="shared" si="894"/>
        <v>3</v>
      </c>
      <c r="J1726" s="43">
        <v>45546</v>
      </c>
      <c r="K1726" s="5" t="s">
        <v>3</v>
      </c>
      <c r="L1726" s="32"/>
      <c r="M1726" s="31"/>
      <c r="N1726" s="32"/>
      <c r="O1726" s="4">
        <f t="shared" si="895"/>
        <v>0</v>
      </c>
      <c r="P1726" s="32"/>
      <c r="Q1726" s="31"/>
      <c r="R1726" s="32"/>
      <c r="S1726" s="4">
        <f t="shared" si="896"/>
        <v>0</v>
      </c>
      <c r="U1726" s="5" t="s">
        <v>3</v>
      </c>
      <c r="V1726" s="32"/>
      <c r="W1726" s="31"/>
      <c r="X1726" s="32"/>
      <c r="Y1726" s="4">
        <f t="shared" si="890"/>
        <v>0</v>
      </c>
      <c r="Z1726" s="32"/>
      <c r="AA1726" s="31"/>
      <c r="AB1726" s="32"/>
      <c r="AC1726" s="4">
        <f t="shared" si="891"/>
        <v>0</v>
      </c>
      <c r="AD1726" s="32"/>
      <c r="AE1726" s="31"/>
      <c r="AF1726" s="32"/>
      <c r="AG1726" s="4">
        <f t="shared" si="892"/>
        <v>0</v>
      </c>
    </row>
    <row r="1727" spans="1:34">
      <c r="A1727" s="5" t="s">
        <v>37</v>
      </c>
      <c r="B1727" s="16"/>
      <c r="C1727" s="11"/>
      <c r="D1727" s="16">
        <v>2</v>
      </c>
      <c r="E1727" s="4">
        <f t="shared" si="893"/>
        <v>2</v>
      </c>
      <c r="F1727" s="16"/>
      <c r="G1727" s="11"/>
      <c r="H1727" s="16">
        <v>2</v>
      </c>
      <c r="I1727" s="4">
        <f t="shared" si="894"/>
        <v>2</v>
      </c>
      <c r="J1727" s="43">
        <v>45547</v>
      </c>
      <c r="K1727" s="5" t="s">
        <v>3</v>
      </c>
      <c r="L1727" s="32"/>
      <c r="M1727" s="31"/>
      <c r="N1727" s="32"/>
      <c r="O1727" s="4">
        <f t="shared" si="895"/>
        <v>0</v>
      </c>
      <c r="P1727" s="32"/>
      <c r="Q1727" s="31"/>
      <c r="R1727" s="32"/>
      <c r="S1727" s="4">
        <f t="shared" si="896"/>
        <v>0</v>
      </c>
      <c r="U1727" s="5" t="s">
        <v>3</v>
      </c>
      <c r="V1727" s="30">
        <v>15</v>
      </c>
      <c r="W1727" s="31">
        <v>20</v>
      </c>
      <c r="X1727" s="32">
        <v>15</v>
      </c>
      <c r="Y1727" s="4">
        <f t="shared" ref="Y1727" si="897">SUM(V1727:X1727)</f>
        <v>50</v>
      </c>
      <c r="Z1727" s="30">
        <v>15</v>
      </c>
      <c r="AA1727" s="31">
        <v>20</v>
      </c>
      <c r="AB1727" s="32">
        <v>15</v>
      </c>
      <c r="AC1727" s="4">
        <f t="shared" ref="AC1727" si="898">SUM(Z1727:AB1727)</f>
        <v>50</v>
      </c>
      <c r="AD1727" s="30">
        <v>15</v>
      </c>
      <c r="AE1727" s="31">
        <v>20</v>
      </c>
      <c r="AF1727" s="32">
        <v>15</v>
      </c>
      <c r="AG1727" s="4">
        <f t="shared" ref="AG1727" si="899">SUM(AD1727:AF1727)</f>
        <v>50</v>
      </c>
      <c r="AH1727" s="43">
        <v>45524</v>
      </c>
    </row>
    <row r="1728" spans="1:34">
      <c r="A1728" s="5" t="s">
        <v>3</v>
      </c>
      <c r="B1728" s="16">
        <v>3</v>
      </c>
      <c r="C1728" s="11">
        <v>3</v>
      </c>
      <c r="D1728" s="16"/>
      <c r="E1728" s="4">
        <f t="shared" si="887"/>
        <v>6</v>
      </c>
      <c r="F1728" s="16">
        <v>3</v>
      </c>
      <c r="G1728" s="11">
        <v>3</v>
      </c>
      <c r="H1728" s="16"/>
      <c r="I1728" s="4">
        <f t="shared" si="888"/>
        <v>6</v>
      </c>
      <c r="J1728" s="43">
        <v>45576</v>
      </c>
      <c r="K1728" s="5" t="s">
        <v>3</v>
      </c>
      <c r="L1728" s="32"/>
      <c r="M1728" s="31"/>
      <c r="N1728" s="32"/>
      <c r="O1728" s="4">
        <f t="shared" si="895"/>
        <v>0</v>
      </c>
      <c r="P1728" s="32"/>
      <c r="Q1728" s="31"/>
      <c r="R1728" s="32"/>
      <c r="S1728" s="4">
        <f t="shared" si="896"/>
        <v>0</v>
      </c>
      <c r="U1728" s="5" t="s">
        <v>3</v>
      </c>
      <c r="V1728" s="32"/>
      <c r="W1728" s="31"/>
      <c r="X1728" s="32"/>
      <c r="Y1728" s="4">
        <f t="shared" ref="Y1728" si="900">SUM(V1728:X1728)</f>
        <v>0</v>
      </c>
      <c r="Z1728" s="32"/>
      <c r="AA1728" s="31"/>
      <c r="AB1728" s="32"/>
      <c r="AC1728" s="4">
        <f t="shared" ref="AC1728" si="901">SUM(Z1728:AB1728)</f>
        <v>0</v>
      </c>
      <c r="AD1728" s="32"/>
      <c r="AE1728" s="31"/>
      <c r="AF1728" s="32"/>
      <c r="AG1728" s="4">
        <f t="shared" ref="AG1728" si="902">SUM(AD1728:AF1728)</f>
        <v>0</v>
      </c>
      <c r="AH1728" s="48" t="s">
        <v>975</v>
      </c>
    </row>
    <row r="1729" spans="1:34">
      <c r="A1729" s="5" t="s">
        <v>3</v>
      </c>
      <c r="B1729" s="16"/>
      <c r="C1729" s="11"/>
      <c r="D1729" s="16">
        <v>3</v>
      </c>
      <c r="E1729" s="4">
        <f t="shared" si="887"/>
        <v>3</v>
      </c>
      <c r="F1729" s="16"/>
      <c r="G1729" s="11"/>
      <c r="H1729" s="16">
        <v>3</v>
      </c>
      <c r="I1729" s="4">
        <f t="shared" si="888"/>
        <v>3</v>
      </c>
      <c r="J1729" s="43">
        <v>45588</v>
      </c>
      <c r="K1729" s="5" t="s">
        <v>3</v>
      </c>
      <c r="L1729" s="32"/>
      <c r="M1729" s="31"/>
      <c r="N1729" s="32"/>
      <c r="O1729" s="4">
        <f t="shared" si="895"/>
        <v>0</v>
      </c>
      <c r="P1729" s="32"/>
      <c r="Q1729" s="31"/>
      <c r="R1729" s="32"/>
      <c r="S1729" s="4">
        <f t="shared" si="896"/>
        <v>0</v>
      </c>
      <c r="U1729" s="5" t="s">
        <v>78</v>
      </c>
      <c r="V1729" s="30"/>
      <c r="W1729" s="31">
        <v>1</v>
      </c>
      <c r="X1729" s="32"/>
      <c r="Y1729" s="4">
        <f t="shared" si="890"/>
        <v>1</v>
      </c>
      <c r="Z1729" s="30"/>
      <c r="AA1729" s="31">
        <v>1</v>
      </c>
      <c r="AB1729" s="32"/>
      <c r="AC1729" s="4">
        <f t="shared" si="891"/>
        <v>1</v>
      </c>
      <c r="AD1729" s="30"/>
      <c r="AE1729" s="31">
        <v>1</v>
      </c>
      <c r="AF1729" s="32"/>
      <c r="AG1729" s="4">
        <f t="shared" si="892"/>
        <v>1</v>
      </c>
      <c r="AH1729" s="49">
        <v>45584</v>
      </c>
    </row>
    <row r="1730" spans="1:34">
      <c r="A1730" s="5" t="s">
        <v>37</v>
      </c>
      <c r="B1730" s="16">
        <v>1</v>
      </c>
      <c r="C1730" s="11"/>
      <c r="D1730" s="16"/>
      <c r="E1730" s="4">
        <f t="shared" si="887"/>
        <v>1</v>
      </c>
      <c r="F1730" s="16">
        <v>1</v>
      </c>
      <c r="G1730" s="11"/>
      <c r="H1730" s="16"/>
      <c r="I1730" s="4">
        <f t="shared" si="888"/>
        <v>1</v>
      </c>
      <c r="J1730" s="43">
        <v>45590</v>
      </c>
      <c r="K1730" s="5" t="s">
        <v>3</v>
      </c>
      <c r="L1730" s="32"/>
      <c r="M1730" s="31"/>
      <c r="N1730" s="32"/>
      <c r="O1730" s="4">
        <f t="shared" si="895"/>
        <v>0</v>
      </c>
      <c r="P1730" s="32"/>
      <c r="Q1730" s="31"/>
      <c r="R1730" s="32"/>
      <c r="S1730" s="4">
        <f t="shared" si="896"/>
        <v>0</v>
      </c>
      <c r="U1730" s="5" t="s">
        <v>78</v>
      </c>
      <c r="V1730" s="30">
        <v>2</v>
      </c>
      <c r="W1730" s="31">
        <v>2</v>
      </c>
      <c r="X1730" s="32">
        <v>3</v>
      </c>
      <c r="Y1730" s="4">
        <f t="shared" ref="Y1730:Y1732" si="903">SUM(V1730:X1730)</f>
        <v>7</v>
      </c>
      <c r="Z1730" s="30">
        <v>2</v>
      </c>
      <c r="AA1730" s="31">
        <v>2</v>
      </c>
      <c r="AB1730" s="32">
        <v>3</v>
      </c>
      <c r="AC1730" s="4">
        <f t="shared" ref="AC1730:AC1732" si="904">SUM(Z1730:AB1730)</f>
        <v>7</v>
      </c>
      <c r="AD1730" s="30">
        <v>2</v>
      </c>
      <c r="AE1730" s="31">
        <v>2</v>
      </c>
      <c r="AF1730" s="32">
        <v>3</v>
      </c>
      <c r="AG1730" s="4">
        <f t="shared" ref="AG1730:AG1732" si="905">SUM(AD1730:AF1730)</f>
        <v>7</v>
      </c>
      <c r="AH1730" s="49">
        <v>45677</v>
      </c>
    </row>
    <row r="1731" spans="1:34">
      <c r="A1731" s="5" t="s">
        <v>3</v>
      </c>
      <c r="B1731" s="32"/>
      <c r="C1731" s="31">
        <v>5</v>
      </c>
      <c r="D1731" s="32"/>
      <c r="E1731" s="4">
        <f t="shared" si="887"/>
        <v>5</v>
      </c>
      <c r="F1731" s="32"/>
      <c r="G1731" s="31">
        <v>5</v>
      </c>
      <c r="H1731" s="32"/>
      <c r="I1731" s="4">
        <f t="shared" si="888"/>
        <v>5</v>
      </c>
      <c r="J1731" s="43">
        <v>45598</v>
      </c>
      <c r="K1731" s="5" t="s">
        <v>3</v>
      </c>
      <c r="L1731" s="32"/>
      <c r="M1731" s="31"/>
      <c r="N1731" s="32"/>
      <c r="O1731" s="4">
        <f t="shared" si="895"/>
        <v>0</v>
      </c>
      <c r="P1731" s="32"/>
      <c r="Q1731" s="31"/>
      <c r="R1731" s="32"/>
      <c r="S1731" s="4">
        <f t="shared" si="896"/>
        <v>0</v>
      </c>
      <c r="U1731" s="5" t="s">
        <v>3</v>
      </c>
      <c r="V1731" s="30"/>
      <c r="W1731" s="31"/>
      <c r="X1731" s="32"/>
      <c r="Y1731" s="4">
        <f t="shared" si="903"/>
        <v>0</v>
      </c>
      <c r="Z1731" s="30"/>
      <c r="AA1731" s="31"/>
      <c r="AB1731" s="32"/>
      <c r="AC1731" s="4">
        <f t="shared" si="904"/>
        <v>0</v>
      </c>
      <c r="AD1731" s="30"/>
      <c r="AE1731" s="31"/>
      <c r="AF1731" s="32"/>
      <c r="AG1731" s="4">
        <f t="shared" si="905"/>
        <v>0</v>
      </c>
    </row>
    <row r="1732" spans="1:34">
      <c r="A1732" s="5" t="s">
        <v>1014</v>
      </c>
      <c r="B1732" s="32">
        <v>1</v>
      </c>
      <c r="C1732" s="31"/>
      <c r="D1732" s="32"/>
      <c r="E1732" s="4">
        <f t="shared" si="887"/>
        <v>1</v>
      </c>
      <c r="F1732" s="32">
        <v>1</v>
      </c>
      <c r="G1732" s="31"/>
      <c r="H1732" s="32"/>
      <c r="I1732" s="4">
        <f t="shared" si="888"/>
        <v>1</v>
      </c>
      <c r="J1732" s="49">
        <v>45631</v>
      </c>
      <c r="K1732" s="5" t="s">
        <v>3</v>
      </c>
      <c r="L1732" s="32"/>
      <c r="M1732" s="31"/>
      <c r="N1732" s="32"/>
      <c r="O1732" s="4">
        <f t="shared" si="895"/>
        <v>0</v>
      </c>
      <c r="P1732" s="32"/>
      <c r="Q1732" s="31"/>
      <c r="R1732" s="32"/>
      <c r="S1732" s="4">
        <f t="shared" si="896"/>
        <v>0</v>
      </c>
      <c r="U1732" s="5" t="s">
        <v>3</v>
      </c>
      <c r="V1732" s="30"/>
      <c r="W1732" s="31"/>
      <c r="X1732" s="32"/>
      <c r="Y1732" s="4">
        <f t="shared" si="903"/>
        <v>0</v>
      </c>
      <c r="Z1732" s="30"/>
      <c r="AA1732" s="31"/>
      <c r="AB1732" s="32"/>
      <c r="AC1732" s="4">
        <f t="shared" si="904"/>
        <v>0</v>
      </c>
      <c r="AD1732" s="30"/>
      <c r="AE1732" s="31"/>
      <c r="AF1732" s="32"/>
      <c r="AG1732" s="4">
        <f t="shared" si="905"/>
        <v>0</v>
      </c>
    </row>
    <row r="1733" spans="1:34">
      <c r="A1733" s="5" t="s">
        <v>1009</v>
      </c>
      <c r="B1733" s="16"/>
      <c r="C1733" s="11"/>
      <c r="D1733" s="16">
        <v>2</v>
      </c>
      <c r="E1733" s="4">
        <f t="shared" ref="E1733" si="906">SUM(B1733:D1733)</f>
        <v>2</v>
      </c>
      <c r="F1733" s="16"/>
      <c r="G1733" s="11"/>
      <c r="H1733" s="16">
        <v>2</v>
      </c>
      <c r="I1733" s="4">
        <f t="shared" si="888"/>
        <v>2</v>
      </c>
      <c r="J1733" s="43">
        <v>45645</v>
      </c>
      <c r="K1733" s="5" t="s">
        <v>3</v>
      </c>
      <c r="L1733" s="32"/>
      <c r="M1733" s="31"/>
      <c r="N1733" s="32"/>
      <c r="O1733" s="4">
        <f t="shared" si="895"/>
        <v>0</v>
      </c>
      <c r="P1733" s="32"/>
      <c r="Q1733" s="31"/>
      <c r="R1733" s="32"/>
      <c r="S1733" s="4">
        <f t="shared" si="896"/>
        <v>0</v>
      </c>
      <c r="U1733" s="5" t="s">
        <v>3</v>
      </c>
      <c r="V1733" s="30"/>
      <c r="W1733" s="31"/>
      <c r="X1733" s="32"/>
      <c r="Y1733" s="4">
        <f t="shared" si="890"/>
        <v>0</v>
      </c>
      <c r="Z1733" s="30"/>
      <c r="AA1733" s="31"/>
      <c r="AB1733" s="32"/>
      <c r="AC1733" s="4">
        <f t="shared" si="891"/>
        <v>0</v>
      </c>
      <c r="AD1733" s="30"/>
      <c r="AE1733" s="31"/>
      <c r="AF1733" s="32"/>
      <c r="AG1733" s="4">
        <f t="shared" si="892"/>
        <v>0</v>
      </c>
    </row>
    <row r="1734" spans="1:34" ht="14.25" thickBot="1">
      <c r="A1734" s="84" t="s">
        <v>1016</v>
      </c>
      <c r="B1734" s="8">
        <v>1</v>
      </c>
      <c r="C1734" s="9"/>
      <c r="D1734" s="10"/>
      <c r="E1734" s="7">
        <f t="shared" ref="E1734" si="907">SUM(B1734:D1734)</f>
        <v>1</v>
      </c>
      <c r="F1734" s="8">
        <v>1</v>
      </c>
      <c r="G1734" s="9"/>
      <c r="H1734" s="10"/>
      <c r="I1734" s="7">
        <f t="shared" ref="I1734" si="908">SUM(F1734:H1734)</f>
        <v>1</v>
      </c>
      <c r="J1734" s="49">
        <v>45647</v>
      </c>
      <c r="K1734" s="5" t="s">
        <v>3</v>
      </c>
      <c r="L1734" s="36"/>
      <c r="M1734" s="37"/>
      <c r="N1734" s="36"/>
      <c r="O1734" s="20">
        <f t="shared" si="895"/>
        <v>0</v>
      </c>
      <c r="P1734" s="13"/>
      <c r="Q1734" s="12"/>
      <c r="R1734" s="13"/>
      <c r="S1734" s="20">
        <f t="shared" si="896"/>
        <v>0</v>
      </c>
      <c r="U1734" s="6" t="s">
        <v>3</v>
      </c>
      <c r="V1734" s="13"/>
      <c r="W1734" s="12"/>
      <c r="X1734" s="13"/>
      <c r="Y1734" s="20">
        <f t="shared" si="890"/>
        <v>0</v>
      </c>
      <c r="Z1734" s="13"/>
      <c r="AA1734" s="12"/>
      <c r="AB1734" s="13"/>
      <c r="AC1734" s="20">
        <f t="shared" si="891"/>
        <v>0</v>
      </c>
      <c r="AD1734" s="13"/>
      <c r="AE1734" s="12"/>
      <c r="AF1734" s="13"/>
      <c r="AG1734" s="20">
        <f t="shared" si="892"/>
        <v>0</v>
      </c>
    </row>
    <row r="1735" spans="1:34" ht="14.25" thickBot="1">
      <c r="A1735" s="23" t="s">
        <v>4</v>
      </c>
      <c r="B1735" s="24">
        <f>SUM(B1724:B1734)</f>
        <v>18</v>
      </c>
      <c r="C1735" s="24">
        <f>SUM(C1724:C1734)</f>
        <v>19</v>
      </c>
      <c r="D1735" s="25">
        <f>SUM(D1724:D1734)</f>
        <v>19</v>
      </c>
      <c r="E1735" s="26">
        <f t="shared" si="887"/>
        <v>56</v>
      </c>
      <c r="F1735" s="24">
        <f>SUM(F1724:F1734)</f>
        <v>18</v>
      </c>
      <c r="G1735" s="24">
        <f>SUM(G1724:G1734)</f>
        <v>19</v>
      </c>
      <c r="H1735" s="25">
        <f>SUM(H1724:H1734)</f>
        <v>19</v>
      </c>
      <c r="I1735" s="26">
        <f t="shared" si="888"/>
        <v>56</v>
      </c>
      <c r="K1735" s="23" t="s">
        <v>4</v>
      </c>
      <c r="L1735" s="24">
        <f>SUM(L1724:L1734)</f>
        <v>186</v>
      </c>
      <c r="M1735" s="24">
        <f t="shared" ref="M1735" si="909">SUM(M1724:M1734)</f>
        <v>215</v>
      </c>
      <c r="N1735" s="25">
        <f t="shared" ref="N1735" si="910">SUM(N1724:N1734)</f>
        <v>109</v>
      </c>
      <c r="O1735" s="26">
        <f t="shared" ref="O1735" si="911">SUM(O1724:O1734)</f>
        <v>510</v>
      </c>
      <c r="P1735" s="24">
        <f t="shared" ref="P1735" si="912">SUM(P1724:P1734)</f>
        <v>186</v>
      </c>
      <c r="Q1735" s="24">
        <f t="shared" ref="Q1735" si="913">SUM(Q1724:Q1734)</f>
        <v>215</v>
      </c>
      <c r="R1735" s="25">
        <f t="shared" ref="R1735" si="914">SUM(R1724:R1734)</f>
        <v>109</v>
      </c>
      <c r="S1735" s="26">
        <f t="shared" ref="S1735" si="915">SUM(S1724:S1734)</f>
        <v>510</v>
      </c>
      <c r="U1735" s="23" t="s">
        <v>4</v>
      </c>
      <c r="V1735" s="24">
        <f>SUM(V1724:V1734)</f>
        <v>28</v>
      </c>
      <c r="W1735" s="24">
        <f>SUM(W1724:W1734)</f>
        <v>33</v>
      </c>
      <c r="X1735" s="25">
        <f>SUM(X1724:X1734)</f>
        <v>24</v>
      </c>
      <c r="Y1735" s="26">
        <f t="shared" si="890"/>
        <v>85</v>
      </c>
      <c r="Z1735" s="24">
        <f>SUM(Z1724:Z1734)</f>
        <v>28</v>
      </c>
      <c r="AA1735" s="24">
        <f>SUM(AA1724:AA1734)</f>
        <v>33</v>
      </c>
      <c r="AB1735" s="25">
        <f>SUM(AB1724:AB1734)</f>
        <v>24</v>
      </c>
      <c r="AC1735" s="26">
        <f t="shared" si="891"/>
        <v>85</v>
      </c>
      <c r="AD1735" s="24">
        <f>SUM(AD1724:AD1734)</f>
        <v>28</v>
      </c>
      <c r="AE1735" s="24">
        <f>SUM(AE1724:AE1734)</f>
        <v>33</v>
      </c>
      <c r="AF1735" s="25">
        <f>SUM(AF1724:AF1734)</f>
        <v>24</v>
      </c>
      <c r="AG1735" s="26">
        <f t="shared" si="892"/>
        <v>85</v>
      </c>
    </row>
    <row r="1736" spans="1:34">
      <c r="A1736" s="3" t="s">
        <v>977</v>
      </c>
      <c r="B1736" s="8"/>
      <c r="C1736" s="9"/>
      <c r="D1736" s="10">
        <v>2</v>
      </c>
      <c r="E1736" s="7">
        <f t="shared" ref="E1736:E1740" si="916">SUM(B1736:D1736)</f>
        <v>2</v>
      </c>
      <c r="F1736" s="8"/>
      <c r="G1736" s="9"/>
      <c r="H1736" s="10">
        <v>2</v>
      </c>
      <c r="I1736" s="7">
        <f t="shared" ref="I1736:I1740" si="917">SUM(F1736:H1736)</f>
        <v>2</v>
      </c>
      <c r="J1736" s="43">
        <v>45534</v>
      </c>
      <c r="K1736" s="3" t="s">
        <v>582</v>
      </c>
      <c r="L1736" s="8">
        <v>7</v>
      </c>
      <c r="M1736" s="9">
        <v>11</v>
      </c>
      <c r="N1736" s="10">
        <v>9</v>
      </c>
      <c r="O1736" s="7">
        <f t="shared" ref="O1736:O1750" si="918">SUM(L1736:N1736)</f>
        <v>27</v>
      </c>
      <c r="P1736" s="8">
        <v>7</v>
      </c>
      <c r="Q1736" s="9">
        <v>11</v>
      </c>
      <c r="R1736" s="10">
        <v>9</v>
      </c>
      <c r="S1736" s="7">
        <f t="shared" ref="S1736:S1750" si="919">SUM(P1736:R1736)</f>
        <v>27</v>
      </c>
      <c r="T1736" s="43">
        <v>45525</v>
      </c>
      <c r="U1736" s="3" t="s">
        <v>982</v>
      </c>
      <c r="V1736" s="32"/>
      <c r="W1736" s="31">
        <v>5</v>
      </c>
      <c r="X1736" s="32">
        <v>5</v>
      </c>
      <c r="Y1736" s="4">
        <f t="shared" si="890"/>
        <v>10</v>
      </c>
      <c r="Z1736" s="32"/>
      <c r="AA1736" s="31">
        <v>5</v>
      </c>
      <c r="AB1736" s="32">
        <v>5</v>
      </c>
      <c r="AC1736" s="4">
        <f t="shared" si="891"/>
        <v>10</v>
      </c>
      <c r="AD1736" s="8"/>
      <c r="AE1736" s="9">
        <v>5</v>
      </c>
      <c r="AF1736" s="10">
        <v>5</v>
      </c>
      <c r="AG1736" s="7">
        <f t="shared" si="892"/>
        <v>10</v>
      </c>
      <c r="AH1736" s="43">
        <v>45548</v>
      </c>
    </row>
    <row r="1737" spans="1:34">
      <c r="A1737" s="3" t="s">
        <v>979</v>
      </c>
      <c r="B1737" s="8"/>
      <c r="C1737" s="9"/>
      <c r="D1737" s="10">
        <v>2</v>
      </c>
      <c r="E1737" s="7">
        <f t="shared" si="916"/>
        <v>2</v>
      </c>
      <c r="F1737" s="8"/>
      <c r="G1737" s="9"/>
      <c r="H1737" s="10">
        <v>2</v>
      </c>
      <c r="I1737" s="7">
        <f t="shared" si="917"/>
        <v>2</v>
      </c>
      <c r="J1737" s="43">
        <v>45539</v>
      </c>
      <c r="K1737" s="3" t="s">
        <v>372</v>
      </c>
      <c r="L1737" s="8">
        <v>3</v>
      </c>
      <c r="M1737" s="9">
        <v>3</v>
      </c>
      <c r="N1737" s="10">
        <v>4</v>
      </c>
      <c r="O1737" s="7">
        <f t="shared" si="918"/>
        <v>10</v>
      </c>
      <c r="P1737" s="8">
        <v>3</v>
      </c>
      <c r="Q1737" s="9">
        <v>3</v>
      </c>
      <c r="R1737" s="10">
        <v>4</v>
      </c>
      <c r="S1737" s="7">
        <f t="shared" si="919"/>
        <v>10</v>
      </c>
      <c r="T1737" s="43">
        <v>45526</v>
      </c>
      <c r="U1737" s="3" t="s">
        <v>989</v>
      </c>
      <c r="V1737" s="8">
        <v>1</v>
      </c>
      <c r="W1737" s="9"/>
      <c r="X1737" s="10">
        <v>-1</v>
      </c>
      <c r="Y1737" s="4">
        <f t="shared" si="890"/>
        <v>0</v>
      </c>
      <c r="Z1737" s="8">
        <v>1</v>
      </c>
      <c r="AA1737" s="9"/>
      <c r="AB1737" s="10">
        <v>-1</v>
      </c>
      <c r="AC1737" s="4">
        <f t="shared" si="891"/>
        <v>0</v>
      </c>
      <c r="AD1737" s="8">
        <v>1</v>
      </c>
      <c r="AE1737" s="9"/>
      <c r="AF1737" s="10">
        <v>-1</v>
      </c>
      <c r="AG1737" s="4">
        <f t="shared" si="892"/>
        <v>0</v>
      </c>
      <c r="AH1737" s="43">
        <v>45569</v>
      </c>
    </row>
    <row r="1738" spans="1:34">
      <c r="A1738" s="3" t="s">
        <v>382</v>
      </c>
      <c r="B1738" s="8">
        <v>3</v>
      </c>
      <c r="C1738" s="9">
        <v>1</v>
      </c>
      <c r="D1738" s="10">
        <v>2</v>
      </c>
      <c r="E1738" s="7">
        <f t="shared" si="916"/>
        <v>6</v>
      </c>
      <c r="F1738" s="8">
        <v>3</v>
      </c>
      <c r="G1738" s="9">
        <v>1</v>
      </c>
      <c r="H1738" s="10">
        <v>2</v>
      </c>
      <c r="I1738" s="7">
        <f t="shared" si="917"/>
        <v>6</v>
      </c>
      <c r="J1738" s="43">
        <v>45539</v>
      </c>
      <c r="K1738" s="3" t="s">
        <v>373</v>
      </c>
      <c r="L1738" s="8"/>
      <c r="M1738" s="9">
        <v>8</v>
      </c>
      <c r="N1738" s="10"/>
      <c r="O1738" s="7">
        <f t="shared" si="918"/>
        <v>8</v>
      </c>
      <c r="P1738" s="8"/>
      <c r="Q1738" s="9">
        <v>8</v>
      </c>
      <c r="R1738" s="10"/>
      <c r="S1738" s="7">
        <f t="shared" si="919"/>
        <v>8</v>
      </c>
      <c r="T1738" s="43">
        <v>45527</v>
      </c>
      <c r="U1738" s="3" t="s">
        <v>997</v>
      </c>
      <c r="V1738" s="8">
        <v>4</v>
      </c>
      <c r="W1738" s="9">
        <v>4</v>
      </c>
      <c r="X1738" s="10">
        <v>3</v>
      </c>
      <c r="Y1738" s="7">
        <f t="shared" si="890"/>
        <v>11</v>
      </c>
      <c r="Z1738" s="8">
        <v>4</v>
      </c>
      <c r="AA1738" s="9">
        <v>4</v>
      </c>
      <c r="AB1738" s="10">
        <v>3</v>
      </c>
      <c r="AC1738" s="7">
        <f t="shared" si="891"/>
        <v>11</v>
      </c>
      <c r="AD1738" s="8">
        <v>4</v>
      </c>
      <c r="AE1738" s="9">
        <v>4</v>
      </c>
      <c r="AF1738" s="10">
        <v>3</v>
      </c>
      <c r="AG1738" s="7">
        <f t="shared" si="892"/>
        <v>11</v>
      </c>
      <c r="AH1738" s="43">
        <v>45586</v>
      </c>
    </row>
    <row r="1739" spans="1:34">
      <c r="A1739" s="3" t="s">
        <v>383</v>
      </c>
      <c r="B1739" s="8"/>
      <c r="C1739" s="9">
        <v>1</v>
      </c>
      <c r="D1739" s="10">
        <v>1</v>
      </c>
      <c r="E1739" s="7">
        <f t="shared" si="916"/>
        <v>2</v>
      </c>
      <c r="F1739" s="8"/>
      <c r="G1739" s="9">
        <v>1</v>
      </c>
      <c r="H1739" s="10">
        <v>1</v>
      </c>
      <c r="I1739" s="7">
        <f t="shared" si="917"/>
        <v>2</v>
      </c>
      <c r="J1739" s="43">
        <v>45540</v>
      </c>
      <c r="K1739" s="3" t="s">
        <v>585</v>
      </c>
      <c r="L1739" s="8"/>
      <c r="M1739" s="9">
        <v>4</v>
      </c>
      <c r="N1739" s="10"/>
      <c r="O1739" s="7">
        <f t="shared" si="918"/>
        <v>4</v>
      </c>
      <c r="P1739" s="8"/>
      <c r="Q1739" s="9">
        <v>4</v>
      </c>
      <c r="R1739" s="10"/>
      <c r="S1739" s="7">
        <f t="shared" si="919"/>
        <v>4</v>
      </c>
      <c r="T1739" s="43">
        <v>45527</v>
      </c>
      <c r="U1739" s="40"/>
      <c r="V1739" s="8"/>
      <c r="W1739" s="9"/>
      <c r="X1739" s="10"/>
      <c r="Y1739" s="4">
        <f t="shared" si="890"/>
        <v>0</v>
      </c>
      <c r="Z1739" s="8"/>
      <c r="AA1739" s="9"/>
      <c r="AB1739" s="10"/>
      <c r="AC1739" s="4">
        <f t="shared" si="891"/>
        <v>0</v>
      </c>
      <c r="AD1739" s="8"/>
      <c r="AE1739" s="9"/>
      <c r="AF1739" s="10"/>
      <c r="AG1739" s="4">
        <f t="shared" si="892"/>
        <v>0</v>
      </c>
    </row>
    <row r="1740" spans="1:34">
      <c r="A1740" s="3" t="s">
        <v>981</v>
      </c>
      <c r="B1740" s="8"/>
      <c r="C1740" s="9"/>
      <c r="D1740" s="10">
        <v>1</v>
      </c>
      <c r="E1740" s="7">
        <f t="shared" si="916"/>
        <v>1</v>
      </c>
      <c r="F1740" s="8"/>
      <c r="G1740" s="9"/>
      <c r="H1740" s="10">
        <v>1</v>
      </c>
      <c r="I1740" s="7">
        <f t="shared" si="917"/>
        <v>1</v>
      </c>
      <c r="J1740" s="43">
        <v>45544</v>
      </c>
      <c r="K1740" s="3" t="s">
        <v>976</v>
      </c>
      <c r="L1740" s="8"/>
      <c r="M1740" s="9">
        <v>2</v>
      </c>
      <c r="N1740" s="10">
        <v>2</v>
      </c>
      <c r="O1740" s="7">
        <f t="shared" si="918"/>
        <v>4</v>
      </c>
      <c r="P1740" s="8"/>
      <c r="Q1740" s="9">
        <v>2</v>
      </c>
      <c r="R1740" s="10">
        <v>2</v>
      </c>
      <c r="S1740" s="7">
        <f t="shared" si="919"/>
        <v>4</v>
      </c>
      <c r="T1740" s="43">
        <v>45530</v>
      </c>
      <c r="U1740" s="3"/>
      <c r="V1740" s="8"/>
      <c r="W1740" s="9"/>
      <c r="X1740" s="10"/>
      <c r="Y1740" s="4">
        <f t="shared" si="890"/>
        <v>0</v>
      </c>
      <c r="Z1740" s="8"/>
      <c r="AA1740" s="9"/>
      <c r="AB1740" s="10"/>
      <c r="AC1740" s="4">
        <f t="shared" si="891"/>
        <v>0</v>
      </c>
      <c r="AD1740" s="8"/>
      <c r="AE1740" s="9"/>
      <c r="AF1740" s="10"/>
      <c r="AG1740" s="4">
        <f t="shared" si="892"/>
        <v>0</v>
      </c>
    </row>
    <row r="1741" spans="1:34">
      <c r="A1741" s="3" t="s">
        <v>391</v>
      </c>
      <c r="B1741" s="8">
        <v>1</v>
      </c>
      <c r="C1741" s="9"/>
      <c r="D1741" s="10"/>
      <c r="E1741" s="7">
        <f t="shared" si="887"/>
        <v>1</v>
      </c>
      <c r="F1741" s="8">
        <v>1</v>
      </c>
      <c r="G1741" s="9"/>
      <c r="H1741" s="10"/>
      <c r="I1741" s="7">
        <f t="shared" si="888"/>
        <v>1</v>
      </c>
      <c r="J1741" s="43">
        <v>45548</v>
      </c>
      <c r="K1741" s="3" t="s">
        <v>378</v>
      </c>
      <c r="L1741" s="8">
        <v>2</v>
      </c>
      <c r="M1741" s="9"/>
      <c r="N1741" s="10"/>
      <c r="O1741" s="7">
        <f t="shared" si="918"/>
        <v>2</v>
      </c>
      <c r="P1741" s="8">
        <v>2</v>
      </c>
      <c r="Q1741" s="9"/>
      <c r="R1741" s="10"/>
      <c r="S1741" s="7">
        <f t="shared" si="919"/>
        <v>2</v>
      </c>
      <c r="T1741" s="43">
        <v>45532</v>
      </c>
      <c r="U1741" s="3"/>
      <c r="V1741" s="8"/>
      <c r="W1741" s="9"/>
      <c r="X1741" s="10"/>
      <c r="Y1741" s="7">
        <f t="shared" si="890"/>
        <v>0</v>
      </c>
      <c r="Z1741" s="8"/>
      <c r="AA1741" s="9"/>
      <c r="AB1741" s="10"/>
      <c r="AC1741" s="7">
        <f t="shared" si="891"/>
        <v>0</v>
      </c>
      <c r="AD1741" s="8"/>
      <c r="AE1741" s="9"/>
      <c r="AF1741" s="10"/>
      <c r="AG1741" s="7">
        <f t="shared" si="892"/>
        <v>0</v>
      </c>
    </row>
    <row r="1742" spans="1:34">
      <c r="A1742" s="3" t="s">
        <v>984</v>
      </c>
      <c r="B1742" s="8">
        <v>1</v>
      </c>
      <c r="C1742" s="9">
        <v>3</v>
      </c>
      <c r="D1742" s="10">
        <v>1</v>
      </c>
      <c r="E1742" s="7">
        <f t="shared" si="887"/>
        <v>5</v>
      </c>
      <c r="F1742" s="8">
        <v>1</v>
      </c>
      <c r="G1742" s="9">
        <v>3</v>
      </c>
      <c r="H1742" s="10">
        <v>1</v>
      </c>
      <c r="I1742" s="7">
        <f t="shared" si="888"/>
        <v>5</v>
      </c>
      <c r="J1742" s="43">
        <v>45562</v>
      </c>
      <c r="K1742" s="3" t="s">
        <v>978</v>
      </c>
      <c r="L1742" s="8">
        <v>1</v>
      </c>
      <c r="M1742" s="9">
        <v>3</v>
      </c>
      <c r="N1742" s="10"/>
      <c r="O1742" s="7">
        <f t="shared" si="918"/>
        <v>4</v>
      </c>
      <c r="P1742" s="8">
        <v>1</v>
      </c>
      <c r="Q1742" s="9">
        <v>3</v>
      </c>
      <c r="R1742" s="10"/>
      <c r="S1742" s="7">
        <f t="shared" si="919"/>
        <v>4</v>
      </c>
      <c r="T1742" s="43">
        <v>45537</v>
      </c>
      <c r="U1742" s="3"/>
      <c r="V1742" s="8"/>
      <c r="W1742" s="9"/>
      <c r="X1742" s="10"/>
      <c r="Y1742" s="7">
        <f t="shared" si="890"/>
        <v>0</v>
      </c>
      <c r="Z1742" s="8"/>
      <c r="AA1742" s="9"/>
      <c r="AB1742" s="10"/>
      <c r="AC1742" s="7">
        <f t="shared" si="891"/>
        <v>0</v>
      </c>
      <c r="AD1742" s="8"/>
      <c r="AE1742" s="9"/>
      <c r="AF1742" s="10"/>
      <c r="AG1742" s="7">
        <f t="shared" si="892"/>
        <v>0</v>
      </c>
    </row>
    <row r="1743" spans="1:34">
      <c r="A1743" s="3" t="s">
        <v>987</v>
      </c>
      <c r="B1743" s="8">
        <v>3</v>
      </c>
      <c r="C1743" s="9">
        <v>3</v>
      </c>
      <c r="D1743" s="10">
        <v>1</v>
      </c>
      <c r="E1743" s="7">
        <f t="shared" ref="E1743" si="920">SUM(B1743:D1743)</f>
        <v>7</v>
      </c>
      <c r="F1743" s="8">
        <v>3</v>
      </c>
      <c r="G1743" s="9">
        <v>3</v>
      </c>
      <c r="H1743" s="10">
        <v>1</v>
      </c>
      <c r="I1743" s="7">
        <f t="shared" si="888"/>
        <v>7</v>
      </c>
      <c r="J1743" s="43">
        <v>45568</v>
      </c>
      <c r="K1743" s="3" t="s">
        <v>980</v>
      </c>
      <c r="L1743" s="8"/>
      <c r="M1743" s="9"/>
      <c r="N1743" s="10">
        <v>1</v>
      </c>
      <c r="O1743" s="7">
        <f t="shared" si="918"/>
        <v>1</v>
      </c>
      <c r="P1743" s="8"/>
      <c r="Q1743" s="9"/>
      <c r="R1743" s="10">
        <v>1</v>
      </c>
      <c r="S1743" s="7">
        <f t="shared" si="919"/>
        <v>1</v>
      </c>
      <c r="T1743" s="43">
        <v>45540</v>
      </c>
      <c r="U1743" s="3"/>
      <c r="V1743" s="8"/>
      <c r="W1743" s="9"/>
      <c r="X1743" s="10"/>
      <c r="Y1743" s="7">
        <f t="shared" si="890"/>
        <v>0</v>
      </c>
      <c r="Z1743" s="8"/>
      <c r="AA1743" s="9"/>
      <c r="AB1743" s="10"/>
      <c r="AC1743" s="7">
        <f t="shared" si="891"/>
        <v>0</v>
      </c>
      <c r="AD1743" s="8"/>
      <c r="AE1743" s="9"/>
      <c r="AF1743" s="10"/>
      <c r="AG1743" s="7">
        <f t="shared" si="892"/>
        <v>0</v>
      </c>
    </row>
    <row r="1744" spans="1:34">
      <c r="A1744" s="3" t="s">
        <v>602</v>
      </c>
      <c r="B1744" s="8">
        <v>1</v>
      </c>
      <c r="C1744" s="9"/>
      <c r="D1744" s="10">
        <v>1</v>
      </c>
      <c r="E1744" s="7">
        <f t="shared" ref="E1744" si="921">SUM(B1744:D1744)</f>
        <v>2</v>
      </c>
      <c r="F1744" s="8">
        <v>1</v>
      </c>
      <c r="G1744" s="9"/>
      <c r="H1744" s="10">
        <v>1</v>
      </c>
      <c r="I1744" s="7">
        <f t="shared" ref="I1744" si="922">SUM(F1744:H1744)</f>
        <v>2</v>
      </c>
      <c r="J1744" s="43">
        <v>45574</v>
      </c>
      <c r="K1744" s="3" t="s">
        <v>386</v>
      </c>
      <c r="L1744" s="8"/>
      <c r="M1744" s="9">
        <v>1</v>
      </c>
      <c r="N1744" s="10"/>
      <c r="O1744" s="7">
        <f t="shared" si="918"/>
        <v>1</v>
      </c>
      <c r="P1744" s="8"/>
      <c r="Q1744" s="9">
        <v>1</v>
      </c>
      <c r="R1744" s="10"/>
      <c r="S1744" s="7">
        <f t="shared" si="919"/>
        <v>1</v>
      </c>
      <c r="T1744" s="43">
        <v>45544</v>
      </c>
      <c r="U1744" s="3"/>
      <c r="V1744" s="8"/>
      <c r="W1744" s="9"/>
      <c r="X1744" s="10"/>
      <c r="Y1744" s="7">
        <f t="shared" si="890"/>
        <v>0</v>
      </c>
      <c r="Z1744" s="8"/>
      <c r="AA1744" s="9"/>
      <c r="AB1744" s="10"/>
      <c r="AC1744" s="7">
        <f t="shared" si="891"/>
        <v>0</v>
      </c>
      <c r="AD1744" s="8"/>
      <c r="AE1744" s="9"/>
      <c r="AF1744" s="10"/>
      <c r="AG1744" s="7">
        <f t="shared" si="892"/>
        <v>0</v>
      </c>
    </row>
    <row r="1745" spans="1:34">
      <c r="A1745" s="3" t="s">
        <v>605</v>
      </c>
      <c r="B1745" s="8"/>
      <c r="C1745" s="9">
        <v>1</v>
      </c>
      <c r="D1745" s="10"/>
      <c r="E1745" s="7">
        <f t="shared" ref="E1745:E1746" si="923">SUM(B1745:D1745)</f>
        <v>1</v>
      </c>
      <c r="F1745" s="8"/>
      <c r="G1745" s="9">
        <v>1</v>
      </c>
      <c r="H1745" s="10"/>
      <c r="I1745" s="7">
        <f t="shared" si="888"/>
        <v>1</v>
      </c>
      <c r="J1745" s="43">
        <v>45576</v>
      </c>
      <c r="K1745" s="3" t="s">
        <v>389</v>
      </c>
      <c r="L1745" s="8"/>
      <c r="M1745" s="9"/>
      <c r="N1745" s="10">
        <v>1</v>
      </c>
      <c r="O1745" s="7">
        <f t="shared" si="918"/>
        <v>1</v>
      </c>
      <c r="P1745" s="8"/>
      <c r="Q1745" s="9"/>
      <c r="R1745" s="10">
        <v>1</v>
      </c>
      <c r="S1745" s="7">
        <f t="shared" si="919"/>
        <v>1</v>
      </c>
      <c r="T1745" s="43">
        <v>45547</v>
      </c>
      <c r="U1745" s="3"/>
      <c r="V1745" s="8"/>
      <c r="W1745" s="9"/>
      <c r="X1745" s="10"/>
      <c r="Y1745" s="7">
        <f t="shared" si="890"/>
        <v>0</v>
      </c>
      <c r="Z1745" s="8"/>
      <c r="AA1745" s="9"/>
      <c r="AB1745" s="10"/>
      <c r="AC1745" s="7">
        <f t="shared" si="891"/>
        <v>0</v>
      </c>
      <c r="AD1745" s="8"/>
      <c r="AE1745" s="9"/>
      <c r="AF1745" s="10"/>
      <c r="AG1745" s="7">
        <f t="shared" si="892"/>
        <v>0</v>
      </c>
    </row>
    <row r="1746" spans="1:34">
      <c r="A1746" s="3" t="s">
        <v>988</v>
      </c>
      <c r="B1746" s="8">
        <v>2</v>
      </c>
      <c r="C1746" s="9"/>
      <c r="D1746" s="10"/>
      <c r="E1746" s="7">
        <f t="shared" si="923"/>
        <v>2</v>
      </c>
      <c r="F1746" s="8">
        <v>2</v>
      </c>
      <c r="G1746" s="9"/>
      <c r="H1746" s="10"/>
      <c r="I1746" s="7">
        <f t="shared" si="888"/>
        <v>2</v>
      </c>
      <c r="J1746" s="43">
        <v>45567</v>
      </c>
      <c r="K1746" s="3" t="s">
        <v>295</v>
      </c>
      <c r="L1746" s="8"/>
      <c r="M1746" s="9"/>
      <c r="N1746" s="10">
        <v>3</v>
      </c>
      <c r="O1746" s="7">
        <f t="shared" si="918"/>
        <v>3</v>
      </c>
      <c r="P1746" s="8"/>
      <c r="Q1746" s="9"/>
      <c r="R1746" s="10">
        <v>3</v>
      </c>
      <c r="S1746" s="7">
        <f t="shared" si="919"/>
        <v>3</v>
      </c>
      <c r="T1746" s="43">
        <v>45546</v>
      </c>
      <c r="U1746" s="3"/>
      <c r="V1746" s="30"/>
      <c r="W1746" s="9"/>
      <c r="X1746" s="10"/>
      <c r="Y1746" s="7">
        <f t="shared" si="890"/>
        <v>0</v>
      </c>
      <c r="Z1746" s="8"/>
      <c r="AA1746" s="9"/>
      <c r="AB1746" s="10"/>
      <c r="AC1746" s="7">
        <f t="shared" si="891"/>
        <v>0</v>
      </c>
      <c r="AD1746" s="8"/>
      <c r="AE1746" s="9"/>
      <c r="AF1746" s="10"/>
      <c r="AG1746" s="7">
        <f t="shared" si="892"/>
        <v>0</v>
      </c>
    </row>
    <row r="1747" spans="1:34">
      <c r="A1747" s="3" t="s">
        <v>998</v>
      </c>
      <c r="B1747" s="8"/>
      <c r="C1747" s="9">
        <v>1</v>
      </c>
      <c r="D1747" s="10"/>
      <c r="E1747" s="7">
        <f t="shared" si="887"/>
        <v>1</v>
      </c>
      <c r="F1747" s="8"/>
      <c r="G1747" s="9">
        <v>1</v>
      </c>
      <c r="H1747" s="10"/>
      <c r="I1747" s="7">
        <f t="shared" si="888"/>
        <v>1</v>
      </c>
      <c r="J1747" s="43">
        <v>45583</v>
      </c>
      <c r="K1747" s="3" t="s">
        <v>983</v>
      </c>
      <c r="L1747" s="8">
        <v>1</v>
      </c>
      <c r="M1747" s="9">
        <v>2</v>
      </c>
      <c r="N1747" s="10"/>
      <c r="O1747" s="7">
        <f t="shared" si="918"/>
        <v>3</v>
      </c>
      <c r="P1747" s="8">
        <v>1</v>
      </c>
      <c r="Q1747" s="9">
        <v>2</v>
      </c>
      <c r="R1747" s="10"/>
      <c r="S1747" s="7">
        <f t="shared" si="919"/>
        <v>3</v>
      </c>
      <c r="T1747" s="43">
        <v>45548</v>
      </c>
      <c r="U1747" s="3"/>
      <c r="V1747" s="8"/>
      <c r="W1747" s="9"/>
      <c r="X1747" s="10"/>
      <c r="Y1747" s="7">
        <f t="shared" si="890"/>
        <v>0</v>
      </c>
      <c r="Z1747" s="8"/>
      <c r="AA1747" s="9"/>
      <c r="AB1747" s="10"/>
      <c r="AC1747" s="7">
        <f t="shared" si="891"/>
        <v>0</v>
      </c>
      <c r="AD1747" s="8"/>
      <c r="AE1747" s="9"/>
      <c r="AF1747" s="10"/>
      <c r="AG1747" s="7">
        <f t="shared" si="892"/>
        <v>0</v>
      </c>
    </row>
    <row r="1748" spans="1:34">
      <c r="A1748" s="3" t="s">
        <v>400</v>
      </c>
      <c r="B1748" s="8"/>
      <c r="C1748" s="9"/>
      <c r="D1748" s="10">
        <v>1</v>
      </c>
      <c r="E1748" s="7">
        <f t="shared" si="887"/>
        <v>1</v>
      </c>
      <c r="F1748" s="8"/>
      <c r="G1748" s="9"/>
      <c r="H1748" s="10">
        <v>1</v>
      </c>
      <c r="I1748" s="7">
        <f t="shared" si="888"/>
        <v>1</v>
      </c>
      <c r="J1748" s="43">
        <v>45588</v>
      </c>
      <c r="K1748" s="3" t="s">
        <v>600</v>
      </c>
      <c r="L1748" s="8"/>
      <c r="M1748" s="9">
        <v>1</v>
      </c>
      <c r="N1748" s="10"/>
      <c r="O1748" s="7">
        <f t="shared" si="918"/>
        <v>1</v>
      </c>
      <c r="P1748" s="8"/>
      <c r="Q1748" s="9">
        <v>1</v>
      </c>
      <c r="R1748" s="10"/>
      <c r="S1748" s="7">
        <f t="shared" si="919"/>
        <v>1</v>
      </c>
      <c r="T1748" s="43">
        <v>45569</v>
      </c>
      <c r="U1748" s="3"/>
      <c r="V1748" s="8"/>
      <c r="W1748" s="9"/>
      <c r="X1748" s="10"/>
      <c r="Y1748" s="7">
        <f t="shared" si="890"/>
        <v>0</v>
      </c>
      <c r="Z1748" s="8"/>
      <c r="AA1748" s="9"/>
      <c r="AB1748" s="10"/>
      <c r="AC1748" s="7">
        <f t="shared" si="891"/>
        <v>0</v>
      </c>
      <c r="AD1748" s="8"/>
      <c r="AE1748" s="9"/>
      <c r="AF1748" s="10"/>
      <c r="AG1748" s="7">
        <f t="shared" si="892"/>
        <v>0</v>
      </c>
    </row>
    <row r="1749" spans="1:34">
      <c r="A1749" s="3" t="s">
        <v>613</v>
      </c>
      <c r="B1749" s="8"/>
      <c r="C1749" s="9">
        <v>1</v>
      </c>
      <c r="D1749" s="10"/>
      <c r="E1749" s="7">
        <f t="shared" si="887"/>
        <v>1</v>
      </c>
      <c r="F1749" s="8"/>
      <c r="G1749" s="9">
        <v>1</v>
      </c>
      <c r="H1749" s="10"/>
      <c r="I1749" s="7">
        <f t="shared" si="888"/>
        <v>1</v>
      </c>
      <c r="J1749" s="43">
        <v>45590</v>
      </c>
      <c r="K1749" s="3" t="s">
        <v>994</v>
      </c>
      <c r="L1749" s="8">
        <v>3</v>
      </c>
      <c r="M1749" s="9">
        <v>1</v>
      </c>
      <c r="N1749" s="10"/>
      <c r="O1749" s="7">
        <f t="shared" si="918"/>
        <v>4</v>
      </c>
      <c r="P1749" s="8">
        <v>3</v>
      </c>
      <c r="Q1749" s="9">
        <v>1</v>
      </c>
      <c r="R1749" s="10"/>
      <c r="S1749" s="7">
        <f t="shared" si="919"/>
        <v>4</v>
      </c>
      <c r="T1749" s="43">
        <v>45574</v>
      </c>
      <c r="U1749" s="3"/>
      <c r="V1749" s="8"/>
      <c r="W1749" s="9"/>
      <c r="X1749" s="10"/>
      <c r="Y1749" s="7">
        <f t="shared" si="890"/>
        <v>0</v>
      </c>
      <c r="Z1749" s="8"/>
      <c r="AA1749" s="9"/>
      <c r="AB1749" s="10"/>
      <c r="AC1749" s="7">
        <f t="shared" si="891"/>
        <v>0</v>
      </c>
      <c r="AD1749" s="8"/>
      <c r="AE1749" s="9"/>
      <c r="AF1749" s="10"/>
      <c r="AG1749" s="7">
        <f t="shared" si="892"/>
        <v>0</v>
      </c>
    </row>
    <row r="1750" spans="1:34">
      <c r="A1750" s="3" t="s">
        <v>999</v>
      </c>
      <c r="B1750" s="8"/>
      <c r="C1750" s="9">
        <v>1</v>
      </c>
      <c r="D1750" s="10"/>
      <c r="E1750" s="7">
        <f t="shared" si="887"/>
        <v>1</v>
      </c>
      <c r="F1750" s="8"/>
      <c r="G1750" s="9">
        <v>1</v>
      </c>
      <c r="H1750" s="10"/>
      <c r="I1750" s="7">
        <f t="shared" si="888"/>
        <v>1</v>
      </c>
      <c r="J1750" s="43">
        <v>45595</v>
      </c>
      <c r="K1750" s="3" t="s">
        <v>995</v>
      </c>
      <c r="L1750" s="8">
        <v>3</v>
      </c>
      <c r="M1750" s="9">
        <v>3</v>
      </c>
      <c r="N1750" s="10"/>
      <c r="O1750" s="7">
        <f t="shared" si="918"/>
        <v>6</v>
      </c>
      <c r="P1750" s="8">
        <v>3</v>
      </c>
      <c r="Q1750" s="9">
        <v>3</v>
      </c>
      <c r="R1750" s="10"/>
      <c r="S1750" s="7">
        <f t="shared" si="919"/>
        <v>6</v>
      </c>
      <c r="T1750" s="43">
        <v>45576</v>
      </c>
      <c r="U1750" s="3"/>
      <c r="V1750" s="8"/>
      <c r="W1750" s="9"/>
      <c r="X1750" s="10"/>
      <c r="Y1750" s="7">
        <f t="shared" si="890"/>
        <v>0</v>
      </c>
      <c r="Z1750" s="8"/>
      <c r="AA1750" s="9"/>
      <c r="AB1750" s="10"/>
      <c r="AC1750" s="7">
        <f t="shared" si="891"/>
        <v>0</v>
      </c>
      <c r="AD1750" s="8"/>
      <c r="AE1750" s="9"/>
      <c r="AF1750" s="10"/>
      <c r="AG1750" s="7">
        <f t="shared" si="892"/>
        <v>0</v>
      </c>
    </row>
    <row r="1751" spans="1:34">
      <c r="A1751" s="3" t="s">
        <v>1000</v>
      </c>
      <c r="B1751" s="8">
        <v>1</v>
      </c>
      <c r="C1751" s="9"/>
      <c r="D1751" s="10"/>
      <c r="E1751" s="7">
        <f t="shared" si="887"/>
        <v>1</v>
      </c>
      <c r="F1751" s="8">
        <v>1</v>
      </c>
      <c r="G1751" s="9"/>
      <c r="H1751" s="10"/>
      <c r="I1751" s="7">
        <f t="shared" si="888"/>
        <v>1</v>
      </c>
      <c r="J1751" s="43">
        <v>45597</v>
      </c>
      <c r="K1751" s="3" t="s">
        <v>996</v>
      </c>
      <c r="L1751" s="8"/>
      <c r="M1751" s="9"/>
      <c r="N1751" s="10">
        <v>1</v>
      </c>
      <c r="O1751" s="7">
        <f t="shared" ref="O1751" si="924">SUM(L1751:N1751)</f>
        <v>1</v>
      </c>
      <c r="P1751" s="8"/>
      <c r="Q1751" s="9"/>
      <c r="R1751" s="10">
        <v>1</v>
      </c>
      <c r="S1751" s="7">
        <f t="shared" ref="S1751:S1753" si="925">SUM(P1751:R1751)</f>
        <v>1</v>
      </c>
      <c r="T1751" s="43">
        <v>45582</v>
      </c>
      <c r="U1751" s="3"/>
      <c r="V1751" s="8"/>
      <c r="W1751" s="9"/>
      <c r="X1751" s="10"/>
      <c r="Y1751" s="7">
        <f t="shared" si="890"/>
        <v>0</v>
      </c>
      <c r="Z1751" s="8"/>
      <c r="AA1751" s="9"/>
      <c r="AB1751" s="10"/>
      <c r="AC1751" s="7">
        <f t="shared" si="891"/>
        <v>0</v>
      </c>
      <c r="AD1751" s="8"/>
      <c r="AE1751" s="9"/>
      <c r="AF1751" s="10"/>
      <c r="AG1751" s="7">
        <f t="shared" si="892"/>
        <v>0</v>
      </c>
    </row>
    <row r="1752" spans="1:34">
      <c r="A1752" s="3" t="s">
        <v>1001</v>
      </c>
      <c r="B1752" s="8"/>
      <c r="C1752" s="9">
        <v>1</v>
      </c>
      <c r="D1752" s="10"/>
      <c r="E1752" s="7">
        <f t="shared" si="887"/>
        <v>1</v>
      </c>
      <c r="F1752" s="8"/>
      <c r="G1752" s="9">
        <v>1</v>
      </c>
      <c r="H1752" s="10"/>
      <c r="I1752" s="7">
        <f t="shared" ref="I1752" si="926">SUM(F1752:H1752)</f>
        <v>1</v>
      </c>
      <c r="J1752" s="43">
        <v>45597</v>
      </c>
      <c r="K1752" s="3" t="s">
        <v>295</v>
      </c>
      <c r="L1752" s="8"/>
      <c r="M1752" s="9"/>
      <c r="N1752" s="10">
        <v>3</v>
      </c>
      <c r="O1752" s="7">
        <f t="shared" ref="O1752" si="927">SUM(L1752:N1752)</f>
        <v>3</v>
      </c>
      <c r="P1752" s="8"/>
      <c r="Q1752" s="9"/>
      <c r="R1752" s="10">
        <v>3</v>
      </c>
      <c r="S1752" s="7">
        <f t="shared" si="925"/>
        <v>3</v>
      </c>
      <c r="T1752" s="43">
        <v>45588</v>
      </c>
      <c r="U1752" s="3"/>
      <c r="V1752" s="8"/>
      <c r="W1752" s="9"/>
      <c r="X1752" s="10"/>
      <c r="Y1752" s="7">
        <f t="shared" si="890"/>
        <v>0</v>
      </c>
      <c r="Z1752" s="8"/>
      <c r="AA1752" s="9"/>
      <c r="AB1752" s="10"/>
      <c r="AC1752" s="7">
        <f t="shared" si="891"/>
        <v>0</v>
      </c>
      <c r="AD1752" s="8"/>
      <c r="AE1752" s="9"/>
      <c r="AF1752" s="10"/>
      <c r="AG1752" s="7">
        <f t="shared" si="892"/>
        <v>0</v>
      </c>
    </row>
    <row r="1753" spans="1:34">
      <c r="A1753" s="3" t="s">
        <v>1002</v>
      </c>
      <c r="B1753" s="8"/>
      <c r="C1753" s="9">
        <v>2</v>
      </c>
      <c r="D1753" s="10"/>
      <c r="E1753" s="7">
        <f t="shared" si="887"/>
        <v>2</v>
      </c>
      <c r="F1753" s="8"/>
      <c r="G1753" s="9">
        <v>2</v>
      </c>
      <c r="H1753" s="10"/>
      <c r="I1753" s="7">
        <f t="shared" si="888"/>
        <v>2</v>
      </c>
      <c r="J1753" s="43">
        <v>45605</v>
      </c>
      <c r="K1753" s="3" t="s">
        <v>295</v>
      </c>
      <c r="L1753" s="8"/>
      <c r="M1753" s="9">
        <v>5</v>
      </c>
      <c r="N1753" s="10"/>
      <c r="O1753" s="7">
        <f t="shared" ref="O1753" si="928">SUM(L1753:N1753)</f>
        <v>5</v>
      </c>
      <c r="P1753" s="8"/>
      <c r="Q1753" s="9">
        <v>5</v>
      </c>
      <c r="R1753" s="10"/>
      <c r="S1753" s="7">
        <f t="shared" si="925"/>
        <v>5</v>
      </c>
      <c r="T1753" s="43">
        <v>45598</v>
      </c>
      <c r="U1753" s="3"/>
      <c r="V1753" s="8"/>
      <c r="W1753" s="9"/>
      <c r="X1753" s="10"/>
      <c r="Y1753" s="7">
        <f t="shared" si="890"/>
        <v>0</v>
      </c>
      <c r="Z1753" s="8"/>
      <c r="AA1753" s="9"/>
      <c r="AB1753" s="10"/>
      <c r="AC1753" s="7">
        <f t="shared" si="891"/>
        <v>0</v>
      </c>
      <c r="AD1753" s="8"/>
      <c r="AE1753" s="9"/>
      <c r="AF1753" s="10"/>
      <c r="AG1753" s="7">
        <f t="shared" si="892"/>
        <v>0</v>
      </c>
    </row>
    <row r="1754" spans="1:34">
      <c r="A1754" s="11" t="s">
        <v>1003</v>
      </c>
      <c r="B1754" s="8">
        <v>1</v>
      </c>
      <c r="C1754" s="9"/>
      <c r="D1754" s="10"/>
      <c r="E1754" s="7">
        <f t="shared" si="887"/>
        <v>1</v>
      </c>
      <c r="F1754" s="8">
        <v>1</v>
      </c>
      <c r="G1754" s="9"/>
      <c r="H1754" s="10"/>
      <c r="I1754" s="7">
        <f t="shared" si="888"/>
        <v>1</v>
      </c>
      <c r="J1754" s="43">
        <v>45608</v>
      </c>
      <c r="K1754" s="3" t="s">
        <v>1010</v>
      </c>
      <c r="L1754" s="8">
        <v>1</v>
      </c>
      <c r="M1754" s="9"/>
      <c r="N1754" s="10"/>
      <c r="O1754" s="7">
        <f t="shared" si="895"/>
        <v>1</v>
      </c>
      <c r="P1754" s="8">
        <v>1</v>
      </c>
      <c r="Q1754" s="9"/>
      <c r="R1754" s="10"/>
      <c r="S1754" s="7">
        <f t="shared" si="896"/>
        <v>1</v>
      </c>
      <c r="T1754" s="43">
        <v>45628</v>
      </c>
      <c r="U1754" s="3"/>
      <c r="V1754" s="8"/>
      <c r="W1754" s="9"/>
      <c r="X1754" s="10"/>
      <c r="Y1754" s="7">
        <f t="shared" si="890"/>
        <v>0</v>
      </c>
      <c r="Z1754" s="8"/>
      <c r="AA1754" s="9"/>
      <c r="AB1754" s="10"/>
      <c r="AC1754" s="7">
        <f t="shared" si="891"/>
        <v>0</v>
      </c>
      <c r="AD1754" s="8"/>
      <c r="AE1754" s="9"/>
      <c r="AF1754" s="10"/>
      <c r="AG1754" s="7">
        <f t="shared" si="892"/>
        <v>0</v>
      </c>
    </row>
    <row r="1755" spans="1:34">
      <c r="A1755" s="3" t="s">
        <v>530</v>
      </c>
      <c r="B1755" s="8"/>
      <c r="C1755" s="9">
        <v>2</v>
      </c>
      <c r="D1755" s="10"/>
      <c r="E1755" s="7">
        <f t="shared" si="887"/>
        <v>2</v>
      </c>
      <c r="F1755" s="8"/>
      <c r="G1755" s="9">
        <v>2</v>
      </c>
      <c r="H1755" s="10"/>
      <c r="I1755" s="7">
        <f t="shared" si="888"/>
        <v>2</v>
      </c>
      <c r="J1755" s="43">
        <v>45629</v>
      </c>
      <c r="K1755" s="3" t="s">
        <v>1011</v>
      </c>
      <c r="L1755" s="8">
        <v>1</v>
      </c>
      <c r="M1755" s="9"/>
      <c r="N1755" s="10"/>
      <c r="O1755" s="7">
        <f t="shared" ref="O1755:O1756" si="929">SUM(L1755:N1755)</f>
        <v>1</v>
      </c>
      <c r="P1755" s="8">
        <v>1</v>
      </c>
      <c r="Q1755" s="9"/>
      <c r="R1755" s="10"/>
      <c r="S1755" s="7">
        <f t="shared" ref="S1755:S1756" si="930">SUM(P1755:R1755)</f>
        <v>1</v>
      </c>
      <c r="T1755" s="43">
        <v>45631</v>
      </c>
      <c r="U1755" s="3"/>
      <c r="V1755" s="8"/>
      <c r="W1755" s="9"/>
      <c r="X1755" s="10"/>
      <c r="Y1755" s="7">
        <f t="shared" si="890"/>
        <v>0</v>
      </c>
      <c r="Z1755" s="8"/>
      <c r="AA1755" s="9"/>
      <c r="AB1755" s="10"/>
      <c r="AC1755" s="7">
        <f t="shared" si="891"/>
        <v>0</v>
      </c>
      <c r="AD1755" s="8"/>
      <c r="AE1755" s="9"/>
      <c r="AF1755" s="10"/>
      <c r="AG1755" s="7">
        <f t="shared" si="892"/>
        <v>0</v>
      </c>
    </row>
    <row r="1756" spans="1:34">
      <c r="A1756" s="3" t="s">
        <v>409</v>
      </c>
      <c r="B1756" s="8"/>
      <c r="C1756" s="9">
        <v>1</v>
      </c>
      <c r="D1756" s="10"/>
      <c r="E1756" s="7">
        <f t="shared" si="887"/>
        <v>1</v>
      </c>
      <c r="F1756" s="8"/>
      <c r="G1756" s="9">
        <v>1</v>
      </c>
      <c r="H1756" s="10"/>
      <c r="I1756" s="7">
        <f t="shared" si="888"/>
        <v>1</v>
      </c>
      <c r="J1756" s="43">
        <v>45667</v>
      </c>
      <c r="K1756" s="3" t="s">
        <v>295</v>
      </c>
      <c r="L1756" s="8"/>
      <c r="M1756" s="9">
        <v>5</v>
      </c>
      <c r="N1756" s="10"/>
      <c r="O1756" s="7">
        <f t="shared" si="929"/>
        <v>5</v>
      </c>
      <c r="P1756" s="8"/>
      <c r="Q1756" s="9">
        <v>5</v>
      </c>
      <c r="R1756" s="10"/>
      <c r="S1756" s="7">
        <f t="shared" si="930"/>
        <v>5</v>
      </c>
      <c r="T1756" s="43">
        <v>45668</v>
      </c>
      <c r="U1756" s="11"/>
      <c r="V1756" s="8"/>
      <c r="W1756" s="9"/>
      <c r="X1756" s="10"/>
      <c r="Y1756" s="7">
        <f t="shared" si="890"/>
        <v>0</v>
      </c>
      <c r="Z1756" s="8"/>
      <c r="AA1756" s="9"/>
      <c r="AB1756" s="10"/>
      <c r="AC1756" s="7">
        <f t="shared" si="891"/>
        <v>0</v>
      </c>
      <c r="AD1756" s="8"/>
      <c r="AE1756" s="9"/>
      <c r="AF1756" s="10"/>
      <c r="AG1756" s="7">
        <f t="shared" si="892"/>
        <v>0</v>
      </c>
    </row>
    <row r="1757" spans="1:34">
      <c r="A1757" s="11"/>
      <c r="B1757" s="8"/>
      <c r="C1757" s="9"/>
      <c r="D1757" s="10"/>
      <c r="E1757" s="7">
        <f t="shared" si="887"/>
        <v>0</v>
      </c>
      <c r="F1757" s="8"/>
      <c r="G1757" s="9"/>
      <c r="H1757" s="10"/>
      <c r="I1757" s="7">
        <f t="shared" si="888"/>
        <v>0</v>
      </c>
      <c r="J1757" s="71"/>
      <c r="K1757" s="3"/>
      <c r="L1757" s="8"/>
      <c r="M1757" s="9"/>
      <c r="N1757" s="10"/>
      <c r="O1757" s="7">
        <f t="shared" si="895"/>
        <v>0</v>
      </c>
      <c r="P1757" s="8"/>
      <c r="Q1757" s="9"/>
      <c r="R1757" s="10"/>
      <c r="S1757" s="7">
        <f t="shared" si="896"/>
        <v>0</v>
      </c>
      <c r="T1757" s="43"/>
      <c r="U1757" s="3"/>
      <c r="V1757" s="8"/>
      <c r="W1757" s="9"/>
      <c r="X1757" s="10"/>
      <c r="Y1757" s="7">
        <f t="shared" si="890"/>
        <v>0</v>
      </c>
      <c r="Z1757" s="8"/>
      <c r="AA1757" s="9"/>
      <c r="AB1757" s="10"/>
      <c r="AC1757" s="7">
        <f t="shared" si="891"/>
        <v>0</v>
      </c>
      <c r="AD1757" s="8"/>
      <c r="AE1757" s="9"/>
      <c r="AF1757" s="10"/>
      <c r="AG1757" s="7">
        <f t="shared" si="892"/>
        <v>0</v>
      </c>
    </row>
    <row r="1758" spans="1:34">
      <c r="A1758" s="11"/>
      <c r="B1758" s="8"/>
      <c r="C1758" s="9"/>
      <c r="D1758" s="10"/>
      <c r="E1758" s="7">
        <f t="shared" si="887"/>
        <v>0</v>
      </c>
      <c r="F1758" s="8"/>
      <c r="G1758" s="9"/>
      <c r="H1758" s="10"/>
      <c r="I1758" s="7">
        <f t="shared" si="888"/>
        <v>0</v>
      </c>
      <c r="K1758" s="3" t="s">
        <v>945</v>
      </c>
      <c r="L1758" s="8"/>
      <c r="M1758" s="9"/>
      <c r="N1758" s="10"/>
      <c r="O1758" s="7">
        <f t="shared" si="895"/>
        <v>0</v>
      </c>
      <c r="P1758" s="8"/>
      <c r="Q1758" s="9"/>
      <c r="R1758" s="10"/>
      <c r="S1758" s="7">
        <f t="shared" si="896"/>
        <v>0</v>
      </c>
      <c r="T1758" s="71" t="s">
        <v>946</v>
      </c>
      <c r="U1758" s="3"/>
      <c r="V1758" s="8"/>
      <c r="W1758" s="9"/>
      <c r="X1758" s="10"/>
      <c r="Y1758" s="7">
        <f t="shared" ref="Y1758" si="931">SUM(V1758:X1758)</f>
        <v>0</v>
      </c>
      <c r="Z1758" s="8"/>
      <c r="AA1758" s="9"/>
      <c r="AB1758" s="10"/>
      <c r="AC1758" s="7">
        <f t="shared" ref="AC1758" si="932">SUM(Z1758:AB1758)</f>
        <v>0</v>
      </c>
      <c r="AD1758" s="8"/>
      <c r="AE1758" s="9"/>
      <c r="AF1758" s="10"/>
      <c r="AG1758" s="7">
        <f t="shared" ref="AG1758" si="933">SUM(AD1758:AF1758)</f>
        <v>0</v>
      </c>
    </row>
    <row r="1759" spans="1:34" ht="14.25" thickBot="1">
      <c r="A1759" s="3"/>
      <c r="B1759" s="8"/>
      <c r="C1759" s="9"/>
      <c r="D1759" s="10"/>
      <c r="E1759" s="7">
        <f t="shared" si="887"/>
        <v>0</v>
      </c>
      <c r="F1759" s="8"/>
      <c r="G1759" s="9"/>
      <c r="H1759" s="10"/>
      <c r="I1759" s="7">
        <f t="shared" si="888"/>
        <v>0</v>
      </c>
      <c r="K1759" s="3" t="s">
        <v>950</v>
      </c>
      <c r="L1759" s="8"/>
      <c r="M1759" s="9"/>
      <c r="N1759" s="10"/>
      <c r="O1759" s="7">
        <f t="shared" si="895"/>
        <v>0</v>
      </c>
      <c r="P1759" s="8"/>
      <c r="Q1759" s="9"/>
      <c r="R1759" s="10"/>
      <c r="S1759" s="7">
        <f t="shared" si="896"/>
        <v>0</v>
      </c>
      <c r="T1759" s="71" t="s">
        <v>951</v>
      </c>
      <c r="U1759" s="3" t="s">
        <v>968</v>
      </c>
      <c r="V1759" s="8"/>
      <c r="W1759" s="9"/>
      <c r="X1759" s="10"/>
      <c r="Y1759" s="7">
        <f t="shared" si="890"/>
        <v>0</v>
      </c>
      <c r="Z1759" s="8"/>
      <c r="AA1759" s="9"/>
      <c r="AB1759" s="10"/>
      <c r="AC1759" s="7">
        <f t="shared" si="891"/>
        <v>0</v>
      </c>
      <c r="AD1759" s="8"/>
      <c r="AE1759" s="9"/>
      <c r="AF1759" s="10"/>
      <c r="AG1759" s="7">
        <f t="shared" si="892"/>
        <v>0</v>
      </c>
      <c r="AH1759" s="43" t="s">
        <v>970</v>
      </c>
    </row>
    <row r="1760" spans="1:34" ht="14.25" thickBot="1">
      <c r="A1760" s="2" t="s">
        <v>5</v>
      </c>
      <c r="B1760" s="14">
        <f>SUM(B1736:B1759)</f>
        <v>13</v>
      </c>
      <c r="C1760" s="14">
        <f>SUM(C1736:C1759)</f>
        <v>18</v>
      </c>
      <c r="D1760" s="14">
        <f>SUM(D1736:D1759)</f>
        <v>12</v>
      </c>
      <c r="E1760" s="15">
        <f t="shared" si="887"/>
        <v>43</v>
      </c>
      <c r="F1760" s="14">
        <f>SUM(F1736:F1759)</f>
        <v>13</v>
      </c>
      <c r="G1760" s="14">
        <f>SUM(G1736:G1759)</f>
        <v>18</v>
      </c>
      <c r="H1760" s="14">
        <f>SUM(H1736:H1759)</f>
        <v>12</v>
      </c>
      <c r="I1760" s="15">
        <f t="shared" si="888"/>
        <v>43</v>
      </c>
      <c r="K1760" s="2" t="s">
        <v>5</v>
      </c>
      <c r="L1760" s="14">
        <f>SUM(L1736:L1759)</f>
        <v>22</v>
      </c>
      <c r="M1760" s="14">
        <f t="shared" ref="M1760" si="934">SUM(M1736:M1759)</f>
        <v>49</v>
      </c>
      <c r="N1760" s="14">
        <f t="shared" ref="N1760" si="935">SUM(N1736:N1759)</f>
        <v>24</v>
      </c>
      <c r="O1760" s="15">
        <f t="shared" ref="O1760" si="936">SUM(O1736:O1759)</f>
        <v>95</v>
      </c>
      <c r="P1760" s="14">
        <f t="shared" ref="P1760" si="937">SUM(P1736:P1759)</f>
        <v>22</v>
      </c>
      <c r="Q1760" s="14">
        <f t="shared" ref="Q1760" si="938">SUM(Q1736:Q1759)</f>
        <v>49</v>
      </c>
      <c r="R1760" s="14">
        <f t="shared" ref="R1760" si="939">SUM(R1736:R1759)</f>
        <v>24</v>
      </c>
      <c r="S1760" s="15">
        <f t="shared" ref="S1760" si="940">SUM(S1736:S1759)</f>
        <v>95</v>
      </c>
      <c r="U1760" s="2" t="s">
        <v>5</v>
      </c>
      <c r="V1760" s="14">
        <f>SUM(V1736:V1759)</f>
        <v>5</v>
      </c>
      <c r="W1760" s="14">
        <f>SUM(W1736:W1759)</f>
        <v>9</v>
      </c>
      <c r="X1760" s="14">
        <f>SUM(X1736:X1759)</f>
        <v>7</v>
      </c>
      <c r="Y1760" s="15">
        <f t="shared" si="890"/>
        <v>21</v>
      </c>
      <c r="Z1760" s="14">
        <f>SUM(Z1736:Z1759)</f>
        <v>5</v>
      </c>
      <c r="AA1760" s="14">
        <f>SUM(AA1736:AA1759)</f>
        <v>9</v>
      </c>
      <c r="AB1760" s="14">
        <f>SUM(AB1736:AB1759)</f>
        <v>7</v>
      </c>
      <c r="AC1760" s="15">
        <f t="shared" si="891"/>
        <v>21</v>
      </c>
      <c r="AD1760" s="14">
        <f>SUM(AD1736:AD1759)</f>
        <v>5</v>
      </c>
      <c r="AE1760" s="14">
        <f>SUM(AE1736:AE1759)</f>
        <v>9</v>
      </c>
      <c r="AF1760" s="14">
        <f>SUM(AF1736:AF1759)</f>
        <v>7</v>
      </c>
      <c r="AG1760" s="15">
        <f t="shared" si="892"/>
        <v>21</v>
      </c>
    </row>
    <row r="1761" spans="1:33" ht="14.25" thickBot="1">
      <c r="A1761" s="27" t="s">
        <v>6</v>
      </c>
      <c r="B1761" s="28">
        <f>B1735-B1760</f>
        <v>5</v>
      </c>
      <c r="C1761" s="28">
        <f t="shared" ref="C1761:E1761" si="941">C1735-C1760</f>
        <v>1</v>
      </c>
      <c r="D1761" s="28">
        <f t="shared" si="941"/>
        <v>7</v>
      </c>
      <c r="E1761" s="28">
        <f t="shared" si="941"/>
        <v>13</v>
      </c>
      <c r="F1761" s="28">
        <f>F1735-F1760</f>
        <v>5</v>
      </c>
      <c r="G1761" s="28">
        <f t="shared" ref="G1761:I1761" si="942">G1735-G1760</f>
        <v>1</v>
      </c>
      <c r="H1761" s="28">
        <f t="shared" si="942"/>
        <v>7</v>
      </c>
      <c r="I1761" s="26">
        <f t="shared" si="942"/>
        <v>13</v>
      </c>
      <c r="K1761" s="27" t="s">
        <v>6</v>
      </c>
      <c r="L1761" s="28">
        <f>L1735-L1760</f>
        <v>164</v>
      </c>
      <c r="M1761" s="28">
        <f t="shared" ref="M1761" si="943">M1735-M1760</f>
        <v>166</v>
      </c>
      <c r="N1761" s="28">
        <f t="shared" ref="N1761" si="944">N1735-N1760</f>
        <v>85</v>
      </c>
      <c r="O1761" s="28">
        <f t="shared" ref="O1761" si="945">O1735-O1760</f>
        <v>415</v>
      </c>
      <c r="P1761" s="28">
        <f t="shared" ref="P1761" si="946">P1735-P1760</f>
        <v>164</v>
      </c>
      <c r="Q1761" s="28">
        <f t="shared" ref="Q1761" si="947">Q1735-Q1760</f>
        <v>166</v>
      </c>
      <c r="R1761" s="28">
        <f t="shared" ref="R1761" si="948">R1735-R1760</f>
        <v>85</v>
      </c>
      <c r="S1761" s="26">
        <f t="shared" ref="S1761" si="949">S1735-S1760</f>
        <v>415</v>
      </c>
      <c r="U1761" s="27" t="s">
        <v>6</v>
      </c>
      <c r="V1761" s="28">
        <f>V1735-V1760</f>
        <v>23</v>
      </c>
      <c r="W1761" s="28">
        <f t="shared" ref="W1761:Y1761" si="950">W1735-W1760</f>
        <v>24</v>
      </c>
      <c r="X1761" s="28">
        <f t="shared" si="950"/>
        <v>17</v>
      </c>
      <c r="Y1761" s="28">
        <f t="shared" si="950"/>
        <v>64</v>
      </c>
      <c r="Z1761" s="28">
        <f>Z1735-Z1760</f>
        <v>23</v>
      </c>
      <c r="AA1761" s="28">
        <f t="shared" ref="AA1761:AC1761" si="951">AA1735-AA1760</f>
        <v>24</v>
      </c>
      <c r="AB1761" s="28">
        <f t="shared" si="951"/>
        <v>17</v>
      </c>
      <c r="AC1761" s="26">
        <f t="shared" si="951"/>
        <v>64</v>
      </c>
      <c r="AD1761" s="28">
        <f>AD1735-AD1760</f>
        <v>23</v>
      </c>
      <c r="AE1761" s="28">
        <f t="shared" ref="AE1761:AG1761" si="952">AE1735-AE1760</f>
        <v>24</v>
      </c>
      <c r="AF1761" s="28">
        <f t="shared" si="952"/>
        <v>17</v>
      </c>
      <c r="AG1761" s="26">
        <f t="shared" si="952"/>
        <v>64</v>
      </c>
    </row>
    <row r="1762" spans="1:33" ht="21" customHeight="1">
      <c r="A1762" s="141"/>
      <c r="B1762" s="141"/>
      <c r="C1762" s="141"/>
      <c r="D1762" s="141"/>
      <c r="E1762" s="141"/>
      <c r="F1762" s="141"/>
      <c r="G1762" s="141"/>
      <c r="H1762" s="141"/>
      <c r="I1762" s="141"/>
      <c r="J1762" s="141"/>
      <c r="K1762" s="141"/>
      <c r="L1762" s="142">
        <f>L1761+L1717+L1674+L1631+L1588+L1545+L1502</f>
        <v>718</v>
      </c>
      <c r="M1762" s="142">
        <f t="shared" ref="M1762:S1762" si="953">M1761+M1717+M1674+M1631+M1588+M1545+M1502</f>
        <v>977</v>
      </c>
      <c r="N1762" s="142">
        <f t="shared" si="953"/>
        <v>604</v>
      </c>
      <c r="O1762" s="142">
        <f t="shared" si="953"/>
        <v>2299</v>
      </c>
      <c r="P1762" s="142">
        <f t="shared" si="953"/>
        <v>718</v>
      </c>
      <c r="Q1762" s="142">
        <f t="shared" si="953"/>
        <v>977</v>
      </c>
      <c r="R1762" s="142">
        <f t="shared" si="953"/>
        <v>604</v>
      </c>
      <c r="S1762" s="142">
        <f t="shared" si="953"/>
        <v>2299</v>
      </c>
      <c r="T1762" s="141"/>
      <c r="U1762" s="141"/>
      <c r="V1762" s="141"/>
      <c r="W1762" s="141"/>
      <c r="X1762" s="141"/>
      <c r="Y1762" s="141"/>
      <c r="Z1762" s="141"/>
      <c r="AA1762" s="141"/>
      <c r="AB1762" s="141"/>
      <c r="AC1762" s="141"/>
      <c r="AD1762" s="141"/>
      <c r="AE1762" s="141"/>
      <c r="AF1762" s="141"/>
      <c r="AG1762" s="141"/>
    </row>
    <row r="1763" spans="1:33">
      <c r="L1763" s="67"/>
      <c r="M1763" s="67"/>
      <c r="N1763" s="67"/>
      <c r="O1763" s="67"/>
    </row>
    <row r="1764" spans="1:33" ht="26.25" thickBot="1">
      <c r="A1764" s="33" t="s">
        <v>992</v>
      </c>
      <c r="B1764" s="34"/>
      <c r="C1764" s="34"/>
      <c r="D1764" s="34"/>
      <c r="E1764" s="34"/>
      <c r="F1764" s="35"/>
      <c r="G1764" s="35"/>
      <c r="H1764" s="35"/>
      <c r="I1764" s="35"/>
      <c r="K1764" s="33" t="s">
        <v>993</v>
      </c>
      <c r="L1764" s="34"/>
      <c r="M1764" s="34"/>
      <c r="N1764" s="34"/>
      <c r="O1764" s="34"/>
      <c r="P1764" s="35"/>
      <c r="Q1764" s="35"/>
      <c r="R1764" s="35"/>
      <c r="S1764" s="35"/>
      <c r="U1764" s="113" t="s">
        <v>622</v>
      </c>
      <c r="V1764" s="114"/>
      <c r="W1764" s="114"/>
      <c r="X1764" s="114"/>
      <c r="Y1764" s="114"/>
      <c r="Z1764" s="115"/>
      <c r="AA1764" s="115"/>
      <c r="AB1764" s="115"/>
      <c r="AC1764" s="115"/>
      <c r="AD1764" s="116"/>
      <c r="AE1764" s="116"/>
    </row>
    <row r="1765" spans="1:33" ht="14.25" thickBot="1">
      <c r="A1765" s="1" t="s">
        <v>0</v>
      </c>
      <c r="B1765" s="182" t="s">
        <v>17</v>
      </c>
      <c r="C1765" s="182"/>
      <c r="D1765" s="182"/>
      <c r="E1765" s="183"/>
      <c r="F1765" s="182" t="s">
        <v>13</v>
      </c>
      <c r="G1765" s="182"/>
      <c r="H1765" s="182"/>
      <c r="I1765" s="183"/>
      <c r="K1765" s="1" t="s">
        <v>0</v>
      </c>
      <c r="L1765" s="181" t="s">
        <v>17</v>
      </c>
      <c r="M1765" s="182"/>
      <c r="N1765" s="182"/>
      <c r="O1765" s="133"/>
      <c r="P1765" s="181" t="s">
        <v>13</v>
      </c>
      <c r="Q1765" s="182"/>
      <c r="R1765" s="182"/>
      <c r="S1765" s="133"/>
      <c r="U1765" s="1" t="s">
        <v>0</v>
      </c>
      <c r="V1765" s="182" t="s">
        <v>17</v>
      </c>
      <c r="W1765" s="182"/>
      <c r="X1765" s="182"/>
      <c r="Y1765" s="183"/>
      <c r="Z1765" s="182" t="s">
        <v>13</v>
      </c>
      <c r="AA1765" s="182"/>
      <c r="AB1765" s="182"/>
      <c r="AC1765" s="183"/>
      <c r="AD1765" s="182" t="s">
        <v>242</v>
      </c>
      <c r="AE1765" s="182"/>
      <c r="AF1765" s="182"/>
      <c r="AG1765" s="183"/>
    </row>
    <row r="1766" spans="1:33" ht="14.25" thickBot="1">
      <c r="A1766" s="1" t="s">
        <v>1</v>
      </c>
      <c r="B1766" s="2" t="s">
        <v>8</v>
      </c>
      <c r="C1766" s="1" t="s">
        <v>9</v>
      </c>
      <c r="D1766" s="19" t="s">
        <v>10</v>
      </c>
      <c r="E1766" s="1" t="s">
        <v>2</v>
      </c>
      <c r="F1766" s="2" t="s">
        <v>8</v>
      </c>
      <c r="G1766" s="1" t="s">
        <v>9</v>
      </c>
      <c r="H1766" s="19" t="s">
        <v>10</v>
      </c>
      <c r="I1766" s="1" t="s">
        <v>2</v>
      </c>
      <c r="K1766" s="1" t="s">
        <v>1</v>
      </c>
      <c r="L1766" s="2" t="s">
        <v>8</v>
      </c>
      <c r="M1766" s="1" t="s">
        <v>9</v>
      </c>
      <c r="N1766" s="19" t="s">
        <v>10</v>
      </c>
      <c r="O1766" s="1" t="s">
        <v>2</v>
      </c>
      <c r="P1766" s="2" t="s">
        <v>8</v>
      </c>
      <c r="Q1766" s="1" t="s">
        <v>9</v>
      </c>
      <c r="R1766" s="19" t="s">
        <v>10</v>
      </c>
      <c r="S1766" s="1" t="s">
        <v>2</v>
      </c>
      <c r="U1766" s="1" t="s">
        <v>1</v>
      </c>
      <c r="V1766" s="2" t="s">
        <v>8</v>
      </c>
      <c r="W1766" s="1" t="s">
        <v>9</v>
      </c>
      <c r="X1766" s="19" t="s">
        <v>10</v>
      </c>
      <c r="Y1766" s="1" t="s">
        <v>2</v>
      </c>
      <c r="Z1766" s="2" t="s">
        <v>8</v>
      </c>
      <c r="AA1766" s="1" t="s">
        <v>9</v>
      </c>
      <c r="AB1766" s="19" t="s">
        <v>10</v>
      </c>
      <c r="AC1766" s="1" t="s">
        <v>2</v>
      </c>
      <c r="AD1766" s="2" t="s">
        <v>8</v>
      </c>
      <c r="AE1766" s="1" t="s">
        <v>9</v>
      </c>
      <c r="AF1766" s="19" t="s">
        <v>10</v>
      </c>
      <c r="AG1766" s="1" t="s">
        <v>2</v>
      </c>
    </row>
    <row r="1767" spans="1:33">
      <c r="A1767" s="21" t="s">
        <v>7</v>
      </c>
      <c r="B1767" s="18">
        <f>B1761</f>
        <v>5</v>
      </c>
      <c r="C1767" s="22">
        <f>C1761</f>
        <v>1</v>
      </c>
      <c r="D1767" s="22">
        <f>D1761</f>
        <v>7</v>
      </c>
      <c r="E1767" s="17">
        <f t="shared" ref="E1767:E1803" si="954">SUM(B1767:D1767)</f>
        <v>13</v>
      </c>
      <c r="F1767" s="22">
        <f>F1761</f>
        <v>5</v>
      </c>
      <c r="G1767" s="22">
        <f>G1761</f>
        <v>1</v>
      </c>
      <c r="H1767" s="22">
        <f>H1761</f>
        <v>7</v>
      </c>
      <c r="I1767" s="17">
        <f t="shared" ref="I1767:I1803" si="955">SUM(F1767:H1767)</f>
        <v>13</v>
      </c>
      <c r="K1767" s="21" t="s">
        <v>7</v>
      </c>
      <c r="L1767" s="18">
        <f>L1761</f>
        <v>164</v>
      </c>
      <c r="M1767" s="22">
        <f t="shared" ref="M1767:S1767" si="956">M1761</f>
        <v>166</v>
      </c>
      <c r="N1767" s="22">
        <f t="shared" si="956"/>
        <v>85</v>
      </c>
      <c r="O1767" s="17">
        <f t="shared" si="956"/>
        <v>415</v>
      </c>
      <c r="P1767" s="22">
        <f t="shared" si="956"/>
        <v>164</v>
      </c>
      <c r="Q1767" s="22">
        <f t="shared" si="956"/>
        <v>166</v>
      </c>
      <c r="R1767" s="22">
        <f t="shared" si="956"/>
        <v>85</v>
      </c>
      <c r="S1767" s="17">
        <f t="shared" si="956"/>
        <v>415</v>
      </c>
      <c r="U1767" s="21" t="s">
        <v>7</v>
      </c>
      <c r="V1767" s="18">
        <f>V1761</f>
        <v>23</v>
      </c>
      <c r="W1767" s="22">
        <f>W1761</f>
        <v>24</v>
      </c>
      <c r="X1767" s="22">
        <f>X1761</f>
        <v>17</v>
      </c>
      <c r="Y1767" s="17">
        <f t="shared" ref="Y1767:Y1803" si="957">SUM(V1767:X1767)</f>
        <v>64</v>
      </c>
      <c r="Z1767" s="22">
        <f>Z1761</f>
        <v>23</v>
      </c>
      <c r="AA1767" s="22">
        <f>AA1761</f>
        <v>24</v>
      </c>
      <c r="AB1767" s="22">
        <f>AB1761</f>
        <v>17</v>
      </c>
      <c r="AC1767" s="17">
        <f t="shared" ref="AC1767:AC1803" si="958">SUM(Z1767:AB1767)</f>
        <v>64</v>
      </c>
      <c r="AD1767" s="22">
        <f>AD1761</f>
        <v>23</v>
      </c>
      <c r="AE1767" s="22">
        <f>AE1761</f>
        <v>24</v>
      </c>
      <c r="AF1767" s="22">
        <f>AF1761</f>
        <v>17</v>
      </c>
      <c r="AG1767" s="17">
        <f t="shared" ref="AG1767:AG1803" si="959">SUM(AD1767:AF1767)</f>
        <v>64</v>
      </c>
    </row>
    <row r="1768" spans="1:33">
      <c r="A1768" s="5" t="s">
        <v>3</v>
      </c>
      <c r="B1768" s="16"/>
      <c r="C1768" s="11"/>
      <c r="D1768" s="16"/>
      <c r="E1768" s="4">
        <f t="shared" ref="E1768:E1770" si="960">SUM(B1768:D1768)</f>
        <v>0</v>
      </c>
      <c r="F1768" s="16"/>
      <c r="G1768" s="11"/>
      <c r="H1768" s="16"/>
      <c r="I1768" s="4">
        <f t="shared" ref="I1768:I1770" si="961">SUM(F1768:H1768)</f>
        <v>0</v>
      </c>
      <c r="J1768" s="71"/>
      <c r="K1768" s="5" t="s">
        <v>3</v>
      </c>
      <c r="L1768" s="16"/>
      <c r="M1768" s="11"/>
      <c r="N1768" s="16"/>
      <c r="O1768" s="4">
        <f t="shared" ref="O1768:O1792" si="962">SUM(L1768:N1768)</f>
        <v>0</v>
      </c>
      <c r="P1768" s="16"/>
      <c r="Q1768" s="11"/>
      <c r="R1768" s="16"/>
      <c r="S1768" s="4">
        <f t="shared" ref="S1768:S1792" si="963">SUM(P1768:R1768)</f>
        <v>0</v>
      </c>
      <c r="U1768" s="5" t="s">
        <v>3</v>
      </c>
      <c r="V1768" s="16"/>
      <c r="W1768" s="11"/>
      <c r="X1768" s="16"/>
      <c r="Y1768" s="4">
        <f t="shared" si="957"/>
        <v>0</v>
      </c>
      <c r="Z1768" s="16"/>
      <c r="AA1768" s="11"/>
      <c r="AB1768" s="16"/>
      <c r="AC1768" s="4">
        <f t="shared" si="958"/>
        <v>0</v>
      </c>
      <c r="AD1768" s="16"/>
      <c r="AE1768" s="11"/>
      <c r="AF1768" s="16"/>
      <c r="AG1768" s="4">
        <f t="shared" si="959"/>
        <v>0</v>
      </c>
    </row>
    <row r="1769" spans="1:33">
      <c r="A1769" s="5" t="s">
        <v>3</v>
      </c>
      <c r="B1769" s="16"/>
      <c r="C1769" s="11"/>
      <c r="D1769" s="16"/>
      <c r="E1769" s="4">
        <f t="shared" si="960"/>
        <v>0</v>
      </c>
      <c r="F1769" s="16"/>
      <c r="G1769" s="11"/>
      <c r="H1769" s="16"/>
      <c r="I1769" s="4">
        <f t="shared" si="961"/>
        <v>0</v>
      </c>
      <c r="J1769" s="71"/>
      <c r="K1769" s="5" t="s">
        <v>3</v>
      </c>
      <c r="L1769" s="32"/>
      <c r="M1769" s="31"/>
      <c r="N1769" s="32"/>
      <c r="O1769" s="4">
        <f t="shared" si="962"/>
        <v>0</v>
      </c>
      <c r="P1769" s="32"/>
      <c r="Q1769" s="31"/>
      <c r="R1769" s="32"/>
      <c r="S1769" s="4">
        <f t="shared" si="963"/>
        <v>0</v>
      </c>
      <c r="U1769" s="5" t="s">
        <v>3</v>
      </c>
      <c r="V1769" s="32"/>
      <c r="W1769" s="31"/>
      <c r="X1769" s="32"/>
      <c r="Y1769" s="4">
        <f t="shared" si="957"/>
        <v>0</v>
      </c>
      <c r="Z1769" s="32"/>
      <c r="AA1769" s="31"/>
      <c r="AB1769" s="32"/>
      <c r="AC1769" s="4">
        <f t="shared" si="958"/>
        <v>0</v>
      </c>
      <c r="AD1769" s="32"/>
      <c r="AE1769" s="31"/>
      <c r="AF1769" s="32"/>
      <c r="AG1769" s="4">
        <f t="shared" si="959"/>
        <v>0</v>
      </c>
    </row>
    <row r="1770" spans="1:33">
      <c r="A1770" s="5" t="s">
        <v>3</v>
      </c>
      <c r="B1770" s="16"/>
      <c r="C1770" s="11"/>
      <c r="D1770" s="16"/>
      <c r="E1770" s="4">
        <f t="shared" si="960"/>
        <v>0</v>
      </c>
      <c r="F1770" s="16"/>
      <c r="G1770" s="11"/>
      <c r="H1770" s="16"/>
      <c r="I1770" s="4">
        <f t="shared" si="961"/>
        <v>0</v>
      </c>
      <c r="J1770" s="71"/>
      <c r="K1770" s="5" t="s">
        <v>3</v>
      </c>
      <c r="L1770" s="32"/>
      <c r="M1770" s="31"/>
      <c r="N1770" s="32"/>
      <c r="O1770" s="4">
        <f t="shared" ref="O1770:O1775" si="964">SUM(L1770:N1770)</f>
        <v>0</v>
      </c>
      <c r="P1770" s="32"/>
      <c r="Q1770" s="31"/>
      <c r="R1770" s="32"/>
      <c r="S1770" s="4">
        <f t="shared" ref="S1770:S1775" si="965">SUM(P1770:R1770)</f>
        <v>0</v>
      </c>
      <c r="U1770" s="5" t="s">
        <v>3</v>
      </c>
      <c r="V1770" s="32"/>
      <c r="W1770" s="31"/>
      <c r="X1770" s="32"/>
      <c r="Y1770" s="4">
        <f t="shared" ref="Y1770" si="966">SUM(V1770:X1770)</f>
        <v>0</v>
      </c>
      <c r="Z1770" s="32"/>
      <c r="AA1770" s="31"/>
      <c r="AB1770" s="32"/>
      <c r="AC1770" s="4">
        <f t="shared" ref="AC1770" si="967">SUM(Z1770:AB1770)</f>
        <v>0</v>
      </c>
      <c r="AD1770" s="32"/>
      <c r="AE1770" s="31"/>
      <c r="AF1770" s="32"/>
      <c r="AG1770" s="4">
        <f t="shared" ref="AG1770" si="968">SUM(AD1770:AF1770)</f>
        <v>0</v>
      </c>
    </row>
    <row r="1771" spans="1:33">
      <c r="A1771" s="5" t="s">
        <v>3</v>
      </c>
      <c r="B1771" s="16"/>
      <c r="C1771" s="11"/>
      <c r="D1771" s="16"/>
      <c r="E1771" s="4">
        <f t="shared" si="954"/>
        <v>0</v>
      </c>
      <c r="F1771" s="16"/>
      <c r="G1771" s="11"/>
      <c r="H1771" s="16"/>
      <c r="I1771" s="4">
        <f t="shared" si="955"/>
        <v>0</v>
      </c>
      <c r="J1771" s="71"/>
      <c r="K1771" s="5" t="s">
        <v>3</v>
      </c>
      <c r="L1771" s="32"/>
      <c r="M1771" s="31"/>
      <c r="N1771" s="32"/>
      <c r="O1771" s="4">
        <f t="shared" si="964"/>
        <v>0</v>
      </c>
      <c r="P1771" s="32"/>
      <c r="Q1771" s="31"/>
      <c r="R1771" s="32"/>
      <c r="S1771" s="4">
        <f t="shared" si="965"/>
        <v>0</v>
      </c>
      <c r="U1771" s="5" t="s">
        <v>3</v>
      </c>
      <c r="V1771" s="32"/>
      <c r="W1771" s="31"/>
      <c r="X1771" s="32"/>
      <c r="Y1771" s="4">
        <f t="shared" si="957"/>
        <v>0</v>
      </c>
      <c r="Z1771" s="32"/>
      <c r="AA1771" s="31"/>
      <c r="AB1771" s="32"/>
      <c r="AC1771" s="4">
        <f t="shared" si="958"/>
        <v>0</v>
      </c>
      <c r="AD1771" s="32"/>
      <c r="AE1771" s="31"/>
      <c r="AF1771" s="32"/>
      <c r="AG1771" s="4">
        <f t="shared" si="959"/>
        <v>0</v>
      </c>
    </row>
    <row r="1772" spans="1:33">
      <c r="A1772" s="5" t="s">
        <v>3</v>
      </c>
      <c r="B1772" s="16"/>
      <c r="C1772" s="11"/>
      <c r="D1772" s="16"/>
      <c r="E1772" s="4">
        <f t="shared" si="954"/>
        <v>0</v>
      </c>
      <c r="F1772" s="16"/>
      <c r="G1772" s="11"/>
      <c r="H1772" s="16"/>
      <c r="I1772" s="4">
        <f t="shared" si="955"/>
        <v>0</v>
      </c>
      <c r="J1772" s="71"/>
      <c r="K1772" s="5" t="s">
        <v>3</v>
      </c>
      <c r="L1772" s="32"/>
      <c r="M1772" s="31"/>
      <c r="N1772" s="32"/>
      <c r="O1772" s="4">
        <f t="shared" si="964"/>
        <v>0</v>
      </c>
      <c r="P1772" s="32"/>
      <c r="Q1772" s="31"/>
      <c r="R1772" s="32"/>
      <c r="S1772" s="4">
        <f t="shared" si="965"/>
        <v>0</v>
      </c>
      <c r="U1772" s="5" t="s">
        <v>3</v>
      </c>
      <c r="V1772" s="30"/>
      <c r="W1772" s="31"/>
      <c r="X1772" s="32"/>
      <c r="Y1772" s="4">
        <f t="shared" si="957"/>
        <v>0</v>
      </c>
      <c r="Z1772" s="30"/>
      <c r="AA1772" s="31"/>
      <c r="AB1772" s="32"/>
      <c r="AC1772" s="4">
        <f t="shared" si="958"/>
        <v>0</v>
      </c>
      <c r="AD1772" s="30"/>
      <c r="AE1772" s="31"/>
      <c r="AF1772" s="32"/>
      <c r="AG1772" s="4">
        <f t="shared" si="959"/>
        <v>0</v>
      </c>
    </row>
    <row r="1773" spans="1:33">
      <c r="A1773" s="5" t="s">
        <v>3</v>
      </c>
      <c r="B1773" s="16"/>
      <c r="C1773" s="11"/>
      <c r="D1773" s="16"/>
      <c r="E1773" s="4">
        <f t="shared" si="954"/>
        <v>0</v>
      </c>
      <c r="F1773" s="16"/>
      <c r="G1773" s="11"/>
      <c r="H1773" s="16"/>
      <c r="I1773" s="4">
        <f t="shared" si="955"/>
        <v>0</v>
      </c>
      <c r="K1773" s="5" t="s">
        <v>3</v>
      </c>
      <c r="L1773" s="32"/>
      <c r="M1773" s="31"/>
      <c r="N1773" s="32"/>
      <c r="O1773" s="4">
        <f t="shared" si="964"/>
        <v>0</v>
      </c>
      <c r="P1773" s="32"/>
      <c r="Q1773" s="31"/>
      <c r="R1773" s="32"/>
      <c r="S1773" s="4">
        <f t="shared" si="965"/>
        <v>0</v>
      </c>
      <c r="U1773" s="5" t="s">
        <v>3</v>
      </c>
      <c r="V1773" s="30"/>
      <c r="W1773" s="31"/>
      <c r="X1773" s="32"/>
      <c r="Y1773" s="4">
        <f t="shared" si="957"/>
        <v>0</v>
      </c>
      <c r="Z1773" s="30"/>
      <c r="AA1773" s="31"/>
      <c r="AB1773" s="32"/>
      <c r="AC1773" s="4">
        <f t="shared" si="958"/>
        <v>0</v>
      </c>
      <c r="AD1773" s="30"/>
      <c r="AE1773" s="31"/>
      <c r="AF1773" s="32"/>
      <c r="AG1773" s="4">
        <f t="shared" si="959"/>
        <v>0</v>
      </c>
    </row>
    <row r="1774" spans="1:33">
      <c r="A1774" s="5" t="s">
        <v>3</v>
      </c>
      <c r="B1774" s="32"/>
      <c r="C1774" s="31"/>
      <c r="D1774" s="32"/>
      <c r="E1774" s="4">
        <f t="shared" si="954"/>
        <v>0</v>
      </c>
      <c r="F1774" s="32"/>
      <c r="G1774" s="31"/>
      <c r="H1774" s="32"/>
      <c r="I1774" s="4">
        <f t="shared" si="955"/>
        <v>0</v>
      </c>
      <c r="K1774" s="5" t="s">
        <v>3</v>
      </c>
      <c r="L1774" s="32"/>
      <c r="M1774" s="31"/>
      <c r="N1774" s="32"/>
      <c r="O1774" s="4">
        <f t="shared" si="964"/>
        <v>0</v>
      </c>
      <c r="P1774" s="32"/>
      <c r="Q1774" s="31"/>
      <c r="R1774" s="32"/>
      <c r="S1774" s="4">
        <f t="shared" si="965"/>
        <v>0</v>
      </c>
      <c r="U1774" s="5" t="s">
        <v>3</v>
      </c>
      <c r="V1774" s="30"/>
      <c r="W1774" s="31"/>
      <c r="X1774" s="32"/>
      <c r="Y1774" s="4">
        <f t="shared" si="957"/>
        <v>0</v>
      </c>
      <c r="Z1774" s="30"/>
      <c r="AA1774" s="31"/>
      <c r="AB1774" s="32"/>
      <c r="AC1774" s="4">
        <f t="shared" si="958"/>
        <v>0</v>
      </c>
      <c r="AD1774" s="30"/>
      <c r="AE1774" s="31"/>
      <c r="AF1774" s="32"/>
      <c r="AG1774" s="4">
        <f t="shared" si="959"/>
        <v>0</v>
      </c>
    </row>
    <row r="1775" spans="1:33">
      <c r="A1775" s="5" t="s">
        <v>3</v>
      </c>
      <c r="B1775" s="32"/>
      <c r="C1775" s="31"/>
      <c r="D1775" s="32"/>
      <c r="E1775" s="4">
        <f t="shared" si="954"/>
        <v>0</v>
      </c>
      <c r="F1775" s="32"/>
      <c r="G1775" s="31"/>
      <c r="H1775" s="32"/>
      <c r="I1775" s="4">
        <f t="shared" si="955"/>
        <v>0</v>
      </c>
      <c r="K1775" s="5" t="s">
        <v>3</v>
      </c>
      <c r="L1775" s="32"/>
      <c r="M1775" s="31"/>
      <c r="N1775" s="32"/>
      <c r="O1775" s="4">
        <f t="shared" si="964"/>
        <v>0</v>
      </c>
      <c r="P1775" s="32"/>
      <c r="Q1775" s="31"/>
      <c r="R1775" s="32"/>
      <c r="S1775" s="4">
        <f t="shared" si="965"/>
        <v>0</v>
      </c>
      <c r="U1775" s="5" t="s">
        <v>3</v>
      </c>
      <c r="V1775" s="30"/>
      <c r="W1775" s="31"/>
      <c r="X1775" s="32"/>
      <c r="Y1775" s="4">
        <f t="shared" si="957"/>
        <v>0</v>
      </c>
      <c r="Z1775" s="30"/>
      <c r="AA1775" s="31"/>
      <c r="AB1775" s="32"/>
      <c r="AC1775" s="4">
        <f t="shared" si="958"/>
        <v>0</v>
      </c>
      <c r="AD1775" s="30"/>
      <c r="AE1775" s="31"/>
      <c r="AF1775" s="32"/>
      <c r="AG1775" s="4">
        <f t="shared" si="959"/>
        <v>0</v>
      </c>
    </row>
    <row r="1776" spans="1:33">
      <c r="A1776" s="5" t="s">
        <v>3</v>
      </c>
      <c r="B1776" s="30"/>
      <c r="C1776" s="31"/>
      <c r="D1776" s="32"/>
      <c r="E1776" s="4">
        <f t="shared" si="954"/>
        <v>0</v>
      </c>
      <c r="F1776" s="30"/>
      <c r="G1776" s="31"/>
      <c r="H1776" s="32"/>
      <c r="I1776" s="4">
        <f t="shared" si="955"/>
        <v>0</v>
      </c>
      <c r="K1776" s="5" t="s">
        <v>3</v>
      </c>
      <c r="L1776" s="32"/>
      <c r="M1776" s="31"/>
      <c r="N1776" s="32"/>
      <c r="O1776" s="4">
        <f t="shared" si="962"/>
        <v>0</v>
      </c>
      <c r="P1776" s="32"/>
      <c r="Q1776" s="31"/>
      <c r="R1776" s="32"/>
      <c r="S1776" s="4">
        <f t="shared" si="963"/>
        <v>0</v>
      </c>
      <c r="U1776" s="5" t="s">
        <v>3</v>
      </c>
      <c r="V1776" s="30"/>
      <c r="W1776" s="31"/>
      <c r="X1776" s="32"/>
      <c r="Y1776" s="4">
        <f t="shared" si="957"/>
        <v>0</v>
      </c>
      <c r="Z1776" s="30"/>
      <c r="AA1776" s="31"/>
      <c r="AB1776" s="32"/>
      <c r="AC1776" s="4">
        <f t="shared" si="958"/>
        <v>0</v>
      </c>
      <c r="AD1776" s="30"/>
      <c r="AE1776" s="31"/>
      <c r="AF1776" s="32"/>
      <c r="AG1776" s="4">
        <f t="shared" si="959"/>
        <v>0</v>
      </c>
    </row>
    <row r="1777" spans="1:33" ht="14.25" thickBot="1">
      <c r="A1777" s="6" t="s">
        <v>3</v>
      </c>
      <c r="B1777" s="36"/>
      <c r="C1777" s="37"/>
      <c r="D1777" s="36"/>
      <c r="E1777" s="20">
        <f t="shared" si="954"/>
        <v>0</v>
      </c>
      <c r="F1777" s="13"/>
      <c r="G1777" s="12"/>
      <c r="H1777" s="13"/>
      <c r="I1777" s="20">
        <f t="shared" si="955"/>
        <v>0</v>
      </c>
      <c r="K1777" s="5" t="s">
        <v>3</v>
      </c>
      <c r="L1777" s="36"/>
      <c r="M1777" s="37"/>
      <c r="N1777" s="36"/>
      <c r="O1777" s="20">
        <f t="shared" si="962"/>
        <v>0</v>
      </c>
      <c r="P1777" s="13"/>
      <c r="Q1777" s="12"/>
      <c r="R1777" s="13"/>
      <c r="S1777" s="20">
        <f t="shared" si="963"/>
        <v>0</v>
      </c>
      <c r="U1777" s="6" t="s">
        <v>3</v>
      </c>
      <c r="V1777" s="13"/>
      <c r="W1777" s="12"/>
      <c r="X1777" s="13"/>
      <c r="Y1777" s="20">
        <f t="shared" si="957"/>
        <v>0</v>
      </c>
      <c r="Z1777" s="13"/>
      <c r="AA1777" s="12"/>
      <c r="AB1777" s="13"/>
      <c r="AC1777" s="20">
        <f t="shared" si="958"/>
        <v>0</v>
      </c>
      <c r="AD1777" s="13"/>
      <c r="AE1777" s="12"/>
      <c r="AF1777" s="13"/>
      <c r="AG1777" s="20">
        <f t="shared" si="959"/>
        <v>0</v>
      </c>
    </row>
    <row r="1778" spans="1:33" ht="14.25" thickBot="1">
      <c r="A1778" s="23" t="s">
        <v>4</v>
      </c>
      <c r="B1778" s="24">
        <f>SUM(B1767:B1777)</f>
        <v>5</v>
      </c>
      <c r="C1778" s="24">
        <f>SUM(C1767:C1777)</f>
        <v>1</v>
      </c>
      <c r="D1778" s="25">
        <f>SUM(D1767:D1777)</f>
        <v>7</v>
      </c>
      <c r="E1778" s="26">
        <f t="shared" si="954"/>
        <v>13</v>
      </c>
      <c r="F1778" s="24">
        <f>SUM(F1767:F1777)</f>
        <v>5</v>
      </c>
      <c r="G1778" s="24">
        <f>SUM(G1767:G1777)</f>
        <v>1</v>
      </c>
      <c r="H1778" s="25">
        <f>SUM(H1767:H1777)</f>
        <v>7</v>
      </c>
      <c r="I1778" s="26">
        <f t="shared" si="955"/>
        <v>13</v>
      </c>
      <c r="K1778" s="23" t="s">
        <v>4</v>
      </c>
      <c r="L1778" s="24">
        <f>SUM(L1767:L1777)</f>
        <v>164</v>
      </c>
      <c r="M1778" s="24">
        <f t="shared" ref="M1778" si="969">SUM(M1767:M1777)</f>
        <v>166</v>
      </c>
      <c r="N1778" s="25">
        <f t="shared" ref="N1778" si="970">SUM(N1767:N1777)</f>
        <v>85</v>
      </c>
      <c r="O1778" s="26">
        <f t="shared" ref="O1778" si="971">SUM(O1767:O1777)</f>
        <v>415</v>
      </c>
      <c r="P1778" s="24">
        <f t="shared" ref="P1778" si="972">SUM(P1767:P1777)</f>
        <v>164</v>
      </c>
      <c r="Q1778" s="24">
        <f t="shared" ref="Q1778" si="973">SUM(Q1767:Q1777)</f>
        <v>166</v>
      </c>
      <c r="R1778" s="25">
        <f t="shared" ref="R1778" si="974">SUM(R1767:R1777)</f>
        <v>85</v>
      </c>
      <c r="S1778" s="26">
        <f t="shared" ref="S1778" si="975">SUM(S1767:S1777)</f>
        <v>415</v>
      </c>
      <c r="U1778" s="23" t="s">
        <v>4</v>
      </c>
      <c r="V1778" s="24">
        <f>SUM(V1767:V1777)</f>
        <v>23</v>
      </c>
      <c r="W1778" s="24">
        <f>SUM(W1767:W1777)</f>
        <v>24</v>
      </c>
      <c r="X1778" s="25">
        <f>SUM(X1767:X1777)</f>
        <v>17</v>
      </c>
      <c r="Y1778" s="26">
        <f t="shared" si="957"/>
        <v>64</v>
      </c>
      <c r="Z1778" s="24">
        <f>SUM(Z1767:Z1777)</f>
        <v>23</v>
      </c>
      <c r="AA1778" s="24">
        <f>SUM(AA1767:AA1777)</f>
        <v>24</v>
      </c>
      <c r="AB1778" s="25">
        <f>SUM(AB1767:AB1777)</f>
        <v>17</v>
      </c>
      <c r="AC1778" s="26">
        <f t="shared" si="958"/>
        <v>64</v>
      </c>
      <c r="AD1778" s="24">
        <f>SUM(AD1767:AD1777)</f>
        <v>23</v>
      </c>
      <c r="AE1778" s="24">
        <f>SUM(AE1767:AE1777)</f>
        <v>24</v>
      </c>
      <c r="AF1778" s="25">
        <f>SUM(AF1767:AF1777)</f>
        <v>17</v>
      </c>
      <c r="AG1778" s="26">
        <f t="shared" si="959"/>
        <v>64</v>
      </c>
    </row>
    <row r="1779" spans="1:33">
      <c r="A1779" s="3"/>
      <c r="B1779" s="8"/>
      <c r="C1779" s="9"/>
      <c r="D1779" s="10"/>
      <c r="E1779" s="7">
        <f t="shared" ref="E1779:E1786" si="976">SUM(B1779:D1779)</f>
        <v>0</v>
      </c>
      <c r="F1779" s="8"/>
      <c r="G1779" s="9"/>
      <c r="H1779" s="10"/>
      <c r="I1779" s="7">
        <f t="shared" ref="I1779:I1786" si="977">SUM(F1779:H1779)</f>
        <v>0</v>
      </c>
      <c r="K1779" s="3"/>
      <c r="L1779" s="8"/>
      <c r="M1779" s="9"/>
      <c r="N1779" s="10"/>
      <c r="O1779" s="7">
        <f t="shared" ref="O1779:O1790" si="978">SUM(L1779:N1779)</f>
        <v>0</v>
      </c>
      <c r="P1779" s="8"/>
      <c r="Q1779" s="9"/>
      <c r="R1779" s="10"/>
      <c r="S1779" s="7">
        <f t="shared" ref="S1779:S1790" si="979">SUM(P1779:R1779)</f>
        <v>0</v>
      </c>
      <c r="U1779" s="40"/>
      <c r="V1779" s="8"/>
      <c r="W1779" s="9"/>
      <c r="X1779" s="10"/>
      <c r="Y1779" s="4">
        <f t="shared" ref="Y1779" si="980">SUM(V1779:X1779)</f>
        <v>0</v>
      </c>
      <c r="Z1779" s="8"/>
      <c r="AA1779" s="9"/>
      <c r="AB1779" s="10"/>
      <c r="AC1779" s="4">
        <f t="shared" ref="AC1779" si="981">SUM(Z1779:AB1779)</f>
        <v>0</v>
      </c>
      <c r="AD1779" s="8"/>
      <c r="AE1779" s="9"/>
      <c r="AF1779" s="10"/>
      <c r="AG1779" s="4">
        <f t="shared" ref="AG1779" si="982">SUM(AD1779:AF1779)</f>
        <v>0</v>
      </c>
    </row>
    <row r="1780" spans="1:33">
      <c r="A1780" s="3"/>
      <c r="B1780" s="8"/>
      <c r="C1780" s="9"/>
      <c r="D1780" s="10"/>
      <c r="E1780" s="7">
        <f t="shared" si="976"/>
        <v>0</v>
      </c>
      <c r="F1780" s="8"/>
      <c r="G1780" s="9"/>
      <c r="H1780" s="10"/>
      <c r="I1780" s="7">
        <f t="shared" si="977"/>
        <v>0</v>
      </c>
      <c r="K1780" s="3"/>
      <c r="L1780" s="8"/>
      <c r="M1780" s="9"/>
      <c r="N1780" s="10"/>
      <c r="O1780" s="7">
        <f t="shared" si="978"/>
        <v>0</v>
      </c>
      <c r="P1780" s="8"/>
      <c r="Q1780" s="9"/>
      <c r="R1780" s="10"/>
      <c r="S1780" s="7">
        <f t="shared" si="979"/>
        <v>0</v>
      </c>
      <c r="U1780" s="40"/>
      <c r="V1780" s="8"/>
      <c r="W1780" s="9"/>
      <c r="X1780" s="10"/>
      <c r="Y1780" s="4">
        <f t="shared" si="957"/>
        <v>0</v>
      </c>
      <c r="Z1780" s="8"/>
      <c r="AA1780" s="9"/>
      <c r="AB1780" s="10"/>
      <c r="AC1780" s="4">
        <f t="shared" si="958"/>
        <v>0</v>
      </c>
      <c r="AD1780" s="8"/>
      <c r="AE1780" s="9"/>
      <c r="AF1780" s="10"/>
      <c r="AG1780" s="4">
        <f t="shared" si="959"/>
        <v>0</v>
      </c>
    </row>
    <row r="1781" spans="1:33">
      <c r="A1781" s="3"/>
      <c r="B1781" s="8"/>
      <c r="C1781" s="9"/>
      <c r="D1781" s="10"/>
      <c r="E1781" s="7">
        <f t="shared" si="976"/>
        <v>0</v>
      </c>
      <c r="F1781" s="8"/>
      <c r="G1781" s="9"/>
      <c r="H1781" s="10"/>
      <c r="I1781" s="7">
        <f t="shared" si="977"/>
        <v>0</v>
      </c>
      <c r="K1781" s="3"/>
      <c r="L1781" s="8"/>
      <c r="M1781" s="9"/>
      <c r="N1781" s="10"/>
      <c r="O1781" s="7">
        <f t="shared" si="978"/>
        <v>0</v>
      </c>
      <c r="P1781" s="8"/>
      <c r="Q1781" s="9"/>
      <c r="R1781" s="10"/>
      <c r="S1781" s="7">
        <f t="shared" si="979"/>
        <v>0</v>
      </c>
      <c r="U1781" s="40"/>
      <c r="V1781" s="8"/>
      <c r="W1781" s="9"/>
      <c r="X1781" s="10"/>
      <c r="Y1781" s="7">
        <f t="shared" si="957"/>
        <v>0</v>
      </c>
      <c r="Z1781" s="8"/>
      <c r="AA1781" s="9"/>
      <c r="AB1781" s="10"/>
      <c r="AC1781" s="7">
        <f t="shared" si="958"/>
        <v>0</v>
      </c>
      <c r="AD1781" s="8"/>
      <c r="AE1781" s="9"/>
      <c r="AF1781" s="10"/>
      <c r="AG1781" s="7">
        <f t="shared" si="959"/>
        <v>0</v>
      </c>
    </row>
    <row r="1782" spans="1:33">
      <c r="A1782" s="3"/>
      <c r="B1782" s="8"/>
      <c r="C1782" s="9"/>
      <c r="D1782" s="10"/>
      <c r="E1782" s="7">
        <f t="shared" si="976"/>
        <v>0</v>
      </c>
      <c r="F1782" s="8"/>
      <c r="G1782" s="9"/>
      <c r="H1782" s="10"/>
      <c r="I1782" s="7">
        <f t="shared" si="977"/>
        <v>0</v>
      </c>
      <c r="K1782" s="3"/>
      <c r="L1782" s="8"/>
      <c r="M1782" s="9"/>
      <c r="N1782" s="10"/>
      <c r="O1782" s="7">
        <f t="shared" si="978"/>
        <v>0</v>
      </c>
      <c r="P1782" s="8"/>
      <c r="Q1782" s="9"/>
      <c r="R1782" s="10"/>
      <c r="S1782" s="7">
        <f t="shared" si="979"/>
        <v>0</v>
      </c>
      <c r="U1782" s="40"/>
      <c r="V1782" s="8"/>
      <c r="W1782" s="9"/>
      <c r="X1782" s="10"/>
      <c r="Y1782" s="4">
        <f t="shared" si="957"/>
        <v>0</v>
      </c>
      <c r="Z1782" s="8"/>
      <c r="AA1782" s="9"/>
      <c r="AB1782" s="10"/>
      <c r="AC1782" s="4">
        <f t="shared" si="958"/>
        <v>0</v>
      </c>
      <c r="AD1782" s="8"/>
      <c r="AE1782" s="9"/>
      <c r="AF1782" s="10"/>
      <c r="AG1782" s="4">
        <f t="shared" si="959"/>
        <v>0</v>
      </c>
    </row>
    <row r="1783" spans="1:33">
      <c r="A1783" s="3"/>
      <c r="B1783" s="8"/>
      <c r="C1783" s="9"/>
      <c r="D1783" s="10"/>
      <c r="E1783" s="7">
        <f t="shared" si="976"/>
        <v>0</v>
      </c>
      <c r="F1783" s="8"/>
      <c r="G1783" s="9"/>
      <c r="H1783" s="10"/>
      <c r="I1783" s="7">
        <f t="shared" si="977"/>
        <v>0</v>
      </c>
      <c r="K1783" s="3"/>
      <c r="L1783" s="8"/>
      <c r="M1783" s="9"/>
      <c r="N1783" s="10"/>
      <c r="O1783" s="7">
        <f t="shared" si="978"/>
        <v>0</v>
      </c>
      <c r="P1783" s="8"/>
      <c r="Q1783" s="9"/>
      <c r="R1783" s="10"/>
      <c r="S1783" s="7">
        <f t="shared" si="979"/>
        <v>0</v>
      </c>
      <c r="U1783" s="3"/>
      <c r="V1783" s="8"/>
      <c r="W1783" s="9"/>
      <c r="X1783" s="10"/>
      <c r="Y1783" s="4">
        <f t="shared" si="957"/>
        <v>0</v>
      </c>
      <c r="Z1783" s="8"/>
      <c r="AA1783" s="9"/>
      <c r="AB1783" s="10"/>
      <c r="AC1783" s="4">
        <f t="shared" si="958"/>
        <v>0</v>
      </c>
      <c r="AD1783" s="8"/>
      <c r="AE1783" s="9"/>
      <c r="AF1783" s="10"/>
      <c r="AG1783" s="4">
        <f t="shared" si="959"/>
        <v>0</v>
      </c>
    </row>
    <row r="1784" spans="1:33">
      <c r="A1784" s="3"/>
      <c r="B1784" s="8"/>
      <c r="C1784" s="9"/>
      <c r="D1784" s="10"/>
      <c r="E1784" s="7">
        <f t="shared" si="976"/>
        <v>0</v>
      </c>
      <c r="F1784" s="8"/>
      <c r="G1784" s="9"/>
      <c r="H1784" s="10"/>
      <c r="I1784" s="7">
        <f t="shared" si="977"/>
        <v>0</v>
      </c>
      <c r="K1784" s="3"/>
      <c r="L1784" s="8"/>
      <c r="M1784" s="9"/>
      <c r="N1784" s="10"/>
      <c r="O1784" s="7">
        <f t="shared" si="978"/>
        <v>0</v>
      </c>
      <c r="P1784" s="8"/>
      <c r="Q1784" s="9"/>
      <c r="R1784" s="10"/>
      <c r="S1784" s="7">
        <f t="shared" si="979"/>
        <v>0</v>
      </c>
      <c r="U1784" s="3"/>
      <c r="V1784" s="8"/>
      <c r="W1784" s="9"/>
      <c r="X1784" s="10"/>
      <c r="Y1784" s="7">
        <f t="shared" si="957"/>
        <v>0</v>
      </c>
      <c r="Z1784" s="8"/>
      <c r="AA1784" s="9"/>
      <c r="AB1784" s="10"/>
      <c r="AC1784" s="7">
        <f t="shared" si="958"/>
        <v>0</v>
      </c>
      <c r="AD1784" s="8"/>
      <c r="AE1784" s="9"/>
      <c r="AF1784" s="10"/>
      <c r="AG1784" s="7">
        <f t="shared" si="959"/>
        <v>0</v>
      </c>
    </row>
    <row r="1785" spans="1:33">
      <c r="A1785" s="3"/>
      <c r="B1785" s="8"/>
      <c r="C1785" s="9"/>
      <c r="D1785" s="10"/>
      <c r="E1785" s="7">
        <f t="shared" si="976"/>
        <v>0</v>
      </c>
      <c r="F1785" s="8"/>
      <c r="G1785" s="9"/>
      <c r="H1785" s="10"/>
      <c r="I1785" s="7">
        <f t="shared" si="977"/>
        <v>0</v>
      </c>
      <c r="K1785" s="3"/>
      <c r="L1785" s="8"/>
      <c r="M1785" s="9"/>
      <c r="N1785" s="10"/>
      <c r="O1785" s="7">
        <f t="shared" si="978"/>
        <v>0</v>
      </c>
      <c r="P1785" s="8"/>
      <c r="Q1785" s="9"/>
      <c r="R1785" s="10"/>
      <c r="S1785" s="7">
        <f t="shared" si="979"/>
        <v>0</v>
      </c>
      <c r="U1785" s="3"/>
      <c r="V1785" s="8"/>
      <c r="W1785" s="9"/>
      <c r="X1785" s="10"/>
      <c r="Y1785" s="7">
        <f t="shared" si="957"/>
        <v>0</v>
      </c>
      <c r="Z1785" s="8"/>
      <c r="AA1785" s="9"/>
      <c r="AB1785" s="10"/>
      <c r="AC1785" s="7">
        <f t="shared" si="958"/>
        <v>0</v>
      </c>
      <c r="AD1785" s="8"/>
      <c r="AE1785" s="9"/>
      <c r="AF1785" s="10"/>
      <c r="AG1785" s="7">
        <f t="shared" si="959"/>
        <v>0</v>
      </c>
    </row>
    <row r="1786" spans="1:33">
      <c r="A1786" s="3"/>
      <c r="B1786" s="8"/>
      <c r="C1786" s="9"/>
      <c r="D1786" s="10"/>
      <c r="E1786" s="7">
        <f t="shared" si="976"/>
        <v>0</v>
      </c>
      <c r="F1786" s="8"/>
      <c r="G1786" s="9"/>
      <c r="H1786" s="10"/>
      <c r="I1786" s="7">
        <f t="shared" si="977"/>
        <v>0</v>
      </c>
      <c r="K1786" s="3"/>
      <c r="L1786" s="8"/>
      <c r="M1786" s="9"/>
      <c r="N1786" s="10"/>
      <c r="O1786" s="7">
        <f t="shared" si="978"/>
        <v>0</v>
      </c>
      <c r="P1786" s="8"/>
      <c r="Q1786" s="9"/>
      <c r="R1786" s="10"/>
      <c r="S1786" s="7">
        <f t="shared" si="979"/>
        <v>0</v>
      </c>
      <c r="U1786" s="3"/>
      <c r="V1786" s="8"/>
      <c r="W1786" s="9"/>
      <c r="X1786" s="10"/>
      <c r="Y1786" s="7">
        <f t="shared" si="957"/>
        <v>0</v>
      </c>
      <c r="Z1786" s="8"/>
      <c r="AA1786" s="9"/>
      <c r="AB1786" s="10"/>
      <c r="AC1786" s="7">
        <f t="shared" si="958"/>
        <v>0</v>
      </c>
      <c r="AD1786" s="8"/>
      <c r="AE1786" s="9"/>
      <c r="AF1786" s="10"/>
      <c r="AG1786" s="7">
        <f t="shared" si="959"/>
        <v>0</v>
      </c>
    </row>
    <row r="1787" spans="1:33">
      <c r="A1787" s="3"/>
      <c r="B1787" s="8"/>
      <c r="C1787" s="9"/>
      <c r="D1787" s="10"/>
      <c r="E1787" s="7">
        <f t="shared" si="954"/>
        <v>0</v>
      </c>
      <c r="F1787" s="8"/>
      <c r="G1787" s="9"/>
      <c r="H1787" s="10"/>
      <c r="I1787" s="7">
        <f t="shared" si="955"/>
        <v>0</v>
      </c>
      <c r="K1787" s="3"/>
      <c r="L1787" s="8"/>
      <c r="M1787" s="9"/>
      <c r="N1787" s="10"/>
      <c r="O1787" s="7">
        <f t="shared" si="978"/>
        <v>0</v>
      </c>
      <c r="P1787" s="8"/>
      <c r="Q1787" s="9"/>
      <c r="R1787" s="10"/>
      <c r="S1787" s="7">
        <f t="shared" si="979"/>
        <v>0</v>
      </c>
      <c r="U1787" s="3"/>
      <c r="V1787" s="8"/>
      <c r="W1787" s="9"/>
      <c r="X1787" s="10"/>
      <c r="Y1787" s="7">
        <f t="shared" si="957"/>
        <v>0</v>
      </c>
      <c r="Z1787" s="8"/>
      <c r="AA1787" s="9"/>
      <c r="AB1787" s="10"/>
      <c r="AC1787" s="7">
        <f t="shared" si="958"/>
        <v>0</v>
      </c>
      <c r="AD1787" s="8"/>
      <c r="AE1787" s="9"/>
      <c r="AF1787" s="10"/>
      <c r="AG1787" s="7">
        <f t="shared" si="959"/>
        <v>0</v>
      </c>
    </row>
    <row r="1788" spans="1:33">
      <c r="A1788" s="3"/>
      <c r="B1788" s="8"/>
      <c r="C1788" s="9"/>
      <c r="D1788" s="10"/>
      <c r="E1788" s="7">
        <f t="shared" si="954"/>
        <v>0</v>
      </c>
      <c r="F1788" s="8"/>
      <c r="G1788" s="9"/>
      <c r="H1788" s="10"/>
      <c r="I1788" s="7">
        <f t="shared" si="955"/>
        <v>0</v>
      </c>
      <c r="K1788" s="3"/>
      <c r="L1788" s="8"/>
      <c r="M1788" s="9"/>
      <c r="N1788" s="10"/>
      <c r="O1788" s="7">
        <f t="shared" si="978"/>
        <v>0</v>
      </c>
      <c r="P1788" s="8"/>
      <c r="Q1788" s="9"/>
      <c r="R1788" s="10"/>
      <c r="S1788" s="7">
        <f t="shared" si="979"/>
        <v>0</v>
      </c>
      <c r="U1788" s="3"/>
      <c r="V1788" s="8"/>
      <c r="W1788" s="9"/>
      <c r="X1788" s="10"/>
      <c r="Y1788" s="7">
        <f t="shared" si="957"/>
        <v>0</v>
      </c>
      <c r="Z1788" s="8"/>
      <c r="AA1788" s="9"/>
      <c r="AB1788" s="10"/>
      <c r="AC1788" s="7">
        <f t="shared" si="958"/>
        <v>0</v>
      </c>
      <c r="AD1788" s="8"/>
      <c r="AE1788" s="9"/>
      <c r="AF1788" s="10"/>
      <c r="AG1788" s="7">
        <f t="shared" si="959"/>
        <v>0</v>
      </c>
    </row>
    <row r="1789" spans="1:33">
      <c r="A1789" s="3"/>
      <c r="B1789" s="8"/>
      <c r="C1789" s="9"/>
      <c r="D1789" s="10"/>
      <c r="E1789" s="7">
        <f t="shared" si="954"/>
        <v>0</v>
      </c>
      <c r="F1789" s="8"/>
      <c r="G1789" s="9"/>
      <c r="H1789" s="10"/>
      <c r="I1789" s="7">
        <f t="shared" si="955"/>
        <v>0</v>
      </c>
      <c r="K1789" s="3"/>
      <c r="L1789" s="8"/>
      <c r="M1789" s="9"/>
      <c r="N1789" s="10"/>
      <c r="O1789" s="7">
        <f t="shared" si="978"/>
        <v>0</v>
      </c>
      <c r="P1789" s="8"/>
      <c r="Q1789" s="9"/>
      <c r="R1789" s="10"/>
      <c r="S1789" s="7">
        <f t="shared" si="979"/>
        <v>0</v>
      </c>
      <c r="U1789" s="3"/>
      <c r="V1789" s="30"/>
      <c r="W1789" s="9"/>
      <c r="X1789" s="10"/>
      <c r="Y1789" s="7">
        <f t="shared" si="957"/>
        <v>0</v>
      </c>
      <c r="Z1789" s="8"/>
      <c r="AA1789" s="9"/>
      <c r="AB1789" s="10"/>
      <c r="AC1789" s="7">
        <f t="shared" si="958"/>
        <v>0</v>
      </c>
      <c r="AD1789" s="8"/>
      <c r="AE1789" s="9"/>
      <c r="AF1789" s="10"/>
      <c r="AG1789" s="7">
        <f t="shared" si="959"/>
        <v>0</v>
      </c>
    </row>
    <row r="1790" spans="1:33">
      <c r="A1790" s="3"/>
      <c r="B1790" s="8"/>
      <c r="C1790" s="9"/>
      <c r="D1790" s="10"/>
      <c r="E1790" s="7">
        <f t="shared" si="954"/>
        <v>0</v>
      </c>
      <c r="F1790" s="8"/>
      <c r="G1790" s="9"/>
      <c r="H1790" s="10"/>
      <c r="I1790" s="7">
        <f t="shared" si="955"/>
        <v>0</v>
      </c>
      <c r="K1790" s="3"/>
      <c r="L1790" s="8"/>
      <c r="M1790" s="9"/>
      <c r="N1790" s="10"/>
      <c r="O1790" s="7">
        <f t="shared" si="978"/>
        <v>0</v>
      </c>
      <c r="P1790" s="8"/>
      <c r="Q1790" s="9"/>
      <c r="R1790" s="10"/>
      <c r="S1790" s="7">
        <f t="shared" si="979"/>
        <v>0</v>
      </c>
      <c r="U1790" s="3"/>
      <c r="V1790" s="8"/>
      <c r="W1790" s="9"/>
      <c r="X1790" s="10"/>
      <c r="Y1790" s="7">
        <f t="shared" si="957"/>
        <v>0</v>
      </c>
      <c r="Z1790" s="8"/>
      <c r="AA1790" s="9"/>
      <c r="AB1790" s="10"/>
      <c r="AC1790" s="7">
        <f t="shared" si="958"/>
        <v>0</v>
      </c>
      <c r="AD1790" s="8"/>
      <c r="AE1790" s="9"/>
      <c r="AF1790" s="10"/>
      <c r="AG1790" s="7">
        <f t="shared" si="959"/>
        <v>0</v>
      </c>
    </row>
    <row r="1791" spans="1:33">
      <c r="A1791" s="3"/>
      <c r="B1791" s="8"/>
      <c r="C1791" s="9"/>
      <c r="D1791" s="10"/>
      <c r="E1791" s="7">
        <f t="shared" si="954"/>
        <v>0</v>
      </c>
      <c r="F1791" s="8"/>
      <c r="G1791" s="9"/>
      <c r="H1791" s="10"/>
      <c r="I1791" s="7">
        <f t="shared" si="955"/>
        <v>0</v>
      </c>
      <c r="K1791" s="3"/>
      <c r="L1791" s="8"/>
      <c r="M1791" s="9"/>
      <c r="N1791" s="10"/>
      <c r="O1791" s="7">
        <f t="shared" si="962"/>
        <v>0</v>
      </c>
      <c r="P1791" s="8"/>
      <c r="Q1791" s="9"/>
      <c r="R1791" s="10"/>
      <c r="S1791" s="7">
        <f t="shared" si="963"/>
        <v>0</v>
      </c>
      <c r="U1791" s="3"/>
      <c r="V1791" s="8"/>
      <c r="W1791" s="9"/>
      <c r="X1791" s="10"/>
      <c r="Y1791" s="7">
        <f t="shared" si="957"/>
        <v>0</v>
      </c>
      <c r="Z1791" s="8"/>
      <c r="AA1791" s="9"/>
      <c r="AB1791" s="10"/>
      <c r="AC1791" s="7">
        <f t="shared" si="958"/>
        <v>0</v>
      </c>
      <c r="AD1791" s="8"/>
      <c r="AE1791" s="9"/>
      <c r="AF1791" s="10"/>
      <c r="AG1791" s="7">
        <f t="shared" si="959"/>
        <v>0</v>
      </c>
    </row>
    <row r="1792" spans="1:33">
      <c r="A1792" s="3"/>
      <c r="B1792" s="8"/>
      <c r="C1792" s="9"/>
      <c r="D1792" s="10"/>
      <c r="E1792" s="7">
        <f t="shared" si="954"/>
        <v>0</v>
      </c>
      <c r="F1792" s="8"/>
      <c r="G1792" s="9"/>
      <c r="H1792" s="10"/>
      <c r="I1792" s="7">
        <f t="shared" si="955"/>
        <v>0</v>
      </c>
      <c r="K1792" s="3"/>
      <c r="L1792" s="8"/>
      <c r="M1792" s="9"/>
      <c r="N1792" s="10"/>
      <c r="O1792" s="7">
        <f t="shared" si="962"/>
        <v>0</v>
      </c>
      <c r="P1792" s="8"/>
      <c r="Q1792" s="9"/>
      <c r="R1792" s="10"/>
      <c r="S1792" s="7">
        <f t="shared" si="963"/>
        <v>0</v>
      </c>
      <c r="U1792" s="3"/>
      <c r="V1792" s="8"/>
      <c r="W1792" s="9"/>
      <c r="X1792" s="10"/>
      <c r="Y1792" s="7">
        <f t="shared" si="957"/>
        <v>0</v>
      </c>
      <c r="Z1792" s="8"/>
      <c r="AA1792" s="9"/>
      <c r="AB1792" s="10"/>
      <c r="AC1792" s="7">
        <f t="shared" si="958"/>
        <v>0</v>
      </c>
      <c r="AD1792" s="8"/>
      <c r="AE1792" s="9"/>
      <c r="AF1792" s="10"/>
      <c r="AG1792" s="7">
        <f t="shared" si="959"/>
        <v>0</v>
      </c>
    </row>
    <row r="1793" spans="1:33">
      <c r="A1793" s="3"/>
      <c r="B1793" s="8"/>
      <c r="C1793" s="9"/>
      <c r="D1793" s="10"/>
      <c r="E1793" s="7">
        <f t="shared" si="954"/>
        <v>0</v>
      </c>
      <c r="F1793" s="8"/>
      <c r="G1793" s="9"/>
      <c r="H1793" s="10"/>
      <c r="I1793" s="7">
        <f t="shared" si="955"/>
        <v>0</v>
      </c>
      <c r="K1793" s="3"/>
      <c r="L1793" s="8"/>
      <c r="M1793" s="9"/>
      <c r="N1793" s="10"/>
      <c r="O1793" s="7">
        <f t="shared" ref="O1793:O1801" si="983">SUM(L1793:N1793)</f>
        <v>0</v>
      </c>
      <c r="P1793" s="8"/>
      <c r="Q1793" s="9"/>
      <c r="R1793" s="10"/>
      <c r="S1793" s="7">
        <f t="shared" ref="S1793:S1801" si="984">SUM(P1793:R1793)</f>
        <v>0</v>
      </c>
      <c r="U1793" s="3"/>
      <c r="V1793" s="8"/>
      <c r="W1793" s="9"/>
      <c r="X1793" s="10"/>
      <c r="Y1793" s="7">
        <f t="shared" si="957"/>
        <v>0</v>
      </c>
      <c r="Z1793" s="8"/>
      <c r="AA1793" s="9"/>
      <c r="AB1793" s="10"/>
      <c r="AC1793" s="7">
        <f t="shared" si="958"/>
        <v>0</v>
      </c>
      <c r="AD1793" s="8"/>
      <c r="AE1793" s="9"/>
      <c r="AF1793" s="10"/>
      <c r="AG1793" s="7">
        <f t="shared" si="959"/>
        <v>0</v>
      </c>
    </row>
    <row r="1794" spans="1:33">
      <c r="A1794" s="3"/>
      <c r="B1794" s="8"/>
      <c r="C1794" s="9"/>
      <c r="D1794" s="10"/>
      <c r="E1794" s="7">
        <f t="shared" si="954"/>
        <v>0</v>
      </c>
      <c r="F1794" s="8"/>
      <c r="G1794" s="9"/>
      <c r="H1794" s="10"/>
      <c r="I1794" s="7">
        <f t="shared" si="955"/>
        <v>0</v>
      </c>
      <c r="K1794" s="3"/>
      <c r="L1794" s="8"/>
      <c r="M1794" s="9"/>
      <c r="N1794" s="10"/>
      <c r="O1794" s="7">
        <f t="shared" si="983"/>
        <v>0</v>
      </c>
      <c r="P1794" s="8"/>
      <c r="Q1794" s="9"/>
      <c r="R1794" s="10"/>
      <c r="S1794" s="7">
        <f t="shared" si="984"/>
        <v>0</v>
      </c>
      <c r="U1794" s="3"/>
      <c r="V1794" s="8"/>
      <c r="W1794" s="9"/>
      <c r="X1794" s="10"/>
      <c r="Y1794" s="7">
        <f t="shared" si="957"/>
        <v>0</v>
      </c>
      <c r="Z1794" s="8"/>
      <c r="AA1794" s="9"/>
      <c r="AB1794" s="10"/>
      <c r="AC1794" s="7">
        <f t="shared" si="958"/>
        <v>0</v>
      </c>
      <c r="AD1794" s="8"/>
      <c r="AE1794" s="9"/>
      <c r="AF1794" s="10"/>
      <c r="AG1794" s="7">
        <f t="shared" si="959"/>
        <v>0</v>
      </c>
    </row>
    <row r="1795" spans="1:33">
      <c r="A1795" s="3"/>
      <c r="B1795" s="8"/>
      <c r="C1795" s="9"/>
      <c r="D1795" s="10"/>
      <c r="E1795" s="7">
        <f t="shared" si="954"/>
        <v>0</v>
      </c>
      <c r="F1795" s="8"/>
      <c r="G1795" s="9"/>
      <c r="H1795" s="10"/>
      <c r="I1795" s="7">
        <f t="shared" si="955"/>
        <v>0</v>
      </c>
      <c r="K1795" s="3"/>
      <c r="L1795" s="8"/>
      <c r="M1795" s="9"/>
      <c r="N1795" s="10"/>
      <c r="O1795" s="7">
        <f t="shared" si="983"/>
        <v>0</v>
      </c>
      <c r="P1795" s="8"/>
      <c r="Q1795" s="9"/>
      <c r="R1795" s="10"/>
      <c r="S1795" s="7">
        <f t="shared" si="984"/>
        <v>0</v>
      </c>
      <c r="U1795" s="3"/>
      <c r="V1795" s="8"/>
      <c r="W1795" s="9"/>
      <c r="X1795" s="10"/>
      <c r="Y1795" s="7">
        <f t="shared" si="957"/>
        <v>0</v>
      </c>
      <c r="Z1795" s="8"/>
      <c r="AA1795" s="9"/>
      <c r="AB1795" s="10"/>
      <c r="AC1795" s="7">
        <f t="shared" si="958"/>
        <v>0</v>
      </c>
      <c r="AD1795" s="8"/>
      <c r="AE1795" s="9"/>
      <c r="AF1795" s="10"/>
      <c r="AG1795" s="7">
        <f t="shared" si="959"/>
        <v>0</v>
      </c>
    </row>
    <row r="1796" spans="1:33">
      <c r="A1796" s="3"/>
      <c r="B1796" s="8"/>
      <c r="C1796" s="9"/>
      <c r="D1796" s="10"/>
      <c r="E1796" s="7">
        <f t="shared" si="954"/>
        <v>0</v>
      </c>
      <c r="F1796" s="8"/>
      <c r="G1796" s="9"/>
      <c r="H1796" s="10"/>
      <c r="I1796" s="7">
        <f t="shared" si="955"/>
        <v>0</v>
      </c>
      <c r="K1796" s="3"/>
      <c r="L1796" s="8"/>
      <c r="M1796" s="9"/>
      <c r="N1796" s="10"/>
      <c r="O1796" s="7">
        <f t="shared" si="983"/>
        <v>0</v>
      </c>
      <c r="P1796" s="8"/>
      <c r="Q1796" s="9"/>
      <c r="R1796" s="10"/>
      <c r="S1796" s="7">
        <f t="shared" si="984"/>
        <v>0</v>
      </c>
      <c r="U1796" s="3"/>
      <c r="V1796" s="8"/>
      <c r="W1796" s="9"/>
      <c r="X1796" s="10"/>
      <c r="Y1796" s="7">
        <f t="shared" si="957"/>
        <v>0</v>
      </c>
      <c r="Z1796" s="8"/>
      <c r="AA1796" s="9"/>
      <c r="AB1796" s="10"/>
      <c r="AC1796" s="7">
        <f t="shared" si="958"/>
        <v>0</v>
      </c>
      <c r="AD1796" s="8"/>
      <c r="AE1796" s="9"/>
      <c r="AF1796" s="10"/>
      <c r="AG1796" s="7">
        <f t="shared" si="959"/>
        <v>0</v>
      </c>
    </row>
    <row r="1797" spans="1:33">
      <c r="A1797" s="11"/>
      <c r="B1797" s="8"/>
      <c r="C1797" s="9"/>
      <c r="D1797" s="10"/>
      <c r="E1797" s="7">
        <f t="shared" si="954"/>
        <v>0</v>
      </c>
      <c r="F1797" s="8"/>
      <c r="G1797" s="9"/>
      <c r="H1797" s="10"/>
      <c r="I1797" s="7">
        <f t="shared" si="955"/>
        <v>0</v>
      </c>
      <c r="K1797" s="3"/>
      <c r="L1797" s="8"/>
      <c r="M1797" s="9"/>
      <c r="N1797" s="10"/>
      <c r="O1797" s="7">
        <f t="shared" si="983"/>
        <v>0</v>
      </c>
      <c r="P1797" s="8"/>
      <c r="Q1797" s="9"/>
      <c r="R1797" s="10"/>
      <c r="S1797" s="7">
        <f t="shared" si="984"/>
        <v>0</v>
      </c>
      <c r="U1797" s="3"/>
      <c r="V1797" s="8"/>
      <c r="W1797" s="9"/>
      <c r="X1797" s="10"/>
      <c r="Y1797" s="7">
        <f t="shared" si="957"/>
        <v>0</v>
      </c>
      <c r="Z1797" s="8"/>
      <c r="AA1797" s="9"/>
      <c r="AB1797" s="10"/>
      <c r="AC1797" s="7">
        <f t="shared" si="958"/>
        <v>0</v>
      </c>
      <c r="AD1797" s="8"/>
      <c r="AE1797" s="9"/>
      <c r="AF1797" s="10"/>
      <c r="AG1797" s="7">
        <f t="shared" si="959"/>
        <v>0</v>
      </c>
    </row>
    <row r="1798" spans="1:33">
      <c r="A1798" s="11"/>
      <c r="B1798" s="8"/>
      <c r="C1798" s="9"/>
      <c r="D1798" s="10"/>
      <c r="E1798" s="7">
        <f t="shared" si="954"/>
        <v>0</v>
      </c>
      <c r="F1798" s="8"/>
      <c r="G1798" s="9"/>
      <c r="H1798" s="10"/>
      <c r="I1798" s="7">
        <f t="shared" si="955"/>
        <v>0</v>
      </c>
      <c r="K1798" s="3"/>
      <c r="L1798" s="8"/>
      <c r="M1798" s="9"/>
      <c r="N1798" s="10"/>
      <c r="O1798" s="7">
        <f t="shared" si="983"/>
        <v>0</v>
      </c>
      <c r="P1798" s="8"/>
      <c r="Q1798" s="9"/>
      <c r="R1798" s="10"/>
      <c r="S1798" s="7">
        <f t="shared" si="984"/>
        <v>0</v>
      </c>
      <c r="U1798" s="3"/>
      <c r="V1798" s="8"/>
      <c r="W1798" s="9"/>
      <c r="X1798" s="10"/>
      <c r="Y1798" s="7">
        <f t="shared" si="957"/>
        <v>0</v>
      </c>
      <c r="Z1798" s="8"/>
      <c r="AA1798" s="9"/>
      <c r="AB1798" s="10"/>
      <c r="AC1798" s="7">
        <f t="shared" si="958"/>
        <v>0</v>
      </c>
      <c r="AD1798" s="8"/>
      <c r="AE1798" s="9"/>
      <c r="AF1798" s="10"/>
      <c r="AG1798" s="7">
        <f t="shared" si="959"/>
        <v>0</v>
      </c>
    </row>
    <row r="1799" spans="1:33">
      <c r="A1799" s="11"/>
      <c r="B1799" s="8"/>
      <c r="C1799" s="9"/>
      <c r="D1799" s="10"/>
      <c r="E1799" s="7">
        <f t="shared" si="954"/>
        <v>0</v>
      </c>
      <c r="F1799" s="8"/>
      <c r="G1799" s="9"/>
      <c r="H1799" s="10"/>
      <c r="I1799" s="7">
        <f t="shared" si="955"/>
        <v>0</v>
      </c>
      <c r="K1799" s="3"/>
      <c r="L1799" s="8"/>
      <c r="M1799" s="9"/>
      <c r="N1799" s="10"/>
      <c r="O1799" s="7">
        <f t="shared" si="983"/>
        <v>0</v>
      </c>
      <c r="P1799" s="8"/>
      <c r="Q1799" s="9"/>
      <c r="R1799" s="10"/>
      <c r="S1799" s="7">
        <f t="shared" si="984"/>
        <v>0</v>
      </c>
      <c r="U1799" s="11"/>
      <c r="V1799" s="8"/>
      <c r="W1799" s="9"/>
      <c r="X1799" s="10"/>
      <c r="Y1799" s="7">
        <f t="shared" si="957"/>
        <v>0</v>
      </c>
      <c r="Z1799" s="8"/>
      <c r="AA1799" s="9"/>
      <c r="AB1799" s="10"/>
      <c r="AC1799" s="7">
        <f t="shared" si="958"/>
        <v>0</v>
      </c>
      <c r="AD1799" s="8"/>
      <c r="AE1799" s="9"/>
      <c r="AF1799" s="10"/>
      <c r="AG1799" s="7">
        <f t="shared" si="959"/>
        <v>0</v>
      </c>
    </row>
    <row r="1800" spans="1:33">
      <c r="A1800" s="11"/>
      <c r="B1800" s="8"/>
      <c r="C1800" s="9"/>
      <c r="D1800" s="10"/>
      <c r="E1800" s="7">
        <f t="shared" si="954"/>
        <v>0</v>
      </c>
      <c r="F1800" s="8"/>
      <c r="G1800" s="9"/>
      <c r="H1800" s="10"/>
      <c r="I1800" s="7">
        <f t="shared" si="955"/>
        <v>0</v>
      </c>
      <c r="K1800" s="3"/>
      <c r="L1800" s="8"/>
      <c r="M1800" s="9"/>
      <c r="N1800" s="10"/>
      <c r="O1800" s="7">
        <f t="shared" si="983"/>
        <v>0</v>
      </c>
      <c r="P1800" s="8"/>
      <c r="Q1800" s="9"/>
      <c r="R1800" s="10"/>
      <c r="S1800" s="7">
        <f t="shared" si="984"/>
        <v>0</v>
      </c>
      <c r="U1800" s="3"/>
      <c r="V1800" s="8"/>
      <c r="W1800" s="9"/>
      <c r="X1800" s="10"/>
      <c r="Y1800" s="7">
        <f t="shared" si="957"/>
        <v>0</v>
      </c>
      <c r="Z1800" s="8"/>
      <c r="AA1800" s="9"/>
      <c r="AB1800" s="10"/>
      <c r="AC1800" s="7">
        <f t="shared" si="958"/>
        <v>0</v>
      </c>
      <c r="AD1800" s="8"/>
      <c r="AE1800" s="9"/>
      <c r="AF1800" s="10"/>
      <c r="AG1800" s="7">
        <f t="shared" si="959"/>
        <v>0</v>
      </c>
    </row>
    <row r="1801" spans="1:33">
      <c r="A1801" s="11"/>
      <c r="B1801" s="8"/>
      <c r="C1801" s="9"/>
      <c r="D1801" s="10"/>
      <c r="E1801" s="7">
        <f t="shared" si="954"/>
        <v>0</v>
      </c>
      <c r="F1801" s="8"/>
      <c r="G1801" s="9"/>
      <c r="H1801" s="10"/>
      <c r="I1801" s="7">
        <f t="shared" si="955"/>
        <v>0</v>
      </c>
      <c r="K1801" s="3"/>
      <c r="L1801" s="8"/>
      <c r="M1801" s="9"/>
      <c r="N1801" s="10"/>
      <c r="O1801" s="7">
        <f t="shared" si="983"/>
        <v>0</v>
      </c>
      <c r="P1801" s="8"/>
      <c r="Q1801" s="9"/>
      <c r="R1801" s="10"/>
      <c r="S1801" s="7">
        <f t="shared" si="984"/>
        <v>0</v>
      </c>
      <c r="U1801" s="3"/>
      <c r="V1801" s="8"/>
      <c r="W1801" s="9"/>
      <c r="X1801" s="10"/>
      <c r="Y1801" s="7">
        <f t="shared" si="957"/>
        <v>0</v>
      </c>
      <c r="Z1801" s="8"/>
      <c r="AA1801" s="9"/>
      <c r="AB1801" s="10"/>
      <c r="AC1801" s="7">
        <f t="shared" si="958"/>
        <v>0</v>
      </c>
      <c r="AD1801" s="8"/>
      <c r="AE1801" s="9"/>
      <c r="AF1801" s="10"/>
      <c r="AG1801" s="7">
        <f t="shared" si="959"/>
        <v>0</v>
      </c>
    </row>
    <row r="1802" spans="1:33" ht="14.25" thickBot="1">
      <c r="A1802" s="3"/>
      <c r="B1802" s="8"/>
      <c r="C1802" s="9"/>
      <c r="D1802" s="10"/>
      <c r="E1802" s="7">
        <f t="shared" si="954"/>
        <v>0</v>
      </c>
      <c r="F1802" s="8"/>
      <c r="G1802" s="9"/>
      <c r="H1802" s="10"/>
      <c r="I1802" s="7">
        <f t="shared" si="955"/>
        <v>0</v>
      </c>
      <c r="K1802" s="3"/>
      <c r="L1802" s="8"/>
      <c r="M1802" s="9"/>
      <c r="N1802" s="10"/>
      <c r="O1802" s="7">
        <f t="shared" ref="O1802" si="985">SUM(L1802:N1802)</f>
        <v>0</v>
      </c>
      <c r="P1802" s="8"/>
      <c r="Q1802" s="9"/>
      <c r="R1802" s="10"/>
      <c r="S1802" s="7">
        <f t="shared" ref="S1802" si="986">SUM(P1802:R1802)</f>
        <v>0</v>
      </c>
      <c r="U1802" s="3"/>
      <c r="V1802" s="8"/>
      <c r="W1802" s="9"/>
      <c r="X1802" s="10"/>
      <c r="Y1802" s="7">
        <f t="shared" ref="Y1802" si="987">SUM(V1802:X1802)</f>
        <v>0</v>
      </c>
      <c r="Z1802" s="8"/>
      <c r="AA1802" s="9"/>
      <c r="AB1802" s="10"/>
      <c r="AC1802" s="7">
        <f t="shared" ref="AC1802" si="988">SUM(Z1802:AB1802)</f>
        <v>0</v>
      </c>
      <c r="AD1802" s="8"/>
      <c r="AE1802" s="9"/>
      <c r="AF1802" s="10"/>
      <c r="AG1802" s="7">
        <f t="shared" ref="AG1802" si="989">SUM(AD1802:AF1802)</f>
        <v>0</v>
      </c>
    </row>
    <row r="1803" spans="1:33" ht="14.25" thickBot="1">
      <c r="A1803" s="2" t="s">
        <v>5</v>
      </c>
      <c r="B1803" s="14">
        <f>SUM(B1779:B1802)</f>
        <v>0</v>
      </c>
      <c r="C1803" s="14">
        <f>SUM(C1779:C1802)</f>
        <v>0</v>
      </c>
      <c r="D1803" s="14">
        <f>SUM(D1779:D1802)</f>
        <v>0</v>
      </c>
      <c r="E1803" s="15">
        <f t="shared" si="954"/>
        <v>0</v>
      </c>
      <c r="F1803" s="14">
        <f>SUM(F1779:F1802)</f>
        <v>0</v>
      </c>
      <c r="G1803" s="14">
        <f>SUM(G1779:G1802)</f>
        <v>0</v>
      </c>
      <c r="H1803" s="14">
        <f>SUM(H1779:H1802)</f>
        <v>0</v>
      </c>
      <c r="I1803" s="15">
        <f t="shared" si="955"/>
        <v>0</v>
      </c>
      <c r="K1803" s="2" t="s">
        <v>5</v>
      </c>
      <c r="L1803" s="14">
        <f>SUM(L1779:L1802)</f>
        <v>0</v>
      </c>
      <c r="M1803" s="14">
        <f t="shared" ref="M1803" si="990">SUM(M1779:M1802)</f>
        <v>0</v>
      </c>
      <c r="N1803" s="14">
        <f t="shared" ref="N1803" si="991">SUM(N1779:N1802)</f>
        <v>0</v>
      </c>
      <c r="O1803" s="15">
        <f t="shared" ref="O1803" si="992">SUM(O1779:O1802)</f>
        <v>0</v>
      </c>
      <c r="P1803" s="14">
        <f t="shared" ref="P1803" si="993">SUM(P1779:P1802)</f>
        <v>0</v>
      </c>
      <c r="Q1803" s="14">
        <f t="shared" ref="Q1803" si="994">SUM(Q1779:Q1802)</f>
        <v>0</v>
      </c>
      <c r="R1803" s="14">
        <f t="shared" ref="R1803" si="995">SUM(R1779:R1802)</f>
        <v>0</v>
      </c>
      <c r="S1803" s="15">
        <f t="shared" ref="S1803" si="996">SUM(S1779:S1802)</f>
        <v>0</v>
      </c>
      <c r="U1803" s="2" t="s">
        <v>5</v>
      </c>
      <c r="V1803" s="14">
        <f>SUM(V1779:V1802)</f>
        <v>0</v>
      </c>
      <c r="W1803" s="14">
        <f>SUM(W1779:W1802)</f>
        <v>0</v>
      </c>
      <c r="X1803" s="14">
        <f>SUM(X1779:X1802)</f>
        <v>0</v>
      </c>
      <c r="Y1803" s="15">
        <f t="shared" si="957"/>
        <v>0</v>
      </c>
      <c r="Z1803" s="14">
        <f>SUM(Z1779:Z1802)</f>
        <v>0</v>
      </c>
      <c r="AA1803" s="14">
        <f>SUM(AA1779:AA1802)</f>
        <v>0</v>
      </c>
      <c r="AB1803" s="14">
        <f>SUM(AB1779:AB1802)</f>
        <v>0</v>
      </c>
      <c r="AC1803" s="15">
        <f t="shared" si="958"/>
        <v>0</v>
      </c>
      <c r="AD1803" s="14">
        <f>SUM(AD1779:AD1802)</f>
        <v>0</v>
      </c>
      <c r="AE1803" s="14">
        <f>SUM(AE1779:AE1802)</f>
        <v>0</v>
      </c>
      <c r="AF1803" s="14">
        <f>SUM(AF1779:AF1802)</f>
        <v>0</v>
      </c>
      <c r="AG1803" s="15">
        <f t="shared" si="959"/>
        <v>0</v>
      </c>
    </row>
    <row r="1804" spans="1:33" ht="14.25" thickBot="1">
      <c r="A1804" s="27" t="s">
        <v>6</v>
      </c>
      <c r="B1804" s="28">
        <f>B1778-B1803</f>
        <v>5</v>
      </c>
      <c r="C1804" s="28">
        <f t="shared" ref="C1804:E1804" si="997">C1778-C1803</f>
        <v>1</v>
      </c>
      <c r="D1804" s="28">
        <f t="shared" si="997"/>
        <v>7</v>
      </c>
      <c r="E1804" s="28">
        <f t="shared" si="997"/>
        <v>13</v>
      </c>
      <c r="F1804" s="28">
        <f>F1778-F1803</f>
        <v>5</v>
      </c>
      <c r="G1804" s="28">
        <f t="shared" ref="G1804:I1804" si="998">G1778-G1803</f>
        <v>1</v>
      </c>
      <c r="H1804" s="28">
        <f t="shared" si="998"/>
        <v>7</v>
      </c>
      <c r="I1804" s="26">
        <f t="shared" si="998"/>
        <v>13</v>
      </c>
      <c r="K1804" s="27" t="s">
        <v>6</v>
      </c>
      <c r="L1804" s="28">
        <f>L1778-L1803</f>
        <v>164</v>
      </c>
      <c r="M1804" s="28">
        <f t="shared" ref="M1804" si="999">M1778-M1803</f>
        <v>166</v>
      </c>
      <c r="N1804" s="28">
        <f t="shared" ref="N1804" si="1000">N1778-N1803</f>
        <v>85</v>
      </c>
      <c r="O1804" s="28">
        <f t="shared" ref="O1804" si="1001">O1778-O1803</f>
        <v>415</v>
      </c>
      <c r="P1804" s="28">
        <f t="shared" ref="P1804" si="1002">P1778-P1803</f>
        <v>164</v>
      </c>
      <c r="Q1804" s="28">
        <f t="shared" ref="Q1804" si="1003">Q1778-Q1803</f>
        <v>166</v>
      </c>
      <c r="R1804" s="28">
        <f t="shared" ref="R1804" si="1004">R1778-R1803</f>
        <v>85</v>
      </c>
      <c r="S1804" s="26">
        <f t="shared" ref="S1804" si="1005">S1778-S1803</f>
        <v>415</v>
      </c>
      <c r="U1804" s="27" t="s">
        <v>6</v>
      </c>
      <c r="V1804" s="28">
        <f>V1778-V1803</f>
        <v>23</v>
      </c>
      <c r="W1804" s="28">
        <f t="shared" ref="W1804:Y1804" si="1006">W1778-W1803</f>
        <v>24</v>
      </c>
      <c r="X1804" s="28">
        <f t="shared" si="1006"/>
        <v>17</v>
      </c>
      <c r="Y1804" s="28">
        <f t="shared" si="1006"/>
        <v>64</v>
      </c>
      <c r="Z1804" s="28">
        <f>Z1778-Z1803</f>
        <v>23</v>
      </c>
      <c r="AA1804" s="28">
        <f t="shared" ref="AA1804:AC1804" si="1007">AA1778-AA1803</f>
        <v>24</v>
      </c>
      <c r="AB1804" s="28">
        <f t="shared" si="1007"/>
        <v>17</v>
      </c>
      <c r="AC1804" s="26">
        <f t="shared" si="1007"/>
        <v>64</v>
      </c>
      <c r="AD1804" s="28">
        <f>AD1778-AD1803</f>
        <v>23</v>
      </c>
      <c r="AE1804" s="28">
        <f t="shared" ref="AE1804:AG1804" si="1008">AE1778-AE1803</f>
        <v>24</v>
      </c>
      <c r="AF1804" s="28">
        <f t="shared" si="1008"/>
        <v>17</v>
      </c>
      <c r="AG1804" s="26">
        <f t="shared" si="1008"/>
        <v>64</v>
      </c>
    </row>
    <row r="1805" spans="1:33">
      <c r="L1805" s="67">
        <f>L1804/$O$1804*100</f>
        <v>39.518072289156628</v>
      </c>
      <c r="M1805" s="67">
        <f t="shared" ref="M1805:O1805" si="1009">M1804/$O$1804*100</f>
        <v>40</v>
      </c>
      <c r="N1805" s="67">
        <f t="shared" si="1009"/>
        <v>20.481927710843372</v>
      </c>
      <c r="O1805" s="67">
        <f t="shared" si="1009"/>
        <v>100</v>
      </c>
    </row>
    <row r="1806" spans="1:33" ht="54.75" customHeight="1">
      <c r="A1806" s="184" t="s">
        <v>985</v>
      </c>
      <c r="B1806" s="184"/>
      <c r="C1806" s="184"/>
      <c r="D1806" s="184"/>
      <c r="E1806" s="184"/>
      <c r="F1806" s="184"/>
      <c r="G1806" s="184"/>
      <c r="H1806" s="184"/>
      <c r="I1806" s="184"/>
      <c r="J1806" s="184"/>
      <c r="K1806" s="184"/>
      <c r="L1806" s="184"/>
      <c r="M1806" s="184"/>
      <c r="N1806" s="184"/>
      <c r="O1806" s="184"/>
      <c r="P1806" s="184"/>
      <c r="Q1806" s="184"/>
      <c r="R1806" s="184"/>
      <c r="S1806" s="184"/>
      <c r="T1806" s="184"/>
      <c r="U1806" s="184"/>
      <c r="V1806" s="184"/>
      <c r="W1806" s="184"/>
      <c r="X1806" s="184"/>
      <c r="Y1806" s="184"/>
      <c r="Z1806" s="184"/>
      <c r="AA1806" s="184"/>
      <c r="AB1806" s="184"/>
      <c r="AC1806" s="184"/>
      <c r="AD1806" s="184"/>
      <c r="AE1806" s="184"/>
      <c r="AF1806" s="184"/>
      <c r="AG1806" s="184"/>
    </row>
    <row r="1807" spans="1:33" ht="26.25" thickBot="1">
      <c r="A1807" s="33" t="s">
        <v>1008</v>
      </c>
      <c r="B1807" s="34"/>
      <c r="C1807" s="34"/>
      <c r="D1807" s="34"/>
      <c r="E1807" s="34"/>
      <c r="F1807" s="35"/>
      <c r="G1807" s="35"/>
      <c r="H1807" s="35"/>
      <c r="I1807" s="35"/>
      <c r="K1807" s="33" t="s">
        <v>1004</v>
      </c>
      <c r="L1807" s="34"/>
      <c r="M1807" s="34"/>
      <c r="N1807" s="34"/>
      <c r="O1807" s="34"/>
      <c r="P1807" s="35"/>
      <c r="Q1807" s="35"/>
      <c r="R1807" s="35"/>
      <c r="S1807" s="35"/>
      <c r="U1807" s="113" t="s">
        <v>622</v>
      </c>
      <c r="V1807" s="114"/>
      <c r="W1807" s="114"/>
      <c r="X1807" s="114"/>
      <c r="Y1807" s="114"/>
      <c r="Z1807" s="115"/>
      <c r="AA1807" s="115"/>
      <c r="AB1807" s="115"/>
      <c r="AC1807" s="115"/>
      <c r="AD1807" s="116"/>
      <c r="AE1807" s="116"/>
    </row>
    <row r="1808" spans="1:33" ht="14.25" thickBot="1">
      <c r="A1808" s="1" t="s">
        <v>0</v>
      </c>
      <c r="B1808" s="182" t="s">
        <v>17</v>
      </c>
      <c r="C1808" s="182"/>
      <c r="D1808" s="182"/>
      <c r="E1808" s="183"/>
      <c r="F1808" s="182" t="s">
        <v>13</v>
      </c>
      <c r="G1808" s="182"/>
      <c r="H1808" s="182"/>
      <c r="I1808" s="183"/>
      <c r="K1808" s="1" t="s">
        <v>0</v>
      </c>
      <c r="L1808" s="181" t="s">
        <v>17</v>
      </c>
      <c r="M1808" s="182"/>
      <c r="N1808" s="182"/>
      <c r="O1808" s="133"/>
      <c r="P1808" s="181" t="s">
        <v>13</v>
      </c>
      <c r="Q1808" s="182"/>
      <c r="R1808" s="182"/>
      <c r="S1808" s="133"/>
      <c r="U1808" s="1" t="s">
        <v>0</v>
      </c>
      <c r="V1808" s="182" t="s">
        <v>17</v>
      </c>
      <c r="W1808" s="182"/>
      <c r="X1808" s="182"/>
      <c r="Y1808" s="183"/>
      <c r="Z1808" s="182" t="s">
        <v>13</v>
      </c>
      <c r="AA1808" s="182"/>
      <c r="AB1808" s="182"/>
      <c r="AC1808" s="183"/>
      <c r="AD1808" s="182" t="s">
        <v>242</v>
      </c>
      <c r="AE1808" s="182"/>
      <c r="AF1808" s="182"/>
      <c r="AG1808" s="183"/>
    </row>
    <row r="1809" spans="1:33" ht="14.25" thickBot="1">
      <c r="A1809" s="1" t="s">
        <v>1</v>
      </c>
      <c r="B1809" s="2" t="s">
        <v>8</v>
      </c>
      <c r="C1809" s="1" t="s">
        <v>9</v>
      </c>
      <c r="D1809" s="19" t="s">
        <v>10</v>
      </c>
      <c r="E1809" s="1" t="s">
        <v>2</v>
      </c>
      <c r="F1809" s="2" t="s">
        <v>8</v>
      </c>
      <c r="G1809" s="1" t="s">
        <v>9</v>
      </c>
      <c r="H1809" s="19" t="s">
        <v>10</v>
      </c>
      <c r="I1809" s="1" t="s">
        <v>2</v>
      </c>
      <c r="K1809" s="1" t="s">
        <v>1</v>
      </c>
      <c r="L1809" s="2" t="s">
        <v>8</v>
      </c>
      <c r="M1809" s="1" t="s">
        <v>9</v>
      </c>
      <c r="N1809" s="19" t="s">
        <v>10</v>
      </c>
      <c r="O1809" s="1" t="s">
        <v>2</v>
      </c>
      <c r="P1809" s="2" t="s">
        <v>8</v>
      </c>
      <c r="Q1809" s="1" t="s">
        <v>9</v>
      </c>
      <c r="R1809" s="19" t="s">
        <v>10</v>
      </c>
      <c r="S1809" s="1" t="s">
        <v>2</v>
      </c>
      <c r="U1809" s="1" t="s">
        <v>1</v>
      </c>
      <c r="V1809" s="2" t="s">
        <v>8</v>
      </c>
      <c r="W1809" s="1" t="s">
        <v>9</v>
      </c>
      <c r="X1809" s="19" t="s">
        <v>10</v>
      </c>
      <c r="Y1809" s="1" t="s">
        <v>2</v>
      </c>
      <c r="Z1809" s="2" t="s">
        <v>8</v>
      </c>
      <c r="AA1809" s="1" t="s">
        <v>9</v>
      </c>
      <c r="AB1809" s="19" t="s">
        <v>10</v>
      </c>
      <c r="AC1809" s="1" t="s">
        <v>2</v>
      </c>
      <c r="AD1809" s="2" t="s">
        <v>8</v>
      </c>
      <c r="AE1809" s="1" t="s">
        <v>9</v>
      </c>
      <c r="AF1809" s="19" t="s">
        <v>10</v>
      </c>
      <c r="AG1809" s="1" t="s">
        <v>2</v>
      </c>
    </row>
    <row r="1810" spans="1:33">
      <c r="A1810" s="21" t="s">
        <v>7</v>
      </c>
      <c r="B1810" s="18">
        <f>B1804</f>
        <v>5</v>
      </c>
      <c r="C1810" s="22">
        <f>C1804</f>
        <v>1</v>
      </c>
      <c r="D1810" s="22">
        <f>D1804</f>
        <v>7</v>
      </c>
      <c r="E1810" s="17">
        <f t="shared" ref="E1810" si="1010">SUM(B1810:D1810)</f>
        <v>13</v>
      </c>
      <c r="F1810" s="22">
        <f>F1804</f>
        <v>5</v>
      </c>
      <c r="G1810" s="22">
        <f>G1804</f>
        <v>1</v>
      </c>
      <c r="H1810" s="22">
        <f>H1804</f>
        <v>7</v>
      </c>
      <c r="I1810" s="17">
        <f t="shared" ref="I1810:I1846" si="1011">SUM(F1810:H1810)</f>
        <v>13</v>
      </c>
      <c r="K1810" s="21" t="s">
        <v>7</v>
      </c>
      <c r="L1810" s="18">
        <f>L1804</f>
        <v>164</v>
      </c>
      <c r="M1810" s="22">
        <f t="shared" ref="M1810:S1810" si="1012">M1804</f>
        <v>166</v>
      </c>
      <c r="N1810" s="22">
        <f t="shared" si="1012"/>
        <v>85</v>
      </c>
      <c r="O1810" s="17">
        <f t="shared" si="1012"/>
        <v>415</v>
      </c>
      <c r="P1810" s="22">
        <f t="shared" si="1012"/>
        <v>164</v>
      </c>
      <c r="Q1810" s="22">
        <f t="shared" si="1012"/>
        <v>166</v>
      </c>
      <c r="R1810" s="22">
        <f t="shared" si="1012"/>
        <v>85</v>
      </c>
      <c r="S1810" s="17">
        <f t="shared" si="1012"/>
        <v>415</v>
      </c>
      <c r="U1810" s="21" t="s">
        <v>7</v>
      </c>
      <c r="V1810" s="18">
        <f>V1804</f>
        <v>23</v>
      </c>
      <c r="W1810" s="22">
        <f>W1804</f>
        <v>24</v>
      </c>
      <c r="X1810" s="22">
        <f>X1804</f>
        <v>17</v>
      </c>
      <c r="Y1810" s="17">
        <f t="shared" ref="Y1810:Y1846" si="1013">SUM(V1810:X1810)</f>
        <v>64</v>
      </c>
      <c r="Z1810" s="22">
        <f>Z1804</f>
        <v>23</v>
      </c>
      <c r="AA1810" s="22">
        <f>AA1804</f>
        <v>24</v>
      </c>
      <c r="AB1810" s="22">
        <f>AB1804</f>
        <v>17</v>
      </c>
      <c r="AC1810" s="17">
        <f t="shared" ref="AC1810:AC1846" si="1014">SUM(Z1810:AB1810)</f>
        <v>64</v>
      </c>
      <c r="AD1810" s="22">
        <f>AD1804</f>
        <v>23</v>
      </c>
      <c r="AE1810" s="22">
        <f>AE1804</f>
        <v>24</v>
      </c>
      <c r="AF1810" s="22">
        <f>AF1804</f>
        <v>17</v>
      </c>
      <c r="AG1810" s="17">
        <f t="shared" ref="AG1810:AG1846" si="1015">SUM(AD1810:AF1810)</f>
        <v>64</v>
      </c>
    </row>
    <row r="1811" spans="1:33">
      <c r="A1811" s="5" t="s">
        <v>3</v>
      </c>
      <c r="B1811" s="16"/>
      <c r="C1811" s="11">
        <v>5</v>
      </c>
      <c r="D1811" s="16"/>
      <c r="E1811" s="4">
        <f t="shared" ref="E1811" si="1016">SUM(B1811:D1811)</f>
        <v>5</v>
      </c>
      <c r="F1811" s="16"/>
      <c r="G1811" s="11">
        <v>5</v>
      </c>
      <c r="H1811" s="16"/>
      <c r="I1811" s="4">
        <f t="shared" ref="I1811" si="1017">SUM(F1811:H1811)</f>
        <v>5</v>
      </c>
      <c r="J1811" s="43">
        <v>45668</v>
      </c>
      <c r="K1811" s="5" t="s">
        <v>3</v>
      </c>
      <c r="L1811" s="16"/>
      <c r="M1811" s="11"/>
      <c r="N1811" s="16"/>
      <c r="O1811" s="4">
        <f t="shared" ref="O1811:O1845" si="1018">SUM(L1811:N1811)</f>
        <v>0</v>
      </c>
      <c r="P1811" s="16"/>
      <c r="Q1811" s="11"/>
      <c r="R1811" s="16"/>
      <c r="S1811" s="4">
        <f t="shared" ref="S1811:S1845" si="1019">SUM(P1811:R1811)</f>
        <v>0</v>
      </c>
      <c r="U1811" s="5" t="s">
        <v>3</v>
      </c>
      <c r="V1811" s="16"/>
      <c r="W1811" s="11"/>
      <c r="X1811" s="16"/>
      <c r="Y1811" s="4">
        <f t="shared" si="1013"/>
        <v>0</v>
      </c>
      <c r="Z1811" s="16"/>
      <c r="AA1811" s="11"/>
      <c r="AB1811" s="16"/>
      <c r="AC1811" s="4">
        <f t="shared" si="1014"/>
        <v>0</v>
      </c>
      <c r="AD1811" s="16"/>
      <c r="AE1811" s="11"/>
      <c r="AF1811" s="16"/>
      <c r="AG1811" s="4">
        <f t="shared" si="1015"/>
        <v>0</v>
      </c>
    </row>
    <row r="1812" spans="1:33">
      <c r="A1812" s="5" t="s">
        <v>3</v>
      </c>
      <c r="B1812" s="16"/>
      <c r="C1812" s="11"/>
      <c r="D1812" s="16"/>
      <c r="E1812" s="4">
        <f t="shared" ref="E1812:E1813" si="1020">SUM(B1812:D1812)</f>
        <v>0</v>
      </c>
      <c r="F1812" s="16"/>
      <c r="G1812" s="11"/>
      <c r="H1812" s="16"/>
      <c r="I1812" s="4">
        <f t="shared" si="1011"/>
        <v>0</v>
      </c>
      <c r="J1812" s="71"/>
      <c r="K1812" s="5" t="s">
        <v>3</v>
      </c>
      <c r="L1812" s="32"/>
      <c r="M1812" s="31"/>
      <c r="N1812" s="32"/>
      <c r="O1812" s="4">
        <f t="shared" ref="O1812:O1818" si="1021">SUM(L1812:N1812)</f>
        <v>0</v>
      </c>
      <c r="P1812" s="32"/>
      <c r="Q1812" s="31"/>
      <c r="R1812" s="32"/>
      <c r="S1812" s="4">
        <f t="shared" ref="S1812:S1818" si="1022">SUM(P1812:R1812)</f>
        <v>0</v>
      </c>
      <c r="U1812" s="5" t="s">
        <v>3</v>
      </c>
      <c r="V1812" s="32"/>
      <c r="W1812" s="31"/>
      <c r="X1812" s="32"/>
      <c r="Y1812" s="4">
        <f t="shared" si="1013"/>
        <v>0</v>
      </c>
      <c r="Z1812" s="32"/>
      <c r="AA1812" s="31"/>
      <c r="AB1812" s="32"/>
      <c r="AC1812" s="4">
        <f t="shared" si="1014"/>
        <v>0</v>
      </c>
      <c r="AD1812" s="32"/>
      <c r="AE1812" s="31"/>
      <c r="AF1812" s="32"/>
      <c r="AG1812" s="4">
        <f t="shared" si="1015"/>
        <v>0</v>
      </c>
    </row>
    <row r="1813" spans="1:33">
      <c r="A1813" s="5" t="s">
        <v>3</v>
      </c>
      <c r="B1813" s="16"/>
      <c r="C1813" s="11"/>
      <c r="D1813" s="16"/>
      <c r="E1813" s="4">
        <f t="shared" si="1020"/>
        <v>0</v>
      </c>
      <c r="F1813" s="16"/>
      <c r="G1813" s="11"/>
      <c r="H1813" s="16"/>
      <c r="I1813" s="4">
        <f t="shared" si="1011"/>
        <v>0</v>
      </c>
      <c r="J1813" s="71"/>
      <c r="K1813" s="5" t="s">
        <v>3</v>
      </c>
      <c r="L1813" s="32"/>
      <c r="M1813" s="31"/>
      <c r="N1813" s="32"/>
      <c r="O1813" s="4">
        <f t="shared" si="1021"/>
        <v>0</v>
      </c>
      <c r="P1813" s="32"/>
      <c r="Q1813" s="31"/>
      <c r="R1813" s="32"/>
      <c r="S1813" s="4">
        <f t="shared" si="1022"/>
        <v>0</v>
      </c>
      <c r="U1813" s="5" t="s">
        <v>3</v>
      </c>
      <c r="V1813" s="32"/>
      <c r="W1813" s="31"/>
      <c r="X1813" s="32"/>
      <c r="Y1813" s="4">
        <f t="shared" si="1013"/>
        <v>0</v>
      </c>
      <c r="Z1813" s="32"/>
      <c r="AA1813" s="31"/>
      <c r="AB1813" s="32"/>
      <c r="AC1813" s="4">
        <f t="shared" si="1014"/>
        <v>0</v>
      </c>
      <c r="AD1813" s="32"/>
      <c r="AE1813" s="31"/>
      <c r="AF1813" s="32"/>
      <c r="AG1813" s="4">
        <f t="shared" si="1015"/>
        <v>0</v>
      </c>
    </row>
    <row r="1814" spans="1:33">
      <c r="A1814" s="5" t="s">
        <v>3</v>
      </c>
      <c r="B1814" s="16"/>
      <c r="C1814" s="11"/>
      <c r="D1814" s="16"/>
      <c r="E1814" s="4">
        <f t="shared" ref="E1814:E1821" si="1023">SUM(B1814:D1814)</f>
        <v>0</v>
      </c>
      <c r="F1814" s="16"/>
      <c r="G1814" s="11"/>
      <c r="H1814" s="16"/>
      <c r="I1814" s="4">
        <f t="shared" si="1011"/>
        <v>0</v>
      </c>
      <c r="J1814" s="71"/>
      <c r="K1814" s="5" t="s">
        <v>3</v>
      </c>
      <c r="L1814" s="32"/>
      <c r="M1814" s="31"/>
      <c r="N1814" s="32"/>
      <c r="O1814" s="4">
        <f t="shared" si="1021"/>
        <v>0</v>
      </c>
      <c r="P1814" s="32"/>
      <c r="Q1814" s="31"/>
      <c r="R1814" s="32"/>
      <c r="S1814" s="4">
        <f t="shared" si="1022"/>
        <v>0</v>
      </c>
      <c r="U1814" s="5" t="s">
        <v>3</v>
      </c>
      <c r="V1814" s="32"/>
      <c r="W1814" s="31"/>
      <c r="X1814" s="32"/>
      <c r="Y1814" s="4">
        <f t="shared" si="1013"/>
        <v>0</v>
      </c>
      <c r="Z1814" s="32"/>
      <c r="AA1814" s="31"/>
      <c r="AB1814" s="32"/>
      <c r="AC1814" s="4">
        <f t="shared" si="1014"/>
        <v>0</v>
      </c>
      <c r="AD1814" s="32"/>
      <c r="AE1814" s="31"/>
      <c r="AF1814" s="32"/>
      <c r="AG1814" s="4">
        <f t="shared" si="1015"/>
        <v>0</v>
      </c>
    </row>
    <row r="1815" spans="1:33">
      <c r="A1815" s="5" t="s">
        <v>3</v>
      </c>
      <c r="B1815" s="16"/>
      <c r="C1815" s="11"/>
      <c r="D1815" s="16"/>
      <c r="E1815" s="4">
        <f t="shared" si="1023"/>
        <v>0</v>
      </c>
      <c r="F1815" s="16"/>
      <c r="G1815" s="11"/>
      <c r="H1815" s="16"/>
      <c r="I1815" s="4">
        <f t="shared" si="1011"/>
        <v>0</v>
      </c>
      <c r="J1815" s="71"/>
      <c r="K1815" s="5" t="s">
        <v>3</v>
      </c>
      <c r="L1815" s="32"/>
      <c r="M1815" s="31"/>
      <c r="N1815" s="32"/>
      <c r="O1815" s="4">
        <f t="shared" si="1021"/>
        <v>0</v>
      </c>
      <c r="P1815" s="32"/>
      <c r="Q1815" s="31"/>
      <c r="R1815" s="32"/>
      <c r="S1815" s="4">
        <f t="shared" si="1022"/>
        <v>0</v>
      </c>
      <c r="U1815" s="5" t="s">
        <v>3</v>
      </c>
      <c r="V1815" s="30"/>
      <c r="W1815" s="31"/>
      <c r="X1815" s="32"/>
      <c r="Y1815" s="4">
        <f t="shared" si="1013"/>
        <v>0</v>
      </c>
      <c r="Z1815" s="30"/>
      <c r="AA1815" s="31"/>
      <c r="AB1815" s="32"/>
      <c r="AC1815" s="4">
        <f t="shared" si="1014"/>
        <v>0</v>
      </c>
      <c r="AD1815" s="30"/>
      <c r="AE1815" s="31"/>
      <c r="AF1815" s="32"/>
      <c r="AG1815" s="4">
        <f t="shared" si="1015"/>
        <v>0</v>
      </c>
    </row>
    <row r="1816" spans="1:33">
      <c r="A1816" s="5" t="s">
        <v>3</v>
      </c>
      <c r="B1816" s="16"/>
      <c r="C1816" s="11"/>
      <c r="D1816" s="16"/>
      <c r="E1816" s="4">
        <f t="shared" si="1023"/>
        <v>0</v>
      </c>
      <c r="F1816" s="16"/>
      <c r="G1816" s="11"/>
      <c r="H1816" s="16"/>
      <c r="I1816" s="4">
        <f t="shared" si="1011"/>
        <v>0</v>
      </c>
      <c r="K1816" s="5" t="s">
        <v>3</v>
      </c>
      <c r="L1816" s="32"/>
      <c r="M1816" s="31"/>
      <c r="N1816" s="32"/>
      <c r="O1816" s="4">
        <f t="shared" si="1021"/>
        <v>0</v>
      </c>
      <c r="P1816" s="32"/>
      <c r="Q1816" s="31"/>
      <c r="R1816" s="32"/>
      <c r="S1816" s="4">
        <f t="shared" si="1022"/>
        <v>0</v>
      </c>
      <c r="U1816" s="5" t="s">
        <v>3</v>
      </c>
      <c r="V1816" s="30"/>
      <c r="W1816" s="31"/>
      <c r="X1816" s="32"/>
      <c r="Y1816" s="4">
        <f t="shared" si="1013"/>
        <v>0</v>
      </c>
      <c r="Z1816" s="30"/>
      <c r="AA1816" s="31"/>
      <c r="AB1816" s="32"/>
      <c r="AC1816" s="4">
        <f t="shared" si="1014"/>
        <v>0</v>
      </c>
      <c r="AD1816" s="30"/>
      <c r="AE1816" s="31"/>
      <c r="AF1816" s="32"/>
      <c r="AG1816" s="4">
        <f t="shared" si="1015"/>
        <v>0</v>
      </c>
    </row>
    <row r="1817" spans="1:33">
      <c r="A1817" s="5" t="s">
        <v>3</v>
      </c>
      <c r="B1817" s="32"/>
      <c r="C1817" s="31"/>
      <c r="D1817" s="32"/>
      <c r="E1817" s="4">
        <f t="shared" si="1023"/>
        <v>0</v>
      </c>
      <c r="F1817" s="32"/>
      <c r="G1817" s="31"/>
      <c r="H1817" s="32"/>
      <c r="I1817" s="4">
        <f t="shared" si="1011"/>
        <v>0</v>
      </c>
      <c r="K1817" s="5" t="s">
        <v>3</v>
      </c>
      <c r="L1817" s="32"/>
      <c r="M1817" s="31"/>
      <c r="N1817" s="32"/>
      <c r="O1817" s="4">
        <f t="shared" si="1021"/>
        <v>0</v>
      </c>
      <c r="P1817" s="32"/>
      <c r="Q1817" s="31"/>
      <c r="R1817" s="32"/>
      <c r="S1817" s="4">
        <f t="shared" si="1022"/>
        <v>0</v>
      </c>
      <c r="U1817" s="5" t="s">
        <v>3</v>
      </c>
      <c r="V1817" s="30"/>
      <c r="W1817" s="31"/>
      <c r="X1817" s="32"/>
      <c r="Y1817" s="4">
        <f t="shared" si="1013"/>
        <v>0</v>
      </c>
      <c r="Z1817" s="30"/>
      <c r="AA1817" s="31"/>
      <c r="AB1817" s="32"/>
      <c r="AC1817" s="4">
        <f t="shared" si="1014"/>
        <v>0</v>
      </c>
      <c r="AD1817" s="30"/>
      <c r="AE1817" s="31"/>
      <c r="AF1817" s="32"/>
      <c r="AG1817" s="4">
        <f t="shared" si="1015"/>
        <v>0</v>
      </c>
    </row>
    <row r="1818" spans="1:33">
      <c r="A1818" s="5" t="s">
        <v>3</v>
      </c>
      <c r="B1818" s="32"/>
      <c r="C1818" s="31"/>
      <c r="D1818" s="32"/>
      <c r="E1818" s="4">
        <f t="shared" si="1023"/>
        <v>0</v>
      </c>
      <c r="F1818" s="32"/>
      <c r="G1818" s="31"/>
      <c r="H1818" s="32"/>
      <c r="I1818" s="4">
        <f t="shared" si="1011"/>
        <v>0</v>
      </c>
      <c r="K1818" s="5" t="s">
        <v>3</v>
      </c>
      <c r="L1818" s="32"/>
      <c r="M1818" s="31"/>
      <c r="N1818" s="32"/>
      <c r="O1818" s="4">
        <f t="shared" si="1021"/>
        <v>0</v>
      </c>
      <c r="P1818" s="32"/>
      <c r="Q1818" s="31"/>
      <c r="R1818" s="32"/>
      <c r="S1818" s="4">
        <f t="shared" si="1022"/>
        <v>0</v>
      </c>
      <c r="U1818" s="5" t="s">
        <v>3</v>
      </c>
      <c r="V1818" s="30"/>
      <c r="W1818" s="31"/>
      <c r="X1818" s="32"/>
      <c r="Y1818" s="4">
        <f t="shared" si="1013"/>
        <v>0</v>
      </c>
      <c r="Z1818" s="30"/>
      <c r="AA1818" s="31"/>
      <c r="AB1818" s="32"/>
      <c r="AC1818" s="4">
        <f t="shared" si="1014"/>
        <v>0</v>
      </c>
      <c r="AD1818" s="30"/>
      <c r="AE1818" s="31"/>
      <c r="AF1818" s="32"/>
      <c r="AG1818" s="4">
        <f t="shared" si="1015"/>
        <v>0</v>
      </c>
    </row>
    <row r="1819" spans="1:33">
      <c r="A1819" s="5" t="s">
        <v>3</v>
      </c>
      <c r="B1819" s="30"/>
      <c r="C1819" s="31"/>
      <c r="D1819" s="32"/>
      <c r="E1819" s="4">
        <f t="shared" si="1023"/>
        <v>0</v>
      </c>
      <c r="F1819" s="30"/>
      <c r="G1819" s="31"/>
      <c r="H1819" s="32"/>
      <c r="I1819" s="4">
        <f t="shared" si="1011"/>
        <v>0</v>
      </c>
      <c r="K1819" s="5" t="s">
        <v>3</v>
      </c>
      <c r="L1819" s="32"/>
      <c r="M1819" s="31"/>
      <c r="N1819" s="32"/>
      <c r="O1819" s="4">
        <f t="shared" si="1018"/>
        <v>0</v>
      </c>
      <c r="P1819" s="32"/>
      <c r="Q1819" s="31"/>
      <c r="R1819" s="32"/>
      <c r="S1819" s="4">
        <f t="shared" si="1019"/>
        <v>0</v>
      </c>
      <c r="U1819" s="5" t="s">
        <v>3</v>
      </c>
      <c r="V1819" s="30"/>
      <c r="W1819" s="31"/>
      <c r="X1819" s="32"/>
      <c r="Y1819" s="4">
        <f t="shared" si="1013"/>
        <v>0</v>
      </c>
      <c r="Z1819" s="30"/>
      <c r="AA1819" s="31"/>
      <c r="AB1819" s="32"/>
      <c r="AC1819" s="4">
        <f t="shared" si="1014"/>
        <v>0</v>
      </c>
      <c r="AD1819" s="30"/>
      <c r="AE1819" s="31"/>
      <c r="AF1819" s="32"/>
      <c r="AG1819" s="4">
        <f t="shared" si="1015"/>
        <v>0</v>
      </c>
    </row>
    <row r="1820" spans="1:33" ht="14.25" thickBot="1">
      <c r="A1820" s="6" t="s">
        <v>3</v>
      </c>
      <c r="B1820" s="36"/>
      <c r="C1820" s="37"/>
      <c r="D1820" s="36"/>
      <c r="E1820" s="20">
        <f t="shared" si="1023"/>
        <v>0</v>
      </c>
      <c r="F1820" s="13"/>
      <c r="G1820" s="12"/>
      <c r="H1820" s="13"/>
      <c r="I1820" s="20">
        <f t="shared" si="1011"/>
        <v>0</v>
      </c>
      <c r="K1820" s="5" t="s">
        <v>3</v>
      </c>
      <c r="L1820" s="36"/>
      <c r="M1820" s="37"/>
      <c r="N1820" s="36"/>
      <c r="O1820" s="20">
        <f t="shared" si="1018"/>
        <v>0</v>
      </c>
      <c r="P1820" s="13"/>
      <c r="Q1820" s="12"/>
      <c r="R1820" s="13"/>
      <c r="S1820" s="20">
        <f t="shared" si="1019"/>
        <v>0</v>
      </c>
      <c r="U1820" s="5" t="s">
        <v>3</v>
      </c>
      <c r="V1820" s="30"/>
      <c r="W1820" s="31"/>
      <c r="X1820" s="32"/>
      <c r="Y1820" s="4">
        <f t="shared" ref="Y1820" si="1024">SUM(V1820:X1820)</f>
        <v>0</v>
      </c>
      <c r="Z1820" s="30"/>
      <c r="AA1820" s="31"/>
      <c r="AB1820" s="32"/>
      <c r="AC1820" s="4">
        <f t="shared" ref="AC1820" si="1025">SUM(Z1820:AB1820)</f>
        <v>0</v>
      </c>
      <c r="AD1820" s="30"/>
      <c r="AE1820" s="31"/>
      <c r="AF1820" s="32"/>
      <c r="AG1820" s="4">
        <f t="shared" ref="AG1820" si="1026">SUM(AD1820:AF1820)</f>
        <v>0</v>
      </c>
    </row>
    <row r="1821" spans="1:33" ht="14.25" thickBot="1">
      <c r="A1821" s="23" t="s">
        <v>4</v>
      </c>
      <c r="B1821" s="24">
        <f>SUM(B1810:B1820)</f>
        <v>5</v>
      </c>
      <c r="C1821" s="24">
        <f>SUM(C1810:C1820)</f>
        <v>6</v>
      </c>
      <c r="D1821" s="25">
        <f>SUM(D1810:D1820)</f>
        <v>7</v>
      </c>
      <c r="E1821" s="26">
        <f t="shared" si="1023"/>
        <v>18</v>
      </c>
      <c r="F1821" s="24">
        <f>SUM(F1810:F1820)</f>
        <v>5</v>
      </c>
      <c r="G1821" s="24">
        <f>SUM(G1810:G1820)</f>
        <v>6</v>
      </c>
      <c r="H1821" s="25">
        <f>SUM(H1810:H1820)</f>
        <v>7</v>
      </c>
      <c r="I1821" s="26">
        <f t="shared" si="1011"/>
        <v>18</v>
      </c>
      <c r="K1821" s="23" t="s">
        <v>4</v>
      </c>
      <c r="L1821" s="24">
        <f>SUM(L1810:L1820)</f>
        <v>164</v>
      </c>
      <c r="M1821" s="24">
        <f t="shared" ref="M1821" si="1027">SUM(M1810:M1820)</f>
        <v>166</v>
      </c>
      <c r="N1821" s="25">
        <f t="shared" ref="N1821" si="1028">SUM(N1810:N1820)</f>
        <v>85</v>
      </c>
      <c r="O1821" s="26">
        <f t="shared" ref="O1821" si="1029">SUM(O1810:O1820)</f>
        <v>415</v>
      </c>
      <c r="P1821" s="24">
        <f t="shared" ref="P1821" si="1030">SUM(P1810:P1820)</f>
        <v>164</v>
      </c>
      <c r="Q1821" s="24">
        <f t="shared" ref="Q1821" si="1031">SUM(Q1810:Q1820)</f>
        <v>166</v>
      </c>
      <c r="R1821" s="25">
        <f t="shared" ref="R1821" si="1032">SUM(R1810:R1820)</f>
        <v>85</v>
      </c>
      <c r="S1821" s="26">
        <f t="shared" ref="S1821" si="1033">SUM(S1810:S1820)</f>
        <v>415</v>
      </c>
      <c r="T1821" s="146">
        <v>1.0940000000000001</v>
      </c>
      <c r="U1821" s="23" t="s">
        <v>4</v>
      </c>
      <c r="V1821" s="24">
        <f>SUM(V1810:V1820)</f>
        <v>23</v>
      </c>
      <c r="W1821" s="24">
        <f>SUM(W1810:W1820)</f>
        <v>24</v>
      </c>
      <c r="X1821" s="25">
        <f>SUM(X1810:X1820)</f>
        <v>17</v>
      </c>
      <c r="Y1821" s="26">
        <f t="shared" si="1013"/>
        <v>64</v>
      </c>
      <c r="Z1821" s="24">
        <f>SUM(Z1810:Z1820)</f>
        <v>23</v>
      </c>
      <c r="AA1821" s="24">
        <f>SUM(AA1810:AA1820)</f>
        <v>24</v>
      </c>
      <c r="AB1821" s="25">
        <f>SUM(AB1810:AB1820)</f>
        <v>17</v>
      </c>
      <c r="AC1821" s="26">
        <f t="shared" si="1014"/>
        <v>64</v>
      </c>
      <c r="AD1821" s="24">
        <f>SUM(AD1810:AD1820)</f>
        <v>23</v>
      </c>
      <c r="AE1821" s="24">
        <f>SUM(AE1810:AE1820)</f>
        <v>24</v>
      </c>
      <c r="AF1821" s="25">
        <f>SUM(AF1810:AF1820)</f>
        <v>17</v>
      </c>
      <c r="AG1821" s="26">
        <f t="shared" si="1015"/>
        <v>64</v>
      </c>
    </row>
    <row r="1822" spans="1:33">
      <c r="A1822" s="3" t="s">
        <v>1038</v>
      </c>
      <c r="B1822" s="8">
        <v>1</v>
      </c>
      <c r="C1822" s="9">
        <v>1</v>
      </c>
      <c r="D1822" s="10">
        <v>1</v>
      </c>
      <c r="E1822" s="7">
        <f t="shared" ref="E1822:E1829" si="1034">SUM(B1822:D1822)</f>
        <v>3</v>
      </c>
      <c r="F1822" s="8">
        <v>1</v>
      </c>
      <c r="G1822" s="9">
        <v>1</v>
      </c>
      <c r="H1822" s="10">
        <v>1</v>
      </c>
      <c r="I1822" s="7">
        <f t="shared" si="1011"/>
        <v>3</v>
      </c>
      <c r="J1822" s="49">
        <v>45722</v>
      </c>
      <c r="K1822" s="3" t="s">
        <v>1026</v>
      </c>
      <c r="L1822" s="8">
        <v>3</v>
      </c>
      <c r="M1822" s="9">
        <v>3</v>
      </c>
      <c r="N1822" s="10">
        <v>3</v>
      </c>
      <c r="O1822" s="7">
        <f t="shared" ref="O1822" si="1035">SUM(L1822:N1822)</f>
        <v>9</v>
      </c>
      <c r="P1822" s="8">
        <v>3</v>
      </c>
      <c r="Q1822" s="9">
        <v>3</v>
      </c>
      <c r="R1822" s="10">
        <v>3</v>
      </c>
      <c r="S1822" s="7">
        <f t="shared" ref="S1822" si="1036">SUM(P1822:R1822)</f>
        <v>9</v>
      </c>
      <c r="T1822" s="43">
        <v>45698</v>
      </c>
      <c r="U1822" s="40"/>
      <c r="V1822" s="8"/>
      <c r="W1822" s="9"/>
      <c r="X1822" s="10"/>
      <c r="Y1822" s="4">
        <f t="shared" si="1013"/>
        <v>0</v>
      </c>
      <c r="Z1822" s="8"/>
      <c r="AA1822" s="9"/>
      <c r="AB1822" s="10"/>
      <c r="AC1822" s="4">
        <f t="shared" si="1014"/>
        <v>0</v>
      </c>
      <c r="AD1822" s="8"/>
      <c r="AE1822" s="9"/>
      <c r="AF1822" s="10"/>
      <c r="AG1822" s="4">
        <f t="shared" si="1015"/>
        <v>0</v>
      </c>
    </row>
    <row r="1823" spans="1:33">
      <c r="A1823" s="3" t="s">
        <v>1039</v>
      </c>
      <c r="B1823" s="8"/>
      <c r="C1823" s="9">
        <v>2</v>
      </c>
      <c r="D1823" s="10"/>
      <c r="E1823" s="7">
        <f t="shared" si="1034"/>
        <v>2</v>
      </c>
      <c r="F1823" s="8"/>
      <c r="G1823" s="9">
        <v>2</v>
      </c>
      <c r="H1823" s="10"/>
      <c r="I1823" s="7">
        <f t="shared" si="1011"/>
        <v>2</v>
      </c>
      <c r="J1823" s="49">
        <v>45726</v>
      </c>
      <c r="K1823" s="3" t="s">
        <v>1030</v>
      </c>
      <c r="L1823" s="8">
        <v>10</v>
      </c>
      <c r="M1823" s="9">
        <v>10</v>
      </c>
      <c r="N1823" s="10">
        <v>10</v>
      </c>
      <c r="O1823" s="7">
        <f t="shared" si="1018"/>
        <v>30</v>
      </c>
      <c r="P1823" s="8">
        <v>10</v>
      </c>
      <c r="Q1823" s="9">
        <v>10</v>
      </c>
      <c r="R1823" s="10">
        <v>10</v>
      </c>
      <c r="S1823" s="7">
        <f t="shared" si="1019"/>
        <v>30</v>
      </c>
      <c r="T1823" s="43">
        <v>45721</v>
      </c>
      <c r="U1823" s="40"/>
      <c r="V1823" s="8"/>
      <c r="W1823" s="9"/>
      <c r="X1823" s="10"/>
      <c r="Y1823" s="4">
        <f t="shared" si="1013"/>
        <v>0</v>
      </c>
      <c r="Z1823" s="8"/>
      <c r="AA1823" s="9"/>
      <c r="AB1823" s="10"/>
      <c r="AC1823" s="4">
        <f t="shared" si="1014"/>
        <v>0</v>
      </c>
      <c r="AD1823" s="8"/>
      <c r="AE1823" s="9"/>
      <c r="AF1823" s="10"/>
      <c r="AG1823" s="4">
        <f t="shared" si="1015"/>
        <v>0</v>
      </c>
    </row>
    <row r="1824" spans="1:33">
      <c r="A1824" s="3"/>
      <c r="B1824" s="8"/>
      <c r="C1824" s="9"/>
      <c r="D1824" s="10"/>
      <c r="E1824" s="7">
        <f t="shared" si="1034"/>
        <v>0</v>
      </c>
      <c r="F1824" s="8"/>
      <c r="G1824" s="9"/>
      <c r="H1824" s="10"/>
      <c r="I1824" s="7">
        <f t="shared" si="1011"/>
        <v>0</v>
      </c>
      <c r="K1824" s="3"/>
      <c r="L1824" s="8"/>
      <c r="M1824" s="9"/>
      <c r="N1824" s="10"/>
      <c r="O1824" s="7">
        <f t="shared" si="1018"/>
        <v>0</v>
      </c>
      <c r="P1824" s="8"/>
      <c r="Q1824" s="9"/>
      <c r="R1824" s="10"/>
      <c r="S1824" s="7">
        <f t="shared" si="1019"/>
        <v>0</v>
      </c>
      <c r="T1824" s="71"/>
      <c r="U1824" s="40"/>
      <c r="V1824" s="8"/>
      <c r="W1824" s="9"/>
      <c r="X1824" s="10"/>
      <c r="Y1824" s="7">
        <f t="shared" si="1013"/>
        <v>0</v>
      </c>
      <c r="Z1824" s="8"/>
      <c r="AA1824" s="9"/>
      <c r="AB1824" s="10"/>
      <c r="AC1824" s="7">
        <f t="shared" si="1014"/>
        <v>0</v>
      </c>
      <c r="AD1824" s="8"/>
      <c r="AE1824" s="9"/>
      <c r="AF1824" s="10"/>
      <c r="AG1824" s="7">
        <f t="shared" si="1015"/>
        <v>0</v>
      </c>
    </row>
    <row r="1825" spans="1:33">
      <c r="A1825" s="3"/>
      <c r="B1825" s="8"/>
      <c r="C1825" s="9"/>
      <c r="D1825" s="10"/>
      <c r="E1825" s="7">
        <f t="shared" si="1034"/>
        <v>0</v>
      </c>
      <c r="F1825" s="8"/>
      <c r="G1825" s="9"/>
      <c r="H1825" s="10"/>
      <c r="I1825" s="7">
        <f t="shared" si="1011"/>
        <v>0</v>
      </c>
      <c r="K1825" s="3"/>
      <c r="L1825" s="8"/>
      <c r="M1825" s="9"/>
      <c r="N1825" s="10"/>
      <c r="O1825" s="7">
        <f t="shared" si="1018"/>
        <v>0</v>
      </c>
      <c r="P1825" s="8"/>
      <c r="Q1825" s="9"/>
      <c r="R1825" s="10"/>
      <c r="S1825" s="7">
        <f t="shared" si="1019"/>
        <v>0</v>
      </c>
      <c r="T1825" s="71"/>
      <c r="U1825" s="40"/>
      <c r="V1825" s="8"/>
      <c r="W1825" s="9"/>
      <c r="X1825" s="10"/>
      <c r="Y1825" s="4">
        <f t="shared" si="1013"/>
        <v>0</v>
      </c>
      <c r="Z1825" s="8"/>
      <c r="AA1825" s="9"/>
      <c r="AB1825" s="10"/>
      <c r="AC1825" s="4">
        <f t="shared" si="1014"/>
        <v>0</v>
      </c>
      <c r="AD1825" s="8"/>
      <c r="AE1825" s="9"/>
      <c r="AF1825" s="10"/>
      <c r="AG1825" s="4">
        <f t="shared" si="1015"/>
        <v>0</v>
      </c>
    </row>
    <row r="1826" spans="1:33">
      <c r="A1826" s="3"/>
      <c r="B1826" s="8"/>
      <c r="C1826" s="9"/>
      <c r="D1826" s="10"/>
      <c r="E1826" s="7">
        <f t="shared" si="1034"/>
        <v>0</v>
      </c>
      <c r="F1826" s="8"/>
      <c r="G1826" s="9"/>
      <c r="H1826" s="10"/>
      <c r="I1826" s="7">
        <f t="shared" si="1011"/>
        <v>0</v>
      </c>
      <c r="K1826" s="3"/>
      <c r="L1826" s="8"/>
      <c r="M1826" s="9"/>
      <c r="N1826" s="10"/>
      <c r="O1826" s="7">
        <f t="shared" ref="O1826:O1827" si="1037">SUM(L1826:N1826)</f>
        <v>0</v>
      </c>
      <c r="P1826" s="8"/>
      <c r="Q1826" s="9"/>
      <c r="R1826" s="10"/>
      <c r="S1826" s="7">
        <f t="shared" ref="S1826:S1827" si="1038">SUM(P1826:R1826)</f>
        <v>0</v>
      </c>
      <c r="T1826" s="71"/>
      <c r="U1826" s="3"/>
      <c r="V1826" s="8"/>
      <c r="W1826" s="9"/>
      <c r="X1826" s="10"/>
      <c r="Y1826" s="4">
        <f t="shared" si="1013"/>
        <v>0</v>
      </c>
      <c r="Z1826" s="8"/>
      <c r="AA1826" s="9"/>
      <c r="AB1826" s="10"/>
      <c r="AC1826" s="4">
        <f t="shared" si="1014"/>
        <v>0</v>
      </c>
      <c r="AD1826" s="8"/>
      <c r="AE1826" s="9"/>
      <c r="AF1826" s="10"/>
      <c r="AG1826" s="4">
        <f t="shared" si="1015"/>
        <v>0</v>
      </c>
    </row>
    <row r="1827" spans="1:33">
      <c r="A1827" s="3"/>
      <c r="B1827" s="8"/>
      <c r="C1827" s="9"/>
      <c r="D1827" s="10"/>
      <c r="E1827" s="7">
        <f t="shared" si="1034"/>
        <v>0</v>
      </c>
      <c r="F1827" s="8"/>
      <c r="G1827" s="9"/>
      <c r="H1827" s="10"/>
      <c r="I1827" s="7">
        <f t="shared" si="1011"/>
        <v>0</v>
      </c>
      <c r="K1827" s="3"/>
      <c r="L1827" s="8"/>
      <c r="M1827" s="9"/>
      <c r="N1827" s="10"/>
      <c r="O1827" s="7">
        <f t="shared" si="1037"/>
        <v>0</v>
      </c>
      <c r="P1827" s="8"/>
      <c r="Q1827" s="9"/>
      <c r="R1827" s="10"/>
      <c r="S1827" s="7">
        <f t="shared" si="1038"/>
        <v>0</v>
      </c>
      <c r="T1827" s="71"/>
      <c r="U1827" s="3"/>
      <c r="V1827" s="8"/>
      <c r="W1827" s="9"/>
      <c r="X1827" s="10"/>
      <c r="Y1827" s="7">
        <f t="shared" si="1013"/>
        <v>0</v>
      </c>
      <c r="Z1827" s="8"/>
      <c r="AA1827" s="9"/>
      <c r="AB1827" s="10"/>
      <c r="AC1827" s="7">
        <f t="shared" si="1014"/>
        <v>0</v>
      </c>
      <c r="AD1827" s="8"/>
      <c r="AE1827" s="9"/>
      <c r="AF1827" s="10"/>
      <c r="AG1827" s="7">
        <f t="shared" si="1015"/>
        <v>0</v>
      </c>
    </row>
    <row r="1828" spans="1:33">
      <c r="A1828" s="3"/>
      <c r="B1828" s="8"/>
      <c r="C1828" s="9"/>
      <c r="D1828" s="10"/>
      <c r="E1828" s="7">
        <f t="shared" si="1034"/>
        <v>0</v>
      </c>
      <c r="F1828" s="8"/>
      <c r="G1828" s="9"/>
      <c r="H1828" s="10"/>
      <c r="I1828" s="7">
        <f t="shared" si="1011"/>
        <v>0</v>
      </c>
      <c r="K1828" s="3"/>
      <c r="L1828" s="8"/>
      <c r="M1828" s="9"/>
      <c r="N1828" s="10"/>
      <c r="O1828" s="7">
        <f t="shared" ref="O1828:O1842" si="1039">SUM(L1828:N1828)</f>
        <v>0</v>
      </c>
      <c r="P1828" s="8"/>
      <c r="Q1828" s="9"/>
      <c r="R1828" s="10"/>
      <c r="S1828" s="7">
        <f t="shared" ref="S1828:S1842" si="1040">SUM(P1828:R1828)</f>
        <v>0</v>
      </c>
      <c r="T1828" s="71"/>
      <c r="U1828" s="3"/>
      <c r="V1828" s="8"/>
      <c r="W1828" s="9"/>
      <c r="X1828" s="10"/>
      <c r="Y1828" s="7">
        <f t="shared" si="1013"/>
        <v>0</v>
      </c>
      <c r="Z1828" s="8"/>
      <c r="AA1828" s="9"/>
      <c r="AB1828" s="10"/>
      <c r="AC1828" s="7">
        <f t="shared" si="1014"/>
        <v>0</v>
      </c>
      <c r="AD1828" s="8"/>
      <c r="AE1828" s="9"/>
      <c r="AF1828" s="10"/>
      <c r="AG1828" s="7">
        <f t="shared" si="1015"/>
        <v>0</v>
      </c>
    </row>
    <row r="1829" spans="1:33">
      <c r="A1829" s="3"/>
      <c r="B1829" s="8"/>
      <c r="C1829" s="9"/>
      <c r="D1829" s="10"/>
      <c r="E1829" s="7">
        <f t="shared" si="1034"/>
        <v>0</v>
      </c>
      <c r="F1829" s="8"/>
      <c r="G1829" s="9"/>
      <c r="H1829" s="10"/>
      <c r="I1829" s="7">
        <f t="shared" si="1011"/>
        <v>0</v>
      </c>
      <c r="K1829" s="3"/>
      <c r="L1829" s="8"/>
      <c r="M1829" s="9"/>
      <c r="N1829" s="10"/>
      <c r="O1829" s="7">
        <f t="shared" si="1039"/>
        <v>0</v>
      </c>
      <c r="P1829" s="8"/>
      <c r="Q1829" s="9"/>
      <c r="R1829" s="10"/>
      <c r="S1829" s="7">
        <f t="shared" si="1040"/>
        <v>0</v>
      </c>
      <c r="T1829" s="71"/>
      <c r="U1829" s="3"/>
      <c r="V1829" s="8"/>
      <c r="W1829" s="9"/>
      <c r="X1829" s="10"/>
      <c r="Y1829" s="7">
        <f t="shared" si="1013"/>
        <v>0</v>
      </c>
      <c r="Z1829" s="8"/>
      <c r="AA1829" s="9"/>
      <c r="AB1829" s="10"/>
      <c r="AC1829" s="7">
        <f t="shared" si="1014"/>
        <v>0</v>
      </c>
      <c r="AD1829" s="8"/>
      <c r="AE1829" s="9"/>
      <c r="AF1829" s="10"/>
      <c r="AG1829" s="7">
        <f t="shared" si="1015"/>
        <v>0</v>
      </c>
    </row>
    <row r="1830" spans="1:33">
      <c r="A1830" s="3"/>
      <c r="B1830" s="8"/>
      <c r="C1830" s="9"/>
      <c r="D1830" s="10"/>
      <c r="E1830" s="7">
        <f t="shared" ref="E1830:E1846" si="1041">SUM(B1830:D1830)</f>
        <v>0</v>
      </c>
      <c r="F1830" s="8"/>
      <c r="G1830" s="9"/>
      <c r="H1830" s="10"/>
      <c r="I1830" s="7">
        <f t="shared" si="1011"/>
        <v>0</v>
      </c>
      <c r="K1830" s="3"/>
      <c r="L1830" s="8"/>
      <c r="M1830" s="9"/>
      <c r="N1830" s="10"/>
      <c r="O1830" s="7">
        <f t="shared" si="1039"/>
        <v>0</v>
      </c>
      <c r="P1830" s="8"/>
      <c r="Q1830" s="9"/>
      <c r="R1830" s="10"/>
      <c r="S1830" s="7">
        <f t="shared" si="1040"/>
        <v>0</v>
      </c>
      <c r="T1830" s="71"/>
      <c r="U1830" s="3"/>
      <c r="V1830" s="8"/>
      <c r="W1830" s="9"/>
      <c r="X1830" s="10"/>
      <c r="Y1830" s="7">
        <f t="shared" si="1013"/>
        <v>0</v>
      </c>
      <c r="Z1830" s="8"/>
      <c r="AA1830" s="9"/>
      <c r="AB1830" s="10"/>
      <c r="AC1830" s="7">
        <f t="shared" si="1014"/>
        <v>0</v>
      </c>
      <c r="AD1830" s="8"/>
      <c r="AE1830" s="9"/>
      <c r="AF1830" s="10"/>
      <c r="AG1830" s="7">
        <f t="shared" si="1015"/>
        <v>0</v>
      </c>
    </row>
    <row r="1831" spans="1:33">
      <c r="A1831" s="3"/>
      <c r="B1831" s="8"/>
      <c r="C1831" s="9"/>
      <c r="D1831" s="10"/>
      <c r="E1831" s="7">
        <f t="shared" si="1041"/>
        <v>0</v>
      </c>
      <c r="F1831" s="8"/>
      <c r="G1831" s="9"/>
      <c r="H1831" s="10"/>
      <c r="I1831" s="7">
        <f t="shared" si="1011"/>
        <v>0</v>
      </c>
      <c r="K1831" s="3"/>
      <c r="L1831" s="8"/>
      <c r="M1831" s="9"/>
      <c r="N1831" s="10"/>
      <c r="O1831" s="7">
        <f t="shared" si="1039"/>
        <v>0</v>
      </c>
      <c r="P1831" s="8"/>
      <c r="Q1831" s="9"/>
      <c r="R1831" s="10"/>
      <c r="S1831" s="7">
        <f t="shared" si="1040"/>
        <v>0</v>
      </c>
      <c r="T1831" s="71"/>
      <c r="U1831" s="3"/>
      <c r="V1831" s="8"/>
      <c r="W1831" s="9"/>
      <c r="X1831" s="10"/>
      <c r="Y1831" s="7">
        <f t="shared" si="1013"/>
        <v>0</v>
      </c>
      <c r="Z1831" s="8"/>
      <c r="AA1831" s="9"/>
      <c r="AB1831" s="10"/>
      <c r="AC1831" s="7">
        <f t="shared" si="1014"/>
        <v>0</v>
      </c>
      <c r="AD1831" s="8"/>
      <c r="AE1831" s="9"/>
      <c r="AF1831" s="10"/>
      <c r="AG1831" s="7">
        <f t="shared" si="1015"/>
        <v>0</v>
      </c>
    </row>
    <row r="1832" spans="1:33">
      <c r="A1832" s="3"/>
      <c r="B1832" s="8"/>
      <c r="C1832" s="9"/>
      <c r="D1832" s="10"/>
      <c r="E1832" s="7">
        <f t="shared" si="1041"/>
        <v>0</v>
      </c>
      <c r="F1832" s="8"/>
      <c r="G1832" s="9"/>
      <c r="H1832" s="10"/>
      <c r="I1832" s="7">
        <f t="shared" si="1011"/>
        <v>0</v>
      </c>
      <c r="K1832" s="3"/>
      <c r="L1832" s="8"/>
      <c r="M1832" s="9"/>
      <c r="N1832" s="10"/>
      <c r="O1832" s="7">
        <f t="shared" si="1039"/>
        <v>0</v>
      </c>
      <c r="P1832" s="8"/>
      <c r="Q1832" s="9"/>
      <c r="R1832" s="10"/>
      <c r="S1832" s="7">
        <f t="shared" si="1040"/>
        <v>0</v>
      </c>
      <c r="T1832" s="71"/>
      <c r="U1832" s="3"/>
      <c r="V1832" s="30"/>
      <c r="W1832" s="9"/>
      <c r="X1832" s="10"/>
      <c r="Y1832" s="7">
        <f t="shared" si="1013"/>
        <v>0</v>
      </c>
      <c r="Z1832" s="8"/>
      <c r="AA1832" s="9"/>
      <c r="AB1832" s="10"/>
      <c r="AC1832" s="7">
        <f t="shared" si="1014"/>
        <v>0</v>
      </c>
      <c r="AD1832" s="8"/>
      <c r="AE1832" s="9"/>
      <c r="AF1832" s="10"/>
      <c r="AG1832" s="7">
        <f t="shared" si="1015"/>
        <v>0</v>
      </c>
    </row>
    <row r="1833" spans="1:33">
      <c r="A1833" s="3"/>
      <c r="B1833" s="8"/>
      <c r="C1833" s="9"/>
      <c r="D1833" s="10"/>
      <c r="E1833" s="7">
        <f t="shared" si="1041"/>
        <v>0</v>
      </c>
      <c r="F1833" s="8"/>
      <c r="G1833" s="9"/>
      <c r="H1833" s="10"/>
      <c r="I1833" s="7">
        <f t="shared" si="1011"/>
        <v>0</v>
      </c>
      <c r="K1833" s="3"/>
      <c r="L1833" s="8"/>
      <c r="M1833" s="9"/>
      <c r="N1833" s="10"/>
      <c r="O1833" s="7">
        <f t="shared" si="1039"/>
        <v>0</v>
      </c>
      <c r="P1833" s="8"/>
      <c r="Q1833" s="9"/>
      <c r="R1833" s="10"/>
      <c r="S1833" s="7">
        <f t="shared" si="1040"/>
        <v>0</v>
      </c>
      <c r="T1833" s="71"/>
      <c r="U1833" s="3"/>
      <c r="V1833" s="8"/>
      <c r="W1833" s="9"/>
      <c r="X1833" s="10"/>
      <c r="Y1833" s="7">
        <f t="shared" si="1013"/>
        <v>0</v>
      </c>
      <c r="Z1833" s="8"/>
      <c r="AA1833" s="9"/>
      <c r="AB1833" s="10"/>
      <c r="AC1833" s="7">
        <f t="shared" si="1014"/>
        <v>0</v>
      </c>
      <c r="AD1833" s="8"/>
      <c r="AE1833" s="9"/>
      <c r="AF1833" s="10"/>
      <c r="AG1833" s="7">
        <f t="shared" si="1015"/>
        <v>0</v>
      </c>
    </row>
    <row r="1834" spans="1:33">
      <c r="A1834" s="3"/>
      <c r="B1834" s="8"/>
      <c r="C1834" s="9"/>
      <c r="D1834" s="10"/>
      <c r="E1834" s="7">
        <f t="shared" si="1041"/>
        <v>0</v>
      </c>
      <c r="F1834" s="8"/>
      <c r="G1834" s="9"/>
      <c r="H1834" s="10"/>
      <c r="I1834" s="7">
        <f t="shared" si="1011"/>
        <v>0</v>
      </c>
      <c r="K1834" s="3"/>
      <c r="L1834" s="8"/>
      <c r="M1834" s="9"/>
      <c r="N1834" s="10"/>
      <c r="O1834" s="7">
        <f t="shared" si="1039"/>
        <v>0</v>
      </c>
      <c r="P1834" s="8"/>
      <c r="Q1834" s="9"/>
      <c r="R1834" s="10"/>
      <c r="S1834" s="7">
        <f t="shared" si="1040"/>
        <v>0</v>
      </c>
      <c r="T1834" s="71"/>
      <c r="U1834" s="3"/>
      <c r="V1834" s="8"/>
      <c r="W1834" s="9"/>
      <c r="X1834" s="10"/>
      <c r="Y1834" s="7">
        <f t="shared" si="1013"/>
        <v>0</v>
      </c>
      <c r="Z1834" s="8"/>
      <c r="AA1834" s="9"/>
      <c r="AB1834" s="10"/>
      <c r="AC1834" s="7">
        <f t="shared" si="1014"/>
        <v>0</v>
      </c>
      <c r="AD1834" s="8"/>
      <c r="AE1834" s="9"/>
      <c r="AF1834" s="10"/>
      <c r="AG1834" s="7">
        <f t="shared" si="1015"/>
        <v>0</v>
      </c>
    </row>
    <row r="1835" spans="1:33">
      <c r="A1835" s="3"/>
      <c r="B1835" s="8"/>
      <c r="C1835" s="9"/>
      <c r="D1835" s="10"/>
      <c r="E1835" s="7">
        <f t="shared" si="1041"/>
        <v>0</v>
      </c>
      <c r="F1835" s="8"/>
      <c r="G1835" s="9"/>
      <c r="H1835" s="10"/>
      <c r="I1835" s="7">
        <f t="shared" si="1011"/>
        <v>0</v>
      </c>
      <c r="K1835" s="3"/>
      <c r="L1835" s="8"/>
      <c r="M1835" s="9"/>
      <c r="N1835" s="10"/>
      <c r="O1835" s="7">
        <f t="shared" si="1039"/>
        <v>0</v>
      </c>
      <c r="P1835" s="8"/>
      <c r="Q1835" s="9"/>
      <c r="R1835" s="10"/>
      <c r="S1835" s="7">
        <f t="shared" si="1040"/>
        <v>0</v>
      </c>
      <c r="T1835" s="71"/>
      <c r="U1835" s="3"/>
      <c r="V1835" s="8"/>
      <c r="W1835" s="9"/>
      <c r="X1835" s="10"/>
      <c r="Y1835" s="7">
        <f t="shared" si="1013"/>
        <v>0</v>
      </c>
      <c r="Z1835" s="8"/>
      <c r="AA1835" s="9"/>
      <c r="AB1835" s="10"/>
      <c r="AC1835" s="7">
        <f t="shared" si="1014"/>
        <v>0</v>
      </c>
      <c r="AD1835" s="8"/>
      <c r="AE1835" s="9"/>
      <c r="AF1835" s="10"/>
      <c r="AG1835" s="7">
        <f t="shared" si="1015"/>
        <v>0</v>
      </c>
    </row>
    <row r="1836" spans="1:33">
      <c r="A1836" s="3"/>
      <c r="B1836" s="8"/>
      <c r="C1836" s="9"/>
      <c r="D1836" s="10"/>
      <c r="E1836" s="7">
        <f t="shared" si="1041"/>
        <v>0</v>
      </c>
      <c r="F1836" s="8"/>
      <c r="G1836" s="9"/>
      <c r="H1836" s="10"/>
      <c r="I1836" s="7">
        <f t="shared" si="1011"/>
        <v>0</v>
      </c>
      <c r="K1836" s="3"/>
      <c r="L1836" s="8"/>
      <c r="M1836" s="9"/>
      <c r="N1836" s="10"/>
      <c r="O1836" s="7">
        <f t="shared" si="1039"/>
        <v>0</v>
      </c>
      <c r="P1836" s="8"/>
      <c r="Q1836" s="9"/>
      <c r="R1836" s="10"/>
      <c r="S1836" s="7">
        <f t="shared" si="1040"/>
        <v>0</v>
      </c>
      <c r="T1836" s="71"/>
      <c r="U1836" s="3"/>
      <c r="V1836" s="8"/>
      <c r="W1836" s="9"/>
      <c r="X1836" s="10"/>
      <c r="Y1836" s="7">
        <f t="shared" si="1013"/>
        <v>0</v>
      </c>
      <c r="Z1836" s="8"/>
      <c r="AA1836" s="9"/>
      <c r="AB1836" s="10"/>
      <c r="AC1836" s="7">
        <f t="shared" si="1014"/>
        <v>0</v>
      </c>
      <c r="AD1836" s="8"/>
      <c r="AE1836" s="9"/>
      <c r="AF1836" s="10"/>
      <c r="AG1836" s="7">
        <f t="shared" si="1015"/>
        <v>0</v>
      </c>
    </row>
    <row r="1837" spans="1:33">
      <c r="A1837" s="3"/>
      <c r="B1837" s="8"/>
      <c r="C1837" s="9"/>
      <c r="D1837" s="10"/>
      <c r="E1837" s="7">
        <f t="shared" si="1041"/>
        <v>0</v>
      </c>
      <c r="F1837" s="8"/>
      <c r="G1837" s="9"/>
      <c r="H1837" s="10"/>
      <c r="I1837" s="7">
        <f t="shared" si="1011"/>
        <v>0</v>
      </c>
      <c r="K1837" s="3"/>
      <c r="L1837" s="8"/>
      <c r="M1837" s="9"/>
      <c r="N1837" s="10"/>
      <c r="O1837" s="7">
        <f t="shared" si="1039"/>
        <v>0</v>
      </c>
      <c r="P1837" s="8"/>
      <c r="Q1837" s="9"/>
      <c r="R1837" s="10"/>
      <c r="S1837" s="7">
        <f t="shared" si="1040"/>
        <v>0</v>
      </c>
      <c r="T1837" s="71"/>
      <c r="U1837" s="3"/>
      <c r="V1837" s="8"/>
      <c r="W1837" s="9"/>
      <c r="X1837" s="10"/>
      <c r="Y1837" s="7">
        <f t="shared" si="1013"/>
        <v>0</v>
      </c>
      <c r="Z1837" s="8"/>
      <c r="AA1837" s="9"/>
      <c r="AB1837" s="10"/>
      <c r="AC1837" s="7">
        <f t="shared" si="1014"/>
        <v>0</v>
      </c>
      <c r="AD1837" s="8"/>
      <c r="AE1837" s="9"/>
      <c r="AF1837" s="10"/>
      <c r="AG1837" s="7">
        <f t="shared" si="1015"/>
        <v>0</v>
      </c>
    </row>
    <row r="1838" spans="1:33">
      <c r="A1838" s="3"/>
      <c r="B1838" s="8"/>
      <c r="C1838" s="9"/>
      <c r="D1838" s="10"/>
      <c r="E1838" s="7">
        <f t="shared" si="1041"/>
        <v>0</v>
      </c>
      <c r="F1838" s="8"/>
      <c r="G1838" s="9"/>
      <c r="H1838" s="10"/>
      <c r="I1838" s="7">
        <f t="shared" si="1011"/>
        <v>0</v>
      </c>
      <c r="K1838" s="3"/>
      <c r="L1838" s="8"/>
      <c r="M1838" s="9"/>
      <c r="N1838" s="10"/>
      <c r="O1838" s="7">
        <f t="shared" si="1039"/>
        <v>0</v>
      </c>
      <c r="P1838" s="8"/>
      <c r="Q1838" s="9"/>
      <c r="R1838" s="10"/>
      <c r="S1838" s="7">
        <f t="shared" si="1040"/>
        <v>0</v>
      </c>
      <c r="T1838" s="71"/>
      <c r="U1838" s="3"/>
      <c r="V1838" s="8"/>
      <c r="W1838" s="9"/>
      <c r="X1838" s="10"/>
      <c r="Y1838" s="7">
        <f t="shared" si="1013"/>
        <v>0</v>
      </c>
      <c r="Z1838" s="8"/>
      <c r="AA1838" s="9"/>
      <c r="AB1838" s="10"/>
      <c r="AC1838" s="7">
        <f t="shared" si="1014"/>
        <v>0</v>
      </c>
      <c r="AD1838" s="8"/>
      <c r="AE1838" s="9"/>
      <c r="AF1838" s="10"/>
      <c r="AG1838" s="7">
        <f t="shared" si="1015"/>
        <v>0</v>
      </c>
    </row>
    <row r="1839" spans="1:33">
      <c r="A1839" s="3"/>
      <c r="B1839" s="8"/>
      <c r="C1839" s="9"/>
      <c r="D1839" s="10"/>
      <c r="E1839" s="7">
        <f t="shared" si="1041"/>
        <v>0</v>
      </c>
      <c r="F1839" s="8"/>
      <c r="G1839" s="9"/>
      <c r="H1839" s="10"/>
      <c r="I1839" s="7">
        <f t="shared" si="1011"/>
        <v>0</v>
      </c>
      <c r="K1839" s="3"/>
      <c r="L1839" s="8"/>
      <c r="M1839" s="9"/>
      <c r="N1839" s="10"/>
      <c r="O1839" s="7">
        <f t="shared" si="1039"/>
        <v>0</v>
      </c>
      <c r="P1839" s="8"/>
      <c r="Q1839" s="9"/>
      <c r="R1839" s="10"/>
      <c r="S1839" s="7">
        <f t="shared" si="1040"/>
        <v>0</v>
      </c>
      <c r="T1839" s="71"/>
      <c r="U1839" s="3"/>
      <c r="V1839" s="8"/>
      <c r="W1839" s="9"/>
      <c r="X1839" s="10"/>
      <c r="Y1839" s="7">
        <f t="shared" si="1013"/>
        <v>0</v>
      </c>
      <c r="Z1839" s="8"/>
      <c r="AA1839" s="9"/>
      <c r="AB1839" s="10"/>
      <c r="AC1839" s="7">
        <f t="shared" si="1014"/>
        <v>0</v>
      </c>
      <c r="AD1839" s="8"/>
      <c r="AE1839" s="9"/>
      <c r="AF1839" s="10"/>
      <c r="AG1839" s="7">
        <f t="shared" si="1015"/>
        <v>0</v>
      </c>
    </row>
    <row r="1840" spans="1:33">
      <c r="A1840" s="11"/>
      <c r="B1840" s="8"/>
      <c r="C1840" s="9"/>
      <c r="D1840" s="10"/>
      <c r="E1840" s="7">
        <f t="shared" si="1041"/>
        <v>0</v>
      </c>
      <c r="F1840" s="8"/>
      <c r="G1840" s="9"/>
      <c r="H1840" s="10"/>
      <c r="I1840" s="7">
        <f t="shared" si="1011"/>
        <v>0</v>
      </c>
      <c r="K1840" s="3"/>
      <c r="L1840" s="8"/>
      <c r="M1840" s="9"/>
      <c r="N1840" s="10"/>
      <c r="O1840" s="7">
        <f t="shared" si="1039"/>
        <v>0</v>
      </c>
      <c r="P1840" s="8"/>
      <c r="Q1840" s="9"/>
      <c r="R1840" s="10"/>
      <c r="S1840" s="7">
        <f t="shared" si="1040"/>
        <v>0</v>
      </c>
      <c r="T1840" s="71"/>
      <c r="U1840" s="3"/>
      <c r="V1840" s="8"/>
      <c r="W1840" s="9"/>
      <c r="X1840" s="10"/>
      <c r="Y1840" s="7">
        <f t="shared" si="1013"/>
        <v>0</v>
      </c>
      <c r="Z1840" s="8"/>
      <c r="AA1840" s="9"/>
      <c r="AB1840" s="10"/>
      <c r="AC1840" s="7">
        <f t="shared" si="1014"/>
        <v>0</v>
      </c>
      <c r="AD1840" s="8"/>
      <c r="AE1840" s="9"/>
      <c r="AF1840" s="10"/>
      <c r="AG1840" s="7">
        <f t="shared" si="1015"/>
        <v>0</v>
      </c>
    </row>
    <row r="1841" spans="1:33">
      <c r="A1841" s="11"/>
      <c r="B1841" s="8"/>
      <c r="C1841" s="9"/>
      <c r="D1841" s="10"/>
      <c r="E1841" s="7">
        <f t="shared" si="1041"/>
        <v>0</v>
      </c>
      <c r="F1841" s="8"/>
      <c r="G1841" s="9"/>
      <c r="H1841" s="10"/>
      <c r="I1841" s="7">
        <f t="shared" si="1011"/>
        <v>0</v>
      </c>
      <c r="K1841" s="3"/>
      <c r="L1841" s="8"/>
      <c r="M1841" s="9"/>
      <c r="N1841" s="10"/>
      <c r="O1841" s="7">
        <f t="shared" si="1039"/>
        <v>0</v>
      </c>
      <c r="P1841" s="8"/>
      <c r="Q1841" s="9"/>
      <c r="R1841" s="10"/>
      <c r="S1841" s="7">
        <f t="shared" si="1040"/>
        <v>0</v>
      </c>
      <c r="T1841" s="71"/>
      <c r="U1841" s="3"/>
      <c r="V1841" s="8"/>
      <c r="W1841" s="9"/>
      <c r="X1841" s="10"/>
      <c r="Y1841" s="7">
        <f t="shared" si="1013"/>
        <v>0</v>
      </c>
      <c r="Z1841" s="8"/>
      <c r="AA1841" s="9"/>
      <c r="AB1841" s="10"/>
      <c r="AC1841" s="7">
        <f t="shared" si="1014"/>
        <v>0</v>
      </c>
      <c r="AD1841" s="8"/>
      <c r="AE1841" s="9"/>
      <c r="AF1841" s="10"/>
      <c r="AG1841" s="7">
        <f t="shared" si="1015"/>
        <v>0</v>
      </c>
    </row>
    <row r="1842" spans="1:33">
      <c r="A1842" s="11"/>
      <c r="B1842" s="8"/>
      <c r="C1842" s="9"/>
      <c r="D1842" s="10"/>
      <c r="E1842" s="7">
        <f t="shared" si="1041"/>
        <v>0</v>
      </c>
      <c r="F1842" s="8"/>
      <c r="G1842" s="9"/>
      <c r="H1842" s="10"/>
      <c r="I1842" s="7">
        <f t="shared" si="1011"/>
        <v>0</v>
      </c>
      <c r="K1842" s="3" t="s">
        <v>1012</v>
      </c>
      <c r="L1842" s="8"/>
      <c r="M1842" s="9"/>
      <c r="N1842" s="10"/>
      <c r="O1842" s="7">
        <f t="shared" si="1039"/>
        <v>0</v>
      </c>
      <c r="P1842" s="8"/>
      <c r="Q1842" s="9"/>
      <c r="R1842" s="10"/>
      <c r="S1842" s="7">
        <f t="shared" si="1040"/>
        <v>0</v>
      </c>
      <c r="T1842" s="71" t="s">
        <v>1013</v>
      </c>
      <c r="U1842" s="11"/>
      <c r="V1842" s="8"/>
      <c r="W1842" s="9"/>
      <c r="X1842" s="10"/>
      <c r="Y1842" s="7">
        <f t="shared" si="1013"/>
        <v>0</v>
      </c>
      <c r="Z1842" s="8"/>
      <c r="AA1842" s="9"/>
      <c r="AB1842" s="10"/>
      <c r="AC1842" s="7">
        <f t="shared" si="1014"/>
        <v>0</v>
      </c>
      <c r="AD1842" s="8"/>
      <c r="AE1842" s="9"/>
      <c r="AF1842" s="10"/>
      <c r="AG1842" s="7">
        <f t="shared" si="1015"/>
        <v>0</v>
      </c>
    </row>
    <row r="1843" spans="1:33">
      <c r="A1843" s="11"/>
      <c r="B1843" s="8"/>
      <c r="C1843" s="9"/>
      <c r="D1843" s="10"/>
      <c r="E1843" s="7">
        <f t="shared" si="1041"/>
        <v>0</v>
      </c>
      <c r="F1843" s="8"/>
      <c r="G1843" s="9"/>
      <c r="H1843" s="10"/>
      <c r="I1843" s="7">
        <f t="shared" si="1011"/>
        <v>0</v>
      </c>
      <c r="K1843" s="3" t="s">
        <v>1028</v>
      </c>
      <c r="L1843" s="8"/>
      <c r="M1843" s="9"/>
      <c r="N1843" s="10"/>
      <c r="O1843" s="7">
        <f t="shared" si="1018"/>
        <v>0</v>
      </c>
      <c r="P1843" s="8"/>
      <c r="Q1843" s="9"/>
      <c r="R1843" s="10"/>
      <c r="S1843" s="7">
        <f t="shared" si="1019"/>
        <v>0</v>
      </c>
      <c r="T1843" s="71" t="s">
        <v>1029</v>
      </c>
      <c r="U1843" s="3"/>
      <c r="V1843" s="8"/>
      <c r="W1843" s="9"/>
      <c r="X1843" s="10"/>
      <c r="Y1843" s="7">
        <f t="shared" si="1013"/>
        <v>0</v>
      </c>
      <c r="Z1843" s="8"/>
      <c r="AA1843" s="9"/>
      <c r="AB1843" s="10"/>
      <c r="AC1843" s="7">
        <f t="shared" si="1014"/>
        <v>0</v>
      </c>
      <c r="AD1843" s="8"/>
      <c r="AE1843" s="9"/>
      <c r="AF1843" s="10"/>
      <c r="AG1843" s="7">
        <f t="shared" si="1015"/>
        <v>0</v>
      </c>
    </row>
    <row r="1844" spans="1:33">
      <c r="A1844" s="11"/>
      <c r="B1844" s="8"/>
      <c r="C1844" s="9"/>
      <c r="D1844" s="10"/>
      <c r="E1844" s="7">
        <f t="shared" si="1041"/>
        <v>0</v>
      </c>
      <c r="F1844" s="8"/>
      <c r="G1844" s="9"/>
      <c r="H1844" s="10"/>
      <c r="I1844" s="7">
        <f t="shared" si="1011"/>
        <v>0</v>
      </c>
      <c r="K1844" s="40" t="s">
        <v>1022</v>
      </c>
      <c r="L1844" s="79"/>
      <c r="M1844" s="80"/>
      <c r="N1844" s="81"/>
      <c r="O1844" s="82">
        <f t="shared" si="1018"/>
        <v>0</v>
      </c>
      <c r="P1844" s="79"/>
      <c r="Q1844" s="80"/>
      <c r="R1844" s="81"/>
      <c r="S1844" s="82">
        <f t="shared" si="1019"/>
        <v>0</v>
      </c>
      <c r="T1844" s="92"/>
      <c r="U1844" s="3"/>
      <c r="V1844" s="8"/>
      <c r="W1844" s="9"/>
      <c r="X1844" s="10"/>
      <c r="Y1844" s="7">
        <f t="shared" si="1013"/>
        <v>0</v>
      </c>
      <c r="Z1844" s="8"/>
      <c r="AA1844" s="9"/>
      <c r="AB1844" s="10"/>
      <c r="AC1844" s="7">
        <f t="shared" si="1014"/>
        <v>0</v>
      </c>
      <c r="AD1844" s="8"/>
      <c r="AE1844" s="9"/>
      <c r="AF1844" s="10"/>
      <c r="AG1844" s="7">
        <f t="shared" si="1015"/>
        <v>0</v>
      </c>
    </row>
    <row r="1845" spans="1:33" ht="14.25" thickBot="1">
      <c r="A1845" s="3"/>
      <c r="B1845" s="8"/>
      <c r="C1845" s="9"/>
      <c r="D1845" s="10"/>
      <c r="E1845" s="7">
        <f t="shared" si="1041"/>
        <v>0</v>
      </c>
      <c r="F1845" s="8"/>
      <c r="G1845" s="9"/>
      <c r="H1845" s="10"/>
      <c r="I1845" s="7">
        <f t="shared" si="1011"/>
        <v>0</v>
      </c>
      <c r="K1845" s="3" t="s">
        <v>990</v>
      </c>
      <c r="L1845" s="8"/>
      <c r="M1845" s="9"/>
      <c r="N1845" s="10"/>
      <c r="O1845" s="7">
        <f t="shared" si="1018"/>
        <v>0</v>
      </c>
      <c r="P1845" s="8"/>
      <c r="Q1845" s="9"/>
      <c r="R1845" s="10"/>
      <c r="S1845" s="7">
        <f t="shared" si="1019"/>
        <v>0</v>
      </c>
      <c r="T1845" s="71" t="s">
        <v>991</v>
      </c>
      <c r="U1845" s="3"/>
      <c r="V1845" s="8"/>
      <c r="W1845" s="9"/>
      <c r="X1845" s="10"/>
      <c r="Y1845" s="7">
        <f t="shared" ref="Y1845" si="1042">SUM(V1845:X1845)</f>
        <v>0</v>
      </c>
      <c r="Z1845" s="8"/>
      <c r="AA1845" s="9"/>
      <c r="AB1845" s="10"/>
      <c r="AC1845" s="7">
        <f t="shared" ref="AC1845" si="1043">SUM(Z1845:AB1845)</f>
        <v>0</v>
      </c>
      <c r="AD1845" s="8"/>
      <c r="AE1845" s="9"/>
      <c r="AF1845" s="10"/>
      <c r="AG1845" s="7">
        <f t="shared" ref="AG1845" si="1044">SUM(AD1845:AF1845)</f>
        <v>0</v>
      </c>
    </row>
    <row r="1846" spans="1:33" ht="14.25" thickBot="1">
      <c r="A1846" s="2" t="s">
        <v>5</v>
      </c>
      <c r="B1846" s="14">
        <f>SUM(B1822:B1845)</f>
        <v>1</v>
      </c>
      <c r="C1846" s="14">
        <f>SUM(C1822:C1845)</f>
        <v>3</v>
      </c>
      <c r="D1846" s="14">
        <f>SUM(D1822:D1845)</f>
        <v>1</v>
      </c>
      <c r="E1846" s="15">
        <f t="shared" si="1041"/>
        <v>5</v>
      </c>
      <c r="F1846" s="14">
        <f>SUM(F1822:F1845)</f>
        <v>1</v>
      </c>
      <c r="G1846" s="14">
        <f>SUM(G1822:G1845)</f>
        <v>3</v>
      </c>
      <c r="H1846" s="14">
        <f>SUM(H1822:H1845)</f>
        <v>1</v>
      </c>
      <c r="I1846" s="15">
        <f t="shared" si="1011"/>
        <v>5</v>
      </c>
      <c r="K1846" s="2" t="s">
        <v>5</v>
      </c>
      <c r="L1846" s="14">
        <f>SUM(L1822:L1845)</f>
        <v>13</v>
      </c>
      <c r="M1846" s="14">
        <f t="shared" ref="M1846" si="1045">SUM(M1822:M1845)</f>
        <v>13</v>
      </c>
      <c r="N1846" s="14">
        <f t="shared" ref="N1846" si="1046">SUM(N1822:N1845)</f>
        <v>13</v>
      </c>
      <c r="O1846" s="15">
        <f t="shared" ref="O1846" si="1047">SUM(O1822:O1845)</f>
        <v>39</v>
      </c>
      <c r="P1846" s="14">
        <f t="shared" ref="P1846" si="1048">SUM(P1822:P1845)</f>
        <v>13</v>
      </c>
      <c r="Q1846" s="14">
        <f t="shared" ref="Q1846" si="1049">SUM(Q1822:Q1845)</f>
        <v>13</v>
      </c>
      <c r="R1846" s="14">
        <f t="shared" ref="R1846" si="1050">SUM(R1822:R1845)</f>
        <v>13</v>
      </c>
      <c r="S1846" s="15">
        <f t="shared" ref="S1846" si="1051">SUM(S1822:S1845)</f>
        <v>39</v>
      </c>
      <c r="U1846" s="2" t="s">
        <v>5</v>
      </c>
      <c r="V1846" s="14">
        <f>SUM(V1822:V1845)</f>
        <v>0</v>
      </c>
      <c r="W1846" s="14">
        <f>SUM(W1822:W1845)</f>
        <v>0</v>
      </c>
      <c r="X1846" s="14">
        <f>SUM(X1822:X1845)</f>
        <v>0</v>
      </c>
      <c r="Y1846" s="15">
        <f t="shared" si="1013"/>
        <v>0</v>
      </c>
      <c r="Z1846" s="14">
        <f>SUM(Z1822:Z1845)</f>
        <v>0</v>
      </c>
      <c r="AA1846" s="14">
        <f>SUM(AA1822:AA1845)</f>
        <v>0</v>
      </c>
      <c r="AB1846" s="14">
        <f>SUM(AB1822:AB1845)</f>
        <v>0</v>
      </c>
      <c r="AC1846" s="15">
        <f t="shared" si="1014"/>
        <v>0</v>
      </c>
      <c r="AD1846" s="14">
        <f>SUM(AD1822:AD1845)</f>
        <v>0</v>
      </c>
      <c r="AE1846" s="14">
        <f>SUM(AE1822:AE1845)</f>
        <v>0</v>
      </c>
      <c r="AF1846" s="14">
        <f>SUM(AF1822:AF1845)</f>
        <v>0</v>
      </c>
      <c r="AG1846" s="15">
        <f t="shared" si="1015"/>
        <v>0</v>
      </c>
    </row>
    <row r="1847" spans="1:33" ht="14.25" thickBot="1">
      <c r="A1847" s="27" t="s">
        <v>6</v>
      </c>
      <c r="B1847" s="28">
        <f>B1821-B1846</f>
        <v>4</v>
      </c>
      <c r="C1847" s="28">
        <f t="shared" ref="C1847:E1847" si="1052">C1821-C1846</f>
        <v>3</v>
      </c>
      <c r="D1847" s="28">
        <f t="shared" si="1052"/>
        <v>6</v>
      </c>
      <c r="E1847" s="28">
        <f t="shared" si="1052"/>
        <v>13</v>
      </c>
      <c r="F1847" s="28">
        <f>F1821-F1846</f>
        <v>4</v>
      </c>
      <c r="G1847" s="28">
        <f t="shared" ref="G1847:I1847" si="1053">G1821-G1846</f>
        <v>3</v>
      </c>
      <c r="H1847" s="28">
        <f t="shared" si="1053"/>
        <v>6</v>
      </c>
      <c r="I1847" s="26">
        <f t="shared" si="1053"/>
        <v>13</v>
      </c>
      <c r="K1847" s="27" t="s">
        <v>6</v>
      </c>
      <c r="L1847" s="28">
        <f>L1821-L1846</f>
        <v>151</v>
      </c>
      <c r="M1847" s="28">
        <f t="shared" ref="M1847" si="1054">M1821-M1846</f>
        <v>153</v>
      </c>
      <c r="N1847" s="28">
        <f t="shared" ref="N1847" si="1055">N1821-N1846</f>
        <v>72</v>
      </c>
      <c r="O1847" s="28">
        <f t="shared" ref="O1847" si="1056">O1821-O1846</f>
        <v>376</v>
      </c>
      <c r="P1847" s="28">
        <f t="shared" ref="P1847" si="1057">P1821-P1846</f>
        <v>151</v>
      </c>
      <c r="Q1847" s="28">
        <f t="shared" ref="Q1847" si="1058">Q1821-Q1846</f>
        <v>153</v>
      </c>
      <c r="R1847" s="28">
        <f t="shared" ref="R1847" si="1059">R1821-R1846</f>
        <v>72</v>
      </c>
      <c r="S1847" s="26">
        <f t="shared" ref="S1847" si="1060">S1821-S1846</f>
        <v>376</v>
      </c>
      <c r="U1847" s="27" t="s">
        <v>6</v>
      </c>
      <c r="V1847" s="28">
        <f>V1821-V1846</f>
        <v>23</v>
      </c>
      <c r="W1847" s="28">
        <f t="shared" ref="W1847:Y1847" si="1061">W1821-W1846</f>
        <v>24</v>
      </c>
      <c r="X1847" s="28">
        <f t="shared" si="1061"/>
        <v>17</v>
      </c>
      <c r="Y1847" s="28">
        <f t="shared" si="1061"/>
        <v>64</v>
      </c>
      <c r="Z1847" s="28">
        <f>Z1821-Z1846</f>
        <v>23</v>
      </c>
      <c r="AA1847" s="28">
        <f t="shared" ref="AA1847:AC1847" si="1062">AA1821-AA1846</f>
        <v>24</v>
      </c>
      <c r="AB1847" s="28">
        <f t="shared" si="1062"/>
        <v>17</v>
      </c>
      <c r="AC1847" s="26">
        <f t="shared" si="1062"/>
        <v>64</v>
      </c>
      <c r="AD1847" s="28">
        <f>AD1821-AD1846</f>
        <v>23</v>
      </c>
      <c r="AE1847" s="28">
        <f t="shared" ref="AE1847:AG1847" si="1063">AE1821-AE1846</f>
        <v>24</v>
      </c>
      <c r="AF1847" s="28">
        <f t="shared" si="1063"/>
        <v>17</v>
      </c>
      <c r="AG1847" s="26">
        <f t="shared" si="1063"/>
        <v>64</v>
      </c>
    </row>
    <row r="1848" spans="1:33">
      <c r="L1848" s="67"/>
      <c r="M1848" s="67"/>
      <c r="N1848" s="67"/>
      <c r="O1848" s="67"/>
      <c r="U1848" s="144" t="s">
        <v>1017</v>
      </c>
      <c r="AD1848" s="66">
        <v>139</v>
      </c>
      <c r="AE1848" s="66">
        <v>81</v>
      </c>
      <c r="AF1848" s="66">
        <v>70</v>
      </c>
      <c r="AG1848" s="143">
        <f>SUM(AD1848:AF1848)</f>
        <v>290</v>
      </c>
    </row>
    <row r="1849" spans="1:33">
      <c r="U1849" s="94" t="s">
        <v>1018</v>
      </c>
      <c r="V1849">
        <v>36</v>
      </c>
      <c r="W1849">
        <v>67</v>
      </c>
      <c r="X1849">
        <v>43</v>
      </c>
      <c r="Y1849">
        <f>SUM(V1849:X1849)</f>
        <v>146</v>
      </c>
      <c r="AD1849">
        <v>160</v>
      </c>
      <c r="AE1849">
        <v>103</v>
      </c>
      <c r="AF1849">
        <v>84</v>
      </c>
      <c r="AG1849" s="145">
        <f>SUM(AD1849:AF1849)</f>
        <v>347</v>
      </c>
    </row>
    <row r="1850" spans="1:33" ht="26.25" thickBot="1">
      <c r="A1850" s="33" t="s">
        <v>1008</v>
      </c>
      <c r="B1850" s="34"/>
      <c r="C1850" s="34"/>
      <c r="D1850" s="34"/>
      <c r="E1850" s="34"/>
      <c r="F1850" s="35"/>
      <c r="G1850" s="35"/>
      <c r="H1850" s="35"/>
      <c r="I1850" s="35"/>
      <c r="K1850" s="33" t="s">
        <v>1004</v>
      </c>
      <c r="L1850" s="34"/>
      <c r="M1850" s="34"/>
      <c r="N1850" s="34"/>
      <c r="O1850" s="34"/>
      <c r="P1850" s="35"/>
      <c r="Q1850" s="35"/>
      <c r="R1850" s="35"/>
      <c r="S1850" s="35"/>
      <c r="U1850" s="113" t="s">
        <v>622</v>
      </c>
      <c r="V1850" s="114"/>
      <c r="W1850" s="114"/>
      <c r="X1850" s="114"/>
      <c r="Y1850" s="114"/>
      <c r="Z1850" s="115"/>
      <c r="AA1850" s="115"/>
      <c r="AB1850" s="115"/>
      <c r="AC1850" s="115"/>
      <c r="AD1850" s="116"/>
      <c r="AE1850" s="116"/>
    </row>
    <row r="1851" spans="1:33" ht="14.25" thickBot="1">
      <c r="A1851" s="1" t="s">
        <v>0</v>
      </c>
      <c r="B1851" s="182" t="s">
        <v>17</v>
      </c>
      <c r="C1851" s="182"/>
      <c r="D1851" s="182"/>
      <c r="E1851" s="183"/>
      <c r="F1851" s="182" t="s">
        <v>13</v>
      </c>
      <c r="G1851" s="182"/>
      <c r="H1851" s="182"/>
      <c r="I1851" s="183"/>
      <c r="K1851" s="1" t="s">
        <v>0</v>
      </c>
      <c r="L1851" s="181" t="s">
        <v>17</v>
      </c>
      <c r="M1851" s="182"/>
      <c r="N1851" s="182"/>
      <c r="O1851" s="133"/>
      <c r="P1851" s="181" t="s">
        <v>13</v>
      </c>
      <c r="Q1851" s="182"/>
      <c r="R1851" s="182"/>
      <c r="S1851" s="133"/>
      <c r="U1851" s="1" t="s">
        <v>0</v>
      </c>
      <c r="V1851" s="182" t="s">
        <v>17</v>
      </c>
      <c r="W1851" s="182"/>
      <c r="X1851" s="182"/>
      <c r="Y1851" s="183"/>
      <c r="Z1851" s="182" t="s">
        <v>13</v>
      </c>
      <c r="AA1851" s="182"/>
      <c r="AB1851" s="182"/>
      <c r="AC1851" s="183"/>
      <c r="AD1851" s="182" t="s">
        <v>242</v>
      </c>
      <c r="AE1851" s="182"/>
      <c r="AF1851" s="182"/>
      <c r="AG1851" s="183"/>
    </row>
    <row r="1852" spans="1:33" ht="14.25" thickBot="1">
      <c r="A1852" s="1" t="s">
        <v>1</v>
      </c>
      <c r="B1852" s="2" t="s">
        <v>8</v>
      </c>
      <c r="C1852" s="1" t="s">
        <v>9</v>
      </c>
      <c r="D1852" s="19" t="s">
        <v>10</v>
      </c>
      <c r="E1852" s="1" t="s">
        <v>2</v>
      </c>
      <c r="F1852" s="2" t="s">
        <v>8</v>
      </c>
      <c r="G1852" s="1" t="s">
        <v>9</v>
      </c>
      <c r="H1852" s="19" t="s">
        <v>10</v>
      </c>
      <c r="I1852" s="1" t="s">
        <v>2</v>
      </c>
      <c r="K1852" s="1" t="s">
        <v>1</v>
      </c>
      <c r="L1852" s="2" t="s">
        <v>8</v>
      </c>
      <c r="M1852" s="1" t="s">
        <v>9</v>
      </c>
      <c r="N1852" s="19" t="s">
        <v>10</v>
      </c>
      <c r="O1852" s="1" t="s">
        <v>2</v>
      </c>
      <c r="P1852" s="2" t="s">
        <v>8</v>
      </c>
      <c r="Q1852" s="1" t="s">
        <v>9</v>
      </c>
      <c r="R1852" s="19" t="s">
        <v>10</v>
      </c>
      <c r="S1852" s="1" t="s">
        <v>2</v>
      </c>
      <c r="U1852" s="1" t="s">
        <v>1</v>
      </c>
      <c r="V1852" s="2" t="s">
        <v>8</v>
      </c>
      <c r="W1852" s="1" t="s">
        <v>9</v>
      </c>
      <c r="X1852" s="19" t="s">
        <v>10</v>
      </c>
      <c r="Y1852" s="1" t="s">
        <v>2</v>
      </c>
      <c r="Z1852" s="2" t="s">
        <v>8</v>
      </c>
      <c r="AA1852" s="1" t="s">
        <v>9</v>
      </c>
      <c r="AB1852" s="19" t="s">
        <v>10</v>
      </c>
      <c r="AC1852" s="1" t="s">
        <v>2</v>
      </c>
      <c r="AD1852" s="2" t="s">
        <v>8</v>
      </c>
      <c r="AE1852" s="1" t="s">
        <v>9</v>
      </c>
      <c r="AF1852" s="19" t="s">
        <v>10</v>
      </c>
      <c r="AG1852" s="1" t="s">
        <v>2</v>
      </c>
    </row>
    <row r="1853" spans="1:33">
      <c r="A1853" s="21" t="s">
        <v>7</v>
      </c>
      <c r="B1853" s="18">
        <f>B1847</f>
        <v>4</v>
      </c>
      <c r="C1853" s="22">
        <f>C1847</f>
        <v>3</v>
      </c>
      <c r="D1853" s="22">
        <f>D1847</f>
        <v>6</v>
      </c>
      <c r="E1853" s="17">
        <f t="shared" ref="E1853" si="1064">SUM(B1853:D1853)</f>
        <v>13</v>
      </c>
      <c r="F1853" s="22">
        <f>F1847</f>
        <v>4</v>
      </c>
      <c r="G1853" s="22">
        <f>G1847</f>
        <v>3</v>
      </c>
      <c r="H1853" s="22">
        <f>H1847</f>
        <v>6</v>
      </c>
      <c r="I1853" s="17">
        <f t="shared" ref="I1853:I1889" si="1065">SUM(F1853:H1853)</f>
        <v>13</v>
      </c>
      <c r="K1853" s="21" t="s">
        <v>7</v>
      </c>
      <c r="L1853" s="18">
        <f>L1847</f>
        <v>151</v>
      </c>
      <c r="M1853" s="22">
        <f t="shared" ref="M1853:S1853" si="1066">M1847</f>
        <v>153</v>
      </c>
      <c r="N1853" s="22">
        <f t="shared" si="1066"/>
        <v>72</v>
      </c>
      <c r="O1853" s="17">
        <f t="shared" si="1066"/>
        <v>376</v>
      </c>
      <c r="P1853" s="22">
        <f t="shared" si="1066"/>
        <v>151</v>
      </c>
      <c r="Q1853" s="22">
        <f t="shared" si="1066"/>
        <v>153</v>
      </c>
      <c r="R1853" s="22">
        <f t="shared" si="1066"/>
        <v>72</v>
      </c>
      <c r="S1853" s="17">
        <f t="shared" si="1066"/>
        <v>376</v>
      </c>
      <c r="U1853" s="21" t="s">
        <v>7</v>
      </c>
      <c r="V1853" s="18">
        <f>V1847</f>
        <v>23</v>
      </c>
      <c r="W1853" s="22">
        <f>W1847</f>
        <v>24</v>
      </c>
      <c r="X1853" s="22">
        <f>X1847</f>
        <v>17</v>
      </c>
      <c r="Y1853" s="17">
        <f t="shared" ref="Y1853:Y1889" si="1067">SUM(V1853:X1853)</f>
        <v>64</v>
      </c>
      <c r="Z1853" s="22">
        <f>Z1847</f>
        <v>23</v>
      </c>
      <c r="AA1853" s="22">
        <f>AA1847</f>
        <v>24</v>
      </c>
      <c r="AB1853" s="22">
        <f>AB1847</f>
        <v>17</v>
      </c>
      <c r="AC1853" s="17">
        <f t="shared" ref="AC1853:AC1889" si="1068">SUM(Z1853:AB1853)</f>
        <v>64</v>
      </c>
      <c r="AD1853" s="22">
        <f>AD1847</f>
        <v>23</v>
      </c>
      <c r="AE1853" s="22">
        <f>AE1847</f>
        <v>24</v>
      </c>
      <c r="AF1853" s="22">
        <f>AF1847</f>
        <v>17</v>
      </c>
      <c r="AG1853" s="17">
        <f t="shared" ref="AG1853:AG1889" si="1069">SUM(AD1853:AF1853)</f>
        <v>64</v>
      </c>
    </row>
    <row r="1854" spans="1:33">
      <c r="A1854" s="5" t="s">
        <v>3</v>
      </c>
      <c r="B1854" s="16">
        <v>5</v>
      </c>
      <c r="C1854" s="11">
        <v>5</v>
      </c>
      <c r="D1854" s="16"/>
      <c r="E1854" s="4">
        <f t="shared" ref="E1854:E1856" si="1070">SUM(B1854:D1854)</f>
        <v>10</v>
      </c>
      <c r="F1854" s="16">
        <v>5</v>
      </c>
      <c r="G1854" s="11">
        <v>5</v>
      </c>
      <c r="H1854" s="16"/>
      <c r="I1854" s="4">
        <f t="shared" ref="I1854:I1856" si="1071">SUM(F1854:H1854)</f>
        <v>10</v>
      </c>
      <c r="J1854" s="43">
        <v>45766</v>
      </c>
      <c r="K1854" s="5" t="s">
        <v>3</v>
      </c>
      <c r="L1854" s="16"/>
      <c r="M1854" s="11"/>
      <c r="N1854" s="16"/>
      <c r="O1854" s="4">
        <f t="shared" ref="O1854:O1888" si="1072">SUM(L1854:N1854)</f>
        <v>0</v>
      </c>
      <c r="P1854" s="16"/>
      <c r="Q1854" s="11"/>
      <c r="R1854" s="16"/>
      <c r="S1854" s="4">
        <f t="shared" ref="S1854:S1888" si="1073">SUM(P1854:R1854)</f>
        <v>0</v>
      </c>
      <c r="T1854" s="71"/>
      <c r="U1854" s="5" t="s">
        <v>3</v>
      </c>
      <c r="V1854" s="16"/>
      <c r="W1854" s="11"/>
      <c r="X1854" s="16"/>
      <c r="Y1854" s="4">
        <f t="shared" si="1067"/>
        <v>0</v>
      </c>
      <c r="Z1854" s="16"/>
      <c r="AA1854" s="11"/>
      <c r="AB1854" s="16"/>
      <c r="AC1854" s="4">
        <f t="shared" si="1068"/>
        <v>0</v>
      </c>
      <c r="AD1854" s="16"/>
      <c r="AE1854" s="11"/>
      <c r="AF1854" s="16"/>
      <c r="AG1854" s="4">
        <f t="shared" si="1069"/>
        <v>0</v>
      </c>
    </row>
    <row r="1855" spans="1:33">
      <c r="A1855" s="5" t="s">
        <v>37</v>
      </c>
      <c r="B1855" s="16">
        <v>1</v>
      </c>
      <c r="C1855" s="11"/>
      <c r="D1855" s="16">
        <v>1</v>
      </c>
      <c r="E1855" s="4">
        <f t="shared" si="1070"/>
        <v>2</v>
      </c>
      <c r="F1855" s="16">
        <v>1</v>
      </c>
      <c r="G1855" s="11"/>
      <c r="H1855" s="16">
        <v>1</v>
      </c>
      <c r="I1855" s="4">
        <f t="shared" si="1071"/>
        <v>2</v>
      </c>
      <c r="J1855" s="43">
        <v>45772</v>
      </c>
      <c r="K1855" s="5" t="s">
        <v>3</v>
      </c>
      <c r="L1855" s="16"/>
      <c r="M1855" s="11"/>
      <c r="N1855" s="16">
        <v>50</v>
      </c>
      <c r="O1855" s="4">
        <f t="shared" si="1072"/>
        <v>50</v>
      </c>
      <c r="P1855" s="16"/>
      <c r="Q1855" s="11"/>
      <c r="R1855" s="16">
        <v>50</v>
      </c>
      <c r="S1855" s="4">
        <f t="shared" si="1073"/>
        <v>50</v>
      </c>
      <c r="T1855" s="43" t="s">
        <v>1050</v>
      </c>
      <c r="U1855" s="5" t="s">
        <v>3</v>
      </c>
      <c r="V1855" s="32"/>
      <c r="W1855" s="31"/>
      <c r="X1855" s="32"/>
      <c r="Y1855" s="4">
        <f t="shared" si="1067"/>
        <v>0</v>
      </c>
      <c r="Z1855" s="32"/>
      <c r="AA1855" s="31"/>
      <c r="AB1855" s="32"/>
      <c r="AC1855" s="4">
        <f t="shared" si="1068"/>
        <v>0</v>
      </c>
      <c r="AD1855" s="32"/>
      <c r="AE1855" s="31"/>
      <c r="AF1855" s="32"/>
      <c r="AG1855" s="4">
        <f t="shared" si="1069"/>
        <v>0</v>
      </c>
    </row>
    <row r="1856" spans="1:33">
      <c r="A1856" s="5" t="s">
        <v>37</v>
      </c>
      <c r="B1856" s="16"/>
      <c r="C1856" s="11"/>
      <c r="D1856" s="16">
        <v>1</v>
      </c>
      <c r="E1856" s="4">
        <f t="shared" si="1070"/>
        <v>1</v>
      </c>
      <c r="F1856" s="16"/>
      <c r="G1856" s="11"/>
      <c r="H1856" s="16">
        <v>1</v>
      </c>
      <c r="I1856" s="4">
        <f t="shared" si="1071"/>
        <v>1</v>
      </c>
      <c r="J1856" s="43">
        <v>45792</v>
      </c>
      <c r="K1856" s="5" t="s">
        <v>3</v>
      </c>
      <c r="L1856" s="16"/>
      <c r="M1856" s="11"/>
      <c r="N1856" s="16"/>
      <c r="O1856" s="4">
        <f t="shared" si="1072"/>
        <v>0</v>
      </c>
      <c r="P1856" s="16"/>
      <c r="Q1856" s="11"/>
      <c r="R1856" s="16"/>
      <c r="S1856" s="4">
        <f t="shared" si="1073"/>
        <v>0</v>
      </c>
      <c r="T1856" s="71"/>
      <c r="U1856" s="5" t="s">
        <v>3</v>
      </c>
      <c r="V1856" s="32"/>
      <c r="W1856" s="31"/>
      <c r="X1856" s="32"/>
      <c r="Y1856" s="4">
        <f t="shared" si="1067"/>
        <v>0</v>
      </c>
      <c r="Z1856" s="32"/>
      <c r="AA1856" s="31"/>
      <c r="AB1856" s="32"/>
      <c r="AC1856" s="4">
        <f t="shared" si="1068"/>
        <v>0</v>
      </c>
      <c r="AD1856" s="32"/>
      <c r="AE1856" s="31"/>
      <c r="AF1856" s="32"/>
      <c r="AG1856" s="4">
        <f t="shared" si="1069"/>
        <v>0</v>
      </c>
    </row>
    <row r="1857" spans="1:33">
      <c r="A1857" s="5" t="s">
        <v>3</v>
      </c>
      <c r="B1857" s="16"/>
      <c r="C1857" s="11"/>
      <c r="D1857" s="16"/>
      <c r="E1857" s="4">
        <f t="shared" ref="E1857:E1889" si="1074">SUM(B1857:D1857)</f>
        <v>0</v>
      </c>
      <c r="F1857" s="16"/>
      <c r="G1857" s="11"/>
      <c r="H1857" s="16"/>
      <c r="I1857" s="4">
        <f t="shared" si="1065"/>
        <v>0</v>
      </c>
      <c r="J1857" s="71"/>
      <c r="K1857" s="5" t="s">
        <v>3</v>
      </c>
      <c r="L1857" s="16"/>
      <c r="M1857" s="11"/>
      <c r="N1857" s="16"/>
      <c r="O1857" s="4">
        <f t="shared" si="1072"/>
        <v>0</v>
      </c>
      <c r="P1857" s="16"/>
      <c r="Q1857" s="11"/>
      <c r="R1857" s="16"/>
      <c r="S1857" s="4">
        <f t="shared" si="1073"/>
        <v>0</v>
      </c>
      <c r="T1857" s="71"/>
      <c r="U1857" s="5" t="s">
        <v>3</v>
      </c>
      <c r="V1857" s="32"/>
      <c r="W1857" s="31"/>
      <c r="X1857" s="32"/>
      <c r="Y1857" s="4">
        <f t="shared" si="1067"/>
        <v>0</v>
      </c>
      <c r="Z1857" s="32"/>
      <c r="AA1857" s="31"/>
      <c r="AB1857" s="32"/>
      <c r="AC1857" s="4">
        <f t="shared" si="1068"/>
        <v>0</v>
      </c>
      <c r="AD1857" s="32"/>
      <c r="AE1857" s="31"/>
      <c r="AF1857" s="32"/>
      <c r="AG1857" s="4">
        <f t="shared" si="1069"/>
        <v>0</v>
      </c>
    </row>
    <row r="1858" spans="1:33">
      <c r="A1858" s="5" t="s">
        <v>3</v>
      </c>
      <c r="B1858" s="16"/>
      <c r="C1858" s="11"/>
      <c r="D1858" s="16"/>
      <c r="E1858" s="4">
        <f t="shared" si="1074"/>
        <v>0</v>
      </c>
      <c r="F1858" s="16"/>
      <c r="G1858" s="11"/>
      <c r="H1858" s="16"/>
      <c r="I1858" s="4">
        <f t="shared" si="1065"/>
        <v>0</v>
      </c>
      <c r="J1858" s="71"/>
      <c r="K1858" s="5" t="s">
        <v>3</v>
      </c>
      <c r="L1858" s="16"/>
      <c r="M1858" s="11"/>
      <c r="N1858" s="16"/>
      <c r="O1858" s="4">
        <f t="shared" si="1072"/>
        <v>0</v>
      </c>
      <c r="P1858" s="16"/>
      <c r="Q1858" s="11"/>
      <c r="R1858" s="16"/>
      <c r="S1858" s="4">
        <f t="shared" si="1073"/>
        <v>0</v>
      </c>
      <c r="T1858" s="71"/>
      <c r="U1858" s="5" t="s">
        <v>3</v>
      </c>
      <c r="V1858" s="30"/>
      <c r="W1858" s="31"/>
      <c r="X1858" s="32"/>
      <c r="Y1858" s="4">
        <f t="shared" si="1067"/>
        <v>0</v>
      </c>
      <c r="Z1858" s="30"/>
      <c r="AA1858" s="31"/>
      <c r="AB1858" s="32"/>
      <c r="AC1858" s="4">
        <f t="shared" si="1068"/>
        <v>0</v>
      </c>
      <c r="AD1858" s="30"/>
      <c r="AE1858" s="31"/>
      <c r="AF1858" s="32"/>
      <c r="AG1858" s="4">
        <f t="shared" si="1069"/>
        <v>0</v>
      </c>
    </row>
    <row r="1859" spans="1:33">
      <c r="A1859" s="5" t="s">
        <v>3</v>
      </c>
      <c r="B1859" s="16"/>
      <c r="C1859" s="11"/>
      <c r="D1859" s="16"/>
      <c r="E1859" s="4">
        <f t="shared" si="1074"/>
        <v>0</v>
      </c>
      <c r="F1859" s="16"/>
      <c r="G1859" s="11"/>
      <c r="H1859" s="16"/>
      <c r="I1859" s="4">
        <f t="shared" si="1065"/>
        <v>0</v>
      </c>
      <c r="K1859" s="5" t="s">
        <v>3</v>
      </c>
      <c r="L1859" s="16"/>
      <c r="M1859" s="11"/>
      <c r="N1859" s="16"/>
      <c r="O1859" s="4">
        <f t="shared" si="1072"/>
        <v>0</v>
      </c>
      <c r="P1859" s="16"/>
      <c r="Q1859" s="11"/>
      <c r="R1859" s="16"/>
      <c r="S1859" s="4">
        <f t="shared" si="1073"/>
        <v>0</v>
      </c>
      <c r="U1859" s="5" t="s">
        <v>3</v>
      </c>
      <c r="V1859" s="30"/>
      <c r="W1859" s="31"/>
      <c r="X1859" s="32"/>
      <c r="Y1859" s="4">
        <f t="shared" si="1067"/>
        <v>0</v>
      </c>
      <c r="Z1859" s="30"/>
      <c r="AA1859" s="31"/>
      <c r="AB1859" s="32"/>
      <c r="AC1859" s="4">
        <f t="shared" si="1068"/>
        <v>0</v>
      </c>
      <c r="AD1859" s="30"/>
      <c r="AE1859" s="31"/>
      <c r="AF1859" s="32"/>
      <c r="AG1859" s="4">
        <f t="shared" si="1069"/>
        <v>0</v>
      </c>
    </row>
    <row r="1860" spans="1:33">
      <c r="A1860" s="5" t="s">
        <v>3</v>
      </c>
      <c r="B1860" s="32"/>
      <c r="C1860" s="31"/>
      <c r="D1860" s="32"/>
      <c r="E1860" s="4">
        <f t="shared" si="1074"/>
        <v>0</v>
      </c>
      <c r="F1860" s="32"/>
      <c r="G1860" s="31"/>
      <c r="H1860" s="32"/>
      <c r="I1860" s="4">
        <f t="shared" si="1065"/>
        <v>0</v>
      </c>
      <c r="K1860" s="5" t="s">
        <v>3</v>
      </c>
      <c r="L1860" s="32"/>
      <c r="M1860" s="31"/>
      <c r="N1860" s="32"/>
      <c r="O1860" s="4">
        <f t="shared" si="1072"/>
        <v>0</v>
      </c>
      <c r="P1860" s="32"/>
      <c r="Q1860" s="31"/>
      <c r="R1860" s="32"/>
      <c r="S1860" s="4">
        <f t="shared" si="1073"/>
        <v>0</v>
      </c>
      <c r="U1860" s="5" t="s">
        <v>3</v>
      </c>
      <c r="V1860" s="30"/>
      <c r="W1860" s="31"/>
      <c r="X1860" s="32"/>
      <c r="Y1860" s="4">
        <f t="shared" ref="Y1860:Y1863" si="1075">SUM(V1860:X1860)</f>
        <v>0</v>
      </c>
      <c r="Z1860" s="30"/>
      <c r="AA1860" s="31"/>
      <c r="AB1860" s="32"/>
      <c r="AC1860" s="4">
        <f t="shared" ref="AC1860:AC1863" si="1076">SUM(Z1860:AB1860)</f>
        <v>0</v>
      </c>
      <c r="AD1860" s="30"/>
      <c r="AE1860" s="31"/>
      <c r="AF1860" s="32"/>
      <c r="AG1860" s="4">
        <f t="shared" ref="AG1860:AG1863" si="1077">SUM(AD1860:AF1860)</f>
        <v>0</v>
      </c>
    </row>
    <row r="1861" spans="1:33">
      <c r="A1861" s="5" t="s">
        <v>3</v>
      </c>
      <c r="B1861" s="32"/>
      <c r="C1861" s="31"/>
      <c r="D1861" s="32"/>
      <c r="E1861" s="4">
        <f t="shared" si="1074"/>
        <v>0</v>
      </c>
      <c r="F1861" s="32"/>
      <c r="G1861" s="31"/>
      <c r="H1861" s="32"/>
      <c r="I1861" s="4">
        <f t="shared" si="1065"/>
        <v>0</v>
      </c>
      <c r="K1861" s="5" t="s">
        <v>3</v>
      </c>
      <c r="L1861" s="32"/>
      <c r="M1861" s="31"/>
      <c r="N1861" s="32"/>
      <c r="O1861" s="4">
        <f t="shared" si="1072"/>
        <v>0</v>
      </c>
      <c r="P1861" s="32"/>
      <c r="Q1861" s="31"/>
      <c r="R1861" s="32"/>
      <c r="S1861" s="4">
        <f t="shared" si="1073"/>
        <v>0</v>
      </c>
      <c r="U1861" s="5" t="s">
        <v>3</v>
      </c>
      <c r="V1861" s="30"/>
      <c r="W1861" s="31"/>
      <c r="X1861" s="32"/>
      <c r="Y1861" s="4">
        <f t="shared" si="1075"/>
        <v>0</v>
      </c>
      <c r="Z1861" s="30"/>
      <c r="AA1861" s="31"/>
      <c r="AB1861" s="32"/>
      <c r="AC1861" s="4">
        <f t="shared" si="1076"/>
        <v>0</v>
      </c>
      <c r="AD1861" s="30"/>
      <c r="AE1861" s="31"/>
      <c r="AF1861" s="32"/>
      <c r="AG1861" s="4">
        <f t="shared" si="1077"/>
        <v>0</v>
      </c>
    </row>
    <row r="1862" spans="1:33">
      <c r="A1862" s="5" t="s">
        <v>3</v>
      </c>
      <c r="B1862" s="30"/>
      <c r="C1862" s="31"/>
      <c r="D1862" s="32"/>
      <c r="E1862" s="4">
        <f t="shared" si="1074"/>
        <v>0</v>
      </c>
      <c r="F1862" s="30"/>
      <c r="G1862" s="31"/>
      <c r="H1862" s="32"/>
      <c r="I1862" s="4">
        <f t="shared" si="1065"/>
        <v>0</v>
      </c>
      <c r="K1862" s="5" t="s">
        <v>3</v>
      </c>
      <c r="L1862" s="30"/>
      <c r="M1862" s="31"/>
      <c r="N1862" s="32"/>
      <c r="O1862" s="4">
        <f t="shared" si="1072"/>
        <v>0</v>
      </c>
      <c r="P1862" s="30"/>
      <c r="Q1862" s="31"/>
      <c r="R1862" s="32"/>
      <c r="S1862" s="4">
        <f t="shared" si="1073"/>
        <v>0</v>
      </c>
      <c r="U1862" s="5" t="s">
        <v>3</v>
      </c>
      <c r="V1862" s="30"/>
      <c r="W1862" s="31"/>
      <c r="X1862" s="32"/>
      <c r="Y1862" s="4">
        <f t="shared" si="1075"/>
        <v>0</v>
      </c>
      <c r="Z1862" s="30"/>
      <c r="AA1862" s="31"/>
      <c r="AB1862" s="32"/>
      <c r="AC1862" s="4">
        <f t="shared" si="1076"/>
        <v>0</v>
      </c>
      <c r="AD1862" s="30"/>
      <c r="AE1862" s="31"/>
      <c r="AF1862" s="32"/>
      <c r="AG1862" s="4">
        <f t="shared" si="1077"/>
        <v>0</v>
      </c>
    </row>
    <row r="1863" spans="1:33" ht="14.25" thickBot="1">
      <c r="A1863" s="6" t="s">
        <v>3</v>
      </c>
      <c r="B1863" s="36"/>
      <c r="C1863" s="37"/>
      <c r="D1863" s="36"/>
      <c r="E1863" s="20">
        <f t="shared" si="1074"/>
        <v>0</v>
      </c>
      <c r="F1863" s="13"/>
      <c r="G1863" s="12"/>
      <c r="H1863" s="13"/>
      <c r="I1863" s="20">
        <f t="shared" si="1065"/>
        <v>0</v>
      </c>
      <c r="K1863" s="6" t="s">
        <v>3</v>
      </c>
      <c r="L1863" s="36"/>
      <c r="M1863" s="37"/>
      <c r="N1863" s="36"/>
      <c r="O1863" s="20">
        <f t="shared" si="1072"/>
        <v>0</v>
      </c>
      <c r="P1863" s="13"/>
      <c r="Q1863" s="12"/>
      <c r="R1863" s="13"/>
      <c r="S1863" s="20">
        <f t="shared" si="1073"/>
        <v>0</v>
      </c>
      <c r="U1863" s="5" t="s">
        <v>3</v>
      </c>
      <c r="V1863" s="30"/>
      <c r="W1863" s="31"/>
      <c r="X1863" s="32"/>
      <c r="Y1863" s="4">
        <f t="shared" si="1075"/>
        <v>0</v>
      </c>
      <c r="Z1863" s="30"/>
      <c r="AA1863" s="31"/>
      <c r="AB1863" s="32"/>
      <c r="AC1863" s="4">
        <f t="shared" si="1076"/>
        <v>0</v>
      </c>
      <c r="AD1863" s="30"/>
      <c r="AE1863" s="31"/>
      <c r="AF1863" s="32"/>
      <c r="AG1863" s="4">
        <f t="shared" si="1077"/>
        <v>0</v>
      </c>
    </row>
    <row r="1864" spans="1:33" ht="14.25" thickBot="1">
      <c r="A1864" s="23" t="s">
        <v>4</v>
      </c>
      <c r="B1864" s="24">
        <f>SUM(B1853:B1863)</f>
        <v>10</v>
      </c>
      <c r="C1864" s="24">
        <f>SUM(C1853:C1863)</f>
        <v>8</v>
      </c>
      <c r="D1864" s="25">
        <f>SUM(D1853:D1863)</f>
        <v>8</v>
      </c>
      <c r="E1864" s="26">
        <f t="shared" si="1074"/>
        <v>26</v>
      </c>
      <c r="F1864" s="24">
        <f>SUM(F1853:F1863)</f>
        <v>10</v>
      </c>
      <c r="G1864" s="24">
        <f>SUM(G1853:G1863)</f>
        <v>8</v>
      </c>
      <c r="H1864" s="25">
        <f>SUM(H1853:H1863)</f>
        <v>8</v>
      </c>
      <c r="I1864" s="26">
        <f t="shared" si="1065"/>
        <v>26</v>
      </c>
      <c r="K1864" s="23" t="s">
        <v>4</v>
      </c>
      <c r="L1864" s="24">
        <f>SUM(L1853:L1863)</f>
        <v>151</v>
      </c>
      <c r="M1864" s="24">
        <f t="shared" ref="M1864" si="1078">SUM(M1853:M1863)</f>
        <v>153</v>
      </c>
      <c r="N1864" s="25">
        <f t="shared" ref="N1864" si="1079">SUM(N1853:N1863)</f>
        <v>122</v>
      </c>
      <c r="O1864" s="26">
        <f t="shared" ref="O1864" si="1080">SUM(O1853:O1863)</f>
        <v>426</v>
      </c>
      <c r="P1864" s="24">
        <f t="shared" ref="P1864" si="1081">SUM(P1853:P1863)</f>
        <v>151</v>
      </c>
      <c r="Q1864" s="24">
        <f t="shared" ref="Q1864" si="1082">SUM(Q1853:Q1863)</f>
        <v>153</v>
      </c>
      <c r="R1864" s="25">
        <f t="shared" ref="R1864" si="1083">SUM(R1853:R1863)</f>
        <v>122</v>
      </c>
      <c r="S1864" s="26">
        <f t="shared" ref="S1864" si="1084">SUM(S1853:S1863)</f>
        <v>426</v>
      </c>
      <c r="T1864" s="146"/>
      <c r="U1864" s="23" t="s">
        <v>4</v>
      </c>
      <c r="V1864" s="24">
        <f>SUM(V1853:V1863)</f>
        <v>23</v>
      </c>
      <c r="W1864" s="24">
        <f>SUM(W1853:W1863)</f>
        <v>24</v>
      </c>
      <c r="X1864" s="25">
        <f>SUM(X1853:X1863)</f>
        <v>17</v>
      </c>
      <c r="Y1864" s="26">
        <f t="shared" si="1067"/>
        <v>64</v>
      </c>
      <c r="Z1864" s="24">
        <f>SUM(Z1853:Z1863)</f>
        <v>23</v>
      </c>
      <c r="AA1864" s="24">
        <f>SUM(AA1853:AA1863)</f>
        <v>24</v>
      </c>
      <c r="AB1864" s="25">
        <f>SUM(AB1853:AB1863)</f>
        <v>17</v>
      </c>
      <c r="AC1864" s="26">
        <f t="shared" si="1068"/>
        <v>64</v>
      </c>
      <c r="AD1864" s="24">
        <f>SUM(AD1853:AD1863)</f>
        <v>23</v>
      </c>
      <c r="AE1864" s="24">
        <f>SUM(AE1853:AE1863)</f>
        <v>24</v>
      </c>
      <c r="AF1864" s="25">
        <f>SUM(AF1853:AF1863)</f>
        <v>17</v>
      </c>
      <c r="AG1864" s="26">
        <f t="shared" si="1069"/>
        <v>64</v>
      </c>
    </row>
    <row r="1865" spans="1:33">
      <c r="A1865" s="3" t="s">
        <v>28</v>
      </c>
      <c r="B1865" s="8"/>
      <c r="C1865" s="9">
        <v>1</v>
      </c>
      <c r="D1865" s="10"/>
      <c r="E1865" s="7">
        <f t="shared" si="1074"/>
        <v>1</v>
      </c>
      <c r="F1865" s="8"/>
      <c r="G1865" s="9">
        <v>1</v>
      </c>
      <c r="H1865" s="10"/>
      <c r="I1865" s="7">
        <f t="shared" si="1065"/>
        <v>1</v>
      </c>
      <c r="J1865" s="43">
        <v>45758</v>
      </c>
      <c r="K1865" s="3" t="s">
        <v>887</v>
      </c>
      <c r="L1865" s="8">
        <v>12</v>
      </c>
      <c r="M1865" s="9">
        <v>17</v>
      </c>
      <c r="N1865" s="10">
        <v>11</v>
      </c>
      <c r="O1865" s="7">
        <f t="shared" si="1072"/>
        <v>40</v>
      </c>
      <c r="P1865" s="8">
        <v>12</v>
      </c>
      <c r="Q1865" s="9">
        <v>17</v>
      </c>
      <c r="R1865" s="10">
        <v>11</v>
      </c>
      <c r="S1865" s="7">
        <f t="shared" si="1073"/>
        <v>40</v>
      </c>
      <c r="T1865" s="43">
        <v>45751</v>
      </c>
      <c r="U1865" s="40"/>
      <c r="V1865" s="8"/>
      <c r="W1865" s="9"/>
      <c r="X1865" s="10"/>
      <c r="Y1865" s="4">
        <f t="shared" si="1067"/>
        <v>0</v>
      </c>
      <c r="Z1865" s="8"/>
      <c r="AA1865" s="9"/>
      <c r="AB1865" s="10"/>
      <c r="AC1865" s="4">
        <f t="shared" si="1068"/>
        <v>0</v>
      </c>
      <c r="AD1865" s="8"/>
      <c r="AE1865" s="9"/>
      <c r="AF1865" s="10"/>
      <c r="AG1865" s="4">
        <f t="shared" si="1069"/>
        <v>0</v>
      </c>
    </row>
    <row r="1866" spans="1:33">
      <c r="A1866" s="3" t="s">
        <v>30</v>
      </c>
      <c r="B1866" s="8">
        <v>1</v>
      </c>
      <c r="C1866" s="9"/>
      <c r="D1866" s="10"/>
      <c r="E1866" s="7">
        <f t="shared" si="1074"/>
        <v>1</v>
      </c>
      <c r="F1866" s="8">
        <v>1</v>
      </c>
      <c r="G1866" s="9"/>
      <c r="H1866" s="10"/>
      <c r="I1866" s="7">
        <f t="shared" si="1065"/>
        <v>1</v>
      </c>
      <c r="J1866" s="43">
        <v>45763</v>
      </c>
      <c r="K1866" s="3" t="s">
        <v>1045</v>
      </c>
      <c r="L1866" s="8">
        <v>2</v>
      </c>
      <c r="M1866" s="9">
        <v>2</v>
      </c>
      <c r="N1866" s="10">
        <v>2</v>
      </c>
      <c r="O1866" s="7">
        <f t="shared" si="1072"/>
        <v>6</v>
      </c>
      <c r="P1866" s="8">
        <v>2</v>
      </c>
      <c r="Q1866" s="9">
        <v>2</v>
      </c>
      <c r="R1866" s="10">
        <v>2</v>
      </c>
      <c r="S1866" s="7">
        <f t="shared" si="1073"/>
        <v>6</v>
      </c>
      <c r="T1866" s="43">
        <v>45750</v>
      </c>
      <c r="U1866" s="40"/>
      <c r="V1866" s="8"/>
      <c r="W1866" s="9"/>
      <c r="X1866" s="10"/>
      <c r="Y1866" s="4">
        <f t="shared" si="1067"/>
        <v>0</v>
      </c>
      <c r="Z1866" s="8"/>
      <c r="AA1866" s="9"/>
      <c r="AB1866" s="10"/>
      <c r="AC1866" s="4">
        <f t="shared" si="1068"/>
        <v>0</v>
      </c>
      <c r="AD1866" s="8"/>
      <c r="AE1866" s="9"/>
      <c r="AF1866" s="10"/>
      <c r="AG1866" s="4">
        <f t="shared" si="1069"/>
        <v>0</v>
      </c>
    </row>
    <row r="1867" spans="1:33">
      <c r="A1867" s="3" t="s">
        <v>31</v>
      </c>
      <c r="B1867" s="8">
        <v>1</v>
      </c>
      <c r="C1867" s="9"/>
      <c r="D1867" s="10"/>
      <c r="E1867" s="7">
        <f t="shared" si="1074"/>
        <v>1</v>
      </c>
      <c r="F1867" s="8">
        <v>1</v>
      </c>
      <c r="G1867" s="9"/>
      <c r="H1867" s="10"/>
      <c r="I1867" s="7">
        <f t="shared" si="1065"/>
        <v>1</v>
      </c>
      <c r="J1867" s="43">
        <v>45764</v>
      </c>
      <c r="K1867" s="3" t="s">
        <v>23</v>
      </c>
      <c r="L1867" s="8"/>
      <c r="M1867" s="9">
        <v>3</v>
      </c>
      <c r="N1867" s="10"/>
      <c r="O1867" s="7">
        <f t="shared" si="1072"/>
        <v>3</v>
      </c>
      <c r="P1867" s="8"/>
      <c r="Q1867" s="9">
        <v>3</v>
      </c>
      <c r="R1867" s="10"/>
      <c r="S1867" s="7">
        <f t="shared" si="1073"/>
        <v>3</v>
      </c>
      <c r="T1867" s="43">
        <v>45751</v>
      </c>
      <c r="U1867" s="40"/>
      <c r="V1867" s="8"/>
      <c r="W1867" s="9"/>
      <c r="X1867" s="10"/>
      <c r="Y1867" s="7">
        <f t="shared" si="1067"/>
        <v>0</v>
      </c>
      <c r="Z1867" s="8"/>
      <c r="AA1867" s="9"/>
      <c r="AB1867" s="10"/>
      <c r="AC1867" s="7">
        <f t="shared" si="1068"/>
        <v>0</v>
      </c>
      <c r="AD1867" s="8"/>
      <c r="AE1867" s="9"/>
      <c r="AF1867" s="10"/>
      <c r="AG1867" s="7">
        <f t="shared" si="1069"/>
        <v>0</v>
      </c>
    </row>
    <row r="1868" spans="1:33">
      <c r="A1868" s="3" t="s">
        <v>32</v>
      </c>
      <c r="B1868" s="8">
        <v>1</v>
      </c>
      <c r="C1868" s="9">
        <v>1</v>
      </c>
      <c r="D1868" s="10"/>
      <c r="E1868" s="7">
        <f t="shared" si="1074"/>
        <v>2</v>
      </c>
      <c r="F1868" s="8">
        <v>1</v>
      </c>
      <c r="G1868" s="9">
        <v>1</v>
      </c>
      <c r="H1868" s="10"/>
      <c r="I1868" s="7">
        <f t="shared" si="1065"/>
        <v>2</v>
      </c>
      <c r="J1868" s="43">
        <v>45770</v>
      </c>
      <c r="K1868" s="3" t="s">
        <v>25</v>
      </c>
      <c r="L1868" s="8"/>
      <c r="M1868" s="9">
        <v>2</v>
      </c>
      <c r="N1868" s="10">
        <v>5</v>
      </c>
      <c r="O1868" s="7">
        <f t="shared" si="1072"/>
        <v>7</v>
      </c>
      <c r="P1868" s="8"/>
      <c r="Q1868" s="9">
        <v>2</v>
      </c>
      <c r="R1868" s="10">
        <v>5</v>
      </c>
      <c r="S1868" s="7">
        <f t="shared" si="1073"/>
        <v>7</v>
      </c>
      <c r="T1868" s="43">
        <v>45756</v>
      </c>
      <c r="U1868" s="40"/>
      <c r="V1868" s="8"/>
      <c r="W1868" s="9"/>
      <c r="X1868" s="10"/>
      <c r="Y1868" s="4">
        <f t="shared" si="1067"/>
        <v>0</v>
      </c>
      <c r="Z1868" s="8"/>
      <c r="AA1868" s="9"/>
      <c r="AB1868" s="10"/>
      <c r="AC1868" s="4">
        <f t="shared" si="1068"/>
        <v>0</v>
      </c>
      <c r="AD1868" s="8"/>
      <c r="AE1868" s="9"/>
      <c r="AF1868" s="10"/>
      <c r="AG1868" s="4">
        <f t="shared" si="1069"/>
        <v>0</v>
      </c>
    </row>
    <row r="1869" spans="1:33">
      <c r="A1869" s="3" t="s">
        <v>39</v>
      </c>
      <c r="B1869" s="8"/>
      <c r="C1869" s="9"/>
      <c r="D1869" s="10">
        <v>1</v>
      </c>
      <c r="E1869" s="7">
        <f t="shared" si="1074"/>
        <v>1</v>
      </c>
      <c r="F1869" s="8"/>
      <c r="G1869" s="9"/>
      <c r="H1869" s="10">
        <v>1</v>
      </c>
      <c r="I1869" s="7">
        <f t="shared" si="1065"/>
        <v>1</v>
      </c>
      <c r="J1869" s="43">
        <v>45775</v>
      </c>
      <c r="K1869" s="3" t="s">
        <v>27</v>
      </c>
      <c r="L1869" s="8">
        <v>4</v>
      </c>
      <c r="M1869" s="9"/>
      <c r="N1869" s="10"/>
      <c r="O1869" s="7">
        <f t="shared" si="1072"/>
        <v>4</v>
      </c>
      <c r="P1869" s="8">
        <v>4</v>
      </c>
      <c r="Q1869" s="9"/>
      <c r="R1869" s="10"/>
      <c r="S1869" s="7">
        <f t="shared" si="1073"/>
        <v>4</v>
      </c>
      <c r="T1869" s="43">
        <v>45757</v>
      </c>
      <c r="U1869" s="3"/>
      <c r="V1869" s="8"/>
      <c r="W1869" s="9"/>
      <c r="X1869" s="10"/>
      <c r="Y1869" s="4">
        <f t="shared" si="1067"/>
        <v>0</v>
      </c>
      <c r="Z1869" s="8"/>
      <c r="AA1869" s="9"/>
      <c r="AB1869" s="10"/>
      <c r="AC1869" s="4">
        <f t="shared" si="1068"/>
        <v>0</v>
      </c>
      <c r="AD1869" s="8"/>
      <c r="AE1869" s="9"/>
      <c r="AF1869" s="10"/>
      <c r="AG1869" s="4">
        <f t="shared" si="1069"/>
        <v>0</v>
      </c>
    </row>
    <row r="1870" spans="1:33">
      <c r="A1870" s="3" t="s">
        <v>41</v>
      </c>
      <c r="B1870" s="8">
        <v>1</v>
      </c>
      <c r="C1870" s="9"/>
      <c r="D1870" s="10">
        <v>1</v>
      </c>
      <c r="E1870" s="7">
        <f t="shared" si="1074"/>
        <v>2</v>
      </c>
      <c r="F1870" s="8">
        <v>1</v>
      </c>
      <c r="G1870" s="9"/>
      <c r="H1870" s="10">
        <v>1</v>
      </c>
      <c r="I1870" s="7">
        <f t="shared" si="1065"/>
        <v>2</v>
      </c>
      <c r="J1870" s="43">
        <v>45779</v>
      </c>
      <c r="K1870" s="3" t="s">
        <v>1048</v>
      </c>
      <c r="L1870" s="8"/>
      <c r="M1870" s="9">
        <v>5</v>
      </c>
      <c r="N1870" s="10">
        <v>5</v>
      </c>
      <c r="O1870" s="7">
        <f t="shared" si="1072"/>
        <v>10</v>
      </c>
      <c r="P1870" s="8"/>
      <c r="Q1870" s="9">
        <v>5</v>
      </c>
      <c r="R1870" s="10">
        <v>5</v>
      </c>
      <c r="S1870" s="7">
        <f t="shared" si="1073"/>
        <v>10</v>
      </c>
      <c r="T1870" s="43">
        <v>45762</v>
      </c>
      <c r="U1870" s="3"/>
      <c r="V1870" s="8"/>
      <c r="W1870" s="9"/>
      <c r="X1870" s="10"/>
      <c r="Y1870" s="7">
        <f t="shared" si="1067"/>
        <v>0</v>
      </c>
      <c r="Z1870" s="8"/>
      <c r="AA1870" s="9"/>
      <c r="AB1870" s="10"/>
      <c r="AC1870" s="7">
        <f t="shared" si="1068"/>
        <v>0</v>
      </c>
      <c r="AD1870" s="8"/>
      <c r="AE1870" s="9"/>
      <c r="AF1870" s="10"/>
      <c r="AG1870" s="7">
        <f t="shared" si="1069"/>
        <v>0</v>
      </c>
    </row>
    <row r="1871" spans="1:33">
      <c r="A1871" s="3" t="s">
        <v>43</v>
      </c>
      <c r="B1871" s="8"/>
      <c r="C1871" s="9">
        <v>1</v>
      </c>
      <c r="D1871" s="10"/>
      <c r="E1871" s="7">
        <f t="shared" si="1074"/>
        <v>1</v>
      </c>
      <c r="F1871" s="8"/>
      <c r="G1871" s="9">
        <v>1</v>
      </c>
      <c r="H1871" s="10"/>
      <c r="I1871" s="7">
        <f t="shared" si="1065"/>
        <v>1</v>
      </c>
      <c r="J1871" s="43">
        <v>45784</v>
      </c>
      <c r="K1871" s="3" t="s">
        <v>1054</v>
      </c>
      <c r="L1871" s="8">
        <v>30</v>
      </c>
      <c r="M1871" s="9">
        <v>30</v>
      </c>
      <c r="N1871" s="10">
        <v>30</v>
      </c>
      <c r="O1871" s="7">
        <f t="shared" si="1072"/>
        <v>90</v>
      </c>
      <c r="P1871" s="8">
        <v>30</v>
      </c>
      <c r="Q1871" s="9">
        <v>30</v>
      </c>
      <c r="R1871" s="10">
        <v>30</v>
      </c>
      <c r="S1871" s="7">
        <f t="shared" si="1073"/>
        <v>90</v>
      </c>
      <c r="T1871" s="43">
        <v>45765</v>
      </c>
      <c r="U1871" s="3"/>
      <c r="V1871" s="8"/>
      <c r="W1871" s="9"/>
      <c r="X1871" s="10"/>
      <c r="Y1871" s="7">
        <f t="shared" si="1067"/>
        <v>0</v>
      </c>
      <c r="Z1871" s="8"/>
      <c r="AA1871" s="9"/>
      <c r="AB1871" s="10"/>
      <c r="AC1871" s="7">
        <f t="shared" si="1068"/>
        <v>0</v>
      </c>
      <c r="AD1871" s="8"/>
      <c r="AE1871" s="9"/>
      <c r="AF1871" s="10"/>
      <c r="AG1871" s="7">
        <f t="shared" si="1069"/>
        <v>0</v>
      </c>
    </row>
    <row r="1872" spans="1:33">
      <c r="A1872" s="3" t="s">
        <v>45</v>
      </c>
      <c r="B1872" s="8">
        <v>2</v>
      </c>
      <c r="C1872" s="9"/>
      <c r="D1872" s="10"/>
      <c r="E1872" s="7">
        <f t="shared" si="1074"/>
        <v>2</v>
      </c>
      <c r="F1872" s="8">
        <v>2</v>
      </c>
      <c r="G1872" s="9"/>
      <c r="H1872" s="10"/>
      <c r="I1872" s="7">
        <f t="shared" si="1065"/>
        <v>2</v>
      </c>
      <c r="J1872" s="43">
        <v>45786</v>
      </c>
      <c r="K1872" s="3" t="s">
        <v>1049</v>
      </c>
      <c r="L1872" s="8">
        <v>20</v>
      </c>
      <c r="M1872" s="9">
        <v>20</v>
      </c>
      <c r="N1872" s="10">
        <v>15</v>
      </c>
      <c r="O1872" s="7">
        <f t="shared" si="1072"/>
        <v>55</v>
      </c>
      <c r="P1872" s="8">
        <v>20</v>
      </c>
      <c r="Q1872" s="9">
        <v>20</v>
      </c>
      <c r="R1872" s="10">
        <v>15</v>
      </c>
      <c r="S1872" s="7">
        <f t="shared" si="1073"/>
        <v>55</v>
      </c>
      <c r="T1872" s="43">
        <v>45768</v>
      </c>
      <c r="U1872" s="3"/>
      <c r="V1872" s="8"/>
      <c r="W1872" s="9"/>
      <c r="X1872" s="10"/>
      <c r="Y1872" s="7">
        <f t="shared" si="1067"/>
        <v>0</v>
      </c>
      <c r="Z1872" s="8"/>
      <c r="AA1872" s="9"/>
      <c r="AB1872" s="10"/>
      <c r="AC1872" s="7">
        <f t="shared" si="1068"/>
        <v>0</v>
      </c>
      <c r="AD1872" s="8"/>
      <c r="AE1872" s="9"/>
      <c r="AF1872" s="10"/>
      <c r="AG1872" s="7">
        <f t="shared" si="1069"/>
        <v>0</v>
      </c>
    </row>
    <row r="1873" spans="1:33">
      <c r="A1873" s="3" t="s">
        <v>1051</v>
      </c>
      <c r="B1873" s="8"/>
      <c r="C1873" s="9">
        <v>1</v>
      </c>
      <c r="D1873" s="10"/>
      <c r="E1873" s="7">
        <f t="shared" si="1074"/>
        <v>1</v>
      </c>
      <c r="F1873" s="8"/>
      <c r="G1873" s="9">
        <v>1</v>
      </c>
      <c r="H1873" s="10"/>
      <c r="I1873" s="7">
        <f t="shared" si="1065"/>
        <v>1</v>
      </c>
      <c r="J1873" s="43">
        <v>45786</v>
      </c>
      <c r="K1873" s="3" t="s">
        <v>295</v>
      </c>
      <c r="L1873" s="8">
        <v>5</v>
      </c>
      <c r="M1873" s="9">
        <v>5</v>
      </c>
      <c r="N1873" s="10"/>
      <c r="O1873" s="7">
        <f t="shared" si="1072"/>
        <v>10</v>
      </c>
      <c r="P1873" s="8">
        <v>5</v>
      </c>
      <c r="Q1873" s="9">
        <v>5</v>
      </c>
      <c r="R1873" s="10"/>
      <c r="S1873" s="7">
        <f t="shared" si="1073"/>
        <v>10</v>
      </c>
      <c r="T1873" s="43">
        <v>45766</v>
      </c>
      <c r="U1873" s="3"/>
      <c r="V1873" s="8"/>
      <c r="W1873" s="9"/>
      <c r="X1873" s="10"/>
      <c r="Y1873" s="7">
        <f t="shared" si="1067"/>
        <v>0</v>
      </c>
      <c r="Z1873" s="8"/>
      <c r="AA1873" s="9"/>
      <c r="AB1873" s="10"/>
      <c r="AC1873" s="7">
        <f t="shared" si="1068"/>
        <v>0</v>
      </c>
      <c r="AD1873" s="8"/>
      <c r="AE1873" s="9"/>
      <c r="AF1873" s="10"/>
      <c r="AG1873" s="7">
        <f t="shared" si="1069"/>
        <v>0</v>
      </c>
    </row>
    <row r="1874" spans="1:33">
      <c r="A1874" s="3" t="s">
        <v>47</v>
      </c>
      <c r="B1874" s="8">
        <v>1</v>
      </c>
      <c r="C1874" s="9"/>
      <c r="D1874" s="10"/>
      <c r="E1874" s="7">
        <f t="shared" si="1074"/>
        <v>1</v>
      </c>
      <c r="F1874" s="8">
        <v>1</v>
      </c>
      <c r="G1874" s="9"/>
      <c r="H1874" s="10"/>
      <c r="I1874" s="7">
        <f t="shared" si="1065"/>
        <v>1</v>
      </c>
      <c r="J1874" s="43">
        <v>45793</v>
      </c>
      <c r="K1874" s="3" t="s">
        <v>33</v>
      </c>
      <c r="L1874" s="8">
        <v>1</v>
      </c>
      <c r="M1874" s="9">
        <v>2</v>
      </c>
      <c r="N1874" s="10">
        <v>1</v>
      </c>
      <c r="O1874" s="7">
        <f t="shared" si="1072"/>
        <v>4</v>
      </c>
      <c r="P1874" s="8">
        <v>1</v>
      </c>
      <c r="Q1874" s="9">
        <v>2</v>
      </c>
      <c r="R1874" s="10">
        <v>1</v>
      </c>
      <c r="S1874" s="7">
        <f t="shared" si="1073"/>
        <v>4</v>
      </c>
      <c r="T1874" s="43">
        <v>45771</v>
      </c>
      <c r="U1874" s="3"/>
      <c r="V1874" s="8"/>
      <c r="W1874" s="9"/>
      <c r="X1874" s="10"/>
      <c r="Y1874" s="7">
        <f t="shared" si="1067"/>
        <v>0</v>
      </c>
      <c r="Z1874" s="8"/>
      <c r="AA1874" s="9"/>
      <c r="AB1874" s="10"/>
      <c r="AC1874" s="7">
        <f t="shared" si="1068"/>
        <v>0</v>
      </c>
      <c r="AD1874" s="8"/>
      <c r="AE1874" s="9"/>
      <c r="AF1874" s="10"/>
      <c r="AG1874" s="7">
        <f t="shared" si="1069"/>
        <v>0</v>
      </c>
    </row>
    <row r="1875" spans="1:33">
      <c r="A1875" s="3"/>
      <c r="B1875" s="8"/>
      <c r="C1875" s="9"/>
      <c r="D1875" s="10"/>
      <c r="E1875" s="7">
        <f t="shared" si="1074"/>
        <v>0</v>
      </c>
      <c r="F1875" s="8"/>
      <c r="G1875" s="9"/>
      <c r="H1875" s="10"/>
      <c r="I1875" s="7">
        <f t="shared" si="1065"/>
        <v>0</v>
      </c>
      <c r="J1875" s="71"/>
      <c r="K1875" s="3" t="s">
        <v>34</v>
      </c>
      <c r="L1875" s="8">
        <v>4</v>
      </c>
      <c r="M1875" s="9">
        <v>2</v>
      </c>
      <c r="N1875" s="10">
        <v>4</v>
      </c>
      <c r="O1875" s="7">
        <f t="shared" si="1072"/>
        <v>10</v>
      </c>
      <c r="P1875" s="8">
        <v>4</v>
      </c>
      <c r="Q1875" s="9">
        <v>2</v>
      </c>
      <c r="R1875" s="10">
        <v>4</v>
      </c>
      <c r="S1875" s="7">
        <f t="shared" si="1073"/>
        <v>10</v>
      </c>
      <c r="T1875" s="43">
        <v>45772</v>
      </c>
      <c r="U1875" s="3"/>
      <c r="V1875" s="30"/>
      <c r="W1875" s="9"/>
      <c r="X1875" s="10"/>
      <c r="Y1875" s="7">
        <f t="shared" si="1067"/>
        <v>0</v>
      </c>
      <c r="Z1875" s="8"/>
      <c r="AA1875" s="9"/>
      <c r="AB1875" s="10"/>
      <c r="AC1875" s="7">
        <f t="shared" si="1068"/>
        <v>0</v>
      </c>
      <c r="AD1875" s="8"/>
      <c r="AE1875" s="9"/>
      <c r="AF1875" s="10"/>
      <c r="AG1875" s="7">
        <f t="shared" si="1069"/>
        <v>0</v>
      </c>
    </row>
    <row r="1876" spans="1:33">
      <c r="A1876" s="3"/>
      <c r="B1876" s="8"/>
      <c r="C1876" s="9"/>
      <c r="D1876" s="10"/>
      <c r="E1876" s="7">
        <f t="shared" si="1074"/>
        <v>0</v>
      </c>
      <c r="F1876" s="8"/>
      <c r="G1876" s="9"/>
      <c r="H1876" s="10"/>
      <c r="I1876" s="7">
        <f t="shared" si="1065"/>
        <v>0</v>
      </c>
      <c r="J1876" s="71"/>
      <c r="K1876" s="3" t="s">
        <v>36</v>
      </c>
      <c r="L1876" s="8">
        <v>1</v>
      </c>
      <c r="M1876" s="9">
        <v>4</v>
      </c>
      <c r="N1876" s="10">
        <v>1</v>
      </c>
      <c r="O1876" s="7">
        <f t="shared" si="1072"/>
        <v>6</v>
      </c>
      <c r="P1876" s="8">
        <v>1</v>
      </c>
      <c r="Q1876" s="9">
        <v>4</v>
      </c>
      <c r="R1876" s="10">
        <v>1</v>
      </c>
      <c r="S1876" s="7">
        <f t="shared" si="1073"/>
        <v>6</v>
      </c>
      <c r="T1876" s="43">
        <v>45772</v>
      </c>
      <c r="U1876" s="3"/>
      <c r="V1876" s="8"/>
      <c r="W1876" s="9"/>
      <c r="X1876" s="10"/>
      <c r="Y1876" s="7">
        <f t="shared" si="1067"/>
        <v>0</v>
      </c>
      <c r="Z1876" s="8"/>
      <c r="AA1876" s="9"/>
      <c r="AB1876" s="10"/>
      <c r="AC1876" s="7">
        <f t="shared" si="1068"/>
        <v>0</v>
      </c>
      <c r="AD1876" s="8"/>
      <c r="AE1876" s="9"/>
      <c r="AF1876" s="10"/>
      <c r="AG1876" s="7">
        <f t="shared" si="1069"/>
        <v>0</v>
      </c>
    </row>
    <row r="1877" spans="1:33">
      <c r="A1877" s="3"/>
      <c r="B1877" s="8"/>
      <c r="C1877" s="9"/>
      <c r="D1877" s="10"/>
      <c r="E1877" s="7">
        <f t="shared" si="1074"/>
        <v>0</v>
      </c>
      <c r="F1877" s="8"/>
      <c r="G1877" s="9"/>
      <c r="H1877" s="10"/>
      <c r="I1877" s="7">
        <f t="shared" si="1065"/>
        <v>0</v>
      </c>
      <c r="J1877" s="71"/>
      <c r="K1877" s="3" t="s">
        <v>40</v>
      </c>
      <c r="L1877" s="8">
        <v>1</v>
      </c>
      <c r="M1877" s="9">
        <v>5</v>
      </c>
      <c r="N1877" s="10">
        <v>3</v>
      </c>
      <c r="O1877" s="7">
        <f t="shared" si="1072"/>
        <v>9</v>
      </c>
      <c r="P1877" s="8">
        <v>1</v>
      </c>
      <c r="Q1877" s="9">
        <v>5</v>
      </c>
      <c r="R1877" s="10">
        <v>3</v>
      </c>
      <c r="S1877" s="7">
        <f t="shared" si="1073"/>
        <v>9</v>
      </c>
      <c r="T1877" s="43">
        <v>45777</v>
      </c>
      <c r="U1877" s="3"/>
      <c r="V1877" s="8"/>
      <c r="W1877" s="9"/>
      <c r="X1877" s="10"/>
      <c r="Y1877" s="7">
        <f t="shared" si="1067"/>
        <v>0</v>
      </c>
      <c r="Z1877" s="8"/>
      <c r="AA1877" s="9"/>
      <c r="AB1877" s="10"/>
      <c r="AC1877" s="7">
        <f t="shared" si="1068"/>
        <v>0</v>
      </c>
      <c r="AD1877" s="8"/>
      <c r="AE1877" s="9"/>
      <c r="AF1877" s="10"/>
      <c r="AG1877" s="7">
        <f t="shared" si="1069"/>
        <v>0</v>
      </c>
    </row>
    <row r="1878" spans="1:33">
      <c r="A1878" s="3"/>
      <c r="B1878" s="8"/>
      <c r="C1878" s="9"/>
      <c r="D1878" s="10"/>
      <c r="E1878" s="7">
        <f t="shared" si="1074"/>
        <v>0</v>
      </c>
      <c r="F1878" s="8"/>
      <c r="G1878" s="9"/>
      <c r="H1878" s="10"/>
      <c r="I1878" s="7">
        <f t="shared" si="1065"/>
        <v>0</v>
      </c>
      <c r="K1878" s="3" t="s">
        <v>1053</v>
      </c>
      <c r="L1878" s="8"/>
      <c r="M1878" s="9"/>
      <c r="N1878" s="10">
        <v>2</v>
      </c>
      <c r="O1878" s="7">
        <f t="shared" si="1072"/>
        <v>2</v>
      </c>
      <c r="P1878" s="8"/>
      <c r="Q1878" s="9"/>
      <c r="R1878" s="10">
        <v>2</v>
      </c>
      <c r="S1878" s="7">
        <f t="shared" si="1073"/>
        <v>2</v>
      </c>
      <c r="T1878" s="43">
        <v>45797</v>
      </c>
      <c r="U1878" s="3"/>
      <c r="V1878" s="8"/>
      <c r="W1878" s="9"/>
      <c r="X1878" s="10"/>
      <c r="Y1878" s="7">
        <f t="shared" si="1067"/>
        <v>0</v>
      </c>
      <c r="Z1878" s="8"/>
      <c r="AA1878" s="9"/>
      <c r="AB1878" s="10"/>
      <c r="AC1878" s="7">
        <f t="shared" si="1068"/>
        <v>0</v>
      </c>
      <c r="AD1878" s="8"/>
      <c r="AE1878" s="9"/>
      <c r="AF1878" s="10"/>
      <c r="AG1878" s="7">
        <f t="shared" si="1069"/>
        <v>0</v>
      </c>
    </row>
    <row r="1879" spans="1:33">
      <c r="A1879" s="3"/>
      <c r="B1879" s="8"/>
      <c r="C1879" s="9"/>
      <c r="D1879" s="10"/>
      <c r="E1879" s="7">
        <f t="shared" si="1074"/>
        <v>0</v>
      </c>
      <c r="F1879" s="8"/>
      <c r="G1879" s="9"/>
      <c r="H1879" s="10"/>
      <c r="I1879" s="7">
        <f t="shared" si="1065"/>
        <v>0</v>
      </c>
      <c r="K1879" s="3" t="s">
        <v>1055</v>
      </c>
      <c r="L1879" s="8">
        <v>1</v>
      </c>
      <c r="M1879" s="9">
        <v>16</v>
      </c>
      <c r="N1879" s="10"/>
      <c r="O1879" s="7">
        <f t="shared" si="1072"/>
        <v>17</v>
      </c>
      <c r="P1879" s="8">
        <v>1</v>
      </c>
      <c r="Q1879" s="9">
        <v>16</v>
      </c>
      <c r="R1879" s="10"/>
      <c r="S1879" s="7">
        <f t="shared" si="1073"/>
        <v>17</v>
      </c>
      <c r="T1879" s="43">
        <v>45793</v>
      </c>
      <c r="U1879" s="3"/>
      <c r="V1879" s="8"/>
      <c r="W1879" s="9"/>
      <c r="X1879" s="10"/>
      <c r="Y1879" s="7">
        <f t="shared" si="1067"/>
        <v>0</v>
      </c>
      <c r="Z1879" s="8"/>
      <c r="AA1879" s="9"/>
      <c r="AB1879" s="10"/>
      <c r="AC1879" s="7">
        <f t="shared" si="1068"/>
        <v>0</v>
      </c>
      <c r="AD1879" s="8"/>
      <c r="AE1879" s="9"/>
      <c r="AF1879" s="10"/>
      <c r="AG1879" s="7">
        <f t="shared" si="1069"/>
        <v>0</v>
      </c>
    </row>
    <row r="1880" spans="1:33">
      <c r="A1880" s="3"/>
      <c r="B1880" s="8"/>
      <c r="C1880" s="9"/>
      <c r="D1880" s="10"/>
      <c r="E1880" s="7">
        <f t="shared" si="1074"/>
        <v>0</v>
      </c>
      <c r="F1880" s="8"/>
      <c r="G1880" s="9"/>
      <c r="H1880" s="10"/>
      <c r="I1880" s="7">
        <f t="shared" si="1065"/>
        <v>0</v>
      </c>
      <c r="K1880" s="3" t="s">
        <v>1056</v>
      </c>
      <c r="L1880" s="8">
        <v>5</v>
      </c>
      <c r="M1880" s="9">
        <v>5</v>
      </c>
      <c r="N1880" s="10">
        <v>5</v>
      </c>
      <c r="O1880" s="7">
        <f t="shared" si="1072"/>
        <v>15</v>
      </c>
      <c r="P1880" s="8">
        <v>5</v>
      </c>
      <c r="Q1880" s="9">
        <v>5</v>
      </c>
      <c r="R1880" s="10">
        <v>5</v>
      </c>
      <c r="S1880" s="7">
        <f t="shared" si="1073"/>
        <v>15</v>
      </c>
      <c r="T1880" s="43">
        <v>45797</v>
      </c>
      <c r="U1880" s="3"/>
      <c r="V1880" s="8"/>
      <c r="W1880" s="9"/>
      <c r="X1880" s="10"/>
      <c r="Y1880" s="7">
        <f t="shared" si="1067"/>
        <v>0</v>
      </c>
      <c r="Z1880" s="8"/>
      <c r="AA1880" s="9"/>
      <c r="AB1880" s="10"/>
      <c r="AC1880" s="7">
        <f t="shared" si="1068"/>
        <v>0</v>
      </c>
      <c r="AD1880" s="8"/>
      <c r="AE1880" s="9"/>
      <c r="AF1880" s="10"/>
      <c r="AG1880" s="7">
        <f t="shared" si="1069"/>
        <v>0</v>
      </c>
    </row>
    <row r="1881" spans="1:33">
      <c r="A1881" s="3"/>
      <c r="B1881" s="8"/>
      <c r="C1881" s="9"/>
      <c r="D1881" s="10"/>
      <c r="E1881" s="7">
        <f t="shared" si="1074"/>
        <v>0</v>
      </c>
      <c r="F1881" s="8"/>
      <c r="G1881" s="9"/>
      <c r="H1881" s="10"/>
      <c r="I1881" s="7">
        <f t="shared" si="1065"/>
        <v>0</v>
      </c>
      <c r="K1881" s="3" t="s">
        <v>48</v>
      </c>
      <c r="L1881" s="8">
        <v>3</v>
      </c>
      <c r="M1881" s="9">
        <v>4</v>
      </c>
      <c r="N1881" s="10">
        <v>2</v>
      </c>
      <c r="O1881" s="7">
        <f t="shared" si="1072"/>
        <v>9</v>
      </c>
      <c r="P1881" s="8">
        <v>3</v>
      </c>
      <c r="Q1881" s="9">
        <v>4</v>
      </c>
      <c r="R1881" s="10">
        <v>2</v>
      </c>
      <c r="S1881" s="7">
        <f t="shared" si="1073"/>
        <v>9</v>
      </c>
      <c r="T1881" s="43">
        <v>45798</v>
      </c>
      <c r="U1881" s="3"/>
      <c r="V1881" s="8"/>
      <c r="W1881" s="9"/>
      <c r="X1881" s="10"/>
      <c r="Y1881" s="7">
        <f t="shared" si="1067"/>
        <v>0</v>
      </c>
      <c r="Z1881" s="8"/>
      <c r="AA1881" s="9"/>
      <c r="AB1881" s="10"/>
      <c r="AC1881" s="7">
        <f t="shared" si="1068"/>
        <v>0</v>
      </c>
      <c r="AD1881" s="8"/>
      <c r="AE1881" s="9"/>
      <c r="AF1881" s="10"/>
      <c r="AG1881" s="7">
        <f t="shared" si="1069"/>
        <v>0</v>
      </c>
    </row>
    <row r="1882" spans="1:33">
      <c r="A1882" s="3"/>
      <c r="B1882" s="8"/>
      <c r="C1882" s="9"/>
      <c r="D1882" s="10"/>
      <c r="E1882" s="7">
        <f t="shared" si="1074"/>
        <v>0</v>
      </c>
      <c r="F1882" s="8"/>
      <c r="G1882" s="9"/>
      <c r="H1882" s="10"/>
      <c r="I1882" s="7">
        <f t="shared" si="1065"/>
        <v>0</v>
      </c>
      <c r="K1882" s="3" t="s">
        <v>1057</v>
      </c>
      <c r="L1882" s="8">
        <v>12</v>
      </c>
      <c r="M1882" s="9">
        <v>17</v>
      </c>
      <c r="N1882" s="10">
        <v>10</v>
      </c>
      <c r="O1882" s="7">
        <f t="shared" si="1072"/>
        <v>39</v>
      </c>
      <c r="P1882" s="8">
        <v>12</v>
      </c>
      <c r="Q1882" s="9">
        <v>17</v>
      </c>
      <c r="R1882" s="10">
        <v>10</v>
      </c>
      <c r="S1882" s="7">
        <f t="shared" si="1073"/>
        <v>39</v>
      </c>
      <c r="T1882" s="43">
        <v>45799</v>
      </c>
      <c r="U1882" s="3"/>
      <c r="V1882" s="8"/>
      <c r="W1882" s="9"/>
      <c r="X1882" s="10"/>
      <c r="Y1882" s="7">
        <f t="shared" si="1067"/>
        <v>0</v>
      </c>
      <c r="Z1882" s="8"/>
      <c r="AA1882" s="9"/>
      <c r="AB1882" s="10"/>
      <c r="AC1882" s="7">
        <f t="shared" si="1068"/>
        <v>0</v>
      </c>
      <c r="AD1882" s="8"/>
      <c r="AE1882" s="9"/>
      <c r="AF1882" s="10"/>
      <c r="AG1882" s="7">
        <f t="shared" si="1069"/>
        <v>0</v>
      </c>
    </row>
    <row r="1883" spans="1:33">
      <c r="A1883" s="11"/>
      <c r="B1883" s="8"/>
      <c r="C1883" s="9"/>
      <c r="D1883" s="10"/>
      <c r="E1883" s="7">
        <f t="shared" si="1074"/>
        <v>0</v>
      </c>
      <c r="F1883" s="8"/>
      <c r="G1883" s="9"/>
      <c r="H1883" s="10"/>
      <c r="I1883" s="7">
        <f t="shared" si="1065"/>
        <v>0</v>
      </c>
      <c r="K1883" s="3" t="s">
        <v>1059</v>
      </c>
      <c r="L1883" s="8">
        <v>5</v>
      </c>
      <c r="M1883" s="9">
        <v>5</v>
      </c>
      <c r="N1883" s="10">
        <v>5</v>
      </c>
      <c r="O1883" s="7">
        <f t="shared" si="1072"/>
        <v>15</v>
      </c>
      <c r="P1883" s="8">
        <v>5</v>
      </c>
      <c r="Q1883" s="9">
        <v>5</v>
      </c>
      <c r="R1883" s="10">
        <v>5</v>
      </c>
      <c r="S1883" s="7">
        <f t="shared" si="1073"/>
        <v>15</v>
      </c>
      <c r="T1883" s="43">
        <v>45811</v>
      </c>
      <c r="U1883" s="3"/>
      <c r="V1883" s="8"/>
      <c r="W1883" s="9"/>
      <c r="X1883" s="10"/>
      <c r="Y1883" s="7">
        <f t="shared" si="1067"/>
        <v>0</v>
      </c>
      <c r="Z1883" s="8"/>
      <c r="AA1883" s="9"/>
      <c r="AB1883" s="10"/>
      <c r="AC1883" s="7">
        <f t="shared" si="1068"/>
        <v>0</v>
      </c>
      <c r="AD1883" s="8"/>
      <c r="AE1883" s="9"/>
      <c r="AF1883" s="10"/>
      <c r="AG1883" s="7">
        <f t="shared" si="1069"/>
        <v>0</v>
      </c>
    </row>
    <row r="1884" spans="1:33">
      <c r="A1884" s="11"/>
      <c r="B1884" s="8"/>
      <c r="C1884" s="9"/>
      <c r="D1884" s="10"/>
      <c r="E1884" s="7">
        <f t="shared" si="1074"/>
        <v>0</v>
      </c>
      <c r="F1884" s="8"/>
      <c r="G1884" s="9"/>
      <c r="H1884" s="10"/>
      <c r="I1884" s="7">
        <f t="shared" si="1065"/>
        <v>0</v>
      </c>
      <c r="K1884" s="3" t="s">
        <v>1060</v>
      </c>
      <c r="L1884" s="8">
        <v>5</v>
      </c>
      <c r="M1884" s="9">
        <v>10</v>
      </c>
      <c r="N1884" s="10"/>
      <c r="O1884" s="7">
        <f t="shared" si="1072"/>
        <v>15</v>
      </c>
      <c r="P1884" s="8">
        <v>5</v>
      </c>
      <c r="Q1884" s="9">
        <v>10</v>
      </c>
      <c r="R1884" s="10"/>
      <c r="S1884" s="7">
        <f t="shared" si="1073"/>
        <v>15</v>
      </c>
      <c r="T1884" s="43">
        <v>45811</v>
      </c>
      <c r="U1884" s="3"/>
      <c r="V1884" s="8"/>
      <c r="W1884" s="9"/>
      <c r="X1884" s="10"/>
      <c r="Y1884" s="7">
        <f t="shared" si="1067"/>
        <v>0</v>
      </c>
      <c r="Z1884" s="8"/>
      <c r="AA1884" s="9"/>
      <c r="AB1884" s="10"/>
      <c r="AC1884" s="7">
        <f t="shared" si="1068"/>
        <v>0</v>
      </c>
      <c r="AD1884" s="8"/>
      <c r="AE1884" s="9"/>
      <c r="AF1884" s="10"/>
      <c r="AG1884" s="7">
        <f t="shared" si="1069"/>
        <v>0</v>
      </c>
    </row>
    <row r="1885" spans="1:33">
      <c r="A1885" s="11"/>
      <c r="B1885" s="8"/>
      <c r="C1885" s="9"/>
      <c r="D1885" s="10"/>
      <c r="E1885" s="7">
        <f t="shared" si="1074"/>
        <v>0</v>
      </c>
      <c r="F1885" s="8"/>
      <c r="G1885" s="9"/>
      <c r="H1885" s="10"/>
      <c r="I1885" s="7">
        <f t="shared" si="1065"/>
        <v>0</v>
      </c>
      <c r="K1885" s="11"/>
      <c r="L1885" s="8"/>
      <c r="M1885" s="9"/>
      <c r="N1885" s="10"/>
      <c r="O1885" s="7">
        <f t="shared" si="1072"/>
        <v>0</v>
      </c>
      <c r="P1885" s="8"/>
      <c r="Q1885" s="9"/>
      <c r="R1885" s="10"/>
      <c r="S1885" s="7">
        <f t="shared" si="1073"/>
        <v>0</v>
      </c>
      <c r="U1885" s="11"/>
      <c r="V1885" s="8"/>
      <c r="W1885" s="9"/>
      <c r="X1885" s="10"/>
      <c r="Y1885" s="7">
        <f t="shared" si="1067"/>
        <v>0</v>
      </c>
      <c r="Z1885" s="8"/>
      <c r="AA1885" s="9"/>
      <c r="AB1885" s="10"/>
      <c r="AC1885" s="7">
        <f t="shared" si="1068"/>
        <v>0</v>
      </c>
      <c r="AD1885" s="8"/>
      <c r="AE1885" s="9"/>
      <c r="AF1885" s="10"/>
      <c r="AG1885" s="7">
        <f t="shared" si="1069"/>
        <v>0</v>
      </c>
    </row>
    <row r="1886" spans="1:33">
      <c r="A1886" s="11"/>
      <c r="B1886" s="8"/>
      <c r="C1886" s="9"/>
      <c r="D1886" s="10"/>
      <c r="E1886" s="7">
        <f t="shared" si="1074"/>
        <v>0</v>
      </c>
      <c r="F1886" s="8"/>
      <c r="G1886" s="9"/>
      <c r="H1886" s="10"/>
      <c r="I1886" s="7">
        <f t="shared" si="1065"/>
        <v>0</v>
      </c>
      <c r="K1886" s="3" t="s">
        <v>1040</v>
      </c>
      <c r="L1886" s="8"/>
      <c r="M1886" s="9"/>
      <c r="N1886" s="10"/>
      <c r="O1886" s="7">
        <f t="shared" si="1072"/>
        <v>0</v>
      </c>
      <c r="P1886" s="8"/>
      <c r="Q1886" s="9"/>
      <c r="R1886" s="10"/>
      <c r="S1886" s="7">
        <f t="shared" si="1073"/>
        <v>0</v>
      </c>
      <c r="T1886" s="71" t="s">
        <v>1041</v>
      </c>
      <c r="U1886" s="3"/>
      <c r="V1886" s="8"/>
      <c r="W1886" s="9"/>
      <c r="X1886" s="10"/>
      <c r="Y1886" s="7">
        <f t="shared" si="1067"/>
        <v>0</v>
      </c>
      <c r="Z1886" s="8"/>
      <c r="AA1886" s="9"/>
      <c r="AB1886" s="10"/>
      <c r="AC1886" s="7">
        <f t="shared" si="1068"/>
        <v>0</v>
      </c>
      <c r="AD1886" s="8"/>
      <c r="AE1886" s="9"/>
      <c r="AF1886" s="10"/>
      <c r="AG1886" s="7">
        <f t="shared" si="1069"/>
        <v>0</v>
      </c>
    </row>
    <row r="1887" spans="1:33">
      <c r="A1887" s="11"/>
      <c r="B1887" s="8"/>
      <c r="C1887" s="9"/>
      <c r="D1887" s="10"/>
      <c r="E1887" s="7">
        <f t="shared" si="1074"/>
        <v>0</v>
      </c>
      <c r="F1887" s="8"/>
      <c r="G1887" s="9"/>
      <c r="H1887" s="10"/>
      <c r="I1887" s="7">
        <f t="shared" si="1065"/>
        <v>0</v>
      </c>
      <c r="K1887" s="3" t="s">
        <v>888</v>
      </c>
      <c r="L1887" s="8"/>
      <c r="M1887" s="9"/>
      <c r="N1887" s="10"/>
      <c r="O1887" s="7">
        <f t="shared" si="1072"/>
        <v>0</v>
      </c>
      <c r="P1887" s="8"/>
      <c r="Q1887" s="9"/>
      <c r="R1887" s="10"/>
      <c r="S1887" s="7">
        <f t="shared" si="1073"/>
        <v>0</v>
      </c>
      <c r="T1887" s="71" t="s">
        <v>1025</v>
      </c>
      <c r="U1887" s="3"/>
      <c r="V1887" s="8"/>
      <c r="W1887" s="9"/>
      <c r="X1887" s="10"/>
      <c r="Y1887" s="7">
        <f t="shared" ref="Y1887:Y1888" si="1085">SUM(V1887:X1887)</f>
        <v>0</v>
      </c>
      <c r="Z1887" s="8"/>
      <c r="AA1887" s="9"/>
      <c r="AB1887" s="10"/>
      <c r="AC1887" s="7">
        <f t="shared" ref="AC1887:AC1888" si="1086">SUM(Z1887:AB1887)</f>
        <v>0</v>
      </c>
      <c r="AD1887" s="8"/>
      <c r="AE1887" s="9"/>
      <c r="AF1887" s="10"/>
      <c r="AG1887" s="7">
        <f t="shared" ref="AG1887:AG1888" si="1087">SUM(AD1887:AF1887)</f>
        <v>0</v>
      </c>
    </row>
    <row r="1888" spans="1:33" ht="14.25" thickBot="1">
      <c r="A1888" s="3"/>
      <c r="B1888" s="8"/>
      <c r="C1888" s="9"/>
      <c r="D1888" s="10"/>
      <c r="E1888" s="7">
        <f t="shared" si="1074"/>
        <v>0</v>
      </c>
      <c r="F1888" s="8"/>
      <c r="G1888" s="9"/>
      <c r="H1888" s="10"/>
      <c r="I1888" s="7">
        <f t="shared" si="1065"/>
        <v>0</v>
      </c>
      <c r="K1888" s="3" t="s">
        <v>1020</v>
      </c>
      <c r="L1888" s="8"/>
      <c r="M1888" s="9"/>
      <c r="N1888" s="10"/>
      <c r="O1888" s="7">
        <f t="shared" si="1072"/>
        <v>0</v>
      </c>
      <c r="P1888" s="8"/>
      <c r="Q1888" s="9"/>
      <c r="R1888" s="10"/>
      <c r="S1888" s="7">
        <f t="shared" si="1073"/>
        <v>0</v>
      </c>
      <c r="T1888" s="71" t="s">
        <v>682</v>
      </c>
      <c r="U1888" s="3"/>
      <c r="V1888" s="8"/>
      <c r="W1888" s="9"/>
      <c r="X1888" s="10"/>
      <c r="Y1888" s="7">
        <f t="shared" si="1085"/>
        <v>0</v>
      </c>
      <c r="Z1888" s="8"/>
      <c r="AA1888" s="9"/>
      <c r="AB1888" s="10"/>
      <c r="AC1888" s="7">
        <f t="shared" si="1086"/>
        <v>0</v>
      </c>
      <c r="AD1888" s="8"/>
      <c r="AE1888" s="9"/>
      <c r="AF1888" s="10"/>
      <c r="AG1888" s="7">
        <f t="shared" si="1087"/>
        <v>0</v>
      </c>
    </row>
    <row r="1889" spans="1:33" ht="14.25" thickBot="1">
      <c r="A1889" s="2" t="s">
        <v>5</v>
      </c>
      <c r="B1889" s="14">
        <f>SUM(B1865:B1888)</f>
        <v>7</v>
      </c>
      <c r="C1889" s="14">
        <f>SUM(C1865:C1888)</f>
        <v>4</v>
      </c>
      <c r="D1889" s="14">
        <f>SUM(D1865:D1888)</f>
        <v>2</v>
      </c>
      <c r="E1889" s="15">
        <f t="shared" si="1074"/>
        <v>13</v>
      </c>
      <c r="F1889" s="14">
        <f>SUM(F1865:F1888)</f>
        <v>7</v>
      </c>
      <c r="G1889" s="14">
        <f>SUM(G1865:G1888)</f>
        <v>4</v>
      </c>
      <c r="H1889" s="14">
        <f>SUM(H1865:H1888)</f>
        <v>2</v>
      </c>
      <c r="I1889" s="15">
        <f t="shared" si="1065"/>
        <v>13</v>
      </c>
      <c r="K1889" s="2" t="s">
        <v>5</v>
      </c>
      <c r="L1889" s="14">
        <f>SUM(L1865:L1888)</f>
        <v>111</v>
      </c>
      <c r="M1889" s="14">
        <f t="shared" ref="M1889" si="1088">SUM(M1865:M1888)</f>
        <v>154</v>
      </c>
      <c r="N1889" s="14">
        <f t="shared" ref="N1889" si="1089">SUM(N1865:N1888)</f>
        <v>101</v>
      </c>
      <c r="O1889" s="15">
        <f t="shared" ref="O1889" si="1090">SUM(O1865:O1888)</f>
        <v>366</v>
      </c>
      <c r="P1889" s="14">
        <f t="shared" ref="P1889" si="1091">SUM(P1865:P1888)</f>
        <v>111</v>
      </c>
      <c r="Q1889" s="14">
        <f t="shared" ref="Q1889" si="1092">SUM(Q1865:Q1888)</f>
        <v>154</v>
      </c>
      <c r="R1889" s="14">
        <f t="shared" ref="R1889" si="1093">SUM(R1865:R1888)</f>
        <v>101</v>
      </c>
      <c r="S1889" s="15">
        <f t="shared" ref="S1889" si="1094">SUM(S1865:S1888)</f>
        <v>366</v>
      </c>
      <c r="U1889" s="2" t="s">
        <v>5</v>
      </c>
      <c r="V1889" s="14">
        <f>SUM(V1865:V1888)</f>
        <v>0</v>
      </c>
      <c r="W1889" s="14">
        <f>SUM(W1865:W1888)</f>
        <v>0</v>
      </c>
      <c r="X1889" s="14">
        <f>SUM(X1865:X1888)</f>
        <v>0</v>
      </c>
      <c r="Y1889" s="15">
        <f t="shared" si="1067"/>
        <v>0</v>
      </c>
      <c r="Z1889" s="14">
        <f>SUM(Z1865:Z1888)</f>
        <v>0</v>
      </c>
      <c r="AA1889" s="14">
        <f>SUM(AA1865:AA1888)</f>
        <v>0</v>
      </c>
      <c r="AB1889" s="14">
        <f>SUM(AB1865:AB1888)</f>
        <v>0</v>
      </c>
      <c r="AC1889" s="15">
        <f t="shared" si="1068"/>
        <v>0</v>
      </c>
      <c r="AD1889" s="14">
        <f>SUM(AD1865:AD1888)</f>
        <v>0</v>
      </c>
      <c r="AE1889" s="14">
        <f>SUM(AE1865:AE1888)</f>
        <v>0</v>
      </c>
      <c r="AF1889" s="14">
        <f>SUM(AF1865:AF1888)</f>
        <v>0</v>
      </c>
      <c r="AG1889" s="15">
        <f t="shared" si="1069"/>
        <v>0</v>
      </c>
    </row>
    <row r="1890" spans="1:33" ht="14.25" thickBot="1">
      <c r="A1890" s="27" t="s">
        <v>6</v>
      </c>
      <c r="B1890" s="28">
        <f>B1864-B1889</f>
        <v>3</v>
      </c>
      <c r="C1890" s="28">
        <f t="shared" ref="C1890:E1890" si="1095">C1864-C1889</f>
        <v>4</v>
      </c>
      <c r="D1890" s="28">
        <f t="shared" si="1095"/>
        <v>6</v>
      </c>
      <c r="E1890" s="28">
        <f t="shared" si="1095"/>
        <v>13</v>
      </c>
      <c r="F1890" s="28">
        <f>F1864-F1889</f>
        <v>3</v>
      </c>
      <c r="G1890" s="28">
        <f t="shared" ref="G1890:I1890" si="1096">G1864-G1889</f>
        <v>4</v>
      </c>
      <c r="H1890" s="28">
        <f t="shared" si="1096"/>
        <v>6</v>
      </c>
      <c r="I1890" s="26">
        <f t="shared" si="1096"/>
        <v>13</v>
      </c>
      <c r="K1890" s="27" t="s">
        <v>6</v>
      </c>
      <c r="L1890" s="28">
        <f>L1864-L1889</f>
        <v>40</v>
      </c>
      <c r="M1890" s="28">
        <f t="shared" ref="M1890" si="1097">M1864-M1889</f>
        <v>-1</v>
      </c>
      <c r="N1890" s="28">
        <f t="shared" ref="N1890" si="1098">N1864-N1889</f>
        <v>21</v>
      </c>
      <c r="O1890" s="28">
        <f t="shared" ref="O1890" si="1099">O1864-O1889</f>
        <v>60</v>
      </c>
      <c r="P1890" s="28">
        <f t="shared" ref="P1890" si="1100">P1864-P1889</f>
        <v>40</v>
      </c>
      <c r="Q1890" s="28">
        <f t="shared" ref="Q1890" si="1101">Q1864-Q1889</f>
        <v>-1</v>
      </c>
      <c r="R1890" s="28">
        <f t="shared" ref="R1890" si="1102">R1864-R1889</f>
        <v>21</v>
      </c>
      <c r="S1890" s="26">
        <f t="shared" ref="S1890" si="1103">S1864-S1889</f>
        <v>60</v>
      </c>
      <c r="U1890" s="27" t="s">
        <v>6</v>
      </c>
      <c r="V1890" s="28">
        <f>V1864-V1889</f>
        <v>23</v>
      </c>
      <c r="W1890" s="28">
        <f t="shared" ref="W1890:Y1890" si="1104">W1864-W1889</f>
        <v>24</v>
      </c>
      <c r="X1890" s="28">
        <f t="shared" si="1104"/>
        <v>17</v>
      </c>
      <c r="Y1890" s="28">
        <f t="shared" si="1104"/>
        <v>64</v>
      </c>
      <c r="Z1890" s="28">
        <f>Z1864-Z1889</f>
        <v>23</v>
      </c>
      <c r="AA1890" s="28">
        <f t="shared" ref="AA1890:AC1890" si="1105">AA1864-AA1889</f>
        <v>24</v>
      </c>
      <c r="AB1890" s="28">
        <f t="shared" si="1105"/>
        <v>17</v>
      </c>
      <c r="AC1890" s="26">
        <f t="shared" si="1105"/>
        <v>64</v>
      </c>
      <c r="AD1890" s="28">
        <f>AD1864-AD1889</f>
        <v>23</v>
      </c>
      <c r="AE1890" s="28">
        <f t="shared" ref="AE1890:AG1890" si="1106">AE1864-AE1889</f>
        <v>24</v>
      </c>
      <c r="AF1890" s="28">
        <f t="shared" si="1106"/>
        <v>17</v>
      </c>
      <c r="AG1890" s="26">
        <f t="shared" si="1106"/>
        <v>64</v>
      </c>
    </row>
    <row r="1893" spans="1:33" ht="26.25" thickBot="1">
      <c r="A1893" s="33" t="s">
        <v>1008</v>
      </c>
      <c r="B1893" s="34"/>
      <c r="C1893" s="34"/>
      <c r="D1893" s="34"/>
      <c r="E1893" s="34"/>
      <c r="F1893" s="35"/>
      <c r="G1893" s="35"/>
      <c r="H1893" s="35"/>
      <c r="I1893" s="35"/>
      <c r="K1893" s="33" t="s">
        <v>1004</v>
      </c>
      <c r="L1893" s="34"/>
      <c r="M1893" s="34"/>
      <c r="N1893" s="34"/>
      <c r="O1893" s="34"/>
      <c r="P1893" s="35"/>
      <c r="Q1893" s="35"/>
      <c r="R1893" s="35"/>
      <c r="S1893" s="35"/>
      <c r="U1893" s="113" t="s">
        <v>622</v>
      </c>
      <c r="V1893" s="114"/>
      <c r="W1893" s="114"/>
      <c r="X1893" s="114"/>
      <c r="Y1893" s="114"/>
      <c r="Z1893" s="115"/>
      <c r="AA1893" s="115"/>
      <c r="AB1893" s="115"/>
      <c r="AC1893" s="115"/>
      <c r="AD1893" s="116"/>
      <c r="AE1893" s="116"/>
    </row>
    <row r="1894" spans="1:33" ht="14.25" thickBot="1">
      <c r="A1894" s="1" t="s">
        <v>0</v>
      </c>
      <c r="B1894" s="182" t="s">
        <v>17</v>
      </c>
      <c r="C1894" s="182"/>
      <c r="D1894" s="182"/>
      <c r="E1894" s="183"/>
      <c r="F1894" s="182" t="s">
        <v>13</v>
      </c>
      <c r="G1894" s="182"/>
      <c r="H1894" s="182"/>
      <c r="I1894" s="183"/>
      <c r="K1894" s="1" t="s">
        <v>0</v>
      </c>
      <c r="L1894" s="181" t="s">
        <v>17</v>
      </c>
      <c r="M1894" s="182"/>
      <c r="N1894" s="182"/>
      <c r="O1894" s="133"/>
      <c r="P1894" s="181" t="s">
        <v>13</v>
      </c>
      <c r="Q1894" s="182"/>
      <c r="R1894" s="182"/>
      <c r="S1894" s="133"/>
      <c r="U1894" s="1" t="s">
        <v>0</v>
      </c>
      <c r="V1894" s="182" t="s">
        <v>17</v>
      </c>
      <c r="W1894" s="182"/>
      <c r="X1894" s="182"/>
      <c r="Y1894" s="183"/>
      <c r="Z1894" s="182" t="s">
        <v>13</v>
      </c>
      <c r="AA1894" s="182"/>
      <c r="AB1894" s="182"/>
      <c r="AC1894" s="183"/>
      <c r="AD1894" s="182" t="s">
        <v>242</v>
      </c>
      <c r="AE1894" s="182"/>
      <c r="AF1894" s="182"/>
      <c r="AG1894" s="183"/>
    </row>
    <row r="1895" spans="1:33" ht="14.25" thickBot="1">
      <c r="A1895" s="1" t="s">
        <v>1</v>
      </c>
      <c r="B1895" s="2" t="s">
        <v>8</v>
      </c>
      <c r="C1895" s="1" t="s">
        <v>9</v>
      </c>
      <c r="D1895" s="19" t="s">
        <v>10</v>
      </c>
      <c r="E1895" s="1" t="s">
        <v>2</v>
      </c>
      <c r="F1895" s="2" t="s">
        <v>8</v>
      </c>
      <c r="G1895" s="1" t="s">
        <v>9</v>
      </c>
      <c r="H1895" s="19" t="s">
        <v>10</v>
      </c>
      <c r="I1895" s="1" t="s">
        <v>2</v>
      </c>
      <c r="K1895" s="1" t="s">
        <v>1</v>
      </c>
      <c r="L1895" s="2" t="s">
        <v>8</v>
      </c>
      <c r="M1895" s="1" t="s">
        <v>9</v>
      </c>
      <c r="N1895" s="19" t="s">
        <v>10</v>
      </c>
      <c r="O1895" s="1" t="s">
        <v>2</v>
      </c>
      <c r="P1895" s="2" t="s">
        <v>8</v>
      </c>
      <c r="Q1895" s="1" t="s">
        <v>9</v>
      </c>
      <c r="R1895" s="19" t="s">
        <v>10</v>
      </c>
      <c r="S1895" s="1" t="s">
        <v>2</v>
      </c>
      <c r="U1895" s="1" t="s">
        <v>1</v>
      </c>
      <c r="V1895" s="2" t="s">
        <v>8</v>
      </c>
      <c r="W1895" s="1" t="s">
        <v>9</v>
      </c>
      <c r="X1895" s="19" t="s">
        <v>10</v>
      </c>
      <c r="Y1895" s="1" t="s">
        <v>2</v>
      </c>
      <c r="Z1895" s="2" t="s">
        <v>8</v>
      </c>
      <c r="AA1895" s="1" t="s">
        <v>9</v>
      </c>
      <c r="AB1895" s="19" t="s">
        <v>10</v>
      </c>
      <c r="AC1895" s="1" t="s">
        <v>2</v>
      </c>
      <c r="AD1895" s="2" t="s">
        <v>8</v>
      </c>
      <c r="AE1895" s="1" t="s">
        <v>9</v>
      </c>
      <c r="AF1895" s="19" t="s">
        <v>10</v>
      </c>
      <c r="AG1895" s="1" t="s">
        <v>2</v>
      </c>
    </row>
    <row r="1896" spans="1:33">
      <c r="A1896" s="21" t="s">
        <v>7</v>
      </c>
      <c r="B1896" s="18">
        <f>B1890</f>
        <v>3</v>
      </c>
      <c r="C1896" s="22">
        <f>C1890</f>
        <v>4</v>
      </c>
      <c r="D1896" s="22">
        <f>D1890</f>
        <v>6</v>
      </c>
      <c r="E1896" s="17">
        <f t="shared" ref="E1896" si="1107">SUM(B1896:D1896)</f>
        <v>13</v>
      </c>
      <c r="F1896" s="22">
        <f>F1890</f>
        <v>3</v>
      </c>
      <c r="G1896" s="22">
        <f>G1890</f>
        <v>4</v>
      </c>
      <c r="H1896" s="22">
        <f>H1890</f>
        <v>6</v>
      </c>
      <c r="I1896" s="17">
        <f t="shared" ref="I1896:I1932" si="1108">SUM(F1896:H1896)</f>
        <v>13</v>
      </c>
      <c r="J1896" s="118"/>
      <c r="K1896" s="21" t="s">
        <v>7</v>
      </c>
      <c r="L1896" s="18">
        <f>L1890</f>
        <v>40</v>
      </c>
      <c r="M1896" s="22">
        <f t="shared" ref="M1896:S1896" si="1109">M1890</f>
        <v>-1</v>
      </c>
      <c r="N1896" s="22">
        <f t="shared" si="1109"/>
        <v>21</v>
      </c>
      <c r="O1896" s="17">
        <f t="shared" si="1109"/>
        <v>60</v>
      </c>
      <c r="P1896" s="22">
        <f t="shared" si="1109"/>
        <v>40</v>
      </c>
      <c r="Q1896" s="22">
        <f t="shared" si="1109"/>
        <v>-1</v>
      </c>
      <c r="R1896" s="22">
        <f t="shared" si="1109"/>
        <v>21</v>
      </c>
      <c r="S1896" s="17">
        <f t="shared" si="1109"/>
        <v>60</v>
      </c>
      <c r="U1896" s="21" t="s">
        <v>7</v>
      </c>
      <c r="V1896" s="18">
        <f>V1890</f>
        <v>23</v>
      </c>
      <c r="W1896" s="22">
        <f>W1890</f>
        <v>24</v>
      </c>
      <c r="X1896" s="22">
        <f>X1890</f>
        <v>17</v>
      </c>
      <c r="Y1896" s="17">
        <f t="shared" ref="Y1896:Y1932" si="1110">SUM(V1896:X1896)</f>
        <v>64</v>
      </c>
      <c r="Z1896" s="22">
        <f>Z1890</f>
        <v>23</v>
      </c>
      <c r="AA1896" s="22">
        <f>AA1890</f>
        <v>24</v>
      </c>
      <c r="AB1896" s="22">
        <f>AB1890</f>
        <v>17</v>
      </c>
      <c r="AC1896" s="17">
        <f t="shared" ref="AC1896:AC1932" si="1111">SUM(Z1896:AB1896)</f>
        <v>64</v>
      </c>
      <c r="AD1896" s="22">
        <f>AD1890</f>
        <v>23</v>
      </c>
      <c r="AE1896" s="22">
        <f>AE1890</f>
        <v>24</v>
      </c>
      <c r="AF1896" s="22">
        <f>AF1890</f>
        <v>17</v>
      </c>
      <c r="AG1896" s="17">
        <f t="shared" ref="AG1896:AG1932" si="1112">SUM(AD1896:AF1896)</f>
        <v>64</v>
      </c>
    </row>
    <row r="1897" spans="1:33">
      <c r="A1897" s="5" t="s">
        <v>3</v>
      </c>
      <c r="B1897" s="16">
        <v>5</v>
      </c>
      <c r="C1897" s="11">
        <v>5</v>
      </c>
      <c r="D1897" s="16">
        <v>5</v>
      </c>
      <c r="E1897" s="4">
        <f t="shared" ref="E1897:E1932" si="1113">SUM(B1897:D1897)</f>
        <v>15</v>
      </c>
      <c r="F1897" s="16">
        <v>5</v>
      </c>
      <c r="G1897" s="11">
        <v>5</v>
      </c>
      <c r="H1897" s="16">
        <v>5</v>
      </c>
      <c r="I1897" s="4">
        <f t="shared" si="1108"/>
        <v>15</v>
      </c>
      <c r="J1897" s="43">
        <v>45808</v>
      </c>
      <c r="K1897" s="5" t="s">
        <v>3</v>
      </c>
      <c r="L1897" s="16"/>
      <c r="M1897" s="11"/>
      <c r="N1897" s="16"/>
      <c r="O1897" s="4">
        <f t="shared" ref="O1897:O1931" si="1114">SUM(L1897:N1897)</f>
        <v>0</v>
      </c>
      <c r="P1897" s="16"/>
      <c r="Q1897" s="11"/>
      <c r="R1897" s="16"/>
      <c r="S1897" s="4">
        <f t="shared" ref="S1897:S1931" si="1115">SUM(P1897:R1897)</f>
        <v>0</v>
      </c>
      <c r="T1897" s="71"/>
      <c r="U1897" s="5" t="s">
        <v>3</v>
      </c>
      <c r="V1897" s="16"/>
      <c r="W1897" s="11"/>
      <c r="X1897" s="16"/>
      <c r="Y1897" s="4">
        <f t="shared" si="1110"/>
        <v>0</v>
      </c>
      <c r="Z1897" s="16"/>
      <c r="AA1897" s="11"/>
      <c r="AB1897" s="16"/>
      <c r="AC1897" s="4">
        <f t="shared" si="1111"/>
        <v>0</v>
      </c>
      <c r="AD1897" s="16"/>
      <c r="AE1897" s="11"/>
      <c r="AF1897" s="16"/>
      <c r="AG1897" s="4">
        <f t="shared" si="1112"/>
        <v>0</v>
      </c>
    </row>
    <row r="1898" spans="1:33">
      <c r="A1898" s="5" t="s">
        <v>37</v>
      </c>
      <c r="B1898" s="16"/>
      <c r="C1898" s="11">
        <v>1</v>
      </c>
      <c r="D1898" s="16"/>
      <c r="E1898" s="4">
        <f t="shared" si="1113"/>
        <v>1</v>
      </c>
      <c r="F1898" s="16"/>
      <c r="G1898" s="11">
        <v>1</v>
      </c>
      <c r="H1898" s="16"/>
      <c r="I1898" s="4">
        <f t="shared" si="1108"/>
        <v>1</v>
      </c>
      <c r="J1898" s="43">
        <v>45821</v>
      </c>
      <c r="K1898" s="5" t="s">
        <v>3</v>
      </c>
      <c r="L1898" s="16"/>
      <c r="M1898" s="11"/>
      <c r="N1898" s="16">
        <v>-50</v>
      </c>
      <c r="O1898" s="4">
        <f t="shared" si="1114"/>
        <v>-50</v>
      </c>
      <c r="P1898" s="16"/>
      <c r="Q1898" s="11"/>
      <c r="R1898" s="16">
        <v>-50</v>
      </c>
      <c r="S1898" s="4">
        <f t="shared" si="1115"/>
        <v>-50</v>
      </c>
      <c r="T1898" s="71"/>
      <c r="U1898" s="5" t="s">
        <v>3</v>
      </c>
      <c r="V1898" s="32"/>
      <c r="W1898" s="31"/>
      <c r="X1898" s="32"/>
      <c r="Y1898" s="4">
        <f t="shared" si="1110"/>
        <v>0</v>
      </c>
      <c r="Z1898" s="32"/>
      <c r="AA1898" s="31"/>
      <c r="AB1898" s="32"/>
      <c r="AC1898" s="4">
        <f t="shared" si="1111"/>
        <v>0</v>
      </c>
      <c r="AD1898" s="32"/>
      <c r="AE1898" s="31"/>
      <c r="AF1898" s="32"/>
      <c r="AG1898" s="4">
        <f t="shared" si="1112"/>
        <v>0</v>
      </c>
    </row>
    <row r="1899" spans="1:33">
      <c r="A1899" s="5" t="s">
        <v>3</v>
      </c>
      <c r="B1899" s="16"/>
      <c r="C1899" s="11"/>
      <c r="D1899" s="16"/>
      <c r="E1899" s="4">
        <f t="shared" si="1113"/>
        <v>0</v>
      </c>
      <c r="F1899" s="16"/>
      <c r="G1899" s="11"/>
      <c r="H1899" s="16"/>
      <c r="I1899" s="4">
        <f t="shared" si="1108"/>
        <v>0</v>
      </c>
      <c r="J1899" s="71"/>
      <c r="K1899" s="5" t="s">
        <v>1006</v>
      </c>
      <c r="L1899" s="32">
        <v>110</v>
      </c>
      <c r="M1899" s="31">
        <v>160</v>
      </c>
      <c r="N1899" s="32">
        <v>110</v>
      </c>
      <c r="O1899" s="4">
        <f t="shared" si="1114"/>
        <v>380</v>
      </c>
      <c r="P1899" s="32">
        <v>110</v>
      </c>
      <c r="Q1899" s="31">
        <v>160</v>
      </c>
      <c r="R1899" s="32">
        <v>110</v>
      </c>
      <c r="S1899" s="4">
        <f t="shared" si="1115"/>
        <v>380</v>
      </c>
      <c r="T1899" s="43" t="s">
        <v>1052</v>
      </c>
      <c r="U1899" s="5" t="s">
        <v>3</v>
      </c>
      <c r="V1899" s="32"/>
      <c r="W1899" s="31"/>
      <c r="X1899" s="32"/>
      <c r="Y1899" s="4">
        <f t="shared" si="1110"/>
        <v>0</v>
      </c>
      <c r="Z1899" s="32"/>
      <c r="AA1899" s="31"/>
      <c r="AB1899" s="32"/>
      <c r="AC1899" s="4">
        <f t="shared" si="1111"/>
        <v>0</v>
      </c>
      <c r="AD1899" s="32"/>
      <c r="AE1899" s="31"/>
      <c r="AF1899" s="32"/>
      <c r="AG1899" s="4">
        <f t="shared" si="1112"/>
        <v>0</v>
      </c>
    </row>
    <row r="1900" spans="1:33">
      <c r="A1900" s="5" t="s">
        <v>3</v>
      </c>
      <c r="B1900" s="16"/>
      <c r="C1900" s="11"/>
      <c r="D1900" s="16"/>
      <c r="E1900" s="4">
        <f t="shared" si="1113"/>
        <v>0</v>
      </c>
      <c r="F1900" s="16"/>
      <c r="G1900" s="11"/>
      <c r="H1900" s="16"/>
      <c r="I1900" s="4">
        <f t="shared" si="1108"/>
        <v>0</v>
      </c>
      <c r="J1900" s="71"/>
      <c r="K1900" s="5" t="s">
        <v>3</v>
      </c>
      <c r="L1900" s="16"/>
      <c r="M1900" s="11"/>
      <c r="N1900" s="16"/>
      <c r="O1900" s="4">
        <f t="shared" si="1114"/>
        <v>0</v>
      </c>
      <c r="P1900" s="16"/>
      <c r="Q1900" s="11"/>
      <c r="R1900" s="16"/>
      <c r="S1900" s="4">
        <f t="shared" si="1115"/>
        <v>0</v>
      </c>
      <c r="T1900" s="71"/>
      <c r="U1900" s="5" t="s">
        <v>3</v>
      </c>
      <c r="V1900" s="32"/>
      <c r="W1900" s="31"/>
      <c r="X1900" s="32"/>
      <c r="Y1900" s="4">
        <f t="shared" si="1110"/>
        <v>0</v>
      </c>
      <c r="Z1900" s="32"/>
      <c r="AA1900" s="31"/>
      <c r="AB1900" s="32"/>
      <c r="AC1900" s="4">
        <f t="shared" si="1111"/>
        <v>0</v>
      </c>
      <c r="AD1900" s="32"/>
      <c r="AE1900" s="31"/>
      <c r="AF1900" s="32"/>
      <c r="AG1900" s="4">
        <f t="shared" si="1112"/>
        <v>0</v>
      </c>
    </row>
    <row r="1901" spans="1:33">
      <c r="A1901" s="5" t="s">
        <v>3</v>
      </c>
      <c r="B1901" s="16"/>
      <c r="C1901" s="11"/>
      <c r="D1901" s="16"/>
      <c r="E1901" s="4">
        <f t="shared" si="1113"/>
        <v>0</v>
      </c>
      <c r="F1901" s="16"/>
      <c r="G1901" s="11"/>
      <c r="H1901" s="16"/>
      <c r="I1901" s="4">
        <f t="shared" si="1108"/>
        <v>0</v>
      </c>
      <c r="J1901" s="71"/>
      <c r="K1901" s="5" t="s">
        <v>3</v>
      </c>
      <c r="L1901" s="16"/>
      <c r="M1901" s="11"/>
      <c r="N1901" s="16"/>
      <c r="O1901" s="4">
        <f t="shared" si="1114"/>
        <v>0</v>
      </c>
      <c r="P1901" s="16"/>
      <c r="Q1901" s="11"/>
      <c r="R1901" s="16"/>
      <c r="S1901" s="4">
        <f t="shared" si="1115"/>
        <v>0</v>
      </c>
      <c r="T1901" s="71"/>
      <c r="U1901" s="5" t="s">
        <v>3</v>
      </c>
      <c r="V1901" s="30"/>
      <c r="W1901" s="31"/>
      <c r="X1901" s="32"/>
      <c r="Y1901" s="4">
        <f t="shared" si="1110"/>
        <v>0</v>
      </c>
      <c r="Z1901" s="30"/>
      <c r="AA1901" s="31"/>
      <c r="AB1901" s="32"/>
      <c r="AC1901" s="4">
        <f t="shared" si="1111"/>
        <v>0</v>
      </c>
      <c r="AD1901" s="30"/>
      <c r="AE1901" s="31"/>
      <c r="AF1901" s="32"/>
      <c r="AG1901" s="4">
        <f t="shared" si="1112"/>
        <v>0</v>
      </c>
    </row>
    <row r="1902" spans="1:33">
      <c r="A1902" s="5" t="s">
        <v>3</v>
      </c>
      <c r="B1902" s="16"/>
      <c r="C1902" s="11"/>
      <c r="D1902" s="16"/>
      <c r="E1902" s="4">
        <f t="shared" si="1113"/>
        <v>0</v>
      </c>
      <c r="F1902" s="16"/>
      <c r="G1902" s="11"/>
      <c r="H1902" s="16"/>
      <c r="I1902" s="4">
        <f t="shared" si="1108"/>
        <v>0</v>
      </c>
      <c r="K1902" s="5" t="s">
        <v>3</v>
      </c>
      <c r="L1902" s="16"/>
      <c r="M1902" s="11"/>
      <c r="N1902" s="16"/>
      <c r="O1902" s="4">
        <f t="shared" si="1114"/>
        <v>0</v>
      </c>
      <c r="P1902" s="16"/>
      <c r="Q1902" s="11"/>
      <c r="R1902" s="16"/>
      <c r="S1902" s="4">
        <f t="shared" si="1115"/>
        <v>0</v>
      </c>
      <c r="U1902" s="5" t="s">
        <v>3</v>
      </c>
      <c r="V1902" s="30"/>
      <c r="W1902" s="31"/>
      <c r="X1902" s="32"/>
      <c r="Y1902" s="4">
        <f t="shared" si="1110"/>
        <v>0</v>
      </c>
      <c r="Z1902" s="30"/>
      <c r="AA1902" s="31"/>
      <c r="AB1902" s="32"/>
      <c r="AC1902" s="4">
        <f t="shared" si="1111"/>
        <v>0</v>
      </c>
      <c r="AD1902" s="30"/>
      <c r="AE1902" s="31"/>
      <c r="AF1902" s="32"/>
      <c r="AG1902" s="4">
        <f t="shared" si="1112"/>
        <v>0</v>
      </c>
    </row>
    <row r="1903" spans="1:33">
      <c r="A1903" s="5" t="s">
        <v>3</v>
      </c>
      <c r="B1903" s="32"/>
      <c r="C1903" s="31"/>
      <c r="D1903" s="32"/>
      <c r="E1903" s="4">
        <f t="shared" si="1113"/>
        <v>0</v>
      </c>
      <c r="F1903" s="32"/>
      <c r="G1903" s="31"/>
      <c r="H1903" s="32"/>
      <c r="I1903" s="4">
        <f t="shared" si="1108"/>
        <v>0</v>
      </c>
      <c r="K1903" s="5" t="s">
        <v>3</v>
      </c>
      <c r="L1903" s="16"/>
      <c r="M1903" s="11"/>
      <c r="N1903" s="16"/>
      <c r="O1903" s="4">
        <f t="shared" ref="O1903" si="1116">SUM(L1903:N1903)</f>
        <v>0</v>
      </c>
      <c r="P1903" s="16"/>
      <c r="Q1903" s="11"/>
      <c r="R1903" s="16"/>
      <c r="S1903" s="4">
        <f t="shared" ref="S1903" si="1117">SUM(P1903:R1903)</f>
        <v>0</v>
      </c>
      <c r="U1903" s="5" t="s">
        <v>3</v>
      </c>
      <c r="V1903" s="30"/>
      <c r="W1903" s="31"/>
      <c r="X1903" s="32"/>
      <c r="Y1903" s="4">
        <f t="shared" si="1110"/>
        <v>0</v>
      </c>
      <c r="Z1903" s="30"/>
      <c r="AA1903" s="31"/>
      <c r="AB1903" s="32"/>
      <c r="AC1903" s="4">
        <f t="shared" si="1111"/>
        <v>0</v>
      </c>
      <c r="AD1903" s="30"/>
      <c r="AE1903" s="31"/>
      <c r="AF1903" s="32"/>
      <c r="AG1903" s="4">
        <f t="shared" si="1112"/>
        <v>0</v>
      </c>
    </row>
    <row r="1904" spans="1:33">
      <c r="A1904" s="5" t="s">
        <v>3</v>
      </c>
      <c r="B1904" s="32"/>
      <c r="C1904" s="31"/>
      <c r="D1904" s="32"/>
      <c r="E1904" s="4">
        <f t="shared" si="1113"/>
        <v>0</v>
      </c>
      <c r="F1904" s="32"/>
      <c r="G1904" s="31"/>
      <c r="H1904" s="32"/>
      <c r="I1904" s="4">
        <f t="shared" si="1108"/>
        <v>0</v>
      </c>
      <c r="K1904" s="5" t="s">
        <v>3</v>
      </c>
      <c r="L1904" s="32"/>
      <c r="M1904" s="31"/>
      <c r="N1904" s="32"/>
      <c r="O1904" s="4">
        <f t="shared" si="1114"/>
        <v>0</v>
      </c>
      <c r="P1904" s="32"/>
      <c r="Q1904" s="31"/>
      <c r="R1904" s="32"/>
      <c r="S1904" s="4">
        <f t="shared" si="1115"/>
        <v>0</v>
      </c>
      <c r="U1904" s="5" t="s">
        <v>3</v>
      </c>
      <c r="V1904" s="30"/>
      <c r="W1904" s="31"/>
      <c r="X1904" s="32"/>
      <c r="Y1904" s="4">
        <f t="shared" si="1110"/>
        <v>0</v>
      </c>
      <c r="Z1904" s="30"/>
      <c r="AA1904" s="31"/>
      <c r="AB1904" s="32"/>
      <c r="AC1904" s="4">
        <f t="shared" si="1111"/>
        <v>0</v>
      </c>
      <c r="AD1904" s="30"/>
      <c r="AE1904" s="31"/>
      <c r="AF1904" s="32"/>
      <c r="AG1904" s="4">
        <f t="shared" si="1112"/>
        <v>0</v>
      </c>
    </row>
    <row r="1905" spans="1:33">
      <c r="A1905" s="5" t="s">
        <v>3</v>
      </c>
      <c r="B1905" s="30"/>
      <c r="C1905" s="31"/>
      <c r="D1905" s="32"/>
      <c r="E1905" s="4">
        <f t="shared" si="1113"/>
        <v>0</v>
      </c>
      <c r="F1905" s="30"/>
      <c r="G1905" s="31"/>
      <c r="H1905" s="32"/>
      <c r="I1905" s="4">
        <f t="shared" si="1108"/>
        <v>0</v>
      </c>
      <c r="K1905" s="5" t="s">
        <v>3</v>
      </c>
      <c r="L1905" s="30"/>
      <c r="M1905" s="31"/>
      <c r="N1905" s="32"/>
      <c r="O1905" s="4">
        <f t="shared" si="1114"/>
        <v>0</v>
      </c>
      <c r="P1905" s="30"/>
      <c r="Q1905" s="31"/>
      <c r="R1905" s="32"/>
      <c r="S1905" s="4">
        <f t="shared" si="1115"/>
        <v>0</v>
      </c>
      <c r="U1905" s="5" t="s">
        <v>3</v>
      </c>
      <c r="V1905" s="30"/>
      <c r="W1905" s="31"/>
      <c r="X1905" s="32"/>
      <c r="Y1905" s="4">
        <f t="shared" si="1110"/>
        <v>0</v>
      </c>
      <c r="Z1905" s="30"/>
      <c r="AA1905" s="31"/>
      <c r="AB1905" s="32"/>
      <c r="AC1905" s="4">
        <f t="shared" si="1111"/>
        <v>0</v>
      </c>
      <c r="AD1905" s="30"/>
      <c r="AE1905" s="31"/>
      <c r="AF1905" s="32"/>
      <c r="AG1905" s="4">
        <f t="shared" si="1112"/>
        <v>0</v>
      </c>
    </row>
    <row r="1906" spans="1:33" ht="14.25" thickBot="1">
      <c r="A1906" s="6" t="s">
        <v>3</v>
      </c>
      <c r="B1906" s="36"/>
      <c r="C1906" s="37"/>
      <c r="D1906" s="36"/>
      <c r="E1906" s="20">
        <f t="shared" si="1113"/>
        <v>0</v>
      </c>
      <c r="F1906" s="13"/>
      <c r="G1906" s="12"/>
      <c r="H1906" s="13"/>
      <c r="I1906" s="20">
        <f t="shared" si="1108"/>
        <v>0</v>
      </c>
      <c r="K1906" s="6" t="s">
        <v>3</v>
      </c>
      <c r="L1906" s="36"/>
      <c r="M1906" s="37"/>
      <c r="N1906" s="36"/>
      <c r="O1906" s="20">
        <f t="shared" si="1114"/>
        <v>0</v>
      </c>
      <c r="P1906" s="13"/>
      <c r="Q1906" s="12"/>
      <c r="R1906" s="13"/>
      <c r="S1906" s="20">
        <f t="shared" si="1115"/>
        <v>0</v>
      </c>
      <c r="U1906" s="5" t="s">
        <v>3</v>
      </c>
      <c r="V1906" s="30"/>
      <c r="W1906" s="31"/>
      <c r="X1906" s="32"/>
      <c r="Y1906" s="4">
        <f t="shared" ref="Y1906" si="1118">SUM(V1906:X1906)</f>
        <v>0</v>
      </c>
      <c r="Z1906" s="30"/>
      <c r="AA1906" s="31"/>
      <c r="AB1906" s="32"/>
      <c r="AC1906" s="4">
        <f t="shared" ref="AC1906" si="1119">SUM(Z1906:AB1906)</f>
        <v>0</v>
      </c>
      <c r="AD1906" s="30"/>
      <c r="AE1906" s="31"/>
      <c r="AF1906" s="32"/>
      <c r="AG1906" s="4">
        <f t="shared" ref="AG1906" si="1120">SUM(AD1906:AF1906)</f>
        <v>0</v>
      </c>
    </row>
    <row r="1907" spans="1:33" ht="14.25" thickBot="1">
      <c r="A1907" s="23" t="s">
        <v>4</v>
      </c>
      <c r="B1907" s="24">
        <f>SUM(B1896:B1906)</f>
        <v>8</v>
      </c>
      <c r="C1907" s="24">
        <f>SUM(C1896:C1906)</f>
        <v>10</v>
      </c>
      <c r="D1907" s="25">
        <f>SUM(D1896:D1906)</f>
        <v>11</v>
      </c>
      <c r="E1907" s="26">
        <f t="shared" si="1113"/>
        <v>29</v>
      </c>
      <c r="F1907" s="24">
        <f>SUM(F1896:F1906)</f>
        <v>8</v>
      </c>
      <c r="G1907" s="24">
        <f>SUM(G1896:G1906)</f>
        <v>10</v>
      </c>
      <c r="H1907" s="25">
        <f>SUM(H1896:H1906)</f>
        <v>11</v>
      </c>
      <c r="I1907" s="26">
        <f t="shared" si="1108"/>
        <v>29</v>
      </c>
      <c r="K1907" s="23" t="s">
        <v>4</v>
      </c>
      <c r="L1907" s="24">
        <f>SUM(L1896:L1906)</f>
        <v>150</v>
      </c>
      <c r="M1907" s="24">
        <f t="shared" ref="M1907" si="1121">SUM(M1896:M1906)</f>
        <v>159</v>
      </c>
      <c r="N1907" s="25">
        <f t="shared" ref="N1907" si="1122">SUM(N1896:N1906)</f>
        <v>81</v>
      </c>
      <c r="O1907" s="26">
        <f t="shared" ref="O1907" si="1123">SUM(O1896:O1906)</f>
        <v>390</v>
      </c>
      <c r="P1907" s="24">
        <f t="shared" ref="P1907" si="1124">SUM(P1896:P1906)</f>
        <v>150</v>
      </c>
      <c r="Q1907" s="24">
        <f t="shared" ref="Q1907" si="1125">SUM(Q1896:Q1906)</f>
        <v>159</v>
      </c>
      <c r="R1907" s="25">
        <f t="shared" ref="R1907" si="1126">SUM(R1896:R1906)</f>
        <v>81</v>
      </c>
      <c r="S1907" s="26">
        <f t="shared" ref="S1907" si="1127">SUM(S1896:S1906)</f>
        <v>390</v>
      </c>
      <c r="T1907" s="146"/>
      <c r="U1907" s="23" t="s">
        <v>4</v>
      </c>
      <c r="V1907" s="24">
        <f>SUM(V1896:V1906)</f>
        <v>23</v>
      </c>
      <c r="W1907" s="24">
        <f>SUM(W1896:W1906)</f>
        <v>24</v>
      </c>
      <c r="X1907" s="25">
        <f>SUM(X1896:X1906)</f>
        <v>17</v>
      </c>
      <c r="Y1907" s="26">
        <f t="shared" si="1110"/>
        <v>64</v>
      </c>
      <c r="Z1907" s="24">
        <f>SUM(Z1896:Z1906)</f>
        <v>23</v>
      </c>
      <c r="AA1907" s="24">
        <f>SUM(AA1896:AA1906)</f>
        <v>24</v>
      </c>
      <c r="AB1907" s="25">
        <f>SUM(AB1896:AB1906)</f>
        <v>17</v>
      </c>
      <c r="AC1907" s="26">
        <f t="shared" si="1111"/>
        <v>64</v>
      </c>
      <c r="AD1907" s="24">
        <f>SUM(AD1896:AD1906)</f>
        <v>23</v>
      </c>
      <c r="AE1907" s="24">
        <f>SUM(AE1896:AE1906)</f>
        <v>24</v>
      </c>
      <c r="AF1907" s="25">
        <f>SUM(AF1896:AF1906)</f>
        <v>17</v>
      </c>
      <c r="AG1907" s="26">
        <f t="shared" si="1112"/>
        <v>64</v>
      </c>
    </row>
    <row r="1908" spans="1:33">
      <c r="A1908" s="3" t="s">
        <v>52</v>
      </c>
      <c r="B1908" s="8">
        <v>1</v>
      </c>
      <c r="C1908" s="9"/>
      <c r="D1908" s="10">
        <v>5</v>
      </c>
      <c r="E1908" s="7">
        <f t="shared" si="1113"/>
        <v>6</v>
      </c>
      <c r="F1908" s="8">
        <v>1</v>
      </c>
      <c r="G1908" s="9"/>
      <c r="H1908" s="10">
        <v>5</v>
      </c>
      <c r="I1908" s="7">
        <f t="shared" si="1108"/>
        <v>6</v>
      </c>
      <c r="J1908" s="43">
        <v>45807</v>
      </c>
      <c r="K1908" s="3" t="s">
        <v>49</v>
      </c>
      <c r="L1908" s="8">
        <v>13</v>
      </c>
      <c r="M1908" s="9">
        <v>2</v>
      </c>
      <c r="N1908" s="10"/>
      <c r="O1908" s="7">
        <f t="shared" ref="O1908:O1924" si="1128">SUM(L1908:N1908)</f>
        <v>15</v>
      </c>
      <c r="P1908" s="8">
        <v>13</v>
      </c>
      <c r="Q1908" s="9">
        <v>2</v>
      </c>
      <c r="R1908" s="10"/>
      <c r="S1908" s="7">
        <f t="shared" ref="S1908:S1924" si="1129">SUM(P1908:R1908)</f>
        <v>15</v>
      </c>
      <c r="T1908" s="43">
        <v>45805</v>
      </c>
      <c r="U1908" s="40"/>
      <c r="V1908" s="8"/>
      <c r="W1908" s="9"/>
      <c r="X1908" s="10"/>
      <c r="Y1908" s="4">
        <f t="shared" si="1110"/>
        <v>0</v>
      </c>
      <c r="Z1908" s="8"/>
      <c r="AA1908" s="9"/>
      <c r="AB1908" s="10"/>
      <c r="AC1908" s="4">
        <f t="shared" si="1111"/>
        <v>0</v>
      </c>
      <c r="AD1908" s="8"/>
      <c r="AE1908" s="9"/>
      <c r="AF1908" s="10"/>
      <c r="AG1908" s="4">
        <f t="shared" si="1112"/>
        <v>0</v>
      </c>
    </row>
    <row r="1909" spans="1:33">
      <c r="A1909" s="3" t="s">
        <v>54</v>
      </c>
      <c r="B1909" s="8"/>
      <c r="C1909" s="9">
        <v>2</v>
      </c>
      <c r="D1909" s="10"/>
      <c r="E1909" s="7">
        <f t="shared" si="1113"/>
        <v>2</v>
      </c>
      <c r="F1909" s="8"/>
      <c r="G1909" s="9">
        <v>2</v>
      </c>
      <c r="H1909" s="10"/>
      <c r="I1909" s="7">
        <f t="shared" si="1108"/>
        <v>2</v>
      </c>
      <c r="J1909" s="43">
        <v>45810</v>
      </c>
      <c r="K1909" s="3" t="s">
        <v>51</v>
      </c>
      <c r="L1909" s="8">
        <v>6</v>
      </c>
      <c r="M1909" s="9">
        <v>4</v>
      </c>
      <c r="N1909" s="10"/>
      <c r="O1909" s="7">
        <f t="shared" si="1128"/>
        <v>10</v>
      </c>
      <c r="P1909" s="8">
        <v>6</v>
      </c>
      <c r="Q1909" s="9">
        <v>4</v>
      </c>
      <c r="R1909" s="10"/>
      <c r="S1909" s="7">
        <f t="shared" si="1129"/>
        <v>10</v>
      </c>
      <c r="T1909" s="43">
        <v>45806</v>
      </c>
      <c r="U1909" s="40"/>
      <c r="V1909" s="8"/>
      <c r="W1909" s="9"/>
      <c r="X1909" s="10"/>
      <c r="Y1909" s="4">
        <f t="shared" si="1110"/>
        <v>0</v>
      </c>
      <c r="Z1909" s="8"/>
      <c r="AA1909" s="9"/>
      <c r="AB1909" s="10"/>
      <c r="AC1909" s="4">
        <f t="shared" si="1111"/>
        <v>0</v>
      </c>
      <c r="AD1909" s="8"/>
      <c r="AE1909" s="9"/>
      <c r="AF1909" s="10"/>
      <c r="AG1909" s="4">
        <f t="shared" si="1112"/>
        <v>0</v>
      </c>
    </row>
    <row r="1910" spans="1:33">
      <c r="A1910" s="3" t="s">
        <v>57</v>
      </c>
      <c r="B1910" s="8">
        <v>2</v>
      </c>
      <c r="C1910" s="9">
        <v>2</v>
      </c>
      <c r="D1910" s="10">
        <v>2</v>
      </c>
      <c r="E1910" s="7">
        <f t="shared" si="1113"/>
        <v>6</v>
      </c>
      <c r="F1910" s="8">
        <v>2</v>
      </c>
      <c r="G1910" s="9">
        <v>2</v>
      </c>
      <c r="H1910" s="10">
        <v>2</v>
      </c>
      <c r="I1910" s="7">
        <f t="shared" si="1108"/>
        <v>6</v>
      </c>
      <c r="J1910" s="43">
        <v>45812</v>
      </c>
      <c r="K1910" s="3" t="s">
        <v>1061</v>
      </c>
      <c r="L1910" s="8">
        <v>5</v>
      </c>
      <c r="M1910" s="9"/>
      <c r="N1910" s="10"/>
      <c r="O1910" s="7">
        <f t="shared" si="1128"/>
        <v>5</v>
      </c>
      <c r="P1910" s="8">
        <v>5</v>
      </c>
      <c r="Q1910" s="9"/>
      <c r="R1910" s="10"/>
      <c r="S1910" s="7">
        <f t="shared" si="1129"/>
        <v>5</v>
      </c>
      <c r="T1910" s="43">
        <v>45807</v>
      </c>
      <c r="U1910" s="40"/>
      <c r="V1910" s="8"/>
      <c r="W1910" s="9"/>
      <c r="X1910" s="10"/>
      <c r="Y1910" s="7">
        <f t="shared" si="1110"/>
        <v>0</v>
      </c>
      <c r="Z1910" s="8"/>
      <c r="AA1910" s="9"/>
      <c r="AB1910" s="10"/>
      <c r="AC1910" s="7">
        <f t="shared" si="1111"/>
        <v>0</v>
      </c>
      <c r="AD1910" s="8"/>
      <c r="AE1910" s="9"/>
      <c r="AF1910" s="10"/>
      <c r="AG1910" s="7">
        <f t="shared" si="1112"/>
        <v>0</v>
      </c>
    </row>
    <row r="1911" spans="1:33">
      <c r="A1911" s="3" t="s">
        <v>60</v>
      </c>
      <c r="B1911" s="8"/>
      <c r="C1911" s="9">
        <v>1</v>
      </c>
      <c r="D1911" s="10"/>
      <c r="E1911" s="7">
        <f t="shared" si="1113"/>
        <v>1</v>
      </c>
      <c r="F1911" s="8"/>
      <c r="G1911" s="9">
        <v>1</v>
      </c>
      <c r="H1911" s="10"/>
      <c r="I1911" s="7">
        <f t="shared" si="1108"/>
        <v>1</v>
      </c>
      <c r="J1911" s="43">
        <v>45817</v>
      </c>
      <c r="K1911" s="3" t="s">
        <v>1062</v>
      </c>
      <c r="L1911" s="8">
        <v>5</v>
      </c>
      <c r="M1911" s="9"/>
      <c r="N1911" s="10"/>
      <c r="O1911" s="7">
        <f t="shared" si="1128"/>
        <v>5</v>
      </c>
      <c r="P1911" s="8">
        <v>5</v>
      </c>
      <c r="Q1911" s="9"/>
      <c r="R1911" s="10"/>
      <c r="S1911" s="7">
        <f t="shared" si="1129"/>
        <v>5</v>
      </c>
      <c r="T1911" s="43">
        <v>45806</v>
      </c>
      <c r="U1911" s="40"/>
      <c r="V1911" s="8"/>
      <c r="W1911" s="9"/>
      <c r="X1911" s="10"/>
      <c r="Y1911" s="4">
        <f t="shared" si="1110"/>
        <v>0</v>
      </c>
      <c r="Z1911" s="8"/>
      <c r="AA1911" s="9"/>
      <c r="AB1911" s="10"/>
      <c r="AC1911" s="4">
        <f t="shared" si="1111"/>
        <v>0</v>
      </c>
      <c r="AD1911" s="8"/>
      <c r="AE1911" s="9"/>
      <c r="AF1911" s="10"/>
      <c r="AG1911" s="4">
        <f t="shared" si="1112"/>
        <v>0</v>
      </c>
    </row>
    <row r="1912" spans="1:33">
      <c r="A1912" s="3" t="s">
        <v>62</v>
      </c>
      <c r="B1912" s="8"/>
      <c r="C1912" s="9"/>
      <c r="D1912" s="10">
        <v>1</v>
      </c>
      <c r="E1912" s="7">
        <f t="shared" si="1113"/>
        <v>1</v>
      </c>
      <c r="F1912" s="8"/>
      <c r="G1912" s="9"/>
      <c r="H1912" s="10">
        <v>1</v>
      </c>
      <c r="I1912" s="7">
        <f t="shared" si="1108"/>
        <v>1</v>
      </c>
      <c r="J1912" s="43">
        <v>45820</v>
      </c>
      <c r="K1912" s="3" t="s">
        <v>1063</v>
      </c>
      <c r="L1912" s="8">
        <v>20</v>
      </c>
      <c r="M1912" s="9">
        <v>19</v>
      </c>
      <c r="N1912" s="10">
        <v>13</v>
      </c>
      <c r="O1912" s="7">
        <f t="shared" si="1128"/>
        <v>52</v>
      </c>
      <c r="P1912" s="8">
        <v>20</v>
      </c>
      <c r="Q1912" s="9">
        <v>19</v>
      </c>
      <c r="R1912" s="10">
        <v>13</v>
      </c>
      <c r="S1912" s="7">
        <f t="shared" si="1129"/>
        <v>52</v>
      </c>
      <c r="T1912" s="43">
        <v>45810</v>
      </c>
      <c r="U1912" s="3"/>
      <c r="V1912" s="8"/>
      <c r="W1912" s="9"/>
      <c r="X1912" s="10"/>
      <c r="Y1912" s="4">
        <f t="shared" si="1110"/>
        <v>0</v>
      </c>
      <c r="Z1912" s="8"/>
      <c r="AA1912" s="9"/>
      <c r="AB1912" s="10"/>
      <c r="AC1912" s="4">
        <f t="shared" si="1111"/>
        <v>0</v>
      </c>
      <c r="AD1912" s="8"/>
      <c r="AE1912" s="9"/>
      <c r="AF1912" s="10"/>
      <c r="AG1912" s="4">
        <f t="shared" si="1112"/>
        <v>0</v>
      </c>
    </row>
    <row r="1913" spans="1:33">
      <c r="A1913" s="3" t="s">
        <v>63</v>
      </c>
      <c r="B1913" s="8"/>
      <c r="C1913" s="9">
        <v>2</v>
      </c>
      <c r="D1913" s="10">
        <v>1</v>
      </c>
      <c r="E1913" s="7">
        <f t="shared" si="1113"/>
        <v>3</v>
      </c>
      <c r="F1913" s="8"/>
      <c r="G1913" s="9">
        <v>2</v>
      </c>
      <c r="H1913" s="10">
        <v>1</v>
      </c>
      <c r="I1913" s="7">
        <f t="shared" si="1108"/>
        <v>3</v>
      </c>
      <c r="J1913" s="43">
        <v>45821</v>
      </c>
      <c r="K1913" s="3" t="s">
        <v>53</v>
      </c>
      <c r="L1913" s="8">
        <v>3</v>
      </c>
      <c r="M1913" s="9">
        <v>2</v>
      </c>
      <c r="N1913" s="10">
        <v>6</v>
      </c>
      <c r="O1913" s="7">
        <f t="shared" si="1128"/>
        <v>11</v>
      </c>
      <c r="P1913" s="8">
        <v>3</v>
      </c>
      <c r="Q1913" s="9">
        <v>2</v>
      </c>
      <c r="R1913" s="10">
        <v>6</v>
      </c>
      <c r="S1913" s="7">
        <f t="shared" si="1129"/>
        <v>11</v>
      </c>
      <c r="T1913" s="43">
        <v>45807</v>
      </c>
      <c r="U1913" s="3"/>
      <c r="V1913" s="8"/>
      <c r="W1913" s="9"/>
      <c r="X1913" s="10"/>
      <c r="Y1913" s="7">
        <f t="shared" si="1110"/>
        <v>0</v>
      </c>
      <c r="Z1913" s="8"/>
      <c r="AA1913" s="9"/>
      <c r="AB1913" s="10"/>
      <c r="AC1913" s="7">
        <f t="shared" si="1111"/>
        <v>0</v>
      </c>
      <c r="AD1913" s="8"/>
      <c r="AE1913" s="9"/>
      <c r="AF1913" s="10"/>
      <c r="AG1913" s="7">
        <f t="shared" si="1112"/>
        <v>0</v>
      </c>
    </row>
    <row r="1914" spans="1:33">
      <c r="A1914" s="3"/>
      <c r="B1914" s="8"/>
      <c r="C1914" s="9"/>
      <c r="D1914" s="10"/>
      <c r="E1914" s="7">
        <f t="shared" si="1113"/>
        <v>0</v>
      </c>
      <c r="F1914" s="8"/>
      <c r="G1914" s="9"/>
      <c r="H1914" s="10"/>
      <c r="I1914" s="7">
        <f t="shared" si="1108"/>
        <v>0</v>
      </c>
      <c r="J1914" s="71"/>
      <c r="K1914" s="3" t="s">
        <v>1065</v>
      </c>
      <c r="L1914" s="8">
        <v>10</v>
      </c>
      <c r="M1914" s="9">
        <v>28</v>
      </c>
      <c r="N1914" s="10">
        <v>12</v>
      </c>
      <c r="O1914" s="7">
        <f t="shared" si="1128"/>
        <v>50</v>
      </c>
      <c r="P1914" s="8">
        <v>10</v>
      </c>
      <c r="Q1914" s="9">
        <v>28</v>
      </c>
      <c r="R1914" s="10">
        <v>12</v>
      </c>
      <c r="S1914" s="7">
        <f t="shared" si="1129"/>
        <v>50</v>
      </c>
      <c r="T1914" s="43">
        <v>45811</v>
      </c>
      <c r="U1914" s="3"/>
      <c r="V1914" s="8"/>
      <c r="W1914" s="9"/>
      <c r="X1914" s="10"/>
      <c r="Y1914" s="7">
        <f t="shared" si="1110"/>
        <v>0</v>
      </c>
      <c r="Z1914" s="8"/>
      <c r="AA1914" s="9"/>
      <c r="AB1914" s="10"/>
      <c r="AC1914" s="7">
        <f t="shared" si="1111"/>
        <v>0</v>
      </c>
      <c r="AD1914" s="8"/>
      <c r="AE1914" s="9"/>
      <c r="AF1914" s="10"/>
      <c r="AG1914" s="7">
        <f t="shared" si="1112"/>
        <v>0</v>
      </c>
    </row>
    <row r="1915" spans="1:33">
      <c r="A1915" s="3"/>
      <c r="B1915" s="8"/>
      <c r="C1915" s="9"/>
      <c r="D1915" s="10"/>
      <c r="E1915" s="7">
        <f t="shared" si="1113"/>
        <v>0</v>
      </c>
      <c r="F1915" s="8"/>
      <c r="G1915" s="9"/>
      <c r="H1915" s="10"/>
      <c r="I1915" s="7">
        <f t="shared" si="1108"/>
        <v>0</v>
      </c>
      <c r="J1915" s="71"/>
      <c r="K1915" s="3" t="s">
        <v>295</v>
      </c>
      <c r="L1915" s="8">
        <v>5</v>
      </c>
      <c r="M1915" s="9">
        <v>5</v>
      </c>
      <c r="N1915" s="10">
        <v>5</v>
      </c>
      <c r="O1915" s="7">
        <f t="shared" si="1128"/>
        <v>15</v>
      </c>
      <c r="P1915" s="8">
        <v>5</v>
      </c>
      <c r="Q1915" s="9">
        <v>5</v>
      </c>
      <c r="R1915" s="10">
        <v>5</v>
      </c>
      <c r="S1915" s="7">
        <f t="shared" si="1129"/>
        <v>15</v>
      </c>
      <c r="T1915" s="43">
        <v>45808</v>
      </c>
      <c r="U1915" s="3"/>
      <c r="V1915" s="8"/>
      <c r="W1915" s="9"/>
      <c r="X1915" s="10"/>
      <c r="Y1915" s="7">
        <f t="shared" si="1110"/>
        <v>0</v>
      </c>
      <c r="Z1915" s="8"/>
      <c r="AA1915" s="9"/>
      <c r="AB1915" s="10"/>
      <c r="AC1915" s="7">
        <f t="shared" si="1111"/>
        <v>0</v>
      </c>
      <c r="AD1915" s="8"/>
      <c r="AE1915" s="9"/>
      <c r="AF1915" s="10"/>
      <c r="AG1915" s="7">
        <f t="shared" si="1112"/>
        <v>0</v>
      </c>
    </row>
    <row r="1916" spans="1:33">
      <c r="A1916" s="3"/>
      <c r="B1916" s="8"/>
      <c r="C1916" s="9"/>
      <c r="D1916" s="10"/>
      <c r="E1916" s="7">
        <f t="shared" si="1113"/>
        <v>0</v>
      </c>
      <c r="F1916" s="8"/>
      <c r="G1916" s="9"/>
      <c r="H1916" s="10"/>
      <c r="I1916" s="7">
        <f t="shared" si="1108"/>
        <v>0</v>
      </c>
      <c r="K1916" s="3" t="s">
        <v>59</v>
      </c>
      <c r="L1916" s="8"/>
      <c r="M1916" s="9">
        <v>3</v>
      </c>
      <c r="N1916" s="10"/>
      <c r="O1916" s="7">
        <f t="shared" si="1128"/>
        <v>3</v>
      </c>
      <c r="P1916" s="8"/>
      <c r="Q1916" s="9">
        <v>3</v>
      </c>
      <c r="R1916" s="10"/>
      <c r="S1916" s="7">
        <f t="shared" si="1129"/>
        <v>3</v>
      </c>
      <c r="T1916" s="43">
        <v>45813</v>
      </c>
      <c r="U1916" s="3"/>
      <c r="V1916" s="8"/>
      <c r="W1916" s="9"/>
      <c r="X1916" s="10"/>
      <c r="Y1916" s="7">
        <f t="shared" si="1110"/>
        <v>0</v>
      </c>
      <c r="Z1916" s="8"/>
      <c r="AA1916" s="9"/>
      <c r="AB1916" s="10"/>
      <c r="AC1916" s="7">
        <f t="shared" si="1111"/>
        <v>0</v>
      </c>
      <c r="AD1916" s="8"/>
      <c r="AE1916" s="9"/>
      <c r="AF1916" s="10"/>
      <c r="AG1916" s="7">
        <f t="shared" si="1112"/>
        <v>0</v>
      </c>
    </row>
    <row r="1917" spans="1:33">
      <c r="A1917" s="3"/>
      <c r="B1917" s="8"/>
      <c r="C1917" s="9"/>
      <c r="D1917" s="10"/>
      <c r="E1917" s="7">
        <f t="shared" si="1113"/>
        <v>0</v>
      </c>
      <c r="F1917" s="8"/>
      <c r="G1917" s="9"/>
      <c r="H1917" s="10"/>
      <c r="I1917" s="7">
        <f t="shared" si="1108"/>
        <v>0</v>
      </c>
      <c r="K1917" s="3" t="s">
        <v>1076</v>
      </c>
      <c r="L1917" s="8"/>
      <c r="M1917" s="9">
        <v>2</v>
      </c>
      <c r="N1917" s="10">
        <v>3</v>
      </c>
      <c r="O1917" s="7">
        <f t="shared" si="1128"/>
        <v>5</v>
      </c>
      <c r="P1917" s="8"/>
      <c r="Q1917" s="9">
        <v>2</v>
      </c>
      <c r="R1917" s="10">
        <v>3</v>
      </c>
      <c r="S1917" s="7">
        <f t="shared" si="1129"/>
        <v>5</v>
      </c>
      <c r="T1917" s="43">
        <v>45818</v>
      </c>
      <c r="U1917" s="3"/>
      <c r="V1917" s="8"/>
      <c r="W1917" s="9"/>
      <c r="X1917" s="10"/>
      <c r="Y1917" s="7">
        <f t="shared" si="1110"/>
        <v>0</v>
      </c>
      <c r="Z1917" s="8"/>
      <c r="AA1917" s="9"/>
      <c r="AB1917" s="10"/>
      <c r="AC1917" s="7">
        <f t="shared" si="1111"/>
        <v>0</v>
      </c>
      <c r="AD1917" s="8"/>
      <c r="AE1917" s="9"/>
      <c r="AF1917" s="10"/>
      <c r="AG1917" s="7">
        <f t="shared" si="1112"/>
        <v>0</v>
      </c>
    </row>
    <row r="1918" spans="1:33">
      <c r="A1918" s="3"/>
      <c r="B1918" s="8"/>
      <c r="C1918" s="9"/>
      <c r="D1918" s="10"/>
      <c r="E1918" s="7">
        <f t="shared" si="1113"/>
        <v>0</v>
      </c>
      <c r="F1918" s="8"/>
      <c r="G1918" s="9"/>
      <c r="H1918" s="10"/>
      <c r="I1918" s="7">
        <f t="shared" si="1108"/>
        <v>0</v>
      </c>
      <c r="K1918" s="3" t="s">
        <v>1069</v>
      </c>
      <c r="L1918" s="8">
        <v>3</v>
      </c>
      <c r="M1918" s="9">
        <v>3</v>
      </c>
      <c r="N1918" s="10">
        <v>3</v>
      </c>
      <c r="O1918" s="7">
        <f t="shared" si="1128"/>
        <v>9</v>
      </c>
      <c r="P1918" s="8">
        <v>3</v>
      </c>
      <c r="Q1918" s="9">
        <v>3</v>
      </c>
      <c r="R1918" s="10">
        <v>3</v>
      </c>
      <c r="S1918" s="7">
        <f t="shared" si="1129"/>
        <v>9</v>
      </c>
      <c r="T1918" s="43">
        <v>45820</v>
      </c>
      <c r="U1918" s="3"/>
      <c r="V1918" s="30"/>
      <c r="W1918" s="9"/>
      <c r="X1918" s="10"/>
      <c r="Y1918" s="7">
        <f t="shared" si="1110"/>
        <v>0</v>
      </c>
      <c r="Z1918" s="8"/>
      <c r="AA1918" s="9"/>
      <c r="AB1918" s="10"/>
      <c r="AC1918" s="7">
        <f t="shared" si="1111"/>
        <v>0</v>
      </c>
      <c r="AD1918" s="8"/>
      <c r="AE1918" s="9"/>
      <c r="AF1918" s="10"/>
      <c r="AG1918" s="7">
        <f t="shared" si="1112"/>
        <v>0</v>
      </c>
    </row>
    <row r="1919" spans="1:33">
      <c r="A1919" s="3"/>
      <c r="B1919" s="8"/>
      <c r="C1919" s="9"/>
      <c r="D1919" s="10"/>
      <c r="E1919" s="7">
        <f t="shared" si="1113"/>
        <v>0</v>
      </c>
      <c r="F1919" s="8"/>
      <c r="G1919" s="9"/>
      <c r="H1919" s="10"/>
      <c r="I1919" s="7">
        <f t="shared" si="1108"/>
        <v>0</v>
      </c>
      <c r="K1919" s="3" t="s">
        <v>1078</v>
      </c>
      <c r="L1919" s="8"/>
      <c r="M1919" s="9">
        <v>3</v>
      </c>
      <c r="N1919" s="10">
        <v>2</v>
      </c>
      <c r="O1919" s="7">
        <f t="shared" si="1128"/>
        <v>5</v>
      </c>
      <c r="P1919" s="8"/>
      <c r="Q1919" s="9">
        <v>3</v>
      </c>
      <c r="R1919" s="10">
        <v>2</v>
      </c>
      <c r="S1919" s="7">
        <f t="shared" si="1129"/>
        <v>5</v>
      </c>
      <c r="T1919" s="43">
        <v>45821</v>
      </c>
      <c r="U1919" s="3"/>
      <c r="V1919" s="8"/>
      <c r="W1919" s="9"/>
      <c r="X1919" s="10"/>
      <c r="Y1919" s="7">
        <f t="shared" si="1110"/>
        <v>0</v>
      </c>
      <c r="Z1919" s="8"/>
      <c r="AA1919" s="9"/>
      <c r="AB1919" s="10"/>
      <c r="AC1919" s="7">
        <f t="shared" si="1111"/>
        <v>0</v>
      </c>
      <c r="AD1919" s="8"/>
      <c r="AE1919" s="9"/>
      <c r="AF1919" s="10"/>
      <c r="AG1919" s="7">
        <f t="shared" si="1112"/>
        <v>0</v>
      </c>
    </row>
    <row r="1920" spans="1:33">
      <c r="A1920" s="3"/>
      <c r="B1920" s="8"/>
      <c r="C1920" s="9"/>
      <c r="D1920" s="10"/>
      <c r="E1920" s="7">
        <f t="shared" si="1113"/>
        <v>0</v>
      </c>
      <c r="F1920" s="8"/>
      <c r="G1920" s="9"/>
      <c r="H1920" s="10"/>
      <c r="I1920" s="7">
        <f t="shared" si="1108"/>
        <v>0</v>
      </c>
      <c r="K1920" s="3" t="s">
        <v>64</v>
      </c>
      <c r="L1920" s="8">
        <v>6</v>
      </c>
      <c r="M1920" s="9">
        <v>5</v>
      </c>
      <c r="N1920" s="10">
        <v>1</v>
      </c>
      <c r="O1920" s="7">
        <f t="shared" si="1128"/>
        <v>12</v>
      </c>
      <c r="P1920" s="8">
        <v>6</v>
      </c>
      <c r="Q1920" s="9">
        <v>5</v>
      </c>
      <c r="R1920" s="10">
        <v>1</v>
      </c>
      <c r="S1920" s="7">
        <f t="shared" si="1129"/>
        <v>12</v>
      </c>
      <c r="T1920" s="43">
        <v>45824</v>
      </c>
      <c r="U1920" s="3"/>
      <c r="V1920" s="8"/>
      <c r="W1920" s="9"/>
      <c r="X1920" s="10"/>
      <c r="Y1920" s="7">
        <f t="shared" si="1110"/>
        <v>0</v>
      </c>
      <c r="Z1920" s="8"/>
      <c r="AA1920" s="9"/>
      <c r="AB1920" s="10"/>
      <c r="AC1920" s="7">
        <f t="shared" si="1111"/>
        <v>0</v>
      </c>
      <c r="AD1920" s="8"/>
      <c r="AE1920" s="9"/>
      <c r="AF1920" s="10"/>
      <c r="AG1920" s="7">
        <f t="shared" si="1112"/>
        <v>0</v>
      </c>
    </row>
    <row r="1921" spans="1:33">
      <c r="A1921" s="3"/>
      <c r="B1921" s="8"/>
      <c r="C1921" s="9"/>
      <c r="D1921" s="10"/>
      <c r="E1921" s="7">
        <f t="shared" si="1113"/>
        <v>0</v>
      </c>
      <c r="F1921" s="8"/>
      <c r="G1921" s="9"/>
      <c r="H1921" s="10"/>
      <c r="I1921" s="7">
        <f t="shared" si="1108"/>
        <v>0</v>
      </c>
      <c r="K1921" s="3" t="s">
        <v>295</v>
      </c>
      <c r="L1921" s="8"/>
      <c r="M1921" s="9">
        <v>3</v>
      </c>
      <c r="N1921" s="10">
        <v>3</v>
      </c>
      <c r="O1921" s="7">
        <f t="shared" si="1128"/>
        <v>6</v>
      </c>
      <c r="P1921" s="8"/>
      <c r="Q1921" s="9">
        <v>3</v>
      </c>
      <c r="R1921" s="10">
        <v>3</v>
      </c>
      <c r="S1921" s="7">
        <f t="shared" si="1129"/>
        <v>6</v>
      </c>
      <c r="T1921" s="43">
        <v>45824</v>
      </c>
      <c r="U1921" s="3"/>
      <c r="V1921" s="8"/>
      <c r="W1921" s="9"/>
      <c r="X1921" s="10"/>
      <c r="Y1921" s="7">
        <f t="shared" si="1110"/>
        <v>0</v>
      </c>
      <c r="Z1921" s="8"/>
      <c r="AA1921" s="9"/>
      <c r="AB1921" s="10"/>
      <c r="AC1921" s="7">
        <f t="shared" si="1111"/>
        <v>0</v>
      </c>
      <c r="AD1921" s="8"/>
      <c r="AE1921" s="9"/>
      <c r="AF1921" s="10"/>
      <c r="AG1921" s="7">
        <f t="shared" si="1112"/>
        <v>0</v>
      </c>
    </row>
    <row r="1922" spans="1:33">
      <c r="A1922" s="3"/>
      <c r="B1922" s="8"/>
      <c r="C1922" s="9"/>
      <c r="D1922" s="10"/>
      <c r="E1922" s="7">
        <f t="shared" si="1113"/>
        <v>0</v>
      </c>
      <c r="F1922" s="8"/>
      <c r="G1922" s="9"/>
      <c r="H1922" s="10"/>
      <c r="I1922" s="7">
        <f t="shared" si="1108"/>
        <v>0</v>
      </c>
      <c r="K1922" s="3" t="s">
        <v>67</v>
      </c>
      <c r="L1922" s="8"/>
      <c r="M1922" s="9">
        <v>3</v>
      </c>
      <c r="N1922" s="10"/>
      <c r="O1922" s="7">
        <f t="shared" si="1128"/>
        <v>3</v>
      </c>
      <c r="P1922" s="8"/>
      <c r="Q1922" s="9">
        <v>3</v>
      </c>
      <c r="R1922" s="10"/>
      <c r="S1922" s="7">
        <f t="shared" si="1129"/>
        <v>3</v>
      </c>
      <c r="T1922" s="43">
        <v>45827</v>
      </c>
      <c r="U1922" s="3"/>
      <c r="V1922" s="8"/>
      <c r="W1922" s="9"/>
      <c r="X1922" s="10"/>
      <c r="Y1922" s="7">
        <f t="shared" si="1110"/>
        <v>0</v>
      </c>
      <c r="Z1922" s="8"/>
      <c r="AA1922" s="9"/>
      <c r="AB1922" s="10"/>
      <c r="AC1922" s="7">
        <f t="shared" si="1111"/>
        <v>0</v>
      </c>
      <c r="AD1922" s="8"/>
      <c r="AE1922" s="9"/>
      <c r="AF1922" s="10"/>
      <c r="AG1922" s="7">
        <f t="shared" si="1112"/>
        <v>0</v>
      </c>
    </row>
    <row r="1923" spans="1:33">
      <c r="A1923" s="3"/>
      <c r="B1923" s="8"/>
      <c r="C1923" s="9"/>
      <c r="D1923" s="10"/>
      <c r="E1923" s="7">
        <f t="shared" si="1113"/>
        <v>0</v>
      </c>
      <c r="F1923" s="8"/>
      <c r="G1923" s="9"/>
      <c r="H1923" s="10"/>
      <c r="I1923" s="7">
        <f t="shared" si="1108"/>
        <v>0</v>
      </c>
      <c r="K1923" s="3" t="s">
        <v>68</v>
      </c>
      <c r="L1923" s="8"/>
      <c r="M1923" s="9">
        <v>3</v>
      </c>
      <c r="N1923" s="10">
        <v>3</v>
      </c>
      <c r="O1923" s="7">
        <f t="shared" si="1128"/>
        <v>6</v>
      </c>
      <c r="P1923" s="8"/>
      <c r="Q1923" s="9">
        <v>3</v>
      </c>
      <c r="R1923" s="10">
        <v>3</v>
      </c>
      <c r="S1923" s="7">
        <f t="shared" si="1129"/>
        <v>6</v>
      </c>
      <c r="T1923" s="43">
        <v>45828</v>
      </c>
      <c r="U1923" s="3"/>
      <c r="V1923" s="8"/>
      <c r="W1923" s="9"/>
      <c r="X1923" s="10"/>
      <c r="Y1923" s="7">
        <f t="shared" si="1110"/>
        <v>0</v>
      </c>
      <c r="Z1923" s="8"/>
      <c r="AA1923" s="9"/>
      <c r="AB1923" s="10"/>
      <c r="AC1923" s="7">
        <f t="shared" si="1111"/>
        <v>0</v>
      </c>
      <c r="AD1923" s="8"/>
      <c r="AE1923" s="9"/>
      <c r="AF1923" s="10"/>
      <c r="AG1923" s="7">
        <f t="shared" si="1112"/>
        <v>0</v>
      </c>
    </row>
    <row r="1924" spans="1:33">
      <c r="A1924" s="3"/>
      <c r="B1924" s="8"/>
      <c r="C1924" s="9"/>
      <c r="D1924" s="10"/>
      <c r="E1924" s="7">
        <f t="shared" si="1113"/>
        <v>0</v>
      </c>
      <c r="F1924" s="8"/>
      <c r="G1924" s="9"/>
      <c r="H1924" s="10"/>
      <c r="I1924" s="7">
        <f t="shared" si="1108"/>
        <v>0</v>
      </c>
      <c r="K1924" s="3" t="s">
        <v>896</v>
      </c>
      <c r="L1924" s="8">
        <v>1</v>
      </c>
      <c r="M1924" s="9">
        <v>2</v>
      </c>
      <c r="N1924" s="10"/>
      <c r="O1924" s="7">
        <f t="shared" si="1128"/>
        <v>3</v>
      </c>
      <c r="P1924" s="8">
        <v>1</v>
      </c>
      <c r="Q1924" s="9">
        <v>2</v>
      </c>
      <c r="R1924" s="10"/>
      <c r="S1924" s="7">
        <f t="shared" si="1129"/>
        <v>3</v>
      </c>
      <c r="T1924" s="43">
        <v>45834</v>
      </c>
      <c r="U1924" s="3"/>
      <c r="V1924" s="8"/>
      <c r="W1924" s="9"/>
      <c r="X1924" s="10"/>
      <c r="Y1924" s="7">
        <f t="shared" si="1110"/>
        <v>0</v>
      </c>
      <c r="Z1924" s="8"/>
      <c r="AA1924" s="9"/>
      <c r="AB1924" s="10"/>
      <c r="AC1924" s="7">
        <f t="shared" si="1111"/>
        <v>0</v>
      </c>
      <c r="AD1924" s="8"/>
      <c r="AE1924" s="9"/>
      <c r="AF1924" s="10"/>
      <c r="AG1924" s="7">
        <f t="shared" si="1112"/>
        <v>0</v>
      </c>
    </row>
    <row r="1925" spans="1:33">
      <c r="A1925" s="3"/>
      <c r="B1925" s="8"/>
      <c r="C1925" s="9"/>
      <c r="D1925" s="10"/>
      <c r="E1925" s="7">
        <f t="shared" si="1113"/>
        <v>0</v>
      </c>
      <c r="F1925" s="8"/>
      <c r="G1925" s="9"/>
      <c r="H1925" s="10"/>
      <c r="I1925" s="7">
        <f t="shared" si="1108"/>
        <v>0</v>
      </c>
      <c r="K1925" s="3"/>
      <c r="L1925" s="8"/>
      <c r="M1925" s="9"/>
      <c r="N1925" s="10"/>
      <c r="O1925" s="7">
        <f t="shared" ref="O1925" si="1130">SUM(L1925:N1925)</f>
        <v>0</v>
      </c>
      <c r="P1925" s="8"/>
      <c r="Q1925" s="9"/>
      <c r="R1925" s="10"/>
      <c r="S1925" s="7">
        <f t="shared" ref="S1925" si="1131">SUM(P1925:R1925)</f>
        <v>0</v>
      </c>
      <c r="T1925" s="71"/>
      <c r="U1925" s="3"/>
      <c r="V1925" s="8"/>
      <c r="W1925" s="9"/>
      <c r="X1925" s="10"/>
      <c r="Y1925" s="7">
        <f t="shared" si="1110"/>
        <v>0</v>
      </c>
      <c r="Z1925" s="8"/>
      <c r="AA1925" s="9"/>
      <c r="AB1925" s="10"/>
      <c r="AC1925" s="7">
        <f t="shared" si="1111"/>
        <v>0</v>
      </c>
      <c r="AD1925" s="8"/>
      <c r="AE1925" s="9"/>
      <c r="AF1925" s="10"/>
      <c r="AG1925" s="7">
        <f t="shared" si="1112"/>
        <v>0</v>
      </c>
    </row>
    <row r="1926" spans="1:33">
      <c r="A1926" s="11"/>
      <c r="B1926" s="8"/>
      <c r="C1926" s="9"/>
      <c r="D1926" s="10"/>
      <c r="E1926" s="7">
        <f t="shared" si="1113"/>
        <v>0</v>
      </c>
      <c r="F1926" s="8"/>
      <c r="G1926" s="9"/>
      <c r="H1926" s="10"/>
      <c r="I1926" s="7">
        <f t="shared" si="1108"/>
        <v>0</v>
      </c>
      <c r="K1926" s="3" t="s">
        <v>1046</v>
      </c>
      <c r="L1926" s="8"/>
      <c r="M1926" s="9"/>
      <c r="N1926" s="10"/>
      <c r="O1926" s="7">
        <f t="shared" ref="O1926" si="1132">SUM(L1926:N1926)</f>
        <v>0</v>
      </c>
      <c r="P1926" s="8"/>
      <c r="Q1926" s="9"/>
      <c r="R1926" s="10"/>
      <c r="S1926" s="7">
        <f t="shared" ref="S1926" si="1133">SUM(P1926:R1926)</f>
        <v>0</v>
      </c>
      <c r="T1926" s="71" t="s">
        <v>268</v>
      </c>
      <c r="U1926" s="3"/>
      <c r="V1926" s="8"/>
      <c r="W1926" s="9"/>
      <c r="X1926" s="10"/>
      <c r="Y1926" s="7">
        <f t="shared" si="1110"/>
        <v>0</v>
      </c>
      <c r="Z1926" s="8"/>
      <c r="AA1926" s="9"/>
      <c r="AB1926" s="10"/>
      <c r="AC1926" s="7">
        <f t="shared" si="1111"/>
        <v>0</v>
      </c>
      <c r="AD1926" s="8"/>
      <c r="AE1926" s="9"/>
      <c r="AF1926" s="10"/>
      <c r="AG1926" s="7">
        <f t="shared" si="1112"/>
        <v>0</v>
      </c>
    </row>
    <row r="1927" spans="1:33">
      <c r="A1927" s="11"/>
      <c r="B1927" s="8"/>
      <c r="C1927" s="9"/>
      <c r="D1927" s="10"/>
      <c r="E1927" s="7">
        <f t="shared" si="1113"/>
        <v>0</v>
      </c>
      <c r="F1927" s="8"/>
      <c r="G1927" s="9"/>
      <c r="H1927" s="10"/>
      <c r="I1927" s="7">
        <f t="shared" si="1108"/>
        <v>0</v>
      </c>
      <c r="K1927" s="3" t="s">
        <v>1027</v>
      </c>
      <c r="L1927" s="8"/>
      <c r="M1927" s="9"/>
      <c r="N1927" s="10"/>
      <c r="O1927" s="7">
        <f t="shared" ref="O1927:O1929" si="1134">SUM(L1927:N1927)</f>
        <v>0</v>
      </c>
      <c r="P1927" s="8"/>
      <c r="Q1927" s="9"/>
      <c r="R1927" s="10"/>
      <c r="S1927" s="7">
        <f t="shared" ref="S1927:S1929" si="1135">SUM(P1927:R1927)</f>
        <v>0</v>
      </c>
      <c r="T1927" s="71" t="s">
        <v>661</v>
      </c>
      <c r="U1927" s="3"/>
      <c r="V1927" s="8"/>
      <c r="W1927" s="9"/>
      <c r="X1927" s="10"/>
      <c r="Y1927" s="7">
        <f t="shared" si="1110"/>
        <v>0</v>
      </c>
      <c r="Z1927" s="8"/>
      <c r="AA1927" s="9"/>
      <c r="AB1927" s="10"/>
      <c r="AC1927" s="7">
        <f t="shared" si="1111"/>
        <v>0</v>
      </c>
      <c r="AD1927" s="8"/>
      <c r="AE1927" s="9"/>
      <c r="AF1927" s="10"/>
      <c r="AG1927" s="7">
        <f t="shared" si="1112"/>
        <v>0</v>
      </c>
    </row>
    <row r="1928" spans="1:33">
      <c r="A1928" s="11"/>
      <c r="B1928" s="8"/>
      <c r="C1928" s="9"/>
      <c r="D1928" s="10"/>
      <c r="E1928" s="7">
        <f t="shared" si="1113"/>
        <v>0</v>
      </c>
      <c r="F1928" s="8"/>
      <c r="G1928" s="9"/>
      <c r="H1928" s="10"/>
      <c r="I1928" s="7">
        <f t="shared" si="1108"/>
        <v>0</v>
      </c>
      <c r="K1928" s="40" t="s">
        <v>1021</v>
      </c>
      <c r="L1928" s="79"/>
      <c r="M1928" s="80"/>
      <c r="N1928" s="81"/>
      <c r="O1928" s="82">
        <f t="shared" si="1134"/>
        <v>0</v>
      </c>
      <c r="P1928" s="79"/>
      <c r="Q1928" s="80"/>
      <c r="R1928" s="81"/>
      <c r="S1928" s="82">
        <f t="shared" si="1135"/>
        <v>0</v>
      </c>
      <c r="T1928" s="92"/>
      <c r="U1928" s="11"/>
      <c r="V1928" s="8"/>
      <c r="W1928" s="9"/>
      <c r="X1928" s="10"/>
      <c r="Y1928" s="7">
        <f t="shared" si="1110"/>
        <v>0</v>
      </c>
      <c r="Z1928" s="8"/>
      <c r="AA1928" s="9"/>
      <c r="AB1928" s="10"/>
      <c r="AC1928" s="7">
        <f t="shared" si="1111"/>
        <v>0</v>
      </c>
      <c r="AD1928" s="8"/>
      <c r="AE1928" s="9"/>
      <c r="AF1928" s="10"/>
      <c r="AG1928" s="7">
        <f t="shared" si="1112"/>
        <v>0</v>
      </c>
    </row>
    <row r="1929" spans="1:33">
      <c r="A1929" s="11"/>
      <c r="B1929" s="8"/>
      <c r="C1929" s="9"/>
      <c r="D1929" s="10"/>
      <c r="E1929" s="7">
        <f t="shared" si="1113"/>
        <v>0</v>
      </c>
      <c r="F1929" s="8"/>
      <c r="G1929" s="9"/>
      <c r="H1929" s="10"/>
      <c r="I1929" s="7">
        <f t="shared" si="1108"/>
        <v>0</v>
      </c>
      <c r="K1929" s="3" t="s">
        <v>1015</v>
      </c>
      <c r="L1929" s="8"/>
      <c r="M1929" s="9"/>
      <c r="N1929" s="10"/>
      <c r="O1929" s="7">
        <f t="shared" si="1134"/>
        <v>0</v>
      </c>
      <c r="P1929" s="8"/>
      <c r="Q1929" s="9"/>
      <c r="R1929" s="10"/>
      <c r="S1929" s="7">
        <f t="shared" si="1135"/>
        <v>0</v>
      </c>
      <c r="T1929" s="71" t="s">
        <v>862</v>
      </c>
      <c r="U1929" s="3"/>
      <c r="V1929" s="8"/>
      <c r="W1929" s="9"/>
      <c r="X1929" s="10"/>
      <c r="Y1929" s="7">
        <f t="shared" si="1110"/>
        <v>0</v>
      </c>
      <c r="Z1929" s="8"/>
      <c r="AA1929" s="9"/>
      <c r="AB1929" s="10"/>
      <c r="AC1929" s="7">
        <f t="shared" si="1111"/>
        <v>0</v>
      </c>
      <c r="AD1929" s="8"/>
      <c r="AE1929" s="9"/>
      <c r="AF1929" s="10"/>
      <c r="AG1929" s="7">
        <f t="shared" si="1112"/>
        <v>0</v>
      </c>
    </row>
    <row r="1930" spans="1:33">
      <c r="A1930" s="11"/>
      <c r="B1930" s="8"/>
      <c r="C1930" s="9"/>
      <c r="D1930" s="10"/>
      <c r="E1930" s="7">
        <f t="shared" si="1113"/>
        <v>0</v>
      </c>
      <c r="F1930" s="8"/>
      <c r="G1930" s="9"/>
      <c r="H1930" s="10"/>
      <c r="I1930" s="7">
        <f t="shared" si="1108"/>
        <v>0</v>
      </c>
      <c r="K1930" s="40" t="s">
        <v>1066</v>
      </c>
      <c r="L1930" s="79"/>
      <c r="M1930" s="80"/>
      <c r="N1930" s="81"/>
      <c r="O1930" s="82">
        <f t="shared" si="1114"/>
        <v>0</v>
      </c>
      <c r="P1930" s="79"/>
      <c r="Q1930" s="80"/>
      <c r="R1930" s="81"/>
      <c r="S1930" s="82">
        <f t="shared" si="1115"/>
        <v>0</v>
      </c>
      <c r="T1930" s="92"/>
      <c r="U1930" s="3"/>
      <c r="V1930" s="8"/>
      <c r="W1930" s="9"/>
      <c r="X1930" s="10"/>
      <c r="Y1930" s="7">
        <f t="shared" si="1110"/>
        <v>0</v>
      </c>
      <c r="Z1930" s="8"/>
      <c r="AA1930" s="9"/>
      <c r="AB1930" s="10"/>
      <c r="AC1930" s="7">
        <f t="shared" si="1111"/>
        <v>0</v>
      </c>
      <c r="AD1930" s="8"/>
      <c r="AE1930" s="9"/>
      <c r="AF1930" s="10"/>
      <c r="AG1930" s="7">
        <f t="shared" si="1112"/>
        <v>0</v>
      </c>
    </row>
    <row r="1931" spans="1:33" ht="14.25" thickBot="1">
      <c r="A1931" s="3"/>
      <c r="B1931" s="8"/>
      <c r="C1931" s="9"/>
      <c r="D1931" s="10"/>
      <c r="E1931" s="7">
        <f t="shared" si="1113"/>
        <v>0</v>
      </c>
      <c r="F1931" s="8"/>
      <c r="G1931" s="9"/>
      <c r="H1931" s="10"/>
      <c r="I1931" s="7">
        <f t="shared" si="1108"/>
        <v>0</v>
      </c>
      <c r="K1931" s="3" t="s">
        <v>1044</v>
      </c>
      <c r="L1931" s="8"/>
      <c r="M1931" s="9"/>
      <c r="N1931" s="10"/>
      <c r="O1931" s="7">
        <f t="shared" si="1114"/>
        <v>0</v>
      </c>
      <c r="P1931" s="8"/>
      <c r="Q1931" s="9"/>
      <c r="R1931" s="10"/>
      <c r="S1931" s="7">
        <f t="shared" si="1115"/>
        <v>0</v>
      </c>
      <c r="T1931" s="71" t="s">
        <v>661</v>
      </c>
      <c r="U1931" s="3"/>
      <c r="V1931" s="8"/>
      <c r="W1931" s="9"/>
      <c r="X1931" s="10"/>
      <c r="Y1931" s="7">
        <f t="shared" ref="Y1931" si="1136">SUM(V1931:X1931)</f>
        <v>0</v>
      </c>
      <c r="Z1931" s="8"/>
      <c r="AA1931" s="9"/>
      <c r="AB1931" s="10"/>
      <c r="AC1931" s="7">
        <f t="shared" ref="AC1931" si="1137">SUM(Z1931:AB1931)</f>
        <v>0</v>
      </c>
      <c r="AD1931" s="8"/>
      <c r="AE1931" s="9"/>
      <c r="AF1931" s="10"/>
      <c r="AG1931" s="7">
        <f t="shared" ref="AG1931" si="1138">SUM(AD1931:AF1931)</f>
        <v>0</v>
      </c>
    </row>
    <row r="1932" spans="1:33" ht="14.25" thickBot="1">
      <c r="A1932" s="2" t="s">
        <v>5</v>
      </c>
      <c r="B1932" s="14">
        <f>SUM(B1908:B1931)</f>
        <v>3</v>
      </c>
      <c r="C1932" s="14">
        <f>SUM(C1908:C1931)</f>
        <v>7</v>
      </c>
      <c r="D1932" s="14">
        <f>SUM(D1908:D1931)</f>
        <v>9</v>
      </c>
      <c r="E1932" s="15">
        <f t="shared" si="1113"/>
        <v>19</v>
      </c>
      <c r="F1932" s="14">
        <f>SUM(F1908:F1931)</f>
        <v>3</v>
      </c>
      <c r="G1932" s="14">
        <f>SUM(G1908:G1931)</f>
        <v>7</v>
      </c>
      <c r="H1932" s="14">
        <f>SUM(H1908:H1931)</f>
        <v>9</v>
      </c>
      <c r="I1932" s="15">
        <f t="shared" si="1108"/>
        <v>19</v>
      </c>
      <c r="K1932" s="2" t="s">
        <v>5</v>
      </c>
      <c r="L1932" s="14">
        <f>SUM(L1908:L1931)</f>
        <v>77</v>
      </c>
      <c r="M1932" s="14">
        <f t="shared" ref="M1932" si="1139">SUM(M1908:M1931)</f>
        <v>87</v>
      </c>
      <c r="N1932" s="14">
        <f t="shared" ref="N1932" si="1140">SUM(N1908:N1931)</f>
        <v>51</v>
      </c>
      <c r="O1932" s="15">
        <f t="shared" ref="O1932" si="1141">SUM(O1908:O1931)</f>
        <v>215</v>
      </c>
      <c r="P1932" s="14">
        <f t="shared" ref="P1932" si="1142">SUM(P1908:P1931)</f>
        <v>77</v>
      </c>
      <c r="Q1932" s="14">
        <f t="shared" ref="Q1932" si="1143">SUM(Q1908:Q1931)</f>
        <v>87</v>
      </c>
      <c r="R1932" s="14">
        <f t="shared" ref="R1932" si="1144">SUM(R1908:R1931)</f>
        <v>51</v>
      </c>
      <c r="S1932" s="15">
        <f t="shared" ref="S1932" si="1145">SUM(S1908:S1931)</f>
        <v>215</v>
      </c>
      <c r="U1932" s="2" t="s">
        <v>5</v>
      </c>
      <c r="V1932" s="14">
        <f>SUM(V1908:V1931)</f>
        <v>0</v>
      </c>
      <c r="W1932" s="14">
        <f>SUM(W1908:W1931)</f>
        <v>0</v>
      </c>
      <c r="X1932" s="14">
        <f>SUM(X1908:X1931)</f>
        <v>0</v>
      </c>
      <c r="Y1932" s="15">
        <f t="shared" si="1110"/>
        <v>0</v>
      </c>
      <c r="Z1932" s="14">
        <f>SUM(Z1908:Z1931)</f>
        <v>0</v>
      </c>
      <c r="AA1932" s="14">
        <f>SUM(AA1908:AA1931)</f>
        <v>0</v>
      </c>
      <c r="AB1932" s="14">
        <f>SUM(AB1908:AB1931)</f>
        <v>0</v>
      </c>
      <c r="AC1932" s="15">
        <f t="shared" si="1111"/>
        <v>0</v>
      </c>
      <c r="AD1932" s="14">
        <f>SUM(AD1908:AD1931)</f>
        <v>0</v>
      </c>
      <c r="AE1932" s="14">
        <f>SUM(AE1908:AE1931)</f>
        <v>0</v>
      </c>
      <c r="AF1932" s="14">
        <f>SUM(AF1908:AF1931)</f>
        <v>0</v>
      </c>
      <c r="AG1932" s="15">
        <f t="shared" si="1112"/>
        <v>0</v>
      </c>
    </row>
    <row r="1933" spans="1:33" ht="14.25" thickBot="1">
      <c r="A1933" s="27" t="s">
        <v>6</v>
      </c>
      <c r="B1933" s="28">
        <f>B1907-B1932</f>
        <v>5</v>
      </c>
      <c r="C1933" s="28">
        <f t="shared" ref="C1933:E1933" si="1146">C1907-C1932</f>
        <v>3</v>
      </c>
      <c r="D1933" s="28">
        <f t="shared" si="1146"/>
        <v>2</v>
      </c>
      <c r="E1933" s="28">
        <f t="shared" si="1146"/>
        <v>10</v>
      </c>
      <c r="F1933" s="28">
        <f>F1907-F1932</f>
        <v>5</v>
      </c>
      <c r="G1933" s="28">
        <f t="shared" ref="G1933:I1933" si="1147">G1907-G1932</f>
        <v>3</v>
      </c>
      <c r="H1933" s="28">
        <f t="shared" si="1147"/>
        <v>2</v>
      </c>
      <c r="I1933" s="26">
        <f t="shared" si="1147"/>
        <v>10</v>
      </c>
      <c r="K1933" s="27" t="s">
        <v>6</v>
      </c>
      <c r="L1933" s="28">
        <f>L1907-L1932</f>
        <v>73</v>
      </c>
      <c r="M1933" s="28">
        <f t="shared" ref="M1933" si="1148">M1907-M1932</f>
        <v>72</v>
      </c>
      <c r="N1933" s="28">
        <f t="shared" ref="N1933" si="1149">N1907-N1932</f>
        <v>30</v>
      </c>
      <c r="O1933" s="28">
        <f t="shared" ref="O1933" si="1150">O1907-O1932</f>
        <v>175</v>
      </c>
      <c r="P1933" s="28">
        <f t="shared" ref="P1933" si="1151">P1907-P1932</f>
        <v>73</v>
      </c>
      <c r="Q1933" s="28">
        <f t="shared" ref="Q1933" si="1152">Q1907-Q1932</f>
        <v>72</v>
      </c>
      <c r="R1933" s="28">
        <f t="shared" ref="R1933" si="1153">R1907-R1932</f>
        <v>30</v>
      </c>
      <c r="S1933" s="26">
        <f t="shared" ref="S1933" si="1154">S1907-S1932</f>
        <v>175</v>
      </c>
      <c r="U1933" s="27" t="s">
        <v>6</v>
      </c>
      <c r="V1933" s="28">
        <f>V1907-V1932</f>
        <v>23</v>
      </c>
      <c r="W1933" s="28">
        <f t="shared" ref="W1933:Y1933" si="1155">W1907-W1932</f>
        <v>24</v>
      </c>
      <c r="X1933" s="28">
        <f t="shared" si="1155"/>
        <v>17</v>
      </c>
      <c r="Y1933" s="28">
        <f t="shared" si="1155"/>
        <v>64</v>
      </c>
      <c r="Z1933" s="28">
        <f>Z1907-Z1932</f>
        <v>23</v>
      </c>
      <c r="AA1933" s="28">
        <f t="shared" ref="AA1933:AC1933" si="1156">AA1907-AA1932</f>
        <v>24</v>
      </c>
      <c r="AB1933" s="28">
        <f t="shared" si="1156"/>
        <v>17</v>
      </c>
      <c r="AC1933" s="26">
        <f t="shared" si="1156"/>
        <v>64</v>
      </c>
      <c r="AD1933" s="28">
        <f>AD1907-AD1932</f>
        <v>23</v>
      </c>
      <c r="AE1933" s="28">
        <f t="shared" ref="AE1933:AG1933" si="1157">AE1907-AE1932</f>
        <v>24</v>
      </c>
      <c r="AF1933" s="28">
        <f t="shared" si="1157"/>
        <v>17</v>
      </c>
      <c r="AG1933" s="26">
        <f t="shared" si="1157"/>
        <v>64</v>
      </c>
    </row>
    <row r="1934" spans="1:33">
      <c r="U1934" s="144" t="s">
        <v>1017</v>
      </c>
      <c r="AD1934" s="66">
        <v>139</v>
      </c>
      <c r="AE1934" s="66">
        <v>81</v>
      </c>
      <c r="AF1934" s="66">
        <v>70</v>
      </c>
      <c r="AG1934" s="143">
        <f>SUM(AD1934:AF1934)</f>
        <v>290</v>
      </c>
    </row>
    <row r="1935" spans="1:33">
      <c r="U1935" s="94" t="s">
        <v>1018</v>
      </c>
      <c r="V1935">
        <v>36</v>
      </c>
      <c r="W1935">
        <v>67</v>
      </c>
      <c r="X1935">
        <v>43</v>
      </c>
      <c r="Y1935">
        <f>SUM(V1935:X1935)</f>
        <v>146</v>
      </c>
      <c r="AD1935">
        <v>160</v>
      </c>
      <c r="AE1935">
        <v>103</v>
      </c>
      <c r="AF1935">
        <v>84</v>
      </c>
      <c r="AG1935" s="145">
        <f>SUM(AD1935:AF1935)</f>
        <v>347</v>
      </c>
    </row>
    <row r="1936" spans="1:33" ht="26.25" thickBot="1">
      <c r="A1936" s="33" t="s">
        <v>1008</v>
      </c>
      <c r="B1936" s="34"/>
      <c r="C1936" s="34"/>
      <c r="D1936" s="34"/>
      <c r="E1936" s="34"/>
      <c r="F1936" s="35"/>
      <c r="G1936" s="35"/>
      <c r="H1936" s="35"/>
      <c r="I1936" s="35"/>
      <c r="K1936" s="33" t="s">
        <v>1004</v>
      </c>
      <c r="L1936" s="34"/>
      <c r="M1936" s="34"/>
      <c r="N1936" s="34"/>
      <c r="O1936" s="34"/>
      <c r="P1936" s="35"/>
      <c r="Q1936" s="35"/>
      <c r="R1936" s="35"/>
      <c r="S1936" s="35"/>
      <c r="U1936" s="113" t="s">
        <v>622</v>
      </c>
      <c r="V1936" s="114"/>
      <c r="W1936" s="114"/>
      <c r="X1936" s="114"/>
      <c r="Y1936" s="114"/>
      <c r="Z1936" s="115"/>
      <c r="AA1936" s="115"/>
      <c r="AB1936" s="115"/>
      <c r="AC1936" s="115"/>
      <c r="AD1936" s="116"/>
      <c r="AE1936" s="116"/>
    </row>
    <row r="1937" spans="1:33" ht="14.25" thickBot="1">
      <c r="A1937" s="1" t="s">
        <v>0</v>
      </c>
      <c r="B1937" s="182" t="s">
        <v>17</v>
      </c>
      <c r="C1937" s="182"/>
      <c r="D1937" s="182"/>
      <c r="E1937" s="183"/>
      <c r="F1937" s="182" t="s">
        <v>13</v>
      </c>
      <c r="G1937" s="182"/>
      <c r="H1937" s="182"/>
      <c r="I1937" s="183"/>
      <c r="K1937" s="1" t="s">
        <v>0</v>
      </c>
      <c r="L1937" s="181" t="s">
        <v>17</v>
      </c>
      <c r="M1937" s="182"/>
      <c r="N1937" s="182"/>
      <c r="O1937" s="133"/>
      <c r="P1937" s="181" t="s">
        <v>13</v>
      </c>
      <c r="Q1937" s="182"/>
      <c r="R1937" s="182"/>
      <c r="S1937" s="133"/>
      <c r="U1937" s="1" t="s">
        <v>0</v>
      </c>
      <c r="V1937" s="182" t="s">
        <v>17</v>
      </c>
      <c r="W1937" s="182"/>
      <c r="X1937" s="182"/>
      <c r="Y1937" s="183"/>
      <c r="Z1937" s="182" t="s">
        <v>13</v>
      </c>
      <c r="AA1937" s="182"/>
      <c r="AB1937" s="182"/>
      <c r="AC1937" s="183"/>
      <c r="AD1937" s="182" t="s">
        <v>242</v>
      </c>
      <c r="AE1937" s="182"/>
      <c r="AF1937" s="182"/>
      <c r="AG1937" s="183"/>
    </row>
    <row r="1938" spans="1:33" ht="14.25" thickBot="1">
      <c r="A1938" s="1" t="s">
        <v>1</v>
      </c>
      <c r="B1938" s="2" t="s">
        <v>8</v>
      </c>
      <c r="C1938" s="1" t="s">
        <v>9</v>
      </c>
      <c r="D1938" s="19" t="s">
        <v>10</v>
      </c>
      <c r="E1938" s="1" t="s">
        <v>2</v>
      </c>
      <c r="F1938" s="2" t="s">
        <v>8</v>
      </c>
      <c r="G1938" s="1" t="s">
        <v>9</v>
      </c>
      <c r="H1938" s="19" t="s">
        <v>10</v>
      </c>
      <c r="I1938" s="1" t="s">
        <v>2</v>
      </c>
      <c r="K1938" s="1" t="s">
        <v>1</v>
      </c>
      <c r="L1938" s="2" t="s">
        <v>8</v>
      </c>
      <c r="M1938" s="1" t="s">
        <v>9</v>
      </c>
      <c r="N1938" s="19" t="s">
        <v>10</v>
      </c>
      <c r="O1938" s="1" t="s">
        <v>2</v>
      </c>
      <c r="P1938" s="2" t="s">
        <v>8</v>
      </c>
      <c r="Q1938" s="1" t="s">
        <v>9</v>
      </c>
      <c r="R1938" s="19" t="s">
        <v>10</v>
      </c>
      <c r="S1938" s="1" t="s">
        <v>2</v>
      </c>
      <c r="U1938" s="1" t="s">
        <v>1</v>
      </c>
      <c r="V1938" s="2" t="s">
        <v>8</v>
      </c>
      <c r="W1938" s="1" t="s">
        <v>9</v>
      </c>
      <c r="X1938" s="19" t="s">
        <v>10</v>
      </c>
      <c r="Y1938" s="1" t="s">
        <v>2</v>
      </c>
      <c r="Z1938" s="2" t="s">
        <v>8</v>
      </c>
      <c r="AA1938" s="1" t="s">
        <v>9</v>
      </c>
      <c r="AB1938" s="19" t="s">
        <v>10</v>
      </c>
      <c r="AC1938" s="1" t="s">
        <v>2</v>
      </c>
      <c r="AD1938" s="2" t="s">
        <v>8</v>
      </c>
      <c r="AE1938" s="1" t="s">
        <v>9</v>
      </c>
      <c r="AF1938" s="19" t="s">
        <v>10</v>
      </c>
      <c r="AG1938" s="1" t="s">
        <v>2</v>
      </c>
    </row>
    <row r="1939" spans="1:33">
      <c r="A1939" s="21" t="s">
        <v>7</v>
      </c>
      <c r="B1939" s="18">
        <f>B1933</f>
        <v>5</v>
      </c>
      <c r="C1939" s="22">
        <f>C1933</f>
        <v>3</v>
      </c>
      <c r="D1939" s="22">
        <f>D1933</f>
        <v>2</v>
      </c>
      <c r="E1939" s="17">
        <f t="shared" ref="E1939" si="1158">SUM(B1939:D1939)</f>
        <v>10</v>
      </c>
      <c r="F1939" s="22">
        <f>F1933</f>
        <v>5</v>
      </c>
      <c r="G1939" s="22">
        <f>G1933</f>
        <v>3</v>
      </c>
      <c r="H1939" s="22">
        <f>H1933</f>
        <v>2</v>
      </c>
      <c r="I1939" s="17">
        <f t="shared" ref="I1939:I1975" si="1159">SUM(F1939:H1939)</f>
        <v>10</v>
      </c>
      <c r="K1939" s="21" t="s">
        <v>7</v>
      </c>
      <c r="L1939" s="18">
        <f>L1933</f>
        <v>73</v>
      </c>
      <c r="M1939" s="22">
        <f t="shared" ref="M1939:S1939" si="1160">M1933</f>
        <v>72</v>
      </c>
      <c r="N1939" s="22">
        <f t="shared" si="1160"/>
        <v>30</v>
      </c>
      <c r="O1939" s="17">
        <f t="shared" si="1160"/>
        <v>175</v>
      </c>
      <c r="P1939" s="22">
        <f t="shared" si="1160"/>
        <v>73</v>
      </c>
      <c r="Q1939" s="22">
        <f t="shared" si="1160"/>
        <v>72</v>
      </c>
      <c r="R1939" s="22">
        <f t="shared" si="1160"/>
        <v>30</v>
      </c>
      <c r="S1939" s="17">
        <f t="shared" si="1160"/>
        <v>175</v>
      </c>
      <c r="U1939" s="21" t="s">
        <v>7</v>
      </c>
      <c r="V1939" s="18">
        <f>V1933</f>
        <v>23</v>
      </c>
      <c r="W1939" s="22">
        <f>W1933</f>
        <v>24</v>
      </c>
      <c r="X1939" s="22">
        <f>X1933</f>
        <v>17</v>
      </c>
      <c r="Y1939" s="17">
        <f t="shared" ref="Y1939:Y1975" si="1161">SUM(V1939:X1939)</f>
        <v>64</v>
      </c>
      <c r="Z1939" s="22">
        <f>Z1933</f>
        <v>23</v>
      </c>
      <c r="AA1939" s="22">
        <f>AA1933</f>
        <v>24</v>
      </c>
      <c r="AB1939" s="22">
        <f>AB1933</f>
        <v>17</v>
      </c>
      <c r="AC1939" s="17">
        <f t="shared" ref="AC1939:AC1975" si="1162">SUM(Z1939:AB1939)</f>
        <v>64</v>
      </c>
      <c r="AD1939" s="22">
        <f>AD1933</f>
        <v>23</v>
      </c>
      <c r="AE1939" s="22">
        <f>AE1933</f>
        <v>24</v>
      </c>
      <c r="AF1939" s="22">
        <f>AF1933</f>
        <v>17</v>
      </c>
      <c r="AG1939" s="17">
        <f t="shared" ref="AG1939:AG1975" si="1163">SUM(AD1939:AF1939)</f>
        <v>64</v>
      </c>
    </row>
    <row r="1940" spans="1:33">
      <c r="A1940" s="5" t="s">
        <v>3</v>
      </c>
      <c r="B1940" s="16"/>
      <c r="C1940" s="11">
        <v>3</v>
      </c>
      <c r="D1940" s="16">
        <v>3</v>
      </c>
      <c r="E1940" s="4">
        <f t="shared" ref="E1940:E1975" si="1164">SUM(B1940:D1940)</f>
        <v>6</v>
      </c>
      <c r="F1940" s="16"/>
      <c r="G1940" s="11">
        <v>3</v>
      </c>
      <c r="H1940" s="16">
        <v>3</v>
      </c>
      <c r="I1940" s="4">
        <f t="shared" si="1159"/>
        <v>6</v>
      </c>
      <c r="J1940" s="43">
        <v>45824</v>
      </c>
      <c r="K1940" s="5" t="s">
        <v>3</v>
      </c>
      <c r="L1940" s="16"/>
      <c r="M1940" s="11"/>
      <c r="N1940" s="16"/>
      <c r="O1940" s="4">
        <f t="shared" ref="O1940:O1969" si="1165">SUM(L1940:N1940)</f>
        <v>0</v>
      </c>
      <c r="P1940" s="16"/>
      <c r="Q1940" s="11"/>
      <c r="R1940" s="16"/>
      <c r="S1940" s="4">
        <f t="shared" ref="S1940:S1969" si="1166">SUM(P1940:R1940)</f>
        <v>0</v>
      </c>
      <c r="T1940" s="71"/>
      <c r="U1940" s="5" t="s">
        <v>3</v>
      </c>
      <c r="V1940" s="16"/>
      <c r="W1940" s="11"/>
      <c r="X1940" s="16"/>
      <c r="Y1940" s="4">
        <f t="shared" si="1161"/>
        <v>0</v>
      </c>
      <c r="Z1940" s="16"/>
      <c r="AA1940" s="11"/>
      <c r="AB1940" s="16"/>
      <c r="AC1940" s="4">
        <f t="shared" si="1162"/>
        <v>0</v>
      </c>
      <c r="AD1940" s="16"/>
      <c r="AE1940" s="11"/>
      <c r="AF1940" s="16"/>
      <c r="AG1940" s="4">
        <f t="shared" si="1163"/>
        <v>0</v>
      </c>
    </row>
    <row r="1941" spans="1:33">
      <c r="A1941" s="11" t="s">
        <v>1079</v>
      </c>
      <c r="B1941" s="151">
        <v>1</v>
      </c>
      <c r="C1941" s="9"/>
      <c r="D1941" s="10"/>
      <c r="E1941" s="7">
        <f t="shared" ref="E1941" si="1167">SUM(B1941:D1941)</f>
        <v>1</v>
      </c>
      <c r="F1941" s="151">
        <v>1</v>
      </c>
      <c r="G1941" s="9"/>
      <c r="H1941" s="10"/>
      <c r="I1941" s="7">
        <f t="shared" si="1159"/>
        <v>1</v>
      </c>
      <c r="J1941" s="43">
        <v>45826</v>
      </c>
      <c r="K1941" s="5" t="s">
        <v>1005</v>
      </c>
      <c r="L1941" s="32">
        <v>220</v>
      </c>
      <c r="M1941" s="31">
        <v>320</v>
      </c>
      <c r="N1941" s="32">
        <v>220</v>
      </c>
      <c r="O1941" s="4">
        <f t="shared" si="1165"/>
        <v>760</v>
      </c>
      <c r="P1941" s="32">
        <v>220</v>
      </c>
      <c r="Q1941" s="31">
        <v>320</v>
      </c>
      <c r="R1941" s="32">
        <v>220</v>
      </c>
      <c r="S1941" s="4">
        <f t="shared" si="1166"/>
        <v>760</v>
      </c>
      <c r="T1941" s="43" t="s">
        <v>1072</v>
      </c>
      <c r="U1941" s="5" t="s">
        <v>3</v>
      </c>
      <c r="V1941" s="32"/>
      <c r="W1941" s="31"/>
      <c r="X1941" s="32"/>
      <c r="Y1941" s="4">
        <f t="shared" si="1161"/>
        <v>0</v>
      </c>
      <c r="Z1941" s="32"/>
      <c r="AA1941" s="31"/>
      <c r="AB1941" s="32"/>
      <c r="AC1941" s="4">
        <f t="shared" si="1162"/>
        <v>0</v>
      </c>
      <c r="AD1941" s="32"/>
      <c r="AE1941" s="31"/>
      <c r="AF1941" s="32"/>
      <c r="AG1941" s="4">
        <f t="shared" si="1163"/>
        <v>0</v>
      </c>
    </row>
    <row r="1942" spans="1:33">
      <c r="A1942" s="5" t="s">
        <v>3</v>
      </c>
      <c r="B1942" s="16">
        <v>5</v>
      </c>
      <c r="C1942" s="11">
        <v>4</v>
      </c>
      <c r="D1942" s="16">
        <v>5</v>
      </c>
      <c r="E1942" s="4">
        <f t="shared" si="1164"/>
        <v>14</v>
      </c>
      <c r="F1942" s="16">
        <v>5</v>
      </c>
      <c r="G1942" s="11">
        <v>4</v>
      </c>
      <c r="H1942" s="16">
        <v>5</v>
      </c>
      <c r="I1942" s="4">
        <f t="shared" si="1159"/>
        <v>14</v>
      </c>
      <c r="J1942" s="43">
        <v>45852</v>
      </c>
      <c r="K1942" s="5" t="s">
        <v>1007</v>
      </c>
      <c r="L1942" s="32">
        <v>220</v>
      </c>
      <c r="M1942" s="31">
        <v>320</v>
      </c>
      <c r="N1942" s="32">
        <v>220</v>
      </c>
      <c r="O1942" s="4">
        <f t="shared" si="1165"/>
        <v>760</v>
      </c>
      <c r="P1942" s="32">
        <v>220</v>
      </c>
      <c r="Q1942" s="31">
        <v>320</v>
      </c>
      <c r="R1942" s="32">
        <v>220</v>
      </c>
      <c r="S1942" s="4">
        <f t="shared" si="1166"/>
        <v>760</v>
      </c>
      <c r="T1942" s="43" t="s">
        <v>1084</v>
      </c>
      <c r="U1942" s="5" t="s">
        <v>3</v>
      </c>
      <c r="V1942" s="32"/>
      <c r="W1942" s="31"/>
      <c r="X1942" s="32"/>
      <c r="Y1942" s="4">
        <f t="shared" si="1161"/>
        <v>0</v>
      </c>
      <c r="Z1942" s="32"/>
      <c r="AA1942" s="31"/>
      <c r="AB1942" s="32"/>
      <c r="AC1942" s="4">
        <f t="shared" si="1162"/>
        <v>0</v>
      </c>
      <c r="AD1942" s="32"/>
      <c r="AE1942" s="31"/>
      <c r="AF1942" s="32"/>
      <c r="AG1942" s="4">
        <f t="shared" si="1163"/>
        <v>0</v>
      </c>
    </row>
    <row r="1943" spans="1:33">
      <c r="A1943" s="5" t="s">
        <v>3</v>
      </c>
      <c r="B1943" s="16"/>
      <c r="C1943" s="11"/>
      <c r="D1943" s="16"/>
      <c r="E1943" s="4">
        <f t="shared" si="1164"/>
        <v>0</v>
      </c>
      <c r="F1943" s="16"/>
      <c r="G1943" s="11"/>
      <c r="H1943" s="16"/>
      <c r="I1943" s="4">
        <f t="shared" si="1159"/>
        <v>0</v>
      </c>
      <c r="J1943" s="71"/>
      <c r="K1943" s="5" t="s">
        <v>3</v>
      </c>
      <c r="L1943" s="32"/>
      <c r="M1943" s="31"/>
      <c r="N1943" s="32"/>
      <c r="O1943" s="4">
        <f t="shared" si="1165"/>
        <v>0</v>
      </c>
      <c r="P1943" s="32"/>
      <c r="Q1943" s="31"/>
      <c r="R1943" s="32"/>
      <c r="S1943" s="4">
        <f t="shared" si="1166"/>
        <v>0</v>
      </c>
      <c r="U1943" s="5" t="s">
        <v>3</v>
      </c>
      <c r="V1943" s="32"/>
      <c r="W1943" s="31"/>
      <c r="X1943" s="32"/>
      <c r="Y1943" s="4">
        <f t="shared" si="1161"/>
        <v>0</v>
      </c>
      <c r="Z1943" s="32"/>
      <c r="AA1943" s="31"/>
      <c r="AB1943" s="32"/>
      <c r="AC1943" s="4">
        <f t="shared" si="1162"/>
        <v>0</v>
      </c>
      <c r="AD1943" s="32"/>
      <c r="AE1943" s="31"/>
      <c r="AF1943" s="32"/>
      <c r="AG1943" s="4">
        <f t="shared" si="1163"/>
        <v>0</v>
      </c>
    </row>
    <row r="1944" spans="1:33">
      <c r="A1944" s="5" t="s">
        <v>3</v>
      </c>
      <c r="B1944" s="16"/>
      <c r="C1944" s="11"/>
      <c r="D1944" s="16"/>
      <c r="E1944" s="4">
        <f t="shared" si="1164"/>
        <v>0</v>
      </c>
      <c r="F1944" s="16"/>
      <c r="G1944" s="11"/>
      <c r="H1944" s="16"/>
      <c r="I1944" s="4">
        <f t="shared" si="1159"/>
        <v>0</v>
      </c>
      <c r="J1944" s="71"/>
      <c r="K1944" s="5" t="s">
        <v>3</v>
      </c>
      <c r="L1944" s="16"/>
      <c r="M1944" s="11"/>
      <c r="N1944" s="16"/>
      <c r="O1944" s="4">
        <f t="shared" ref="O1944" si="1168">SUM(L1944:N1944)</f>
        <v>0</v>
      </c>
      <c r="P1944" s="16"/>
      <c r="Q1944" s="11"/>
      <c r="R1944" s="16"/>
      <c r="S1944" s="4">
        <f t="shared" ref="S1944" si="1169">SUM(P1944:R1944)</f>
        <v>0</v>
      </c>
      <c r="U1944" s="5" t="s">
        <v>3</v>
      </c>
      <c r="V1944" s="30"/>
      <c r="W1944" s="31"/>
      <c r="X1944" s="32"/>
      <c r="Y1944" s="4">
        <f t="shared" si="1161"/>
        <v>0</v>
      </c>
      <c r="Z1944" s="30"/>
      <c r="AA1944" s="31"/>
      <c r="AB1944" s="32"/>
      <c r="AC1944" s="4">
        <f t="shared" si="1162"/>
        <v>0</v>
      </c>
      <c r="AD1944" s="30"/>
      <c r="AE1944" s="31"/>
      <c r="AF1944" s="32"/>
      <c r="AG1944" s="4">
        <f t="shared" si="1163"/>
        <v>0</v>
      </c>
    </row>
    <row r="1945" spans="1:33">
      <c r="A1945" s="5" t="s">
        <v>3</v>
      </c>
      <c r="B1945" s="16"/>
      <c r="C1945" s="11"/>
      <c r="D1945" s="16"/>
      <c r="E1945" s="4">
        <f t="shared" si="1164"/>
        <v>0</v>
      </c>
      <c r="F1945" s="16"/>
      <c r="G1945" s="11"/>
      <c r="H1945" s="16"/>
      <c r="I1945" s="4">
        <f t="shared" si="1159"/>
        <v>0</v>
      </c>
      <c r="K1945" s="5" t="s">
        <v>3</v>
      </c>
      <c r="L1945" s="16"/>
      <c r="M1945" s="11"/>
      <c r="N1945" s="16"/>
      <c r="O1945" s="4">
        <f t="shared" si="1165"/>
        <v>0</v>
      </c>
      <c r="P1945" s="16"/>
      <c r="Q1945" s="11"/>
      <c r="R1945" s="16"/>
      <c r="S1945" s="4">
        <f t="shared" si="1166"/>
        <v>0</v>
      </c>
      <c r="U1945" s="5" t="s">
        <v>3</v>
      </c>
      <c r="V1945" s="30"/>
      <c r="W1945" s="31"/>
      <c r="X1945" s="32"/>
      <c r="Y1945" s="4">
        <f t="shared" si="1161"/>
        <v>0</v>
      </c>
      <c r="Z1945" s="30"/>
      <c r="AA1945" s="31"/>
      <c r="AB1945" s="32"/>
      <c r="AC1945" s="4">
        <f t="shared" si="1162"/>
        <v>0</v>
      </c>
      <c r="AD1945" s="30"/>
      <c r="AE1945" s="31"/>
      <c r="AF1945" s="32"/>
      <c r="AG1945" s="4">
        <f t="shared" si="1163"/>
        <v>0</v>
      </c>
    </row>
    <row r="1946" spans="1:33">
      <c r="A1946" s="5" t="s">
        <v>3</v>
      </c>
      <c r="B1946" s="32"/>
      <c r="C1946" s="31"/>
      <c r="D1946" s="32"/>
      <c r="E1946" s="4">
        <f t="shared" si="1164"/>
        <v>0</v>
      </c>
      <c r="F1946" s="32"/>
      <c r="G1946" s="31"/>
      <c r="H1946" s="32"/>
      <c r="I1946" s="4">
        <f t="shared" si="1159"/>
        <v>0</v>
      </c>
      <c r="K1946" s="5" t="s">
        <v>3</v>
      </c>
      <c r="L1946" s="32"/>
      <c r="M1946" s="31"/>
      <c r="N1946" s="32"/>
      <c r="O1946" s="4">
        <f t="shared" si="1165"/>
        <v>0</v>
      </c>
      <c r="P1946" s="32"/>
      <c r="Q1946" s="31"/>
      <c r="R1946" s="32"/>
      <c r="S1946" s="4">
        <f t="shared" si="1166"/>
        <v>0</v>
      </c>
      <c r="U1946" s="5" t="s">
        <v>3</v>
      </c>
      <c r="V1946" s="30"/>
      <c r="W1946" s="31"/>
      <c r="X1946" s="32"/>
      <c r="Y1946" s="4">
        <f t="shared" si="1161"/>
        <v>0</v>
      </c>
      <c r="Z1946" s="30"/>
      <c r="AA1946" s="31"/>
      <c r="AB1946" s="32"/>
      <c r="AC1946" s="4">
        <f t="shared" si="1162"/>
        <v>0</v>
      </c>
      <c r="AD1946" s="30"/>
      <c r="AE1946" s="31"/>
      <c r="AF1946" s="32"/>
      <c r="AG1946" s="4">
        <f t="shared" si="1163"/>
        <v>0</v>
      </c>
    </row>
    <row r="1947" spans="1:33">
      <c r="A1947" s="5" t="s">
        <v>3</v>
      </c>
      <c r="B1947" s="32"/>
      <c r="C1947" s="31"/>
      <c r="D1947" s="32"/>
      <c r="E1947" s="4">
        <f t="shared" si="1164"/>
        <v>0</v>
      </c>
      <c r="F1947" s="32"/>
      <c r="G1947" s="31"/>
      <c r="H1947" s="32"/>
      <c r="I1947" s="4">
        <f t="shared" si="1159"/>
        <v>0</v>
      </c>
      <c r="K1947" s="5" t="s">
        <v>3</v>
      </c>
      <c r="L1947" s="32"/>
      <c r="M1947" s="31"/>
      <c r="N1947" s="32"/>
      <c r="O1947" s="4">
        <f t="shared" si="1165"/>
        <v>0</v>
      </c>
      <c r="P1947" s="32"/>
      <c r="Q1947" s="31"/>
      <c r="R1947" s="32"/>
      <c r="S1947" s="4">
        <f t="shared" si="1166"/>
        <v>0</v>
      </c>
      <c r="U1947" s="5" t="s">
        <v>3</v>
      </c>
      <c r="V1947" s="30"/>
      <c r="W1947" s="31"/>
      <c r="X1947" s="32"/>
      <c r="Y1947" s="4">
        <f t="shared" si="1161"/>
        <v>0</v>
      </c>
      <c r="Z1947" s="30"/>
      <c r="AA1947" s="31"/>
      <c r="AB1947" s="32"/>
      <c r="AC1947" s="4">
        <f t="shared" si="1162"/>
        <v>0</v>
      </c>
      <c r="AD1947" s="30"/>
      <c r="AE1947" s="31"/>
      <c r="AF1947" s="32"/>
      <c r="AG1947" s="4">
        <f t="shared" si="1163"/>
        <v>0</v>
      </c>
    </row>
    <row r="1948" spans="1:33">
      <c r="A1948" s="5" t="s">
        <v>3</v>
      </c>
      <c r="B1948" s="30"/>
      <c r="C1948" s="31"/>
      <c r="D1948" s="32"/>
      <c r="E1948" s="4">
        <f t="shared" si="1164"/>
        <v>0</v>
      </c>
      <c r="F1948" s="30"/>
      <c r="G1948" s="31"/>
      <c r="H1948" s="32"/>
      <c r="I1948" s="4">
        <f t="shared" si="1159"/>
        <v>0</v>
      </c>
      <c r="K1948" s="5" t="s">
        <v>3</v>
      </c>
      <c r="L1948" s="30"/>
      <c r="M1948" s="31"/>
      <c r="N1948" s="32"/>
      <c r="O1948" s="4">
        <f t="shared" si="1165"/>
        <v>0</v>
      </c>
      <c r="P1948" s="30"/>
      <c r="Q1948" s="31"/>
      <c r="R1948" s="32"/>
      <c r="S1948" s="4">
        <f t="shared" si="1166"/>
        <v>0</v>
      </c>
      <c r="U1948" s="5" t="s">
        <v>3</v>
      </c>
      <c r="V1948" s="30"/>
      <c r="W1948" s="31"/>
      <c r="X1948" s="32"/>
      <c r="Y1948" s="4">
        <f t="shared" si="1161"/>
        <v>0</v>
      </c>
      <c r="Z1948" s="30"/>
      <c r="AA1948" s="31"/>
      <c r="AB1948" s="32"/>
      <c r="AC1948" s="4">
        <f t="shared" si="1162"/>
        <v>0</v>
      </c>
      <c r="AD1948" s="30"/>
      <c r="AE1948" s="31"/>
      <c r="AF1948" s="32"/>
      <c r="AG1948" s="4">
        <f t="shared" si="1163"/>
        <v>0</v>
      </c>
    </row>
    <row r="1949" spans="1:33" ht="14.25" thickBot="1">
      <c r="A1949" s="6" t="s">
        <v>3</v>
      </c>
      <c r="B1949" s="36"/>
      <c r="C1949" s="37"/>
      <c r="D1949" s="36"/>
      <c r="E1949" s="20">
        <f t="shared" si="1164"/>
        <v>0</v>
      </c>
      <c r="F1949" s="13"/>
      <c r="G1949" s="12"/>
      <c r="H1949" s="13"/>
      <c r="I1949" s="20">
        <f t="shared" si="1159"/>
        <v>0</v>
      </c>
      <c r="K1949" s="5" t="s">
        <v>3</v>
      </c>
      <c r="L1949" s="30"/>
      <c r="M1949" s="31"/>
      <c r="N1949" s="32"/>
      <c r="O1949" s="4">
        <f t="shared" ref="O1949" si="1170">SUM(L1949:N1949)</f>
        <v>0</v>
      </c>
      <c r="P1949" s="30"/>
      <c r="Q1949" s="31"/>
      <c r="R1949" s="32"/>
      <c r="S1949" s="4">
        <f t="shared" ref="S1949" si="1171">SUM(P1949:R1949)</f>
        <v>0</v>
      </c>
      <c r="U1949" s="5" t="s">
        <v>3</v>
      </c>
      <c r="V1949" s="30"/>
      <c r="W1949" s="31"/>
      <c r="X1949" s="32"/>
      <c r="Y1949" s="4">
        <f t="shared" ref="Y1949" si="1172">SUM(V1949:X1949)</f>
        <v>0</v>
      </c>
      <c r="Z1949" s="30"/>
      <c r="AA1949" s="31"/>
      <c r="AB1949" s="32"/>
      <c r="AC1949" s="4">
        <f t="shared" ref="AC1949" si="1173">SUM(Z1949:AB1949)</f>
        <v>0</v>
      </c>
      <c r="AD1949" s="30"/>
      <c r="AE1949" s="31"/>
      <c r="AF1949" s="32"/>
      <c r="AG1949" s="4">
        <f t="shared" ref="AG1949" si="1174">SUM(AD1949:AF1949)</f>
        <v>0</v>
      </c>
    </row>
    <row r="1950" spans="1:33" ht="14.25" thickBot="1">
      <c r="A1950" s="23" t="s">
        <v>4</v>
      </c>
      <c r="B1950" s="24">
        <f>SUM(B1939:B1949)</f>
        <v>11</v>
      </c>
      <c r="C1950" s="24">
        <f>SUM(C1939:C1949)</f>
        <v>10</v>
      </c>
      <c r="D1950" s="25">
        <f>SUM(D1939:D1949)</f>
        <v>10</v>
      </c>
      <c r="E1950" s="26">
        <f t="shared" si="1164"/>
        <v>31</v>
      </c>
      <c r="F1950" s="24">
        <f>SUM(F1939:F1949)</f>
        <v>11</v>
      </c>
      <c r="G1950" s="24">
        <f>SUM(G1939:G1949)</f>
        <v>10</v>
      </c>
      <c r="H1950" s="25">
        <f>SUM(H1939:H1949)</f>
        <v>10</v>
      </c>
      <c r="I1950" s="26">
        <f t="shared" si="1159"/>
        <v>31</v>
      </c>
      <c r="K1950" s="23" t="s">
        <v>4</v>
      </c>
      <c r="L1950" s="24">
        <f>SUM(L1939:L1949)</f>
        <v>513</v>
      </c>
      <c r="M1950" s="24">
        <f t="shared" ref="M1950" si="1175">SUM(M1939:M1949)</f>
        <v>712</v>
      </c>
      <c r="N1950" s="25">
        <f t="shared" ref="N1950" si="1176">SUM(N1939:N1949)</f>
        <v>470</v>
      </c>
      <c r="O1950" s="26">
        <f t="shared" ref="O1950" si="1177">SUM(O1939:O1949)</f>
        <v>1695</v>
      </c>
      <c r="P1950" s="24">
        <f t="shared" ref="P1950" si="1178">SUM(P1939:P1949)</f>
        <v>513</v>
      </c>
      <c r="Q1950" s="24">
        <f t="shared" ref="Q1950" si="1179">SUM(Q1939:Q1949)</f>
        <v>712</v>
      </c>
      <c r="R1950" s="25">
        <f t="shared" ref="R1950" si="1180">SUM(R1939:R1949)</f>
        <v>470</v>
      </c>
      <c r="S1950" s="26">
        <f t="shared" ref="S1950" si="1181">SUM(S1939:S1949)</f>
        <v>1695</v>
      </c>
      <c r="T1950" s="146"/>
      <c r="U1950" s="23" t="s">
        <v>4</v>
      </c>
      <c r="V1950" s="24">
        <f>SUM(V1939:V1949)</f>
        <v>23</v>
      </c>
      <c r="W1950" s="24">
        <f>SUM(W1939:W1949)</f>
        <v>24</v>
      </c>
      <c r="X1950" s="25">
        <f>SUM(X1939:X1949)</f>
        <v>17</v>
      </c>
      <c r="Y1950" s="26">
        <f t="shared" si="1161"/>
        <v>64</v>
      </c>
      <c r="Z1950" s="24">
        <f>SUM(Z1939:Z1949)</f>
        <v>23</v>
      </c>
      <c r="AA1950" s="24">
        <f>SUM(AA1939:AA1949)</f>
        <v>24</v>
      </c>
      <c r="AB1950" s="25">
        <f>SUM(AB1939:AB1949)</f>
        <v>17</v>
      </c>
      <c r="AC1950" s="26">
        <f t="shared" si="1162"/>
        <v>64</v>
      </c>
      <c r="AD1950" s="24">
        <f>SUM(AD1939:AD1949)</f>
        <v>23</v>
      </c>
      <c r="AE1950" s="24">
        <f>SUM(AE1939:AE1949)</f>
        <v>24</v>
      </c>
      <c r="AF1950" s="25">
        <f>SUM(AF1939:AF1949)</f>
        <v>17</v>
      </c>
      <c r="AG1950" s="26">
        <f t="shared" si="1163"/>
        <v>64</v>
      </c>
    </row>
    <row r="1951" spans="1:33">
      <c r="A1951" s="3" t="s">
        <v>66</v>
      </c>
      <c r="B1951" s="8">
        <v>1</v>
      </c>
      <c r="C1951" s="9"/>
      <c r="D1951" s="10"/>
      <c r="E1951" s="7">
        <f t="shared" si="1164"/>
        <v>1</v>
      </c>
      <c r="F1951" s="8">
        <v>1</v>
      </c>
      <c r="G1951" s="9"/>
      <c r="H1951" s="10"/>
      <c r="I1951" s="7">
        <f t="shared" si="1159"/>
        <v>1</v>
      </c>
      <c r="J1951" s="43">
        <v>45826</v>
      </c>
      <c r="K1951" s="3" t="s">
        <v>1082</v>
      </c>
      <c r="L1951" s="8">
        <v>20</v>
      </c>
      <c r="M1951" s="9">
        <v>20</v>
      </c>
      <c r="N1951" s="10">
        <v>20</v>
      </c>
      <c r="O1951" s="7">
        <f t="shared" ref="O1951:O1968" si="1182">SUM(L1951:N1951)</f>
        <v>60</v>
      </c>
      <c r="P1951" s="8">
        <v>20</v>
      </c>
      <c r="Q1951" s="9">
        <v>20</v>
      </c>
      <c r="R1951" s="10">
        <v>20</v>
      </c>
      <c r="S1951" s="7">
        <f t="shared" ref="S1951:S1968" si="1183">SUM(P1951:R1951)</f>
        <v>60</v>
      </c>
      <c r="T1951" s="43">
        <v>45834</v>
      </c>
      <c r="U1951" s="40"/>
      <c r="V1951" s="8"/>
      <c r="W1951" s="9"/>
      <c r="X1951" s="10"/>
      <c r="Y1951" s="4">
        <f t="shared" si="1161"/>
        <v>0</v>
      </c>
      <c r="Z1951" s="8"/>
      <c r="AA1951" s="9"/>
      <c r="AB1951" s="10"/>
      <c r="AC1951" s="4">
        <f t="shared" si="1162"/>
        <v>0</v>
      </c>
      <c r="AD1951" s="8"/>
      <c r="AE1951" s="9"/>
      <c r="AF1951" s="10"/>
      <c r="AG1951" s="4">
        <f t="shared" si="1163"/>
        <v>0</v>
      </c>
    </row>
    <row r="1952" spans="1:33">
      <c r="A1952" s="3" t="s">
        <v>69</v>
      </c>
      <c r="B1952" s="8"/>
      <c r="C1952" s="9">
        <v>1</v>
      </c>
      <c r="D1952" s="10">
        <v>1</v>
      </c>
      <c r="E1952" s="7">
        <f t="shared" si="1164"/>
        <v>2</v>
      </c>
      <c r="F1952" s="8"/>
      <c r="G1952" s="9">
        <v>1</v>
      </c>
      <c r="H1952" s="10">
        <v>1</v>
      </c>
      <c r="I1952" s="7">
        <f t="shared" si="1159"/>
        <v>2</v>
      </c>
      <c r="J1952" s="43">
        <v>45831</v>
      </c>
      <c r="K1952" s="3" t="s">
        <v>1083</v>
      </c>
      <c r="L1952" s="8">
        <v>150</v>
      </c>
      <c r="M1952" s="9">
        <v>180</v>
      </c>
      <c r="N1952" s="10">
        <v>80</v>
      </c>
      <c r="O1952" s="7">
        <f t="shared" si="1182"/>
        <v>410</v>
      </c>
      <c r="P1952" s="8">
        <v>150</v>
      </c>
      <c r="Q1952" s="9">
        <v>180</v>
      </c>
      <c r="R1952" s="10">
        <v>80</v>
      </c>
      <c r="S1952" s="7">
        <f t="shared" si="1183"/>
        <v>410</v>
      </c>
      <c r="T1952" s="43">
        <v>45835</v>
      </c>
      <c r="U1952" s="40"/>
      <c r="V1952" s="8"/>
      <c r="W1952" s="9"/>
      <c r="X1952" s="10"/>
      <c r="Y1952" s="4">
        <f t="shared" si="1161"/>
        <v>0</v>
      </c>
      <c r="Z1952" s="8"/>
      <c r="AA1952" s="9"/>
      <c r="AB1952" s="10"/>
      <c r="AC1952" s="4">
        <f t="shared" si="1162"/>
        <v>0</v>
      </c>
      <c r="AD1952" s="8"/>
      <c r="AE1952" s="9"/>
      <c r="AF1952" s="10"/>
      <c r="AG1952" s="4">
        <f t="shared" si="1163"/>
        <v>0</v>
      </c>
    </row>
    <row r="1953" spans="1:33">
      <c r="A1953" s="3" t="s">
        <v>70</v>
      </c>
      <c r="B1953" s="8"/>
      <c r="C1953" s="9">
        <v>2</v>
      </c>
      <c r="D1953" s="10">
        <v>1</v>
      </c>
      <c r="E1953" s="7">
        <f t="shared" si="1164"/>
        <v>3</v>
      </c>
      <c r="F1953" s="8"/>
      <c r="G1953" s="9">
        <v>2</v>
      </c>
      <c r="H1953" s="10">
        <v>1</v>
      </c>
      <c r="I1953" s="7">
        <f t="shared" si="1159"/>
        <v>3</v>
      </c>
      <c r="J1953" s="43">
        <v>45833</v>
      </c>
      <c r="K1953" s="3" t="s">
        <v>1085</v>
      </c>
      <c r="L1953" s="8">
        <v>34</v>
      </c>
      <c r="M1953" s="9">
        <v>54</v>
      </c>
      <c r="N1953" s="10">
        <v>34</v>
      </c>
      <c r="O1953" s="7">
        <f t="shared" si="1182"/>
        <v>122</v>
      </c>
      <c r="P1953" s="8">
        <v>34</v>
      </c>
      <c r="Q1953" s="9">
        <v>54</v>
      </c>
      <c r="R1953" s="10">
        <v>34</v>
      </c>
      <c r="S1953" s="7">
        <f t="shared" si="1183"/>
        <v>122</v>
      </c>
      <c r="T1953" s="43">
        <v>45841</v>
      </c>
      <c r="U1953" s="40"/>
      <c r="V1953" s="8"/>
      <c r="W1953" s="9"/>
      <c r="X1953" s="10"/>
      <c r="Y1953" s="7">
        <f t="shared" si="1161"/>
        <v>0</v>
      </c>
      <c r="Z1953" s="8"/>
      <c r="AA1953" s="9"/>
      <c r="AB1953" s="10"/>
      <c r="AC1953" s="7">
        <f t="shared" si="1162"/>
        <v>0</v>
      </c>
      <c r="AD1953" s="8"/>
      <c r="AE1953" s="9"/>
      <c r="AF1953" s="10"/>
      <c r="AG1953" s="7">
        <f t="shared" si="1163"/>
        <v>0</v>
      </c>
    </row>
    <row r="1954" spans="1:33">
      <c r="A1954" s="3" t="s">
        <v>71</v>
      </c>
      <c r="B1954" s="8">
        <v>1</v>
      </c>
      <c r="C1954" s="9">
        <v>1</v>
      </c>
      <c r="D1954" s="10"/>
      <c r="E1954" s="7"/>
      <c r="F1954" s="8">
        <v>1</v>
      </c>
      <c r="G1954" s="9">
        <v>1</v>
      </c>
      <c r="H1954" s="10"/>
      <c r="I1954" s="7">
        <f t="shared" si="1159"/>
        <v>2</v>
      </c>
      <c r="J1954" s="43">
        <v>45835</v>
      </c>
      <c r="K1954" s="3" t="s">
        <v>1086</v>
      </c>
      <c r="L1954" s="8">
        <v>107</v>
      </c>
      <c r="M1954" s="9">
        <v>122</v>
      </c>
      <c r="N1954" s="10">
        <v>48</v>
      </c>
      <c r="O1954" s="7">
        <f t="shared" si="1182"/>
        <v>277</v>
      </c>
      <c r="P1954" s="8">
        <v>107</v>
      </c>
      <c r="Q1954" s="9">
        <v>122</v>
      </c>
      <c r="R1954" s="10">
        <v>48</v>
      </c>
      <c r="S1954" s="7">
        <f t="shared" si="1183"/>
        <v>277</v>
      </c>
      <c r="T1954" s="43">
        <v>45840</v>
      </c>
      <c r="U1954" s="40"/>
      <c r="V1954" s="8"/>
      <c r="W1954" s="9"/>
      <c r="X1954" s="10"/>
      <c r="Y1954" s="4">
        <f t="shared" si="1161"/>
        <v>0</v>
      </c>
      <c r="Z1954" s="8"/>
      <c r="AA1954" s="9"/>
      <c r="AB1954" s="10"/>
      <c r="AC1954" s="4">
        <f t="shared" si="1162"/>
        <v>0</v>
      </c>
      <c r="AD1954" s="8"/>
      <c r="AE1954" s="9"/>
      <c r="AF1954" s="10"/>
      <c r="AG1954" s="4">
        <f t="shared" si="1163"/>
        <v>0</v>
      </c>
    </row>
    <row r="1955" spans="1:33">
      <c r="A1955" s="3" t="s">
        <v>72</v>
      </c>
      <c r="B1955" s="8">
        <v>1</v>
      </c>
      <c r="C1955" s="9"/>
      <c r="D1955" s="10"/>
      <c r="E1955" s="7">
        <f t="shared" si="1164"/>
        <v>1</v>
      </c>
      <c r="F1955" s="8">
        <v>1</v>
      </c>
      <c r="G1955" s="9"/>
      <c r="H1955" s="10"/>
      <c r="I1955" s="7">
        <f t="shared" si="1159"/>
        <v>1</v>
      </c>
      <c r="J1955" s="43">
        <v>45838</v>
      </c>
      <c r="K1955" s="3" t="s">
        <v>74</v>
      </c>
      <c r="L1955" s="8"/>
      <c r="M1955" s="9">
        <v>1</v>
      </c>
      <c r="N1955" s="10"/>
      <c r="O1955" s="7">
        <f t="shared" si="1182"/>
        <v>1</v>
      </c>
      <c r="P1955" s="8"/>
      <c r="Q1955" s="9">
        <v>1</v>
      </c>
      <c r="R1955" s="10"/>
      <c r="S1955" s="7">
        <f t="shared" si="1183"/>
        <v>1</v>
      </c>
      <c r="T1955" s="43">
        <v>45842</v>
      </c>
      <c r="U1955" s="3"/>
      <c r="V1955" s="8"/>
      <c r="W1955" s="9"/>
      <c r="X1955" s="10"/>
      <c r="Y1955" s="4">
        <f t="shared" si="1161"/>
        <v>0</v>
      </c>
      <c r="Z1955" s="8"/>
      <c r="AA1955" s="9"/>
      <c r="AB1955" s="10"/>
      <c r="AC1955" s="4">
        <f t="shared" si="1162"/>
        <v>0</v>
      </c>
      <c r="AD1955" s="8"/>
      <c r="AE1955" s="9"/>
      <c r="AF1955" s="10"/>
      <c r="AG1955" s="4">
        <f t="shared" si="1163"/>
        <v>0</v>
      </c>
    </row>
    <row r="1956" spans="1:33">
      <c r="A1956" s="3" t="s">
        <v>73</v>
      </c>
      <c r="B1956" s="8"/>
      <c r="C1956" s="9"/>
      <c r="D1956" s="10">
        <v>1</v>
      </c>
      <c r="E1956" s="7">
        <f t="shared" si="1164"/>
        <v>1</v>
      </c>
      <c r="F1956" s="8"/>
      <c r="G1956" s="9"/>
      <c r="H1956" s="10">
        <v>1</v>
      </c>
      <c r="I1956" s="7">
        <f t="shared" si="1159"/>
        <v>1</v>
      </c>
      <c r="J1956" s="43">
        <v>45840</v>
      </c>
      <c r="K1956" s="3" t="s">
        <v>1088</v>
      </c>
      <c r="L1956" s="8">
        <v>3</v>
      </c>
      <c r="M1956" s="9">
        <v>1</v>
      </c>
      <c r="N1956" s="10">
        <v>1</v>
      </c>
      <c r="O1956" s="7">
        <f t="shared" si="1182"/>
        <v>5</v>
      </c>
      <c r="P1956" s="8">
        <v>3</v>
      </c>
      <c r="Q1956" s="9">
        <v>1</v>
      </c>
      <c r="R1956" s="10">
        <v>1</v>
      </c>
      <c r="S1956" s="7">
        <f t="shared" si="1183"/>
        <v>5</v>
      </c>
      <c r="T1956" s="43">
        <v>45845</v>
      </c>
      <c r="U1956" s="3"/>
      <c r="V1956" s="8"/>
      <c r="W1956" s="9"/>
      <c r="X1956" s="10"/>
      <c r="Y1956" s="7">
        <f t="shared" si="1161"/>
        <v>0</v>
      </c>
      <c r="Z1956" s="8"/>
      <c r="AA1956" s="9"/>
      <c r="AB1956" s="10"/>
      <c r="AC1956" s="7">
        <f t="shared" si="1162"/>
        <v>0</v>
      </c>
      <c r="AD1956" s="8"/>
      <c r="AE1956" s="9"/>
      <c r="AF1956" s="10"/>
      <c r="AG1956" s="7">
        <f t="shared" si="1163"/>
        <v>0</v>
      </c>
    </row>
    <row r="1957" spans="1:33">
      <c r="A1957" s="3" t="s">
        <v>76</v>
      </c>
      <c r="B1957" s="8">
        <v>1</v>
      </c>
      <c r="C1957" s="9"/>
      <c r="D1957" s="10"/>
      <c r="E1957" s="7">
        <f t="shared" si="1164"/>
        <v>1</v>
      </c>
      <c r="F1957" s="8">
        <v>1</v>
      </c>
      <c r="G1957" s="9"/>
      <c r="H1957" s="10"/>
      <c r="I1957" s="7">
        <f t="shared" si="1159"/>
        <v>1</v>
      </c>
      <c r="J1957" s="43">
        <v>45845</v>
      </c>
      <c r="K1957" s="3" t="s">
        <v>75</v>
      </c>
      <c r="L1957" s="8"/>
      <c r="M1957" s="9">
        <v>2</v>
      </c>
      <c r="N1957" s="10">
        <v>1</v>
      </c>
      <c r="O1957" s="7">
        <f t="shared" si="1182"/>
        <v>3</v>
      </c>
      <c r="P1957" s="8"/>
      <c r="Q1957" s="9">
        <v>2</v>
      </c>
      <c r="R1957" s="10">
        <v>1</v>
      </c>
      <c r="S1957" s="7">
        <f t="shared" si="1183"/>
        <v>3</v>
      </c>
      <c r="T1957" s="43">
        <v>45842</v>
      </c>
      <c r="U1957" s="3"/>
      <c r="V1957" s="8"/>
      <c r="W1957" s="9"/>
      <c r="X1957" s="10"/>
      <c r="Y1957" s="7">
        <f t="shared" si="1161"/>
        <v>0</v>
      </c>
      <c r="Z1957" s="8"/>
      <c r="AA1957" s="9"/>
      <c r="AB1957" s="10"/>
      <c r="AC1957" s="7">
        <f t="shared" si="1162"/>
        <v>0</v>
      </c>
      <c r="AD1957" s="8"/>
      <c r="AE1957" s="9"/>
      <c r="AF1957" s="10"/>
      <c r="AG1957" s="7">
        <f t="shared" si="1163"/>
        <v>0</v>
      </c>
    </row>
    <row r="1958" spans="1:33">
      <c r="A1958" s="3" t="s">
        <v>907</v>
      </c>
      <c r="B1958" s="8">
        <v>1</v>
      </c>
      <c r="C1958" s="9"/>
      <c r="D1958" s="10"/>
      <c r="E1958" s="7">
        <f t="shared" si="1164"/>
        <v>1</v>
      </c>
      <c r="F1958" s="8">
        <v>1</v>
      </c>
      <c r="G1958" s="9"/>
      <c r="H1958" s="10"/>
      <c r="I1958" s="7">
        <f t="shared" si="1159"/>
        <v>1</v>
      </c>
      <c r="J1958" s="43">
        <v>45855</v>
      </c>
      <c r="K1958" s="3" t="s">
        <v>77</v>
      </c>
      <c r="L1958" s="8"/>
      <c r="M1958" s="9">
        <v>2</v>
      </c>
      <c r="N1958" s="10">
        <v>1</v>
      </c>
      <c r="O1958" s="7">
        <f t="shared" si="1182"/>
        <v>3</v>
      </c>
      <c r="P1958" s="8"/>
      <c r="Q1958" s="9">
        <v>2</v>
      </c>
      <c r="R1958" s="10">
        <v>1</v>
      </c>
      <c r="S1958" s="7">
        <f t="shared" si="1183"/>
        <v>3</v>
      </c>
      <c r="T1958" s="43">
        <v>45847</v>
      </c>
      <c r="U1958" s="3"/>
      <c r="V1958" s="8"/>
      <c r="W1958" s="9"/>
      <c r="X1958" s="10"/>
      <c r="Y1958" s="7">
        <f t="shared" si="1161"/>
        <v>0</v>
      </c>
      <c r="Z1958" s="8"/>
      <c r="AA1958" s="9"/>
      <c r="AB1958" s="10"/>
      <c r="AC1958" s="7">
        <f t="shared" si="1162"/>
        <v>0</v>
      </c>
      <c r="AD1958" s="8"/>
      <c r="AE1958" s="9"/>
      <c r="AF1958" s="10"/>
      <c r="AG1958" s="7">
        <f t="shared" si="1163"/>
        <v>0</v>
      </c>
    </row>
    <row r="1959" spans="1:33">
      <c r="A1959" s="3" t="s">
        <v>80</v>
      </c>
      <c r="B1959" s="8">
        <v>1</v>
      </c>
      <c r="C1959" s="9"/>
      <c r="D1959" s="10"/>
      <c r="E1959" s="7">
        <f t="shared" si="1164"/>
        <v>1</v>
      </c>
      <c r="F1959" s="8">
        <v>1</v>
      </c>
      <c r="G1959" s="9"/>
      <c r="H1959" s="10"/>
      <c r="I1959" s="7">
        <f t="shared" si="1159"/>
        <v>1</v>
      </c>
      <c r="J1959" s="43">
        <v>45856</v>
      </c>
      <c r="K1959" s="3" t="s">
        <v>903</v>
      </c>
      <c r="L1959" s="8"/>
      <c r="M1959" s="9">
        <v>1</v>
      </c>
      <c r="N1959" s="10"/>
      <c r="O1959" s="7">
        <f t="shared" si="1182"/>
        <v>1</v>
      </c>
      <c r="P1959" s="8"/>
      <c r="Q1959" s="9">
        <v>1</v>
      </c>
      <c r="R1959" s="10"/>
      <c r="S1959" s="7">
        <f t="shared" si="1183"/>
        <v>1</v>
      </c>
      <c r="T1959" s="43">
        <v>45848</v>
      </c>
      <c r="U1959" s="3"/>
      <c r="V1959" s="8"/>
      <c r="W1959" s="9"/>
      <c r="X1959" s="10"/>
      <c r="Y1959" s="7">
        <f t="shared" si="1161"/>
        <v>0</v>
      </c>
      <c r="Z1959" s="8"/>
      <c r="AA1959" s="9"/>
      <c r="AB1959" s="10"/>
      <c r="AC1959" s="7">
        <f t="shared" si="1162"/>
        <v>0</v>
      </c>
      <c r="AD1959" s="8"/>
      <c r="AE1959" s="9"/>
      <c r="AF1959" s="10"/>
      <c r="AG1959" s="7">
        <f t="shared" si="1163"/>
        <v>0</v>
      </c>
    </row>
    <row r="1960" spans="1:33">
      <c r="A1960" s="3"/>
      <c r="B1960" s="8"/>
      <c r="C1960" s="9"/>
      <c r="D1960" s="10"/>
      <c r="E1960" s="7">
        <f t="shared" si="1164"/>
        <v>0</v>
      </c>
      <c r="F1960" s="8"/>
      <c r="G1960" s="9"/>
      <c r="H1960" s="10"/>
      <c r="I1960" s="7">
        <f t="shared" si="1159"/>
        <v>0</v>
      </c>
      <c r="J1960" s="71"/>
      <c r="K1960" s="3" t="s">
        <v>80</v>
      </c>
      <c r="L1960" s="8"/>
      <c r="M1960" s="9"/>
      <c r="N1960" s="10">
        <v>2</v>
      </c>
      <c r="O1960" s="7">
        <f t="shared" si="1182"/>
        <v>2</v>
      </c>
      <c r="P1960" s="8"/>
      <c r="Q1960" s="9"/>
      <c r="R1960" s="10">
        <v>2</v>
      </c>
      <c r="S1960" s="7">
        <f t="shared" si="1183"/>
        <v>2</v>
      </c>
      <c r="T1960" s="43">
        <v>45848</v>
      </c>
      <c r="U1960" s="3"/>
      <c r="V1960" s="8"/>
      <c r="W1960" s="9"/>
      <c r="X1960" s="10"/>
      <c r="Y1960" s="7">
        <f t="shared" si="1161"/>
        <v>0</v>
      </c>
      <c r="Z1960" s="8"/>
      <c r="AA1960" s="9"/>
      <c r="AB1960" s="10"/>
      <c r="AC1960" s="7">
        <f t="shared" si="1162"/>
        <v>0</v>
      </c>
      <c r="AD1960" s="8"/>
      <c r="AE1960" s="9"/>
      <c r="AF1960" s="10"/>
      <c r="AG1960" s="7">
        <f t="shared" si="1163"/>
        <v>0</v>
      </c>
    </row>
    <row r="1961" spans="1:33">
      <c r="A1961" s="3"/>
      <c r="B1961" s="8"/>
      <c r="C1961" s="9"/>
      <c r="D1961" s="10"/>
      <c r="E1961" s="7">
        <f t="shared" si="1164"/>
        <v>0</v>
      </c>
      <c r="F1961" s="8"/>
      <c r="G1961" s="9"/>
      <c r="H1961" s="10"/>
      <c r="I1961" s="7">
        <f t="shared" si="1159"/>
        <v>0</v>
      </c>
      <c r="J1961" s="71"/>
      <c r="K1961" s="3" t="s">
        <v>1092</v>
      </c>
      <c r="L1961" s="8">
        <v>1</v>
      </c>
      <c r="M1961" s="9"/>
      <c r="N1961" s="10"/>
      <c r="O1961" s="7">
        <f t="shared" si="1182"/>
        <v>1</v>
      </c>
      <c r="P1961" s="8">
        <v>1</v>
      </c>
      <c r="Q1961" s="9"/>
      <c r="R1961" s="10"/>
      <c r="S1961" s="7">
        <f t="shared" si="1183"/>
        <v>1</v>
      </c>
      <c r="T1961" s="43">
        <v>45849</v>
      </c>
      <c r="U1961" s="3"/>
      <c r="V1961" s="30"/>
      <c r="W1961" s="9"/>
      <c r="X1961" s="10"/>
      <c r="Y1961" s="7">
        <f t="shared" si="1161"/>
        <v>0</v>
      </c>
      <c r="Z1961" s="8"/>
      <c r="AA1961" s="9"/>
      <c r="AB1961" s="10"/>
      <c r="AC1961" s="7">
        <f t="shared" si="1162"/>
        <v>0</v>
      </c>
      <c r="AD1961" s="8"/>
      <c r="AE1961" s="9"/>
      <c r="AF1961" s="10"/>
      <c r="AG1961" s="7">
        <f t="shared" si="1163"/>
        <v>0</v>
      </c>
    </row>
    <row r="1962" spans="1:33">
      <c r="A1962" s="3"/>
      <c r="B1962" s="8"/>
      <c r="C1962" s="9"/>
      <c r="D1962" s="10"/>
      <c r="E1962" s="7">
        <f t="shared" si="1164"/>
        <v>0</v>
      </c>
      <c r="F1962" s="8"/>
      <c r="G1962" s="9"/>
      <c r="H1962" s="10"/>
      <c r="I1962" s="7">
        <f t="shared" si="1159"/>
        <v>0</v>
      </c>
      <c r="K1962" s="3" t="s">
        <v>356</v>
      </c>
      <c r="L1962" s="8"/>
      <c r="M1962" s="9">
        <v>2</v>
      </c>
      <c r="N1962" s="10">
        <v>1</v>
      </c>
      <c r="O1962" s="7">
        <f t="shared" si="1182"/>
        <v>3</v>
      </c>
      <c r="P1962" s="8"/>
      <c r="Q1962" s="9">
        <v>2</v>
      </c>
      <c r="R1962" s="10">
        <v>1</v>
      </c>
      <c r="S1962" s="7">
        <f t="shared" si="1183"/>
        <v>3</v>
      </c>
      <c r="T1962" s="43">
        <v>45849</v>
      </c>
      <c r="U1962" s="3"/>
      <c r="V1962" s="8"/>
      <c r="W1962" s="9"/>
      <c r="X1962" s="10"/>
      <c r="Y1962" s="7">
        <f t="shared" si="1161"/>
        <v>0</v>
      </c>
      <c r="Z1962" s="8"/>
      <c r="AA1962" s="9"/>
      <c r="AB1962" s="10"/>
      <c r="AC1962" s="7">
        <f t="shared" si="1162"/>
        <v>0</v>
      </c>
      <c r="AD1962" s="8"/>
      <c r="AE1962" s="9"/>
      <c r="AF1962" s="10"/>
      <c r="AG1962" s="7">
        <f t="shared" si="1163"/>
        <v>0</v>
      </c>
    </row>
    <row r="1963" spans="1:33">
      <c r="A1963" s="3"/>
      <c r="B1963" s="8"/>
      <c r="C1963" s="9"/>
      <c r="D1963" s="10"/>
      <c r="E1963" s="7">
        <f t="shared" si="1164"/>
        <v>0</v>
      </c>
      <c r="F1963" s="8"/>
      <c r="G1963" s="9"/>
      <c r="H1963" s="10"/>
      <c r="I1963" s="7">
        <f t="shared" si="1159"/>
        <v>0</v>
      </c>
      <c r="K1963" s="3" t="s">
        <v>77</v>
      </c>
      <c r="L1963" s="8"/>
      <c r="M1963" s="9"/>
      <c r="N1963" s="10">
        <v>2</v>
      </c>
      <c r="O1963" s="7">
        <f t="shared" si="1182"/>
        <v>2</v>
      </c>
      <c r="P1963" s="8"/>
      <c r="Q1963" s="9"/>
      <c r="R1963" s="10">
        <v>2</v>
      </c>
      <c r="S1963" s="7">
        <f t="shared" si="1183"/>
        <v>2</v>
      </c>
      <c r="T1963" s="43">
        <v>45849</v>
      </c>
      <c r="U1963" s="3"/>
      <c r="V1963" s="8"/>
      <c r="W1963" s="9"/>
      <c r="X1963" s="10"/>
      <c r="Y1963" s="7">
        <f t="shared" si="1161"/>
        <v>0</v>
      </c>
      <c r="Z1963" s="8"/>
      <c r="AA1963" s="9"/>
      <c r="AB1963" s="10"/>
      <c r="AC1963" s="7">
        <f t="shared" si="1162"/>
        <v>0</v>
      </c>
      <c r="AD1963" s="8"/>
      <c r="AE1963" s="9"/>
      <c r="AF1963" s="10"/>
      <c r="AG1963" s="7">
        <f t="shared" si="1163"/>
        <v>0</v>
      </c>
    </row>
    <row r="1964" spans="1:33">
      <c r="A1964" s="3"/>
      <c r="B1964" s="8"/>
      <c r="C1964" s="9"/>
      <c r="D1964" s="10"/>
      <c r="E1964" s="7">
        <f t="shared" si="1164"/>
        <v>0</v>
      </c>
      <c r="F1964" s="8"/>
      <c r="G1964" s="9"/>
      <c r="H1964" s="10"/>
      <c r="I1964" s="7">
        <f t="shared" si="1159"/>
        <v>0</v>
      </c>
      <c r="K1964" s="11" t="s">
        <v>295</v>
      </c>
      <c r="L1964" s="8">
        <v>5</v>
      </c>
      <c r="M1964" s="9">
        <v>4</v>
      </c>
      <c r="N1964" s="10">
        <v>5</v>
      </c>
      <c r="O1964" s="7">
        <f t="shared" si="1182"/>
        <v>14</v>
      </c>
      <c r="P1964" s="8">
        <v>5</v>
      </c>
      <c r="Q1964" s="9">
        <v>4</v>
      </c>
      <c r="R1964" s="10">
        <v>5</v>
      </c>
      <c r="S1964" s="7">
        <f t="shared" si="1183"/>
        <v>14</v>
      </c>
      <c r="T1964" s="43">
        <v>45852</v>
      </c>
      <c r="U1964" s="3"/>
      <c r="V1964" s="8"/>
      <c r="W1964" s="9"/>
      <c r="X1964" s="10"/>
      <c r="Y1964" s="7">
        <f t="shared" si="1161"/>
        <v>0</v>
      </c>
      <c r="Z1964" s="8"/>
      <c r="AA1964" s="9"/>
      <c r="AB1964" s="10"/>
      <c r="AC1964" s="7">
        <f t="shared" si="1162"/>
        <v>0</v>
      </c>
      <c r="AD1964" s="8"/>
      <c r="AE1964" s="9"/>
      <c r="AF1964" s="10"/>
      <c r="AG1964" s="7">
        <f t="shared" si="1163"/>
        <v>0</v>
      </c>
    </row>
    <row r="1965" spans="1:33">
      <c r="A1965" s="3"/>
      <c r="B1965" s="8"/>
      <c r="C1965" s="9"/>
      <c r="D1965" s="10"/>
      <c r="E1965" s="7">
        <f t="shared" si="1164"/>
        <v>0</v>
      </c>
      <c r="F1965" s="8"/>
      <c r="G1965" s="9"/>
      <c r="H1965" s="10"/>
      <c r="I1965" s="7">
        <f t="shared" si="1159"/>
        <v>0</v>
      </c>
      <c r="K1965" s="3" t="s">
        <v>80</v>
      </c>
      <c r="L1965" s="8">
        <v>2</v>
      </c>
      <c r="M1965" s="9"/>
      <c r="N1965" s="10">
        <v>1</v>
      </c>
      <c r="O1965" s="7">
        <f t="shared" si="1182"/>
        <v>3</v>
      </c>
      <c r="P1965" s="8">
        <v>2</v>
      </c>
      <c r="Q1965" s="9"/>
      <c r="R1965" s="10">
        <v>1</v>
      </c>
      <c r="S1965" s="7">
        <f t="shared" si="1183"/>
        <v>3</v>
      </c>
      <c r="T1965" s="43">
        <v>45852</v>
      </c>
      <c r="U1965" s="3"/>
      <c r="V1965" s="8"/>
      <c r="W1965" s="9"/>
      <c r="X1965" s="10"/>
      <c r="Y1965" s="7">
        <f t="shared" si="1161"/>
        <v>0</v>
      </c>
      <c r="Z1965" s="8"/>
      <c r="AA1965" s="9"/>
      <c r="AB1965" s="10"/>
      <c r="AC1965" s="7">
        <f t="shared" si="1162"/>
        <v>0</v>
      </c>
      <c r="AD1965" s="8"/>
      <c r="AE1965" s="9"/>
      <c r="AF1965" s="10"/>
      <c r="AG1965" s="7">
        <f t="shared" si="1163"/>
        <v>0</v>
      </c>
    </row>
    <row r="1966" spans="1:33">
      <c r="A1966" s="3"/>
      <c r="B1966" s="8"/>
      <c r="C1966" s="9"/>
      <c r="D1966" s="10"/>
      <c r="E1966" s="7">
        <f t="shared" si="1164"/>
        <v>0</v>
      </c>
      <c r="F1966" s="8"/>
      <c r="G1966" s="9"/>
      <c r="H1966" s="10"/>
      <c r="I1966" s="7">
        <f t="shared" si="1159"/>
        <v>0</v>
      </c>
      <c r="K1966" s="3" t="s">
        <v>1094</v>
      </c>
      <c r="L1966" s="8">
        <v>40</v>
      </c>
      <c r="M1966" s="9">
        <v>60</v>
      </c>
      <c r="N1966" s="10">
        <v>20</v>
      </c>
      <c r="O1966" s="7">
        <f t="shared" si="1182"/>
        <v>120</v>
      </c>
      <c r="P1966" s="8">
        <v>40</v>
      </c>
      <c r="Q1966" s="9">
        <v>60</v>
      </c>
      <c r="R1966" s="10">
        <v>20</v>
      </c>
      <c r="S1966" s="7">
        <f t="shared" si="1183"/>
        <v>120</v>
      </c>
      <c r="T1966" s="43">
        <v>45854</v>
      </c>
      <c r="U1966" s="3"/>
      <c r="V1966" s="8"/>
      <c r="W1966" s="9"/>
      <c r="X1966" s="10"/>
      <c r="Y1966" s="7">
        <f t="shared" si="1161"/>
        <v>0</v>
      </c>
      <c r="Z1966" s="8"/>
      <c r="AA1966" s="9"/>
      <c r="AB1966" s="10"/>
      <c r="AC1966" s="7">
        <f t="shared" si="1162"/>
        <v>0</v>
      </c>
      <c r="AD1966" s="8"/>
      <c r="AE1966" s="9"/>
      <c r="AF1966" s="10"/>
      <c r="AG1966" s="7">
        <f t="shared" si="1163"/>
        <v>0</v>
      </c>
    </row>
    <row r="1967" spans="1:33">
      <c r="A1967" s="3"/>
      <c r="B1967" s="8"/>
      <c r="C1967" s="9"/>
      <c r="D1967" s="10"/>
      <c r="E1967" s="7">
        <f t="shared" si="1164"/>
        <v>0</v>
      </c>
      <c r="F1967" s="8"/>
      <c r="G1967" s="9"/>
      <c r="H1967" s="10"/>
      <c r="I1967" s="7">
        <f t="shared" si="1159"/>
        <v>0</v>
      </c>
      <c r="K1967" s="3" t="s">
        <v>1095</v>
      </c>
      <c r="L1967" s="8"/>
      <c r="M1967" s="9">
        <v>1</v>
      </c>
      <c r="N1967" s="10"/>
      <c r="O1967" s="7">
        <f t="shared" si="1182"/>
        <v>1</v>
      </c>
      <c r="P1967" s="8"/>
      <c r="Q1967" s="9">
        <v>1</v>
      </c>
      <c r="R1967" s="10"/>
      <c r="S1967" s="7">
        <f t="shared" si="1183"/>
        <v>1</v>
      </c>
      <c r="T1967" s="43">
        <v>45854</v>
      </c>
      <c r="U1967" s="3"/>
      <c r="V1967" s="8"/>
      <c r="W1967" s="9"/>
      <c r="X1967" s="10"/>
      <c r="Y1967" s="7">
        <f t="shared" si="1161"/>
        <v>0</v>
      </c>
      <c r="Z1967" s="8"/>
      <c r="AA1967" s="9"/>
      <c r="AB1967" s="10"/>
      <c r="AC1967" s="7">
        <f t="shared" si="1162"/>
        <v>0</v>
      </c>
      <c r="AD1967" s="8"/>
      <c r="AE1967" s="9"/>
      <c r="AF1967" s="10"/>
      <c r="AG1967" s="7">
        <f t="shared" si="1163"/>
        <v>0</v>
      </c>
    </row>
    <row r="1968" spans="1:33">
      <c r="A1968" s="3"/>
      <c r="B1968" s="8"/>
      <c r="C1968" s="9"/>
      <c r="D1968" s="10"/>
      <c r="E1968" s="7">
        <f t="shared" si="1164"/>
        <v>0</v>
      </c>
      <c r="F1968" s="8"/>
      <c r="G1968" s="9"/>
      <c r="H1968" s="10"/>
      <c r="I1968" s="7">
        <f t="shared" si="1159"/>
        <v>0</v>
      </c>
      <c r="K1968" s="3" t="s">
        <v>1093</v>
      </c>
      <c r="L1968" s="8">
        <v>5</v>
      </c>
      <c r="M1968" s="9"/>
      <c r="N1968" s="10">
        <v>5</v>
      </c>
      <c r="O1968" s="7">
        <f t="shared" si="1182"/>
        <v>10</v>
      </c>
      <c r="P1968" s="8">
        <v>5</v>
      </c>
      <c r="Q1968" s="9"/>
      <c r="R1968" s="10">
        <v>5</v>
      </c>
      <c r="S1968" s="7">
        <f t="shared" si="1183"/>
        <v>10</v>
      </c>
      <c r="T1968" s="43">
        <v>45853</v>
      </c>
      <c r="U1968" s="3"/>
      <c r="V1968" s="8"/>
      <c r="W1968" s="9"/>
      <c r="X1968" s="10"/>
      <c r="Y1968" s="7">
        <f t="shared" si="1161"/>
        <v>0</v>
      </c>
      <c r="Z1968" s="8"/>
      <c r="AA1968" s="9"/>
      <c r="AB1968" s="10"/>
      <c r="AC1968" s="7">
        <f t="shared" si="1162"/>
        <v>0</v>
      </c>
      <c r="AD1968" s="8"/>
      <c r="AE1968" s="9"/>
      <c r="AF1968" s="10"/>
      <c r="AG1968" s="7">
        <f t="shared" si="1163"/>
        <v>0</v>
      </c>
    </row>
    <row r="1969" spans="1:33">
      <c r="A1969" s="11"/>
      <c r="B1969" s="8"/>
      <c r="C1969" s="9"/>
      <c r="D1969" s="10"/>
      <c r="E1969" s="7">
        <f t="shared" si="1164"/>
        <v>0</v>
      </c>
      <c r="F1969" s="8"/>
      <c r="G1969" s="9"/>
      <c r="H1969" s="10"/>
      <c r="I1969" s="7">
        <f t="shared" si="1159"/>
        <v>0</v>
      </c>
      <c r="K1969" s="11"/>
      <c r="L1969" s="8"/>
      <c r="M1969" s="9"/>
      <c r="N1969" s="10"/>
      <c r="O1969" s="7">
        <f t="shared" si="1165"/>
        <v>0</v>
      </c>
      <c r="P1969" s="8"/>
      <c r="Q1969" s="9"/>
      <c r="R1969" s="10"/>
      <c r="S1969" s="7">
        <f t="shared" si="1166"/>
        <v>0</v>
      </c>
      <c r="T1969" s="43"/>
      <c r="U1969" s="3"/>
      <c r="V1969" s="8"/>
      <c r="W1969" s="9"/>
      <c r="X1969" s="10"/>
      <c r="Y1969" s="7">
        <f t="shared" si="1161"/>
        <v>0</v>
      </c>
      <c r="Z1969" s="8"/>
      <c r="AA1969" s="9"/>
      <c r="AB1969" s="10"/>
      <c r="AC1969" s="7">
        <f t="shared" si="1162"/>
        <v>0</v>
      </c>
      <c r="AD1969" s="8"/>
      <c r="AE1969" s="9"/>
      <c r="AF1969" s="10"/>
      <c r="AG1969" s="7">
        <f t="shared" si="1163"/>
        <v>0</v>
      </c>
    </row>
    <row r="1970" spans="1:33">
      <c r="A1970" s="11"/>
      <c r="B1970" s="8"/>
      <c r="C1970" s="9"/>
      <c r="D1970" s="10"/>
      <c r="E1970" s="7">
        <f t="shared" si="1164"/>
        <v>0</v>
      </c>
      <c r="F1970" s="8"/>
      <c r="G1970" s="9"/>
      <c r="H1970" s="10"/>
      <c r="I1970" s="7">
        <f t="shared" si="1159"/>
        <v>0</v>
      </c>
      <c r="K1970" s="11" t="s">
        <v>1067</v>
      </c>
      <c r="L1970" s="8"/>
      <c r="M1970" s="9"/>
      <c r="N1970" s="10"/>
      <c r="O1970" s="7">
        <f t="shared" ref="O1970" si="1184">SUM(L1970:N1970)</f>
        <v>0</v>
      </c>
      <c r="P1970" s="8"/>
      <c r="Q1970" s="9"/>
      <c r="R1970" s="10"/>
      <c r="S1970" s="7">
        <f t="shared" ref="S1970" si="1185">SUM(P1970:R1970)</f>
        <v>0</v>
      </c>
      <c r="T1970" s="71" t="s">
        <v>1068</v>
      </c>
      <c r="U1970" s="3"/>
      <c r="V1970" s="8"/>
      <c r="W1970" s="9"/>
      <c r="X1970" s="10"/>
      <c r="Y1970" s="7">
        <f t="shared" si="1161"/>
        <v>0</v>
      </c>
      <c r="Z1970" s="8"/>
      <c r="AA1970" s="9"/>
      <c r="AB1970" s="10"/>
      <c r="AC1970" s="7">
        <f t="shared" si="1162"/>
        <v>0</v>
      </c>
      <c r="AD1970" s="8"/>
      <c r="AE1970" s="9"/>
      <c r="AF1970" s="10"/>
      <c r="AG1970" s="7">
        <f t="shared" si="1163"/>
        <v>0</v>
      </c>
    </row>
    <row r="1971" spans="1:33">
      <c r="A1971" s="11"/>
      <c r="B1971" s="8"/>
      <c r="C1971" s="9"/>
      <c r="D1971" s="10"/>
      <c r="E1971" s="7">
        <f t="shared" si="1164"/>
        <v>0</v>
      </c>
      <c r="F1971" s="8"/>
      <c r="G1971" s="9"/>
      <c r="H1971" s="10"/>
      <c r="I1971" s="7">
        <f t="shared" si="1159"/>
        <v>0</v>
      </c>
      <c r="K1971" s="3" t="s">
        <v>1042</v>
      </c>
      <c r="L1971" s="8"/>
      <c r="M1971" s="9"/>
      <c r="N1971" s="10"/>
      <c r="O1971" s="7">
        <f t="shared" ref="O1971:O1972" si="1186">SUM(L1971:N1971)</f>
        <v>0</v>
      </c>
      <c r="P1971" s="8"/>
      <c r="Q1971" s="9"/>
      <c r="R1971" s="10"/>
      <c r="S1971" s="7">
        <f t="shared" ref="S1971:S1972" si="1187">SUM(P1971:R1971)</f>
        <v>0</v>
      </c>
      <c r="T1971" s="71" t="s">
        <v>1043</v>
      </c>
      <c r="U1971" s="11"/>
      <c r="V1971" s="8"/>
      <c r="W1971" s="9"/>
      <c r="X1971" s="10"/>
      <c r="Y1971" s="7">
        <f t="shared" si="1161"/>
        <v>0</v>
      </c>
      <c r="Z1971" s="8"/>
      <c r="AA1971" s="9"/>
      <c r="AB1971" s="10"/>
      <c r="AC1971" s="7">
        <f t="shared" si="1162"/>
        <v>0</v>
      </c>
      <c r="AD1971" s="8"/>
      <c r="AE1971" s="9"/>
      <c r="AF1971" s="10"/>
      <c r="AG1971" s="7">
        <f t="shared" si="1163"/>
        <v>0</v>
      </c>
    </row>
    <row r="1972" spans="1:33">
      <c r="A1972" s="11"/>
      <c r="B1972" s="8"/>
      <c r="C1972" s="9"/>
      <c r="D1972" s="10"/>
      <c r="E1972" s="7">
        <f t="shared" si="1164"/>
        <v>0</v>
      </c>
      <c r="F1972" s="8"/>
      <c r="G1972" s="9"/>
      <c r="H1972" s="10"/>
      <c r="I1972" s="7">
        <f t="shared" si="1159"/>
        <v>0</v>
      </c>
      <c r="K1972" s="3" t="s">
        <v>900</v>
      </c>
      <c r="L1972" s="8"/>
      <c r="M1972" s="9"/>
      <c r="N1972" s="10"/>
      <c r="O1972" s="7">
        <f t="shared" si="1186"/>
        <v>0</v>
      </c>
      <c r="P1972" s="8"/>
      <c r="Q1972" s="9"/>
      <c r="R1972" s="10"/>
      <c r="S1972" s="7">
        <f t="shared" si="1187"/>
        <v>0</v>
      </c>
      <c r="T1972" s="71" t="s">
        <v>901</v>
      </c>
      <c r="U1972" s="3"/>
      <c r="V1972" s="8"/>
      <c r="W1972" s="9"/>
      <c r="X1972" s="10"/>
      <c r="Y1972" s="7">
        <f t="shared" si="1161"/>
        <v>0</v>
      </c>
      <c r="Z1972" s="8"/>
      <c r="AA1972" s="9"/>
      <c r="AB1972" s="10"/>
      <c r="AC1972" s="7">
        <f t="shared" si="1162"/>
        <v>0</v>
      </c>
      <c r="AD1972" s="8"/>
      <c r="AE1972" s="9"/>
      <c r="AF1972" s="10"/>
      <c r="AG1972" s="7">
        <f t="shared" si="1163"/>
        <v>0</v>
      </c>
    </row>
    <row r="1973" spans="1:33">
      <c r="A1973" s="11"/>
      <c r="B1973" s="8"/>
      <c r="C1973" s="9"/>
      <c r="D1973" s="10"/>
      <c r="E1973" s="7">
        <f t="shared" si="1164"/>
        <v>0</v>
      </c>
      <c r="F1973" s="8"/>
      <c r="G1973" s="9"/>
      <c r="H1973" s="10"/>
      <c r="I1973" s="7">
        <f t="shared" si="1159"/>
        <v>0</v>
      </c>
      <c r="K1973" s="40" t="s">
        <v>1033</v>
      </c>
      <c r="L1973" s="79"/>
      <c r="M1973" s="80"/>
      <c r="N1973" s="81"/>
      <c r="O1973" s="82">
        <f t="shared" ref="O1973:O1974" si="1188">SUM(L1973:N1973)</f>
        <v>0</v>
      </c>
      <c r="P1973" s="79"/>
      <c r="Q1973" s="80"/>
      <c r="R1973" s="81"/>
      <c r="S1973" s="82">
        <f t="shared" ref="S1973:S1974" si="1189">SUM(P1973:R1973)</f>
        <v>0</v>
      </c>
      <c r="T1973" s="92"/>
      <c r="U1973" s="3"/>
      <c r="V1973" s="8"/>
      <c r="W1973" s="9"/>
      <c r="X1973" s="10"/>
      <c r="Y1973" s="7">
        <f t="shared" si="1161"/>
        <v>0</v>
      </c>
      <c r="Z1973" s="8"/>
      <c r="AA1973" s="9"/>
      <c r="AB1973" s="10"/>
      <c r="AC1973" s="7">
        <f t="shared" si="1162"/>
        <v>0</v>
      </c>
      <c r="AD1973" s="8"/>
      <c r="AE1973" s="9"/>
      <c r="AF1973" s="10"/>
      <c r="AG1973" s="7">
        <f t="shared" si="1163"/>
        <v>0</v>
      </c>
    </row>
    <row r="1974" spans="1:33" ht="14.25" thickBot="1">
      <c r="A1974" s="11"/>
      <c r="B1974" s="8"/>
      <c r="C1974" s="9"/>
      <c r="D1974" s="10"/>
      <c r="E1974" s="7">
        <f t="shared" ref="E1974" si="1190">SUM(B1974:D1974)</f>
        <v>0</v>
      </c>
      <c r="F1974" s="8"/>
      <c r="G1974" s="9"/>
      <c r="H1974" s="10"/>
      <c r="I1974" s="7">
        <f t="shared" ref="I1974" si="1191">SUM(F1974:H1974)</f>
        <v>0</v>
      </c>
      <c r="K1974" s="3" t="s">
        <v>1032</v>
      </c>
      <c r="L1974" s="8"/>
      <c r="M1974" s="9"/>
      <c r="N1974" s="10"/>
      <c r="O1974" s="7">
        <f t="shared" si="1188"/>
        <v>0</v>
      </c>
      <c r="P1974" s="8"/>
      <c r="Q1974" s="9"/>
      <c r="R1974" s="10"/>
      <c r="S1974" s="7">
        <f t="shared" si="1189"/>
        <v>0</v>
      </c>
      <c r="T1974" s="71" t="s">
        <v>1031</v>
      </c>
      <c r="U1974" s="3"/>
      <c r="V1974" s="8"/>
      <c r="W1974" s="9"/>
      <c r="X1974" s="10"/>
      <c r="Y1974" s="7">
        <f t="shared" ref="Y1974" si="1192">SUM(V1974:X1974)</f>
        <v>0</v>
      </c>
      <c r="Z1974" s="8"/>
      <c r="AA1974" s="9"/>
      <c r="AB1974" s="10"/>
      <c r="AC1974" s="7">
        <f t="shared" ref="AC1974" si="1193">SUM(Z1974:AB1974)</f>
        <v>0</v>
      </c>
      <c r="AD1974" s="8"/>
      <c r="AE1974" s="9"/>
      <c r="AF1974" s="10"/>
      <c r="AG1974" s="7">
        <f t="shared" ref="AG1974" si="1194">SUM(AD1974:AF1974)</f>
        <v>0</v>
      </c>
    </row>
    <row r="1975" spans="1:33" ht="14.25" thickBot="1">
      <c r="A1975" s="2" t="s">
        <v>5</v>
      </c>
      <c r="B1975" s="14">
        <f>SUM(B1951:B1974)</f>
        <v>6</v>
      </c>
      <c r="C1975" s="14">
        <f>SUM(C1951:C1974)</f>
        <v>4</v>
      </c>
      <c r="D1975" s="14">
        <f>SUM(D1951:D1974)</f>
        <v>3</v>
      </c>
      <c r="E1975" s="15">
        <f t="shared" si="1164"/>
        <v>13</v>
      </c>
      <c r="F1975" s="14">
        <f>SUM(F1951:F1974)</f>
        <v>6</v>
      </c>
      <c r="G1975" s="14">
        <f>SUM(G1951:G1974)</f>
        <v>4</v>
      </c>
      <c r="H1975" s="14">
        <f>SUM(H1951:H1974)</f>
        <v>3</v>
      </c>
      <c r="I1975" s="15">
        <f t="shared" si="1159"/>
        <v>13</v>
      </c>
      <c r="K1975" s="2" t="s">
        <v>5</v>
      </c>
      <c r="L1975" s="14">
        <f>SUM(L1951:L1974)</f>
        <v>367</v>
      </c>
      <c r="M1975" s="14">
        <f t="shared" ref="M1975" si="1195">SUM(M1951:M1974)</f>
        <v>450</v>
      </c>
      <c r="N1975" s="14">
        <f t="shared" ref="N1975" si="1196">SUM(N1951:N1974)</f>
        <v>221</v>
      </c>
      <c r="O1975" s="15">
        <f t="shared" ref="O1975" si="1197">SUM(O1951:O1974)</f>
        <v>1038</v>
      </c>
      <c r="P1975" s="14">
        <f t="shared" ref="P1975" si="1198">SUM(P1951:P1974)</f>
        <v>367</v>
      </c>
      <c r="Q1975" s="14">
        <f t="shared" ref="Q1975" si="1199">SUM(Q1951:Q1974)</f>
        <v>450</v>
      </c>
      <c r="R1975" s="14">
        <f t="shared" ref="R1975" si="1200">SUM(R1951:R1974)</f>
        <v>221</v>
      </c>
      <c r="S1975" s="15">
        <f t="shared" ref="S1975" si="1201">SUM(S1951:S1974)</f>
        <v>1038</v>
      </c>
      <c r="U1975" s="2" t="s">
        <v>5</v>
      </c>
      <c r="V1975" s="14">
        <f>SUM(V1951:V1974)</f>
        <v>0</v>
      </c>
      <c r="W1975" s="14">
        <f>SUM(W1951:W1974)</f>
        <v>0</v>
      </c>
      <c r="X1975" s="14">
        <f>SUM(X1951:X1974)</f>
        <v>0</v>
      </c>
      <c r="Y1975" s="15">
        <f t="shared" si="1161"/>
        <v>0</v>
      </c>
      <c r="Z1975" s="14">
        <f>SUM(Z1951:Z1974)</f>
        <v>0</v>
      </c>
      <c r="AA1975" s="14">
        <f>SUM(AA1951:AA1974)</f>
        <v>0</v>
      </c>
      <c r="AB1975" s="14">
        <f>SUM(AB1951:AB1974)</f>
        <v>0</v>
      </c>
      <c r="AC1975" s="15">
        <f t="shared" si="1162"/>
        <v>0</v>
      </c>
      <c r="AD1975" s="14">
        <f>SUM(AD1951:AD1974)</f>
        <v>0</v>
      </c>
      <c r="AE1975" s="14">
        <f>SUM(AE1951:AE1974)</f>
        <v>0</v>
      </c>
      <c r="AF1975" s="14">
        <f>SUM(AF1951:AF1974)</f>
        <v>0</v>
      </c>
      <c r="AG1975" s="15">
        <f t="shared" si="1163"/>
        <v>0</v>
      </c>
    </row>
    <row r="1976" spans="1:33" ht="14.25" thickBot="1">
      <c r="A1976" s="27" t="s">
        <v>6</v>
      </c>
      <c r="B1976" s="28">
        <f>B1950-B1975</f>
        <v>5</v>
      </c>
      <c r="C1976" s="28">
        <f t="shared" ref="C1976:E1976" si="1202">C1950-C1975</f>
        <v>6</v>
      </c>
      <c r="D1976" s="28">
        <f t="shared" si="1202"/>
        <v>7</v>
      </c>
      <c r="E1976" s="28">
        <f t="shared" si="1202"/>
        <v>18</v>
      </c>
      <c r="F1976" s="28">
        <f>F1950-F1975</f>
        <v>5</v>
      </c>
      <c r="G1976" s="28">
        <f t="shared" ref="G1976:I1976" si="1203">G1950-G1975</f>
        <v>6</v>
      </c>
      <c r="H1976" s="28">
        <f t="shared" si="1203"/>
        <v>7</v>
      </c>
      <c r="I1976" s="26">
        <f t="shared" si="1203"/>
        <v>18</v>
      </c>
      <c r="K1976" s="27" t="s">
        <v>6</v>
      </c>
      <c r="L1976" s="28">
        <f>L1950-L1975</f>
        <v>146</v>
      </c>
      <c r="M1976" s="28">
        <f t="shared" ref="M1976" si="1204">M1950-M1975</f>
        <v>262</v>
      </c>
      <c r="N1976" s="28">
        <f t="shared" ref="N1976" si="1205">N1950-N1975</f>
        <v>249</v>
      </c>
      <c r="O1976" s="28">
        <f t="shared" ref="O1976" si="1206">O1950-O1975</f>
        <v>657</v>
      </c>
      <c r="P1976" s="28">
        <f t="shared" ref="P1976" si="1207">P1950-P1975</f>
        <v>146</v>
      </c>
      <c r="Q1976" s="28">
        <f t="shared" ref="Q1976" si="1208">Q1950-Q1975</f>
        <v>262</v>
      </c>
      <c r="R1976" s="28">
        <f t="shared" ref="R1976" si="1209">R1950-R1975</f>
        <v>249</v>
      </c>
      <c r="S1976" s="26">
        <f t="shared" ref="S1976" si="1210">S1950-S1975</f>
        <v>657</v>
      </c>
      <c r="U1976" s="27" t="s">
        <v>6</v>
      </c>
      <c r="V1976" s="28">
        <f>V1950-V1975</f>
        <v>23</v>
      </c>
      <c r="W1976" s="28">
        <f t="shared" ref="W1976:Y1976" si="1211">W1950-W1975</f>
        <v>24</v>
      </c>
      <c r="X1976" s="28">
        <f t="shared" si="1211"/>
        <v>17</v>
      </c>
      <c r="Y1976" s="28">
        <f t="shared" si="1211"/>
        <v>64</v>
      </c>
      <c r="Z1976" s="28">
        <f>Z1950-Z1975</f>
        <v>23</v>
      </c>
      <c r="AA1976" s="28">
        <f t="shared" ref="AA1976:AC1976" si="1212">AA1950-AA1975</f>
        <v>24</v>
      </c>
      <c r="AB1976" s="28">
        <f t="shared" si="1212"/>
        <v>17</v>
      </c>
      <c r="AC1976" s="26">
        <f t="shared" si="1212"/>
        <v>64</v>
      </c>
      <c r="AD1976" s="28">
        <f>AD1950-AD1975</f>
        <v>23</v>
      </c>
      <c r="AE1976" s="28">
        <f t="shared" ref="AE1976:AG1976" si="1213">AE1950-AE1975</f>
        <v>24</v>
      </c>
      <c r="AF1976" s="28">
        <f t="shared" si="1213"/>
        <v>17</v>
      </c>
      <c r="AG1976" s="26">
        <f t="shared" si="1213"/>
        <v>64</v>
      </c>
    </row>
    <row r="1979" spans="1:33" ht="26.25" thickBot="1">
      <c r="A1979" s="33" t="s">
        <v>1008</v>
      </c>
      <c r="B1979" s="34"/>
      <c r="C1979" s="34"/>
      <c r="D1979" s="34"/>
      <c r="E1979" s="34"/>
      <c r="F1979" s="35"/>
      <c r="G1979" s="35"/>
      <c r="H1979" s="35"/>
      <c r="I1979" s="35"/>
      <c r="K1979" s="33" t="s">
        <v>1004</v>
      </c>
      <c r="L1979" s="34"/>
      <c r="M1979" s="34"/>
      <c r="N1979" s="34"/>
      <c r="O1979" s="34"/>
      <c r="P1979" s="35"/>
      <c r="Q1979" s="35"/>
      <c r="R1979" s="35"/>
      <c r="S1979" s="35"/>
      <c r="U1979" s="113" t="s">
        <v>622</v>
      </c>
      <c r="V1979" s="114"/>
      <c r="W1979" s="114"/>
      <c r="X1979" s="114"/>
      <c r="Y1979" s="114"/>
      <c r="Z1979" s="115"/>
      <c r="AA1979" s="115"/>
      <c r="AB1979" s="115"/>
      <c r="AC1979" s="115"/>
      <c r="AD1979" s="116"/>
      <c r="AE1979" s="116"/>
    </row>
    <row r="1980" spans="1:33" ht="14.25" thickBot="1">
      <c r="A1980" s="1" t="s">
        <v>0</v>
      </c>
      <c r="B1980" s="182" t="s">
        <v>17</v>
      </c>
      <c r="C1980" s="182"/>
      <c r="D1980" s="182"/>
      <c r="E1980" s="183"/>
      <c r="F1980" s="182" t="s">
        <v>13</v>
      </c>
      <c r="G1980" s="182"/>
      <c r="H1980" s="182"/>
      <c r="I1980" s="183"/>
      <c r="K1980" s="1" t="s">
        <v>0</v>
      </c>
      <c r="L1980" s="181" t="s">
        <v>17</v>
      </c>
      <c r="M1980" s="182"/>
      <c r="N1980" s="182"/>
      <c r="O1980" s="133"/>
      <c r="P1980" s="181" t="s">
        <v>13</v>
      </c>
      <c r="Q1980" s="182"/>
      <c r="R1980" s="182"/>
      <c r="S1980" s="133"/>
      <c r="U1980" s="1" t="s">
        <v>0</v>
      </c>
      <c r="V1980" s="182" t="s">
        <v>17</v>
      </c>
      <c r="W1980" s="182"/>
      <c r="X1980" s="182"/>
      <c r="Y1980" s="183"/>
      <c r="Z1980" s="182" t="s">
        <v>13</v>
      </c>
      <c r="AA1980" s="182"/>
      <c r="AB1980" s="182"/>
      <c r="AC1980" s="183"/>
      <c r="AD1980" s="182" t="s">
        <v>242</v>
      </c>
      <c r="AE1980" s="182"/>
      <c r="AF1980" s="182"/>
      <c r="AG1980" s="183"/>
    </row>
    <row r="1981" spans="1:33" ht="14.25" thickBot="1">
      <c r="A1981" s="1" t="s">
        <v>1</v>
      </c>
      <c r="B1981" s="2" t="s">
        <v>8</v>
      </c>
      <c r="C1981" s="1" t="s">
        <v>9</v>
      </c>
      <c r="D1981" s="19" t="s">
        <v>10</v>
      </c>
      <c r="E1981" s="1" t="s">
        <v>2</v>
      </c>
      <c r="F1981" s="2" t="s">
        <v>8</v>
      </c>
      <c r="G1981" s="1" t="s">
        <v>9</v>
      </c>
      <c r="H1981" s="19" t="s">
        <v>10</v>
      </c>
      <c r="I1981" s="1" t="s">
        <v>2</v>
      </c>
      <c r="K1981" s="1" t="s">
        <v>1</v>
      </c>
      <c r="L1981" s="2" t="s">
        <v>8</v>
      </c>
      <c r="M1981" s="1" t="s">
        <v>9</v>
      </c>
      <c r="N1981" s="19" t="s">
        <v>10</v>
      </c>
      <c r="O1981" s="1" t="s">
        <v>2</v>
      </c>
      <c r="P1981" s="2" t="s">
        <v>8</v>
      </c>
      <c r="Q1981" s="1" t="s">
        <v>9</v>
      </c>
      <c r="R1981" s="19" t="s">
        <v>10</v>
      </c>
      <c r="S1981" s="1" t="s">
        <v>2</v>
      </c>
      <c r="U1981" s="1" t="s">
        <v>1</v>
      </c>
      <c r="V1981" s="2" t="s">
        <v>8</v>
      </c>
      <c r="W1981" s="1" t="s">
        <v>9</v>
      </c>
      <c r="X1981" s="19" t="s">
        <v>10</v>
      </c>
      <c r="Y1981" s="1" t="s">
        <v>2</v>
      </c>
      <c r="Z1981" s="2" t="s">
        <v>8</v>
      </c>
      <c r="AA1981" s="1" t="s">
        <v>9</v>
      </c>
      <c r="AB1981" s="19" t="s">
        <v>10</v>
      </c>
      <c r="AC1981" s="1" t="s">
        <v>2</v>
      </c>
      <c r="AD1981" s="2" t="s">
        <v>8</v>
      </c>
      <c r="AE1981" s="1" t="s">
        <v>9</v>
      </c>
      <c r="AF1981" s="19" t="s">
        <v>10</v>
      </c>
      <c r="AG1981" s="1" t="s">
        <v>2</v>
      </c>
    </row>
    <row r="1982" spans="1:33">
      <c r="A1982" s="21" t="s">
        <v>7</v>
      </c>
      <c r="B1982" s="18">
        <f>B1976</f>
        <v>5</v>
      </c>
      <c r="C1982" s="22">
        <f>C1976</f>
        <v>6</v>
      </c>
      <c r="D1982" s="22">
        <f>D1976</f>
        <v>7</v>
      </c>
      <c r="E1982" s="17">
        <f t="shared" ref="E1982:E2018" si="1214">SUM(B1982:D1982)</f>
        <v>18</v>
      </c>
      <c r="F1982" s="22">
        <f>F1976</f>
        <v>5</v>
      </c>
      <c r="G1982" s="22">
        <f>G1976</f>
        <v>6</v>
      </c>
      <c r="H1982" s="22">
        <f>H1976</f>
        <v>7</v>
      </c>
      <c r="I1982" s="17">
        <f t="shared" ref="I1982:I2018" si="1215">SUM(F1982:H1982)</f>
        <v>18</v>
      </c>
      <c r="K1982" s="21" t="s">
        <v>7</v>
      </c>
      <c r="L1982" s="18">
        <f>L1976</f>
        <v>146</v>
      </c>
      <c r="M1982" s="22">
        <f t="shared" ref="M1982:S1982" si="1216">M1976</f>
        <v>262</v>
      </c>
      <c r="N1982" s="22">
        <f t="shared" si="1216"/>
        <v>249</v>
      </c>
      <c r="O1982" s="17">
        <f t="shared" si="1216"/>
        <v>657</v>
      </c>
      <c r="P1982" s="22">
        <f t="shared" si="1216"/>
        <v>146</v>
      </c>
      <c r="Q1982" s="22">
        <f t="shared" si="1216"/>
        <v>262</v>
      </c>
      <c r="R1982" s="22">
        <f t="shared" si="1216"/>
        <v>249</v>
      </c>
      <c r="S1982" s="17">
        <f t="shared" si="1216"/>
        <v>657</v>
      </c>
      <c r="U1982" s="21" t="s">
        <v>7</v>
      </c>
      <c r="V1982" s="18">
        <f>V1976</f>
        <v>23</v>
      </c>
      <c r="W1982" s="22">
        <f>W1976</f>
        <v>24</v>
      </c>
      <c r="X1982" s="22">
        <f>X1976</f>
        <v>17</v>
      </c>
      <c r="Y1982" s="17">
        <f t="shared" ref="Y1982:Y2018" si="1217">SUM(V1982:X1982)</f>
        <v>64</v>
      </c>
      <c r="Z1982" s="22">
        <f>Z1976</f>
        <v>23</v>
      </c>
      <c r="AA1982" s="22">
        <f>AA1976</f>
        <v>24</v>
      </c>
      <c r="AB1982" s="22">
        <f>AB1976</f>
        <v>17</v>
      </c>
      <c r="AC1982" s="17">
        <f t="shared" ref="AC1982:AC2018" si="1218">SUM(Z1982:AB1982)</f>
        <v>64</v>
      </c>
      <c r="AD1982" s="22">
        <f>AD1976</f>
        <v>23</v>
      </c>
      <c r="AE1982" s="22">
        <f>AE1976</f>
        <v>24</v>
      </c>
      <c r="AF1982" s="22">
        <f>AF1976</f>
        <v>17</v>
      </c>
      <c r="AG1982" s="17">
        <f t="shared" ref="AG1982:AG2018" si="1219">SUM(AD1982:AF1982)</f>
        <v>64</v>
      </c>
    </row>
    <row r="1983" spans="1:33">
      <c r="A1983" s="5" t="s">
        <v>3</v>
      </c>
      <c r="B1983" s="16">
        <v>5</v>
      </c>
      <c r="C1983" s="11">
        <v>5</v>
      </c>
      <c r="D1983" s="16"/>
      <c r="E1983" s="4">
        <f t="shared" si="1214"/>
        <v>10</v>
      </c>
      <c r="F1983" s="16">
        <v>5</v>
      </c>
      <c r="G1983" s="11">
        <v>5</v>
      </c>
      <c r="H1983" s="16"/>
      <c r="I1983" s="4">
        <f t="shared" si="1215"/>
        <v>10</v>
      </c>
      <c r="J1983" s="43">
        <v>45863</v>
      </c>
      <c r="K1983" s="5" t="s">
        <v>3</v>
      </c>
      <c r="L1983" s="16"/>
      <c r="M1983" s="11"/>
      <c r="N1983" s="16"/>
      <c r="O1983" s="4">
        <f t="shared" ref="O1983:O2017" si="1220">SUM(L1983:N1983)</f>
        <v>0</v>
      </c>
      <c r="P1983" s="16"/>
      <c r="Q1983" s="11"/>
      <c r="R1983" s="16"/>
      <c r="S1983" s="4">
        <f t="shared" ref="S1983:S2017" si="1221">SUM(P1983:R1983)</f>
        <v>0</v>
      </c>
      <c r="U1983" s="5" t="s">
        <v>3</v>
      </c>
      <c r="V1983" s="16"/>
      <c r="W1983" s="11"/>
      <c r="X1983" s="16"/>
      <c r="Y1983" s="4">
        <f t="shared" si="1217"/>
        <v>0</v>
      </c>
      <c r="Z1983" s="16"/>
      <c r="AA1983" s="11"/>
      <c r="AB1983" s="16"/>
      <c r="AC1983" s="4">
        <f t="shared" si="1218"/>
        <v>0</v>
      </c>
      <c r="AD1983" s="16"/>
      <c r="AE1983" s="11"/>
      <c r="AF1983" s="16"/>
      <c r="AG1983" s="4">
        <f t="shared" si="1219"/>
        <v>0</v>
      </c>
    </row>
    <row r="1984" spans="1:33">
      <c r="A1984" s="5" t="s">
        <v>3</v>
      </c>
      <c r="B1984" s="16"/>
      <c r="C1984" s="11">
        <v>5</v>
      </c>
      <c r="D1984" s="16">
        <v>5</v>
      </c>
      <c r="E1984" s="4">
        <f t="shared" si="1214"/>
        <v>10</v>
      </c>
      <c r="F1984" s="16"/>
      <c r="G1984" s="11">
        <v>5</v>
      </c>
      <c r="H1984" s="16">
        <v>5</v>
      </c>
      <c r="I1984" s="4">
        <f t="shared" si="1215"/>
        <v>10</v>
      </c>
      <c r="J1984" s="43">
        <v>45870</v>
      </c>
      <c r="K1984" s="5" t="s">
        <v>3</v>
      </c>
      <c r="L1984" s="16"/>
      <c r="M1984" s="11"/>
      <c r="N1984" s="16"/>
      <c r="O1984" s="4">
        <f t="shared" si="1220"/>
        <v>0</v>
      </c>
      <c r="P1984" s="16"/>
      <c r="Q1984" s="11"/>
      <c r="R1984" s="16"/>
      <c r="S1984" s="4">
        <f t="shared" si="1221"/>
        <v>0</v>
      </c>
      <c r="U1984" s="5" t="s">
        <v>3</v>
      </c>
      <c r="V1984" s="32"/>
      <c r="W1984" s="31"/>
      <c r="X1984" s="32"/>
      <c r="Y1984" s="4">
        <f t="shared" si="1217"/>
        <v>0</v>
      </c>
      <c r="Z1984" s="32"/>
      <c r="AA1984" s="31"/>
      <c r="AB1984" s="32"/>
      <c r="AC1984" s="4">
        <f t="shared" si="1218"/>
        <v>0</v>
      </c>
      <c r="AD1984" s="32"/>
      <c r="AE1984" s="31"/>
      <c r="AF1984" s="32"/>
      <c r="AG1984" s="4">
        <f t="shared" si="1219"/>
        <v>0</v>
      </c>
    </row>
    <row r="1985" spans="1:33">
      <c r="A1985" s="5" t="s">
        <v>3</v>
      </c>
      <c r="B1985" s="16">
        <v>5</v>
      </c>
      <c r="C1985" s="11">
        <v>5</v>
      </c>
      <c r="D1985" s="16">
        <v>5</v>
      </c>
      <c r="E1985" s="4">
        <f t="shared" si="1214"/>
        <v>15</v>
      </c>
      <c r="F1985" s="16">
        <v>5</v>
      </c>
      <c r="G1985" s="11">
        <v>5</v>
      </c>
      <c r="H1985" s="16">
        <v>5</v>
      </c>
      <c r="I1985" s="4">
        <f t="shared" si="1215"/>
        <v>15</v>
      </c>
      <c r="J1985" s="43">
        <v>45874</v>
      </c>
      <c r="K1985" s="5" t="s">
        <v>1019</v>
      </c>
      <c r="L1985" s="32">
        <v>60</v>
      </c>
      <c r="M1985" s="31">
        <v>80</v>
      </c>
      <c r="N1985" s="32">
        <v>40</v>
      </c>
      <c r="O1985" s="4">
        <f t="shared" si="1220"/>
        <v>180</v>
      </c>
      <c r="P1985" s="32">
        <v>60</v>
      </c>
      <c r="Q1985" s="31">
        <v>80</v>
      </c>
      <c r="R1985" s="32">
        <v>40</v>
      </c>
      <c r="S1985" s="4">
        <f t="shared" si="1221"/>
        <v>180</v>
      </c>
      <c r="T1985" s="43" t="s">
        <v>1096</v>
      </c>
      <c r="U1985" s="5" t="s">
        <v>3</v>
      </c>
      <c r="V1985" s="32"/>
      <c r="W1985" s="31"/>
      <c r="X1985" s="32"/>
      <c r="Y1985" s="4">
        <f t="shared" si="1217"/>
        <v>0</v>
      </c>
      <c r="Z1985" s="32"/>
      <c r="AA1985" s="31"/>
      <c r="AB1985" s="32"/>
      <c r="AC1985" s="4">
        <f t="shared" si="1218"/>
        <v>0</v>
      </c>
      <c r="AD1985" s="32"/>
      <c r="AE1985" s="31"/>
      <c r="AF1985" s="32"/>
      <c r="AG1985" s="4">
        <f t="shared" si="1219"/>
        <v>0</v>
      </c>
    </row>
    <row r="1986" spans="1:33">
      <c r="A1986" s="5" t="s">
        <v>3</v>
      </c>
      <c r="B1986" s="16"/>
      <c r="C1986" s="11">
        <v>5</v>
      </c>
      <c r="D1986" s="16"/>
      <c r="E1986" s="4">
        <f t="shared" si="1214"/>
        <v>5</v>
      </c>
      <c r="F1986" s="16"/>
      <c r="G1986" s="11">
        <v>5</v>
      </c>
      <c r="H1986" s="16"/>
      <c r="I1986" s="4">
        <f t="shared" si="1215"/>
        <v>5</v>
      </c>
      <c r="J1986" s="43">
        <v>45877</v>
      </c>
      <c r="K1986" s="5" t="s">
        <v>3</v>
      </c>
      <c r="L1986" s="16"/>
      <c r="M1986" s="11"/>
      <c r="N1986" s="16"/>
      <c r="O1986" s="4">
        <f t="shared" si="1220"/>
        <v>0</v>
      </c>
      <c r="P1986" s="16"/>
      <c r="Q1986" s="11"/>
      <c r="R1986" s="16"/>
      <c r="S1986" s="4">
        <f t="shared" si="1221"/>
        <v>0</v>
      </c>
      <c r="U1986" s="5" t="s">
        <v>3</v>
      </c>
      <c r="V1986" s="32"/>
      <c r="W1986" s="31"/>
      <c r="X1986" s="32"/>
      <c r="Y1986" s="4">
        <f t="shared" si="1217"/>
        <v>0</v>
      </c>
      <c r="Z1986" s="32"/>
      <c r="AA1986" s="31"/>
      <c r="AB1986" s="32"/>
      <c r="AC1986" s="4">
        <f t="shared" si="1218"/>
        <v>0</v>
      </c>
      <c r="AD1986" s="32"/>
      <c r="AE1986" s="31"/>
      <c r="AF1986" s="32"/>
      <c r="AG1986" s="4">
        <f t="shared" si="1219"/>
        <v>0</v>
      </c>
    </row>
    <row r="1987" spans="1:33">
      <c r="A1987" s="5" t="s">
        <v>37</v>
      </c>
      <c r="B1987" s="16">
        <v>1</v>
      </c>
      <c r="C1987" s="11"/>
      <c r="D1987" s="16"/>
      <c r="E1987" s="4">
        <f t="shared" si="1214"/>
        <v>1</v>
      </c>
      <c r="F1987" s="16">
        <v>1</v>
      </c>
      <c r="G1987" s="11"/>
      <c r="H1987" s="16"/>
      <c r="I1987" s="4">
        <f t="shared" si="1215"/>
        <v>1</v>
      </c>
      <c r="J1987" s="43">
        <v>45874</v>
      </c>
      <c r="K1987" s="5" t="s">
        <v>3</v>
      </c>
      <c r="L1987" s="16"/>
      <c r="M1987" s="11"/>
      <c r="N1987" s="16"/>
      <c r="O1987" s="4">
        <f t="shared" si="1220"/>
        <v>0</v>
      </c>
      <c r="P1987" s="16"/>
      <c r="Q1987" s="11"/>
      <c r="R1987" s="16"/>
      <c r="S1987" s="4">
        <f t="shared" si="1221"/>
        <v>0</v>
      </c>
      <c r="U1987" s="5" t="s">
        <v>3</v>
      </c>
      <c r="V1987" s="30"/>
      <c r="W1987" s="31"/>
      <c r="X1987" s="32"/>
      <c r="Y1987" s="4">
        <f t="shared" si="1217"/>
        <v>0</v>
      </c>
      <c r="Z1987" s="30"/>
      <c r="AA1987" s="31"/>
      <c r="AB1987" s="32"/>
      <c r="AC1987" s="4">
        <f t="shared" si="1218"/>
        <v>0</v>
      </c>
      <c r="AD1987" s="30"/>
      <c r="AE1987" s="31"/>
      <c r="AF1987" s="32"/>
      <c r="AG1987" s="4">
        <f t="shared" si="1219"/>
        <v>0</v>
      </c>
    </row>
    <row r="1988" spans="1:33">
      <c r="A1988" s="5" t="s">
        <v>213</v>
      </c>
      <c r="B1988" s="16">
        <v>0</v>
      </c>
      <c r="C1988" s="11">
        <v>0</v>
      </c>
      <c r="D1988" s="16">
        <v>0</v>
      </c>
      <c r="E1988" s="4">
        <f t="shared" si="1214"/>
        <v>0</v>
      </c>
      <c r="F1988" s="16">
        <v>0</v>
      </c>
      <c r="G1988" s="11">
        <v>0</v>
      </c>
      <c r="H1988" s="16">
        <v>0</v>
      </c>
      <c r="I1988" s="4">
        <f t="shared" si="1215"/>
        <v>0</v>
      </c>
      <c r="J1988" s="49">
        <v>45878</v>
      </c>
      <c r="K1988" s="5" t="s">
        <v>3</v>
      </c>
      <c r="L1988" s="16"/>
      <c r="M1988" s="11"/>
      <c r="N1988" s="16"/>
      <c r="O1988" s="4">
        <f t="shared" si="1220"/>
        <v>0</v>
      </c>
      <c r="P1988" s="16"/>
      <c r="Q1988" s="11"/>
      <c r="R1988" s="16"/>
      <c r="S1988" s="4">
        <f t="shared" si="1221"/>
        <v>0</v>
      </c>
      <c r="U1988" s="5" t="s">
        <v>3</v>
      </c>
      <c r="V1988" s="30"/>
      <c r="W1988" s="31"/>
      <c r="X1988" s="32"/>
      <c r="Y1988" s="4">
        <f t="shared" si="1217"/>
        <v>0</v>
      </c>
      <c r="Z1988" s="30"/>
      <c r="AA1988" s="31"/>
      <c r="AB1988" s="32"/>
      <c r="AC1988" s="4">
        <f t="shared" si="1218"/>
        <v>0</v>
      </c>
      <c r="AD1988" s="30"/>
      <c r="AE1988" s="31"/>
      <c r="AF1988" s="32"/>
      <c r="AG1988" s="4">
        <f t="shared" si="1219"/>
        <v>0</v>
      </c>
    </row>
    <row r="1989" spans="1:33">
      <c r="A1989" s="5" t="s">
        <v>3</v>
      </c>
      <c r="B1989" s="32"/>
      <c r="C1989" s="31"/>
      <c r="D1989" s="32"/>
      <c r="E1989" s="4">
        <f t="shared" si="1214"/>
        <v>0</v>
      </c>
      <c r="F1989" s="32"/>
      <c r="G1989" s="31"/>
      <c r="H1989" s="32"/>
      <c r="I1989" s="4">
        <f t="shared" si="1215"/>
        <v>0</v>
      </c>
      <c r="K1989" s="5" t="s">
        <v>3</v>
      </c>
      <c r="L1989" s="32">
        <v>30</v>
      </c>
      <c r="M1989" s="31">
        <v>30</v>
      </c>
      <c r="N1989" s="32"/>
      <c r="O1989" s="4">
        <f t="shared" si="1220"/>
        <v>60</v>
      </c>
      <c r="P1989" s="32">
        <v>30</v>
      </c>
      <c r="Q1989" s="31">
        <v>30</v>
      </c>
      <c r="R1989" s="32"/>
      <c r="S1989" s="4">
        <f t="shared" si="1221"/>
        <v>60</v>
      </c>
      <c r="T1989" s="43" t="s">
        <v>1098</v>
      </c>
      <c r="U1989" s="5" t="s">
        <v>3</v>
      </c>
      <c r="V1989" s="30"/>
      <c r="W1989" s="31"/>
      <c r="X1989" s="32"/>
      <c r="Y1989" s="4">
        <f t="shared" si="1217"/>
        <v>0</v>
      </c>
      <c r="Z1989" s="30"/>
      <c r="AA1989" s="31"/>
      <c r="AB1989" s="32"/>
      <c r="AC1989" s="4">
        <f t="shared" si="1218"/>
        <v>0</v>
      </c>
      <c r="AD1989" s="30"/>
      <c r="AE1989" s="31"/>
      <c r="AF1989" s="32"/>
      <c r="AG1989" s="4">
        <f t="shared" si="1219"/>
        <v>0</v>
      </c>
    </row>
    <row r="1990" spans="1:33">
      <c r="A1990" s="5" t="s">
        <v>3</v>
      </c>
      <c r="B1990" s="32"/>
      <c r="C1990" s="31"/>
      <c r="D1990" s="32"/>
      <c r="E1990" s="4">
        <f t="shared" si="1214"/>
        <v>0</v>
      </c>
      <c r="F1990" s="32"/>
      <c r="G1990" s="31"/>
      <c r="H1990" s="32"/>
      <c r="I1990" s="4">
        <f t="shared" si="1215"/>
        <v>0</v>
      </c>
      <c r="K1990" s="5" t="s">
        <v>3</v>
      </c>
      <c r="L1990" s="32">
        <v>5</v>
      </c>
      <c r="M1990" s="31">
        <v>12</v>
      </c>
      <c r="N1990" s="32">
        <v>14</v>
      </c>
      <c r="O1990" s="4">
        <f t="shared" si="1220"/>
        <v>31</v>
      </c>
      <c r="P1990" s="32">
        <v>5</v>
      </c>
      <c r="Q1990" s="31">
        <v>12</v>
      </c>
      <c r="R1990" s="32">
        <v>14</v>
      </c>
      <c r="S1990" s="4">
        <f t="shared" si="1221"/>
        <v>31</v>
      </c>
      <c r="T1990" s="43" t="s">
        <v>1098</v>
      </c>
      <c r="U1990" s="5" t="s">
        <v>3</v>
      </c>
      <c r="V1990" s="30"/>
      <c r="W1990" s="31"/>
      <c r="X1990" s="32"/>
      <c r="Y1990" s="4">
        <f t="shared" si="1217"/>
        <v>0</v>
      </c>
      <c r="Z1990" s="30"/>
      <c r="AA1990" s="31"/>
      <c r="AB1990" s="32"/>
      <c r="AC1990" s="4">
        <f t="shared" si="1218"/>
        <v>0</v>
      </c>
      <c r="AD1990" s="30"/>
      <c r="AE1990" s="31"/>
      <c r="AF1990" s="32"/>
      <c r="AG1990" s="4">
        <f t="shared" si="1219"/>
        <v>0</v>
      </c>
    </row>
    <row r="1991" spans="1:33">
      <c r="A1991" s="5" t="s">
        <v>3</v>
      </c>
      <c r="B1991" s="30"/>
      <c r="C1991" s="31"/>
      <c r="D1991" s="32"/>
      <c r="E1991" s="4">
        <f t="shared" si="1214"/>
        <v>0</v>
      </c>
      <c r="F1991" s="30"/>
      <c r="G1991" s="31"/>
      <c r="H1991" s="32"/>
      <c r="I1991" s="4">
        <f t="shared" si="1215"/>
        <v>0</v>
      </c>
      <c r="K1991" s="5" t="s">
        <v>3</v>
      </c>
      <c r="L1991" s="30"/>
      <c r="M1991" s="31"/>
      <c r="N1991" s="32"/>
      <c r="O1991" s="4">
        <f t="shared" si="1220"/>
        <v>0</v>
      </c>
      <c r="P1991" s="30"/>
      <c r="Q1991" s="31"/>
      <c r="R1991" s="32"/>
      <c r="S1991" s="4">
        <f t="shared" si="1221"/>
        <v>0</v>
      </c>
      <c r="U1991" s="5" t="s">
        <v>3</v>
      </c>
      <c r="V1991" s="30"/>
      <c r="W1991" s="31"/>
      <c r="X1991" s="32"/>
      <c r="Y1991" s="4">
        <f t="shared" si="1217"/>
        <v>0</v>
      </c>
      <c r="Z1991" s="30"/>
      <c r="AA1991" s="31"/>
      <c r="AB1991" s="32"/>
      <c r="AC1991" s="4">
        <f t="shared" si="1218"/>
        <v>0</v>
      </c>
      <c r="AD1991" s="30"/>
      <c r="AE1991" s="31"/>
      <c r="AF1991" s="32"/>
      <c r="AG1991" s="4">
        <f t="shared" si="1219"/>
        <v>0</v>
      </c>
    </row>
    <row r="1992" spans="1:33" ht="14.25" thickBot="1">
      <c r="A1992" s="6" t="s">
        <v>3</v>
      </c>
      <c r="B1992" s="36"/>
      <c r="C1992" s="37"/>
      <c r="D1992" s="36"/>
      <c r="E1992" s="20">
        <f t="shared" si="1214"/>
        <v>0</v>
      </c>
      <c r="F1992" s="13"/>
      <c r="G1992" s="12"/>
      <c r="H1992" s="13"/>
      <c r="I1992" s="20">
        <f t="shared" si="1215"/>
        <v>0</v>
      </c>
      <c r="K1992" s="6" t="s">
        <v>3</v>
      </c>
      <c r="L1992" s="36"/>
      <c r="M1992" s="37"/>
      <c r="N1992" s="36"/>
      <c r="O1992" s="20">
        <f t="shared" si="1220"/>
        <v>0</v>
      </c>
      <c r="P1992" s="13"/>
      <c r="Q1992" s="12"/>
      <c r="R1992" s="13"/>
      <c r="S1992" s="20">
        <f t="shared" si="1221"/>
        <v>0</v>
      </c>
      <c r="U1992" s="5" t="s">
        <v>3</v>
      </c>
      <c r="V1992" s="30"/>
      <c r="W1992" s="31"/>
      <c r="X1992" s="32"/>
      <c r="Y1992" s="4">
        <f t="shared" ref="Y1992" si="1222">SUM(V1992:X1992)</f>
        <v>0</v>
      </c>
      <c r="Z1992" s="30"/>
      <c r="AA1992" s="31"/>
      <c r="AB1992" s="32"/>
      <c r="AC1992" s="4">
        <f t="shared" ref="AC1992" si="1223">SUM(Z1992:AB1992)</f>
        <v>0</v>
      </c>
      <c r="AD1992" s="30"/>
      <c r="AE1992" s="31"/>
      <c r="AF1992" s="32"/>
      <c r="AG1992" s="4">
        <f t="shared" ref="AG1992" si="1224">SUM(AD1992:AF1992)</f>
        <v>0</v>
      </c>
    </row>
    <row r="1993" spans="1:33" ht="14.25" thickBot="1">
      <c r="A1993" s="23" t="s">
        <v>4</v>
      </c>
      <c r="B1993" s="24">
        <f>SUM(B1982:B1992)</f>
        <v>16</v>
      </c>
      <c r="C1993" s="24">
        <f>SUM(C1982:C1992)</f>
        <v>26</v>
      </c>
      <c r="D1993" s="25">
        <f>SUM(D1982:D1992)</f>
        <v>17</v>
      </c>
      <c r="E1993" s="26">
        <f t="shared" si="1214"/>
        <v>59</v>
      </c>
      <c r="F1993" s="24">
        <f>SUM(F1982:F1992)</f>
        <v>16</v>
      </c>
      <c r="G1993" s="24">
        <f>SUM(G1982:G1992)</f>
        <v>26</v>
      </c>
      <c r="H1993" s="25">
        <f>SUM(H1982:H1992)</f>
        <v>17</v>
      </c>
      <c r="I1993" s="26">
        <f t="shared" si="1215"/>
        <v>59</v>
      </c>
      <c r="K1993" s="23" t="s">
        <v>4</v>
      </c>
      <c r="L1993" s="24">
        <f>SUM(L1982:L1992)</f>
        <v>241</v>
      </c>
      <c r="M1993" s="24">
        <f t="shared" ref="M1993" si="1225">SUM(M1982:M1992)</f>
        <v>384</v>
      </c>
      <c r="N1993" s="25">
        <f t="shared" ref="N1993" si="1226">SUM(N1982:N1992)</f>
        <v>303</v>
      </c>
      <c r="O1993" s="26">
        <f t="shared" ref="O1993" si="1227">SUM(O1982:O1992)</f>
        <v>928</v>
      </c>
      <c r="P1993" s="24">
        <f t="shared" ref="P1993" si="1228">SUM(P1982:P1992)</f>
        <v>241</v>
      </c>
      <c r="Q1993" s="24">
        <f t="shared" ref="Q1993" si="1229">SUM(Q1982:Q1992)</f>
        <v>384</v>
      </c>
      <c r="R1993" s="25">
        <f t="shared" ref="R1993" si="1230">SUM(R1982:R1992)</f>
        <v>303</v>
      </c>
      <c r="S1993" s="26">
        <f t="shared" ref="S1993" si="1231">SUM(S1982:S1992)</f>
        <v>928</v>
      </c>
      <c r="U1993" s="23" t="s">
        <v>4</v>
      </c>
      <c r="V1993" s="24">
        <f>SUM(V1982:V1992)</f>
        <v>23</v>
      </c>
      <c r="W1993" s="24">
        <f>SUM(W1982:W1992)</f>
        <v>24</v>
      </c>
      <c r="X1993" s="25">
        <f>SUM(X1982:X1992)</f>
        <v>17</v>
      </c>
      <c r="Y1993" s="26">
        <f t="shared" si="1217"/>
        <v>64</v>
      </c>
      <c r="Z1993" s="24">
        <f>SUM(Z1982:Z1992)</f>
        <v>23</v>
      </c>
      <c r="AA1993" s="24">
        <f>SUM(AA1982:AA1992)</f>
        <v>24</v>
      </c>
      <c r="AB1993" s="25">
        <f>SUM(AB1982:AB1992)</f>
        <v>17</v>
      </c>
      <c r="AC1993" s="26">
        <f t="shared" si="1218"/>
        <v>64</v>
      </c>
      <c r="AD1993" s="24">
        <f>SUM(AD1982:AD1992)</f>
        <v>23</v>
      </c>
      <c r="AE1993" s="24">
        <f>SUM(AE1982:AE1992)</f>
        <v>24</v>
      </c>
      <c r="AF1993" s="25">
        <f>SUM(AF1982:AF1992)</f>
        <v>17</v>
      </c>
      <c r="AG1993" s="26">
        <f t="shared" si="1219"/>
        <v>64</v>
      </c>
    </row>
    <row r="1994" spans="1:33">
      <c r="A1994" s="3" t="s">
        <v>1097</v>
      </c>
      <c r="B1994" s="8">
        <v>1</v>
      </c>
      <c r="C1994" s="9"/>
      <c r="D1994" s="10"/>
      <c r="E1994" s="7">
        <f t="shared" si="1214"/>
        <v>1</v>
      </c>
      <c r="F1994" s="8">
        <v>1</v>
      </c>
      <c r="G1994" s="9"/>
      <c r="H1994" s="10"/>
      <c r="I1994" s="7">
        <f t="shared" si="1215"/>
        <v>1</v>
      </c>
      <c r="J1994" s="43">
        <v>45856</v>
      </c>
      <c r="K1994" s="3" t="s">
        <v>80</v>
      </c>
      <c r="L1994" s="8">
        <v>5</v>
      </c>
      <c r="M1994" s="9">
        <v>4</v>
      </c>
      <c r="N1994" s="10">
        <v>1</v>
      </c>
      <c r="O1994" s="7">
        <f t="shared" ref="O1994:O2008" si="1232">SUM(L1994:N1994)</f>
        <v>10</v>
      </c>
      <c r="P1994" s="8">
        <v>5</v>
      </c>
      <c r="Q1994" s="9">
        <v>4</v>
      </c>
      <c r="R1994" s="10">
        <v>1</v>
      </c>
      <c r="S1994" s="7">
        <f t="shared" ref="S1994:S2008" si="1233">SUM(P1994:R1994)</f>
        <v>10</v>
      </c>
      <c r="T1994" s="43">
        <v>45854</v>
      </c>
      <c r="U1994" s="40"/>
      <c r="V1994" s="8"/>
      <c r="W1994" s="9"/>
      <c r="X1994" s="10"/>
      <c r="Y1994" s="4">
        <f t="shared" si="1217"/>
        <v>0</v>
      </c>
      <c r="Z1994" s="8"/>
      <c r="AA1994" s="9"/>
      <c r="AB1994" s="10"/>
      <c r="AC1994" s="4">
        <f t="shared" si="1218"/>
        <v>0</v>
      </c>
      <c r="AD1994" s="8"/>
      <c r="AE1994" s="9"/>
      <c r="AF1994" s="10"/>
      <c r="AG1994" s="4">
        <f t="shared" si="1219"/>
        <v>0</v>
      </c>
    </row>
    <row r="1995" spans="1:33">
      <c r="A1995" s="3" t="s">
        <v>356</v>
      </c>
      <c r="B1995" s="8"/>
      <c r="C1995" s="9">
        <v>2</v>
      </c>
      <c r="D1995" s="10"/>
      <c r="E1995" s="7">
        <f t="shared" si="1214"/>
        <v>2</v>
      </c>
      <c r="F1995" s="8"/>
      <c r="G1995" s="9">
        <v>2</v>
      </c>
      <c r="H1995" s="10"/>
      <c r="I1995" s="7">
        <f t="shared" si="1215"/>
        <v>2</v>
      </c>
      <c r="J1995" s="43">
        <v>45860</v>
      </c>
      <c r="K1995" s="3" t="s">
        <v>356</v>
      </c>
      <c r="L1995" s="8">
        <v>4</v>
      </c>
      <c r="M1995" s="9">
        <v>6</v>
      </c>
      <c r="N1995" s="10">
        <v>5</v>
      </c>
      <c r="O1995" s="7">
        <f t="shared" si="1232"/>
        <v>15</v>
      </c>
      <c r="P1995" s="8">
        <v>4</v>
      </c>
      <c r="Q1995" s="9">
        <v>6</v>
      </c>
      <c r="R1995" s="10">
        <v>5</v>
      </c>
      <c r="S1995" s="7">
        <f t="shared" si="1233"/>
        <v>15</v>
      </c>
      <c r="T1995" s="43">
        <v>45855</v>
      </c>
      <c r="U1995" s="40"/>
      <c r="V1995" s="8"/>
      <c r="W1995" s="9"/>
      <c r="X1995" s="10"/>
      <c r="Y1995" s="4">
        <f t="shared" si="1217"/>
        <v>0</v>
      </c>
      <c r="Z1995" s="8"/>
      <c r="AA1995" s="9"/>
      <c r="AB1995" s="10"/>
      <c r="AC1995" s="4">
        <f t="shared" si="1218"/>
        <v>0</v>
      </c>
      <c r="AD1995" s="8"/>
      <c r="AE1995" s="9"/>
      <c r="AF1995" s="10"/>
      <c r="AG1995" s="4">
        <f t="shared" si="1219"/>
        <v>0</v>
      </c>
    </row>
    <row r="1996" spans="1:33">
      <c r="A1996" s="3" t="s">
        <v>357</v>
      </c>
      <c r="B1996" s="8"/>
      <c r="C1996" s="9">
        <v>1</v>
      </c>
      <c r="D1996" s="10">
        <v>1</v>
      </c>
      <c r="E1996" s="7">
        <f t="shared" si="1214"/>
        <v>2</v>
      </c>
      <c r="F1996" s="8"/>
      <c r="G1996" s="9">
        <v>1</v>
      </c>
      <c r="H1996" s="10">
        <v>1</v>
      </c>
      <c r="I1996" s="7">
        <f t="shared" si="1215"/>
        <v>2</v>
      </c>
      <c r="J1996" s="43">
        <v>45862</v>
      </c>
      <c r="K1996" s="3" t="s">
        <v>357</v>
      </c>
      <c r="L1996" s="8">
        <v>2</v>
      </c>
      <c r="M1996" s="9"/>
      <c r="N1996" s="10">
        <v>3</v>
      </c>
      <c r="O1996" s="7">
        <f t="shared" si="1232"/>
        <v>5</v>
      </c>
      <c r="P1996" s="8">
        <v>2</v>
      </c>
      <c r="Q1996" s="9"/>
      <c r="R1996" s="10">
        <v>3</v>
      </c>
      <c r="S1996" s="7">
        <f t="shared" si="1233"/>
        <v>5</v>
      </c>
      <c r="T1996" s="43">
        <v>45856</v>
      </c>
      <c r="U1996" s="40"/>
      <c r="V1996" s="8"/>
      <c r="W1996" s="9"/>
      <c r="X1996" s="10"/>
      <c r="Y1996" s="7">
        <f t="shared" si="1217"/>
        <v>0</v>
      </c>
      <c r="Z1996" s="8"/>
      <c r="AA1996" s="9"/>
      <c r="AB1996" s="10"/>
      <c r="AC1996" s="7">
        <f t="shared" si="1218"/>
        <v>0</v>
      </c>
      <c r="AD1996" s="8"/>
      <c r="AE1996" s="9"/>
      <c r="AF1996" s="10"/>
      <c r="AG1996" s="7">
        <f t="shared" si="1219"/>
        <v>0</v>
      </c>
    </row>
    <row r="1997" spans="1:33">
      <c r="A1997" s="3" t="s">
        <v>358</v>
      </c>
      <c r="B1997" s="8"/>
      <c r="C1997" s="9">
        <v>1</v>
      </c>
      <c r="D1997" s="10"/>
      <c r="E1997" s="7">
        <f t="shared" si="1214"/>
        <v>1</v>
      </c>
      <c r="F1997" s="8"/>
      <c r="G1997" s="9">
        <v>1</v>
      </c>
      <c r="H1997" s="10"/>
      <c r="I1997" s="7">
        <f t="shared" si="1215"/>
        <v>1</v>
      </c>
      <c r="J1997" s="43">
        <v>45863</v>
      </c>
      <c r="K1997" s="3" t="s">
        <v>1099</v>
      </c>
      <c r="L1997" s="8"/>
      <c r="M1997" s="9">
        <v>1</v>
      </c>
      <c r="N1997" s="10"/>
      <c r="O1997" s="7">
        <f t="shared" si="1232"/>
        <v>1</v>
      </c>
      <c r="P1997" s="8"/>
      <c r="Q1997" s="9">
        <v>1</v>
      </c>
      <c r="R1997" s="10"/>
      <c r="S1997" s="7">
        <f t="shared" si="1233"/>
        <v>1</v>
      </c>
      <c r="T1997" s="43">
        <v>45862</v>
      </c>
      <c r="U1997" s="40"/>
      <c r="V1997" s="8"/>
      <c r="W1997" s="9"/>
      <c r="X1997" s="10"/>
      <c r="Y1997" s="4">
        <f t="shared" si="1217"/>
        <v>0</v>
      </c>
      <c r="Z1997" s="8"/>
      <c r="AA1997" s="9"/>
      <c r="AB1997" s="10"/>
      <c r="AC1997" s="4">
        <f t="shared" si="1218"/>
        <v>0</v>
      </c>
      <c r="AD1997" s="8"/>
      <c r="AE1997" s="9"/>
      <c r="AF1997" s="10"/>
      <c r="AG1997" s="4">
        <f t="shared" si="1219"/>
        <v>0</v>
      </c>
    </row>
    <row r="1998" spans="1:33">
      <c r="A1998" s="3" t="s">
        <v>1101</v>
      </c>
      <c r="B1998" s="8">
        <v>3</v>
      </c>
      <c r="C1998" s="9">
        <v>2</v>
      </c>
      <c r="D1998" s="10">
        <v>2</v>
      </c>
      <c r="E1998" s="7">
        <f t="shared" si="1214"/>
        <v>7</v>
      </c>
      <c r="F1998" s="8">
        <v>3</v>
      </c>
      <c r="G1998" s="9">
        <v>2</v>
      </c>
      <c r="H1998" s="10">
        <v>2</v>
      </c>
      <c r="I1998" s="7">
        <f t="shared" si="1215"/>
        <v>7</v>
      </c>
      <c r="J1998" s="43">
        <v>45866</v>
      </c>
      <c r="K1998" s="3" t="s">
        <v>912</v>
      </c>
      <c r="L1998" s="8"/>
      <c r="M1998" s="9">
        <v>1</v>
      </c>
      <c r="N1998" s="10"/>
      <c r="O1998" s="7">
        <f t="shared" si="1232"/>
        <v>1</v>
      </c>
      <c r="P1998" s="8"/>
      <c r="Q1998" s="9">
        <v>1</v>
      </c>
      <c r="R1998" s="10"/>
      <c r="S1998" s="7">
        <f t="shared" si="1233"/>
        <v>1</v>
      </c>
      <c r="T1998" s="43">
        <v>45863</v>
      </c>
      <c r="U1998" s="3"/>
      <c r="V1998" s="8"/>
      <c r="W1998" s="9"/>
      <c r="X1998" s="10"/>
      <c r="Y1998" s="4">
        <f t="shared" si="1217"/>
        <v>0</v>
      </c>
      <c r="Z1998" s="8"/>
      <c r="AA1998" s="9"/>
      <c r="AB1998" s="10"/>
      <c r="AC1998" s="4">
        <f t="shared" si="1218"/>
        <v>0</v>
      </c>
      <c r="AD1998" s="8"/>
      <c r="AE1998" s="9"/>
      <c r="AF1998" s="10"/>
      <c r="AG1998" s="4">
        <f t="shared" si="1219"/>
        <v>0</v>
      </c>
    </row>
    <row r="1999" spans="1:33">
      <c r="A1999" s="3" t="s">
        <v>368</v>
      </c>
      <c r="B1999" s="8"/>
      <c r="C1999" s="9">
        <v>1</v>
      </c>
      <c r="D1999" s="10">
        <v>2</v>
      </c>
      <c r="E1999" s="7">
        <f t="shared" si="1214"/>
        <v>3</v>
      </c>
      <c r="F1999" s="8"/>
      <c r="G1999" s="9">
        <v>1</v>
      </c>
      <c r="H1999" s="10">
        <v>2</v>
      </c>
      <c r="I1999" s="7">
        <f t="shared" si="1215"/>
        <v>3</v>
      </c>
      <c r="J1999" s="43">
        <v>45869</v>
      </c>
      <c r="K1999" s="3" t="s">
        <v>1100</v>
      </c>
      <c r="L1999" s="8">
        <v>23</v>
      </c>
      <c r="M1999" s="9"/>
      <c r="N1999" s="10">
        <v>1</v>
      </c>
      <c r="O1999" s="7">
        <f t="shared" si="1232"/>
        <v>24</v>
      </c>
      <c r="P1999" s="8">
        <v>23</v>
      </c>
      <c r="Q1999" s="9"/>
      <c r="R1999" s="10">
        <v>1</v>
      </c>
      <c r="S1999" s="7">
        <f t="shared" si="1233"/>
        <v>24</v>
      </c>
      <c r="T1999" s="43">
        <v>45866</v>
      </c>
      <c r="U1999" s="3"/>
      <c r="V1999" s="8"/>
      <c r="W1999" s="9"/>
      <c r="X1999" s="10"/>
      <c r="Y1999" s="7">
        <f t="shared" si="1217"/>
        <v>0</v>
      </c>
      <c r="Z1999" s="8"/>
      <c r="AA1999" s="9"/>
      <c r="AB1999" s="10"/>
      <c r="AC1999" s="7">
        <f t="shared" si="1218"/>
        <v>0</v>
      </c>
      <c r="AD1999" s="8"/>
      <c r="AE1999" s="9"/>
      <c r="AF1999" s="10"/>
      <c r="AG1999" s="7">
        <f t="shared" si="1219"/>
        <v>0</v>
      </c>
    </row>
    <row r="2000" spans="1:33">
      <c r="A2000" s="3" t="s">
        <v>802</v>
      </c>
      <c r="B2000" s="8">
        <v>1</v>
      </c>
      <c r="C2000" s="9"/>
      <c r="D2000" s="10">
        <v>1</v>
      </c>
      <c r="E2000" s="7">
        <f t="shared" si="1214"/>
        <v>2</v>
      </c>
      <c r="F2000" s="8">
        <v>1</v>
      </c>
      <c r="G2000" s="9"/>
      <c r="H2000" s="10">
        <v>1</v>
      </c>
      <c r="I2000" s="7">
        <f t="shared" si="1215"/>
        <v>2</v>
      </c>
      <c r="J2000" s="43">
        <v>45870</v>
      </c>
      <c r="K2000" s="3" t="s">
        <v>361</v>
      </c>
      <c r="L2000" s="8"/>
      <c r="M2000" s="9">
        <v>3</v>
      </c>
      <c r="N2000" s="10"/>
      <c r="O2000" s="7">
        <f t="shared" si="1232"/>
        <v>3</v>
      </c>
      <c r="P2000" s="8"/>
      <c r="Q2000" s="9">
        <v>3</v>
      </c>
      <c r="R2000" s="10"/>
      <c r="S2000" s="7">
        <f t="shared" si="1233"/>
        <v>3</v>
      </c>
      <c r="T2000" s="43">
        <v>45863</v>
      </c>
      <c r="U2000" s="3"/>
      <c r="V2000" s="8"/>
      <c r="W2000" s="9"/>
      <c r="X2000" s="10"/>
      <c r="Y2000" s="7">
        <f t="shared" si="1217"/>
        <v>0</v>
      </c>
      <c r="Z2000" s="8"/>
      <c r="AA2000" s="9"/>
      <c r="AB2000" s="10"/>
      <c r="AC2000" s="7">
        <f t="shared" si="1218"/>
        <v>0</v>
      </c>
      <c r="AD2000" s="8"/>
      <c r="AE2000" s="9"/>
      <c r="AF2000" s="10"/>
      <c r="AG2000" s="7">
        <f t="shared" si="1219"/>
        <v>0</v>
      </c>
    </row>
    <row r="2001" spans="1:33">
      <c r="A2001" s="3" t="s">
        <v>373</v>
      </c>
      <c r="B2001" s="8"/>
      <c r="C2001" s="9">
        <v>3</v>
      </c>
      <c r="D2001" s="10">
        <v>2</v>
      </c>
      <c r="E2001" s="7">
        <f t="shared" si="1214"/>
        <v>5</v>
      </c>
      <c r="F2001" s="8"/>
      <c r="G2001" s="9">
        <v>3</v>
      </c>
      <c r="H2001" s="10">
        <v>2</v>
      </c>
      <c r="I2001" s="7">
        <f t="shared" si="1215"/>
        <v>5</v>
      </c>
      <c r="J2001" s="43">
        <v>45873</v>
      </c>
      <c r="K2001" s="3" t="s">
        <v>295</v>
      </c>
      <c r="L2001" s="8">
        <v>5</v>
      </c>
      <c r="M2001" s="9">
        <v>5</v>
      </c>
      <c r="N2001" s="10"/>
      <c r="O2001" s="7">
        <f t="shared" si="1232"/>
        <v>10</v>
      </c>
      <c r="P2001" s="8">
        <v>5</v>
      </c>
      <c r="Q2001" s="9">
        <v>5</v>
      </c>
      <c r="R2001" s="10"/>
      <c r="S2001" s="7">
        <f t="shared" si="1233"/>
        <v>10</v>
      </c>
      <c r="T2001" s="43">
        <v>45863</v>
      </c>
      <c r="U2001" s="3"/>
      <c r="V2001" s="8"/>
      <c r="W2001" s="9"/>
      <c r="X2001" s="10"/>
      <c r="Y2001" s="7">
        <f t="shared" si="1217"/>
        <v>0</v>
      </c>
      <c r="Z2001" s="8"/>
      <c r="AA2001" s="9"/>
      <c r="AB2001" s="10"/>
      <c r="AC2001" s="7">
        <f t="shared" si="1218"/>
        <v>0</v>
      </c>
      <c r="AD2001" s="8"/>
      <c r="AE2001" s="9"/>
      <c r="AF2001" s="10"/>
      <c r="AG2001" s="7">
        <f t="shared" si="1219"/>
        <v>0</v>
      </c>
    </row>
    <row r="2002" spans="1:33">
      <c r="A2002" s="3" t="s">
        <v>585</v>
      </c>
      <c r="B2002" s="8">
        <v>2</v>
      </c>
      <c r="C2002" s="9">
        <v>1</v>
      </c>
      <c r="D2002" s="10">
        <v>1</v>
      </c>
      <c r="E2002" s="7">
        <f t="shared" si="1214"/>
        <v>4</v>
      </c>
      <c r="F2002" s="8">
        <v>2</v>
      </c>
      <c r="G2002" s="9">
        <v>1</v>
      </c>
      <c r="H2002" s="10">
        <v>1</v>
      </c>
      <c r="I2002" s="7">
        <f t="shared" si="1215"/>
        <v>4</v>
      </c>
      <c r="J2002" s="43">
        <v>45875</v>
      </c>
      <c r="K2002" s="3" t="s">
        <v>1102</v>
      </c>
      <c r="L2002" s="8">
        <v>20</v>
      </c>
      <c r="M2002" s="9">
        <v>20</v>
      </c>
      <c r="N2002" s="10">
        <v>20</v>
      </c>
      <c r="O2002" s="7">
        <f t="shared" si="1232"/>
        <v>60</v>
      </c>
      <c r="P2002" s="8">
        <v>20</v>
      </c>
      <c r="Q2002" s="9">
        <v>20</v>
      </c>
      <c r="R2002" s="10">
        <v>20</v>
      </c>
      <c r="S2002" s="7">
        <f t="shared" si="1233"/>
        <v>60</v>
      </c>
      <c r="T2002" s="43">
        <v>45868</v>
      </c>
      <c r="U2002" s="3"/>
      <c r="V2002" s="8"/>
      <c r="W2002" s="9"/>
      <c r="X2002" s="10"/>
      <c r="Y2002" s="7">
        <f t="shared" si="1217"/>
        <v>0</v>
      </c>
      <c r="Z2002" s="8"/>
      <c r="AA2002" s="9"/>
      <c r="AB2002" s="10"/>
      <c r="AC2002" s="7">
        <f t="shared" si="1218"/>
        <v>0</v>
      </c>
      <c r="AD2002" s="8"/>
      <c r="AE2002" s="9"/>
      <c r="AF2002" s="10"/>
      <c r="AG2002" s="7">
        <f t="shared" si="1219"/>
        <v>0</v>
      </c>
    </row>
    <row r="2003" spans="1:33">
      <c r="A2003" s="3" t="s">
        <v>1099</v>
      </c>
      <c r="B2003" s="8">
        <v>2</v>
      </c>
      <c r="C2003" s="9">
        <v>3</v>
      </c>
      <c r="D2003" s="10"/>
      <c r="E2003" s="7">
        <f t="shared" si="1214"/>
        <v>5</v>
      </c>
      <c r="F2003" s="8">
        <v>2</v>
      </c>
      <c r="G2003" s="9">
        <v>3</v>
      </c>
      <c r="H2003" s="10"/>
      <c r="I2003" s="7">
        <f t="shared" si="1215"/>
        <v>5</v>
      </c>
      <c r="J2003" s="43">
        <v>45876</v>
      </c>
      <c r="K2003" s="3" t="s">
        <v>366</v>
      </c>
      <c r="L2003" s="8">
        <v>5</v>
      </c>
      <c r="M2003" s="9">
        <v>9</v>
      </c>
      <c r="N2003" s="10">
        <v>4</v>
      </c>
      <c r="O2003" s="7">
        <f t="shared" si="1232"/>
        <v>18</v>
      </c>
      <c r="P2003" s="8">
        <v>5</v>
      </c>
      <c r="Q2003" s="9">
        <v>9</v>
      </c>
      <c r="R2003" s="10">
        <v>4</v>
      </c>
      <c r="S2003" s="7">
        <f t="shared" si="1233"/>
        <v>18</v>
      </c>
      <c r="T2003" s="43">
        <v>45868</v>
      </c>
      <c r="U2003" s="3"/>
      <c r="V2003" s="8"/>
      <c r="W2003" s="9"/>
      <c r="X2003" s="10"/>
      <c r="Y2003" s="7">
        <f t="shared" si="1217"/>
        <v>0</v>
      </c>
      <c r="Z2003" s="8"/>
      <c r="AA2003" s="9"/>
      <c r="AB2003" s="10"/>
      <c r="AC2003" s="7">
        <f t="shared" si="1218"/>
        <v>0</v>
      </c>
      <c r="AD2003" s="8"/>
      <c r="AE2003" s="9"/>
      <c r="AF2003" s="10"/>
      <c r="AG2003" s="7">
        <f t="shared" si="1219"/>
        <v>0</v>
      </c>
    </row>
    <row r="2004" spans="1:33">
      <c r="A2004" s="3" t="s">
        <v>807</v>
      </c>
      <c r="B2004" s="8"/>
      <c r="C2004" s="9">
        <v>2</v>
      </c>
      <c r="D2004" s="10"/>
      <c r="E2004" s="7">
        <f t="shared" si="1214"/>
        <v>2</v>
      </c>
      <c r="F2004" s="8"/>
      <c r="G2004" s="9">
        <v>2</v>
      </c>
      <c r="H2004" s="10"/>
      <c r="I2004" s="7">
        <f t="shared" si="1215"/>
        <v>2</v>
      </c>
      <c r="J2004" s="43">
        <v>45877</v>
      </c>
      <c r="K2004" s="3" t="s">
        <v>914</v>
      </c>
      <c r="L2004" s="8"/>
      <c r="M2004" s="9">
        <v>1</v>
      </c>
      <c r="N2004" s="10"/>
      <c r="O2004" s="7">
        <f t="shared" si="1232"/>
        <v>1</v>
      </c>
      <c r="P2004" s="8"/>
      <c r="Q2004" s="9">
        <v>1</v>
      </c>
      <c r="R2004" s="10"/>
      <c r="S2004" s="7">
        <f t="shared" si="1233"/>
        <v>1</v>
      </c>
      <c r="T2004" s="43">
        <v>45874</v>
      </c>
      <c r="U2004" s="3"/>
      <c r="V2004" s="30"/>
      <c r="W2004" s="9"/>
      <c r="X2004" s="10"/>
      <c r="Y2004" s="7">
        <f t="shared" si="1217"/>
        <v>0</v>
      </c>
      <c r="Z2004" s="8"/>
      <c r="AA2004" s="9"/>
      <c r="AB2004" s="10"/>
      <c r="AC2004" s="7">
        <f t="shared" si="1218"/>
        <v>0</v>
      </c>
      <c r="AD2004" s="8"/>
      <c r="AE2004" s="9"/>
      <c r="AF2004" s="10"/>
      <c r="AG2004" s="7">
        <f t="shared" si="1219"/>
        <v>0</v>
      </c>
    </row>
    <row r="2005" spans="1:33">
      <c r="A2005" s="3" t="s">
        <v>589</v>
      </c>
      <c r="B2005" s="8"/>
      <c r="C2005" s="9">
        <v>1</v>
      </c>
      <c r="D2005" s="10"/>
      <c r="E2005" s="7">
        <f t="shared" si="1214"/>
        <v>1</v>
      </c>
      <c r="F2005" s="8"/>
      <c r="G2005" s="9">
        <v>1</v>
      </c>
      <c r="H2005" s="10"/>
      <c r="I2005" s="7">
        <f t="shared" si="1215"/>
        <v>1</v>
      </c>
      <c r="J2005" s="43">
        <v>45877</v>
      </c>
      <c r="K2005" s="3" t="s">
        <v>582</v>
      </c>
      <c r="L2005" s="8">
        <v>1</v>
      </c>
      <c r="M2005" s="9">
        <v>1</v>
      </c>
      <c r="N2005" s="10">
        <v>8</v>
      </c>
      <c r="O2005" s="7">
        <f t="shared" si="1232"/>
        <v>10</v>
      </c>
      <c r="P2005" s="8">
        <v>1</v>
      </c>
      <c r="Q2005" s="9">
        <v>1</v>
      </c>
      <c r="R2005" s="10">
        <v>8</v>
      </c>
      <c r="S2005" s="7">
        <f t="shared" si="1233"/>
        <v>10</v>
      </c>
      <c r="T2005" s="43">
        <v>45870</v>
      </c>
      <c r="U2005" s="3"/>
      <c r="V2005" s="8"/>
      <c r="W2005" s="9"/>
      <c r="X2005" s="10"/>
      <c r="Y2005" s="7">
        <f t="shared" si="1217"/>
        <v>0</v>
      </c>
      <c r="Z2005" s="8"/>
      <c r="AA2005" s="9"/>
      <c r="AB2005" s="10"/>
      <c r="AC2005" s="7">
        <f t="shared" si="1218"/>
        <v>0</v>
      </c>
      <c r="AD2005" s="8"/>
      <c r="AE2005" s="9"/>
      <c r="AF2005" s="10"/>
      <c r="AG2005" s="7">
        <f t="shared" si="1219"/>
        <v>0</v>
      </c>
    </row>
    <row r="2006" spans="1:33">
      <c r="A2006" s="3" t="s">
        <v>592</v>
      </c>
      <c r="B2006" s="8">
        <v>1</v>
      </c>
      <c r="C2006" s="9">
        <v>1</v>
      </c>
      <c r="D2006" s="10">
        <v>1</v>
      </c>
      <c r="E2006" s="7">
        <f t="shared" si="1214"/>
        <v>3</v>
      </c>
      <c r="F2006" s="8">
        <v>1</v>
      </c>
      <c r="G2006" s="9">
        <v>1</v>
      </c>
      <c r="H2006" s="10">
        <v>1</v>
      </c>
      <c r="I2006" s="7">
        <f t="shared" si="1215"/>
        <v>3</v>
      </c>
      <c r="J2006" s="43">
        <v>45885</v>
      </c>
      <c r="K2006" s="3" t="s">
        <v>1104</v>
      </c>
      <c r="L2006" s="8">
        <v>5</v>
      </c>
      <c r="M2006" s="9"/>
      <c r="N2006" s="10"/>
      <c r="O2006" s="7">
        <f t="shared" si="1232"/>
        <v>5</v>
      </c>
      <c r="P2006" s="8">
        <v>5</v>
      </c>
      <c r="Q2006" s="9"/>
      <c r="R2006" s="10"/>
      <c r="S2006" s="7">
        <f t="shared" si="1233"/>
        <v>5</v>
      </c>
      <c r="T2006" s="43">
        <v>45873</v>
      </c>
      <c r="U2006" s="3"/>
      <c r="V2006" s="8"/>
      <c r="W2006" s="9"/>
      <c r="X2006" s="10"/>
      <c r="Y2006" s="7">
        <f t="shared" si="1217"/>
        <v>0</v>
      </c>
      <c r="Z2006" s="8"/>
      <c r="AA2006" s="9"/>
      <c r="AB2006" s="10"/>
      <c r="AC2006" s="7">
        <f t="shared" si="1218"/>
        <v>0</v>
      </c>
      <c r="AD2006" s="8"/>
      <c r="AE2006" s="9"/>
      <c r="AF2006" s="10"/>
      <c r="AG2006" s="7">
        <f t="shared" si="1219"/>
        <v>0</v>
      </c>
    </row>
    <row r="2007" spans="1:33">
      <c r="A2007" s="3"/>
      <c r="B2007" s="8"/>
      <c r="C2007" s="9"/>
      <c r="D2007" s="10"/>
      <c r="E2007" s="7">
        <f t="shared" si="1214"/>
        <v>0</v>
      </c>
      <c r="F2007" s="8"/>
      <c r="G2007" s="9"/>
      <c r="H2007" s="10"/>
      <c r="I2007" s="7">
        <f t="shared" si="1215"/>
        <v>0</v>
      </c>
      <c r="J2007" s="71"/>
      <c r="K2007" s="3" t="s">
        <v>295</v>
      </c>
      <c r="L2007" s="8"/>
      <c r="M2007" s="9">
        <v>5</v>
      </c>
      <c r="N2007" s="10">
        <v>5</v>
      </c>
      <c r="O2007" s="7">
        <f t="shared" si="1232"/>
        <v>10</v>
      </c>
      <c r="P2007" s="8"/>
      <c r="Q2007" s="9">
        <v>5</v>
      </c>
      <c r="R2007" s="10">
        <v>5</v>
      </c>
      <c r="S2007" s="7">
        <f t="shared" si="1233"/>
        <v>10</v>
      </c>
      <c r="T2007" s="43">
        <v>45870</v>
      </c>
      <c r="U2007" s="3"/>
      <c r="V2007" s="8"/>
      <c r="W2007" s="9"/>
      <c r="X2007" s="10"/>
      <c r="Y2007" s="7">
        <f t="shared" si="1217"/>
        <v>0</v>
      </c>
      <c r="Z2007" s="8"/>
      <c r="AA2007" s="9"/>
      <c r="AB2007" s="10"/>
      <c r="AC2007" s="7">
        <f t="shared" si="1218"/>
        <v>0</v>
      </c>
      <c r="AD2007" s="8"/>
      <c r="AE2007" s="9"/>
      <c r="AF2007" s="10"/>
      <c r="AG2007" s="7">
        <f t="shared" si="1219"/>
        <v>0</v>
      </c>
    </row>
    <row r="2008" spans="1:33">
      <c r="A2008" s="3"/>
      <c r="B2008" s="8"/>
      <c r="C2008" s="9"/>
      <c r="D2008" s="10"/>
      <c r="E2008" s="7">
        <f t="shared" si="1214"/>
        <v>0</v>
      </c>
      <c r="F2008" s="8"/>
      <c r="G2008" s="9"/>
      <c r="H2008" s="10"/>
      <c r="I2008" s="7">
        <f t="shared" si="1215"/>
        <v>0</v>
      </c>
      <c r="K2008" s="3" t="s">
        <v>1105</v>
      </c>
      <c r="L2008" s="8"/>
      <c r="M2008" s="9"/>
      <c r="N2008" s="10">
        <v>15</v>
      </c>
      <c r="O2008" s="7">
        <f t="shared" si="1232"/>
        <v>15</v>
      </c>
      <c r="P2008" s="8"/>
      <c r="Q2008" s="9"/>
      <c r="R2008" s="10">
        <v>15</v>
      </c>
      <c r="S2008" s="7">
        <f t="shared" si="1233"/>
        <v>15</v>
      </c>
      <c r="T2008" s="43">
        <v>45875</v>
      </c>
      <c r="U2008" s="3"/>
      <c r="V2008" s="8"/>
      <c r="W2008" s="9"/>
      <c r="X2008" s="10"/>
      <c r="Y2008" s="7">
        <f t="shared" si="1217"/>
        <v>0</v>
      </c>
      <c r="Z2008" s="8"/>
      <c r="AA2008" s="9"/>
      <c r="AB2008" s="10"/>
      <c r="AC2008" s="7">
        <f t="shared" si="1218"/>
        <v>0</v>
      </c>
      <c r="AD2008" s="8"/>
      <c r="AE2008" s="9"/>
      <c r="AF2008" s="10"/>
      <c r="AG2008" s="7">
        <f t="shared" si="1219"/>
        <v>0</v>
      </c>
    </row>
    <row r="2009" spans="1:33">
      <c r="A2009" s="3"/>
      <c r="B2009" s="8"/>
      <c r="C2009" s="9"/>
      <c r="D2009" s="10"/>
      <c r="E2009" s="7">
        <f t="shared" si="1214"/>
        <v>0</v>
      </c>
      <c r="F2009" s="8"/>
      <c r="G2009" s="9"/>
      <c r="H2009" s="10"/>
      <c r="I2009" s="7">
        <f t="shared" si="1215"/>
        <v>0</v>
      </c>
      <c r="K2009" s="3" t="s">
        <v>295</v>
      </c>
      <c r="L2009" s="8">
        <v>5</v>
      </c>
      <c r="M2009" s="9">
        <v>5</v>
      </c>
      <c r="N2009" s="10">
        <v>5</v>
      </c>
      <c r="O2009" s="7">
        <f t="shared" ref="O2009:O2012" si="1234">SUM(L2009:N2009)</f>
        <v>15</v>
      </c>
      <c r="P2009" s="8">
        <v>5</v>
      </c>
      <c r="Q2009" s="9">
        <v>5</v>
      </c>
      <c r="R2009" s="10">
        <v>5</v>
      </c>
      <c r="S2009" s="7">
        <f t="shared" ref="S2009:S2012" si="1235">SUM(P2009:R2009)</f>
        <v>15</v>
      </c>
      <c r="T2009" s="43">
        <v>45874</v>
      </c>
      <c r="U2009" s="3"/>
      <c r="V2009" s="8"/>
      <c r="W2009" s="9"/>
      <c r="X2009" s="10"/>
      <c r="Y2009" s="7">
        <f t="shared" si="1217"/>
        <v>0</v>
      </c>
      <c r="Z2009" s="8"/>
      <c r="AA2009" s="9"/>
      <c r="AB2009" s="10"/>
      <c r="AC2009" s="7">
        <f t="shared" si="1218"/>
        <v>0</v>
      </c>
      <c r="AD2009" s="8"/>
      <c r="AE2009" s="9"/>
      <c r="AF2009" s="10"/>
      <c r="AG2009" s="7">
        <f t="shared" si="1219"/>
        <v>0</v>
      </c>
    </row>
    <row r="2010" spans="1:33">
      <c r="A2010" s="3"/>
      <c r="B2010" s="8"/>
      <c r="C2010" s="9"/>
      <c r="D2010" s="10"/>
      <c r="E2010" s="7">
        <f t="shared" si="1214"/>
        <v>0</v>
      </c>
      <c r="F2010" s="8"/>
      <c r="G2010" s="9"/>
      <c r="H2010" s="10"/>
      <c r="I2010" s="7">
        <f t="shared" si="1215"/>
        <v>0</v>
      </c>
      <c r="K2010" s="3" t="s">
        <v>377</v>
      </c>
      <c r="L2010" s="8">
        <v>2</v>
      </c>
      <c r="M2010" s="9"/>
      <c r="N2010" s="10"/>
      <c r="O2010" s="7">
        <f t="shared" si="1234"/>
        <v>2</v>
      </c>
      <c r="P2010" s="8">
        <v>2</v>
      </c>
      <c r="Q2010" s="9"/>
      <c r="R2010" s="10"/>
      <c r="S2010" s="7">
        <f t="shared" si="1235"/>
        <v>2</v>
      </c>
      <c r="T2010" s="43">
        <v>45876</v>
      </c>
      <c r="U2010" s="3"/>
      <c r="V2010" s="8"/>
      <c r="W2010" s="9"/>
      <c r="X2010" s="10"/>
      <c r="Y2010" s="7">
        <f t="shared" si="1217"/>
        <v>0</v>
      </c>
      <c r="Z2010" s="8"/>
      <c r="AA2010" s="9"/>
      <c r="AB2010" s="10"/>
      <c r="AC2010" s="7">
        <f t="shared" si="1218"/>
        <v>0</v>
      </c>
      <c r="AD2010" s="8"/>
      <c r="AE2010" s="9"/>
      <c r="AF2010" s="10"/>
      <c r="AG2010" s="7">
        <f t="shared" si="1219"/>
        <v>0</v>
      </c>
    </row>
    <row r="2011" spans="1:33">
      <c r="A2011" s="3"/>
      <c r="B2011" s="8"/>
      <c r="C2011" s="9"/>
      <c r="D2011" s="10"/>
      <c r="E2011" s="7">
        <f t="shared" si="1214"/>
        <v>0</v>
      </c>
      <c r="F2011" s="8"/>
      <c r="G2011" s="9"/>
      <c r="H2011" s="10"/>
      <c r="I2011" s="7">
        <f t="shared" si="1215"/>
        <v>0</v>
      </c>
      <c r="K2011" s="3" t="s">
        <v>1106</v>
      </c>
      <c r="L2011" s="8"/>
      <c r="M2011" s="9">
        <v>5</v>
      </c>
      <c r="N2011" s="10"/>
      <c r="O2011" s="7">
        <f t="shared" si="1234"/>
        <v>5</v>
      </c>
      <c r="P2011" s="8"/>
      <c r="Q2011" s="9">
        <v>5</v>
      </c>
      <c r="R2011" s="10"/>
      <c r="S2011" s="7">
        <f t="shared" si="1235"/>
        <v>5</v>
      </c>
      <c r="T2011" s="43">
        <v>45890</v>
      </c>
      <c r="U2011" s="3"/>
      <c r="V2011" s="8"/>
      <c r="W2011" s="9"/>
      <c r="X2011" s="10"/>
      <c r="Y2011" s="7">
        <f t="shared" si="1217"/>
        <v>0</v>
      </c>
      <c r="Z2011" s="8"/>
      <c r="AA2011" s="9"/>
      <c r="AB2011" s="10"/>
      <c r="AC2011" s="7">
        <f t="shared" si="1218"/>
        <v>0</v>
      </c>
      <c r="AD2011" s="8"/>
      <c r="AE2011" s="9"/>
      <c r="AF2011" s="10"/>
      <c r="AG2011" s="7">
        <f t="shared" si="1219"/>
        <v>0</v>
      </c>
    </row>
    <row r="2012" spans="1:33">
      <c r="A2012" s="11"/>
      <c r="B2012" s="8"/>
      <c r="C2012" s="9"/>
      <c r="D2012" s="10"/>
      <c r="E2012" s="7">
        <f t="shared" si="1214"/>
        <v>0</v>
      </c>
      <c r="F2012" s="8"/>
      <c r="G2012" s="9"/>
      <c r="H2012" s="10"/>
      <c r="I2012" s="7">
        <f t="shared" si="1215"/>
        <v>0</v>
      </c>
      <c r="K2012" s="3" t="s">
        <v>1107</v>
      </c>
      <c r="L2012" s="8"/>
      <c r="M2012" s="9">
        <v>2</v>
      </c>
      <c r="N2012" s="10"/>
      <c r="O2012" s="7">
        <f t="shared" si="1234"/>
        <v>2</v>
      </c>
      <c r="P2012" s="8"/>
      <c r="Q2012" s="9">
        <v>2</v>
      </c>
      <c r="R2012" s="10"/>
      <c r="S2012" s="7">
        <f t="shared" si="1235"/>
        <v>2</v>
      </c>
      <c r="T2012" s="43">
        <v>45889</v>
      </c>
      <c r="U2012" s="3"/>
      <c r="V2012" s="8"/>
      <c r="W2012" s="9"/>
      <c r="X2012" s="10"/>
      <c r="Y2012" s="7">
        <f t="shared" si="1217"/>
        <v>0</v>
      </c>
      <c r="Z2012" s="8"/>
      <c r="AA2012" s="9"/>
      <c r="AB2012" s="10"/>
      <c r="AC2012" s="7">
        <f t="shared" si="1218"/>
        <v>0</v>
      </c>
      <c r="AD2012" s="8"/>
      <c r="AE2012" s="9"/>
      <c r="AF2012" s="10"/>
      <c r="AG2012" s="7">
        <f t="shared" si="1219"/>
        <v>0</v>
      </c>
    </row>
    <row r="2013" spans="1:33">
      <c r="A2013" s="11"/>
      <c r="B2013" s="8"/>
      <c r="C2013" s="9"/>
      <c r="D2013" s="10"/>
      <c r="E2013" s="7">
        <f t="shared" si="1214"/>
        <v>0</v>
      </c>
      <c r="F2013" s="8"/>
      <c r="G2013" s="9"/>
      <c r="H2013" s="10"/>
      <c r="I2013" s="7">
        <f t="shared" si="1215"/>
        <v>0</v>
      </c>
      <c r="K2013" s="3"/>
      <c r="L2013" s="8"/>
      <c r="M2013" s="9"/>
      <c r="N2013" s="10"/>
      <c r="O2013" s="7">
        <f t="shared" ref="O2013" si="1236">SUM(L2013:N2013)</f>
        <v>0</v>
      </c>
      <c r="P2013" s="8"/>
      <c r="Q2013" s="9"/>
      <c r="R2013" s="10"/>
      <c r="S2013" s="7">
        <f t="shared" ref="S2013" si="1237">SUM(P2013:R2013)</f>
        <v>0</v>
      </c>
      <c r="T2013" s="71"/>
      <c r="U2013" s="3"/>
      <c r="V2013" s="8"/>
      <c r="W2013" s="9"/>
      <c r="X2013" s="10"/>
      <c r="Y2013" s="7">
        <f t="shared" si="1217"/>
        <v>0</v>
      </c>
      <c r="Z2013" s="8"/>
      <c r="AA2013" s="9"/>
      <c r="AB2013" s="10"/>
      <c r="AC2013" s="7">
        <f t="shared" si="1218"/>
        <v>0</v>
      </c>
      <c r="AD2013" s="8"/>
      <c r="AE2013" s="9"/>
      <c r="AF2013" s="10"/>
      <c r="AG2013" s="7">
        <f t="shared" si="1219"/>
        <v>0</v>
      </c>
    </row>
    <row r="2014" spans="1:33">
      <c r="A2014" s="11"/>
      <c r="B2014" s="8"/>
      <c r="C2014" s="9"/>
      <c r="D2014" s="10"/>
      <c r="E2014" s="7">
        <f t="shared" si="1214"/>
        <v>0</v>
      </c>
      <c r="F2014" s="8"/>
      <c r="G2014" s="9"/>
      <c r="H2014" s="10"/>
      <c r="I2014" s="7">
        <f t="shared" si="1215"/>
        <v>0</v>
      </c>
      <c r="K2014" s="3" t="s">
        <v>1070</v>
      </c>
      <c r="L2014" s="8"/>
      <c r="M2014" s="9"/>
      <c r="N2014" s="10"/>
      <c r="O2014" s="7">
        <f t="shared" si="1220"/>
        <v>0</v>
      </c>
      <c r="P2014" s="8"/>
      <c r="Q2014" s="9"/>
      <c r="R2014" s="10"/>
      <c r="S2014" s="7">
        <f t="shared" si="1221"/>
        <v>0</v>
      </c>
      <c r="T2014" s="71" t="s">
        <v>1071</v>
      </c>
      <c r="U2014" s="11"/>
      <c r="V2014" s="8"/>
      <c r="W2014" s="9"/>
      <c r="X2014" s="10"/>
      <c r="Y2014" s="7">
        <f t="shared" si="1217"/>
        <v>0</v>
      </c>
      <c r="Z2014" s="8"/>
      <c r="AA2014" s="9"/>
      <c r="AB2014" s="10"/>
      <c r="AC2014" s="7">
        <f t="shared" si="1218"/>
        <v>0</v>
      </c>
      <c r="AD2014" s="8"/>
      <c r="AE2014" s="9"/>
      <c r="AF2014" s="10"/>
      <c r="AG2014" s="7">
        <f t="shared" si="1219"/>
        <v>0</v>
      </c>
    </row>
    <row r="2015" spans="1:33">
      <c r="A2015" s="11"/>
      <c r="B2015" s="8"/>
      <c r="C2015" s="9"/>
      <c r="D2015" s="10"/>
      <c r="E2015" s="7">
        <f t="shared" si="1214"/>
        <v>0</v>
      </c>
      <c r="F2015" s="8"/>
      <c r="G2015" s="9"/>
      <c r="H2015" s="10"/>
      <c r="I2015" s="7">
        <f t="shared" si="1215"/>
        <v>0</v>
      </c>
      <c r="K2015" s="11" t="s">
        <v>1077</v>
      </c>
      <c r="L2015" s="8"/>
      <c r="M2015" s="9"/>
      <c r="N2015" s="10"/>
      <c r="O2015" s="7">
        <f t="shared" si="1220"/>
        <v>0</v>
      </c>
      <c r="P2015" s="8"/>
      <c r="Q2015" s="9"/>
      <c r="R2015" s="10"/>
      <c r="S2015" s="7">
        <f t="shared" si="1221"/>
        <v>0</v>
      </c>
      <c r="T2015" s="71" t="s">
        <v>109</v>
      </c>
      <c r="U2015" s="11"/>
      <c r="V2015" s="8"/>
      <c r="W2015" s="9"/>
      <c r="X2015" s="10"/>
      <c r="Y2015" s="7">
        <f t="shared" ref="Y2015" si="1238">SUM(V2015:X2015)</f>
        <v>0</v>
      </c>
      <c r="Z2015" s="8"/>
      <c r="AA2015" s="9"/>
      <c r="AB2015" s="10"/>
      <c r="AC2015" s="7">
        <f t="shared" ref="AC2015" si="1239">SUM(Z2015:AB2015)</f>
        <v>0</v>
      </c>
      <c r="AD2015" s="8"/>
      <c r="AE2015" s="9"/>
      <c r="AF2015" s="10"/>
      <c r="AG2015" s="7">
        <f t="shared" ref="AG2015" si="1240">SUM(AD2015:AF2015)</f>
        <v>0</v>
      </c>
    </row>
    <row r="2016" spans="1:33">
      <c r="A2016" s="11"/>
      <c r="B2016" s="8"/>
      <c r="C2016" s="9"/>
      <c r="D2016" s="10"/>
      <c r="E2016" s="7">
        <f t="shared" si="1214"/>
        <v>0</v>
      </c>
      <c r="F2016" s="8"/>
      <c r="G2016" s="9"/>
      <c r="H2016" s="10"/>
      <c r="I2016" s="7">
        <f t="shared" si="1215"/>
        <v>0</v>
      </c>
      <c r="K2016" s="40" t="s">
        <v>1074</v>
      </c>
      <c r="L2016" s="79"/>
      <c r="M2016" s="80"/>
      <c r="N2016" s="81"/>
      <c r="O2016" s="82">
        <f t="shared" si="1220"/>
        <v>0</v>
      </c>
      <c r="P2016" s="79"/>
      <c r="Q2016" s="80"/>
      <c r="R2016" s="81"/>
      <c r="S2016" s="82">
        <f t="shared" si="1221"/>
        <v>0</v>
      </c>
      <c r="T2016" s="92"/>
      <c r="U2016" s="3"/>
      <c r="V2016" s="8"/>
      <c r="W2016" s="9"/>
      <c r="X2016" s="10"/>
      <c r="Y2016" s="7">
        <f t="shared" si="1217"/>
        <v>0</v>
      </c>
      <c r="Z2016" s="8"/>
      <c r="AA2016" s="9"/>
      <c r="AB2016" s="10"/>
      <c r="AC2016" s="7">
        <f t="shared" si="1218"/>
        <v>0</v>
      </c>
      <c r="AD2016" s="8"/>
      <c r="AE2016" s="9"/>
      <c r="AF2016" s="10"/>
      <c r="AG2016" s="7">
        <f t="shared" si="1219"/>
        <v>0</v>
      </c>
    </row>
    <row r="2017" spans="1:33" ht="14.25" thickBot="1">
      <c r="A2017" s="11"/>
      <c r="B2017" s="8"/>
      <c r="C2017" s="9"/>
      <c r="D2017" s="10"/>
      <c r="E2017" s="7">
        <f t="shared" ref="E2017" si="1241">SUM(B2017:D2017)</f>
        <v>0</v>
      </c>
      <c r="F2017" s="8"/>
      <c r="G2017" s="9"/>
      <c r="H2017" s="10"/>
      <c r="I2017" s="7">
        <f t="shared" ref="I2017" si="1242">SUM(F2017:H2017)</f>
        <v>0</v>
      </c>
      <c r="K2017" s="3" t="s">
        <v>1073</v>
      </c>
      <c r="L2017" s="8"/>
      <c r="M2017" s="9"/>
      <c r="N2017" s="10"/>
      <c r="O2017" s="7">
        <f t="shared" si="1220"/>
        <v>0</v>
      </c>
      <c r="P2017" s="8"/>
      <c r="Q2017" s="9"/>
      <c r="R2017" s="10"/>
      <c r="S2017" s="7">
        <f t="shared" si="1221"/>
        <v>0</v>
      </c>
      <c r="T2017" s="71" t="s">
        <v>1075</v>
      </c>
      <c r="U2017" s="3"/>
      <c r="V2017" s="8"/>
      <c r="W2017" s="9"/>
      <c r="X2017" s="10"/>
      <c r="Y2017" s="7">
        <f t="shared" ref="Y2017" si="1243">SUM(V2017:X2017)</f>
        <v>0</v>
      </c>
      <c r="Z2017" s="8"/>
      <c r="AA2017" s="9"/>
      <c r="AB2017" s="10"/>
      <c r="AC2017" s="7">
        <f t="shared" ref="AC2017" si="1244">SUM(Z2017:AB2017)</f>
        <v>0</v>
      </c>
      <c r="AD2017" s="8"/>
      <c r="AE2017" s="9"/>
      <c r="AF2017" s="10"/>
      <c r="AG2017" s="7">
        <f t="shared" ref="AG2017" si="1245">SUM(AD2017:AF2017)</f>
        <v>0</v>
      </c>
    </row>
    <row r="2018" spans="1:33" ht="14.25" thickBot="1">
      <c r="A2018" s="2" t="s">
        <v>5</v>
      </c>
      <c r="B2018" s="14">
        <f>SUM(B1994:B2017)</f>
        <v>10</v>
      </c>
      <c r="C2018" s="14">
        <f>SUM(C1994:C2017)</f>
        <v>18</v>
      </c>
      <c r="D2018" s="14">
        <f>SUM(D1994:D2017)</f>
        <v>10</v>
      </c>
      <c r="E2018" s="15">
        <f t="shared" si="1214"/>
        <v>38</v>
      </c>
      <c r="F2018" s="14">
        <f>SUM(F1994:F2017)</f>
        <v>10</v>
      </c>
      <c r="G2018" s="14">
        <f>SUM(G1994:G2017)</f>
        <v>18</v>
      </c>
      <c r="H2018" s="14">
        <f>SUM(H1994:H2017)</f>
        <v>10</v>
      </c>
      <c r="I2018" s="15">
        <f t="shared" si="1215"/>
        <v>38</v>
      </c>
      <c r="K2018" s="2" t="s">
        <v>5</v>
      </c>
      <c r="L2018" s="14">
        <f>SUM(L1994:L2017)</f>
        <v>77</v>
      </c>
      <c r="M2018" s="14">
        <f t="shared" ref="M2018" si="1246">SUM(M1994:M2017)</f>
        <v>68</v>
      </c>
      <c r="N2018" s="14">
        <f t="shared" ref="N2018" si="1247">SUM(N1994:N2017)</f>
        <v>67</v>
      </c>
      <c r="O2018" s="15">
        <f t="shared" ref="O2018" si="1248">SUM(O1994:O2017)</f>
        <v>212</v>
      </c>
      <c r="P2018" s="14">
        <f t="shared" ref="P2018" si="1249">SUM(P1994:P2017)</f>
        <v>77</v>
      </c>
      <c r="Q2018" s="14">
        <f t="shared" ref="Q2018" si="1250">SUM(Q1994:Q2017)</f>
        <v>68</v>
      </c>
      <c r="R2018" s="14">
        <f t="shared" ref="R2018" si="1251">SUM(R1994:R2017)</f>
        <v>67</v>
      </c>
      <c r="S2018" s="15">
        <f t="shared" ref="S2018" si="1252">SUM(S1994:S2017)</f>
        <v>212</v>
      </c>
      <c r="U2018" s="2" t="s">
        <v>5</v>
      </c>
      <c r="V2018" s="14">
        <f>SUM(V1994:V2017)</f>
        <v>0</v>
      </c>
      <c r="W2018" s="14">
        <f>SUM(W1994:W2017)</f>
        <v>0</v>
      </c>
      <c r="X2018" s="14">
        <f>SUM(X1994:X2017)</f>
        <v>0</v>
      </c>
      <c r="Y2018" s="15">
        <f t="shared" si="1217"/>
        <v>0</v>
      </c>
      <c r="Z2018" s="14">
        <f>SUM(Z1994:Z2017)</f>
        <v>0</v>
      </c>
      <c r="AA2018" s="14">
        <f>SUM(AA1994:AA2017)</f>
        <v>0</v>
      </c>
      <c r="AB2018" s="14">
        <f>SUM(AB1994:AB2017)</f>
        <v>0</v>
      </c>
      <c r="AC2018" s="15">
        <f t="shared" si="1218"/>
        <v>0</v>
      </c>
      <c r="AD2018" s="14">
        <f>SUM(AD1994:AD2017)</f>
        <v>0</v>
      </c>
      <c r="AE2018" s="14">
        <f>SUM(AE1994:AE2017)</f>
        <v>0</v>
      </c>
      <c r="AF2018" s="14">
        <f>SUM(AF1994:AF2017)</f>
        <v>0</v>
      </c>
      <c r="AG2018" s="15">
        <f t="shared" si="1219"/>
        <v>0</v>
      </c>
    </row>
    <row r="2019" spans="1:33" ht="14.25" thickBot="1">
      <c r="A2019" s="27" t="s">
        <v>6</v>
      </c>
      <c r="B2019" s="28">
        <f>B1993-B2018</f>
        <v>6</v>
      </c>
      <c r="C2019" s="28">
        <f t="shared" ref="C2019:E2019" si="1253">C1993-C2018</f>
        <v>8</v>
      </c>
      <c r="D2019" s="28">
        <f t="shared" si="1253"/>
        <v>7</v>
      </c>
      <c r="E2019" s="28">
        <f t="shared" si="1253"/>
        <v>21</v>
      </c>
      <c r="F2019" s="28">
        <f>F1993-F2018</f>
        <v>6</v>
      </c>
      <c r="G2019" s="28">
        <f t="shared" ref="G2019:I2019" si="1254">G1993-G2018</f>
        <v>8</v>
      </c>
      <c r="H2019" s="28">
        <f t="shared" si="1254"/>
        <v>7</v>
      </c>
      <c r="I2019" s="26">
        <f t="shared" si="1254"/>
        <v>21</v>
      </c>
      <c r="K2019" s="27" t="s">
        <v>6</v>
      </c>
      <c r="L2019" s="28">
        <f>L1993-L2018</f>
        <v>164</v>
      </c>
      <c r="M2019" s="28">
        <f t="shared" ref="M2019" si="1255">M1993-M2018</f>
        <v>316</v>
      </c>
      <c r="N2019" s="28">
        <f t="shared" ref="N2019" si="1256">N1993-N2018</f>
        <v>236</v>
      </c>
      <c r="O2019" s="28">
        <f t="shared" ref="O2019" si="1257">O1993-O2018</f>
        <v>716</v>
      </c>
      <c r="P2019" s="28">
        <f t="shared" ref="P2019" si="1258">P1993-P2018</f>
        <v>164</v>
      </c>
      <c r="Q2019" s="28">
        <f t="shared" ref="Q2019" si="1259">Q1993-Q2018</f>
        <v>316</v>
      </c>
      <c r="R2019" s="28">
        <f t="shared" ref="R2019" si="1260">R1993-R2018</f>
        <v>236</v>
      </c>
      <c r="S2019" s="26">
        <f t="shared" ref="S2019" si="1261">S1993-S2018</f>
        <v>716</v>
      </c>
      <c r="U2019" s="27" t="s">
        <v>6</v>
      </c>
      <c r="V2019" s="28">
        <f>V1993-V2018</f>
        <v>23</v>
      </c>
      <c r="W2019" s="28">
        <f t="shared" ref="W2019:Y2019" si="1262">W1993-W2018</f>
        <v>24</v>
      </c>
      <c r="X2019" s="28">
        <f t="shared" si="1262"/>
        <v>17</v>
      </c>
      <c r="Y2019" s="28">
        <f t="shared" si="1262"/>
        <v>64</v>
      </c>
      <c r="Z2019" s="28">
        <f>Z1993-Z2018</f>
        <v>23</v>
      </c>
      <c r="AA2019" s="28">
        <f t="shared" ref="AA2019:AC2019" si="1263">AA1993-AA2018</f>
        <v>24</v>
      </c>
      <c r="AB2019" s="28">
        <f t="shared" si="1263"/>
        <v>17</v>
      </c>
      <c r="AC2019" s="26">
        <f t="shared" si="1263"/>
        <v>64</v>
      </c>
      <c r="AD2019" s="28">
        <f>AD1993-AD2018</f>
        <v>23</v>
      </c>
      <c r="AE2019" s="28">
        <f t="shared" ref="AE2019:AG2019" si="1264">AE1993-AE2018</f>
        <v>24</v>
      </c>
      <c r="AF2019" s="28">
        <f t="shared" si="1264"/>
        <v>17</v>
      </c>
      <c r="AG2019" s="26">
        <f t="shared" si="1264"/>
        <v>64</v>
      </c>
    </row>
    <row r="2020" spans="1:33">
      <c r="K2020" s="144"/>
      <c r="L2020" s="131"/>
      <c r="M2020" s="131"/>
      <c r="N2020" s="131"/>
      <c r="O2020" s="131"/>
      <c r="U2020" s="144" t="s">
        <v>1036</v>
      </c>
      <c r="V2020" s="131" t="e">
        <f>V2021/$O$2021*100</f>
        <v>#DIV/0!</v>
      </c>
      <c r="W2020" s="131" t="e">
        <f t="shared" ref="W2020:Y2020" si="1265">W2021/$O$2021*100</f>
        <v>#DIV/0!</v>
      </c>
      <c r="X2020" s="131" t="e">
        <f t="shared" si="1265"/>
        <v>#DIV/0!</v>
      </c>
      <c r="Y2020" s="131" t="e">
        <f t="shared" si="1265"/>
        <v>#DIV/0!</v>
      </c>
    </row>
    <row r="2021" spans="1:33" ht="24">
      <c r="K2021" s="94"/>
      <c r="T2021" s="150" t="s">
        <v>1058</v>
      </c>
      <c r="U2021" s="94" t="s">
        <v>1034</v>
      </c>
      <c r="V2021">
        <f>V1985+V1942+V1903+V1899+V1853+V1989</f>
        <v>23</v>
      </c>
      <c r="W2021">
        <f t="shared" ref="W2021:Y2021" si="1266">W1985+W1942+W1903+W1899+W1853+W1989</f>
        <v>24</v>
      </c>
      <c r="X2021">
        <f t="shared" si="1266"/>
        <v>17</v>
      </c>
      <c r="Y2021">
        <f t="shared" si="1266"/>
        <v>64</v>
      </c>
      <c r="Z2021" s="147" t="s">
        <v>1035</v>
      </c>
      <c r="AA2021" s="149">
        <v>718</v>
      </c>
      <c r="AB2021" s="149">
        <v>977</v>
      </c>
      <c r="AC2021" s="149">
        <v>604</v>
      </c>
      <c r="AD2021" s="149">
        <f>SUM(AA2021:AC2021)</f>
        <v>2299</v>
      </c>
    </row>
    <row r="2022" spans="1:33" ht="26.25" thickBot="1">
      <c r="A2022" s="33" t="s">
        <v>1008</v>
      </c>
      <c r="B2022" s="34"/>
      <c r="C2022" s="34"/>
      <c r="D2022" s="34"/>
      <c r="E2022" s="34"/>
      <c r="F2022" s="35"/>
      <c r="G2022" s="35"/>
      <c r="H2022" s="35"/>
      <c r="I2022" s="35"/>
      <c r="K2022" s="33" t="s">
        <v>1004</v>
      </c>
      <c r="L2022" s="34"/>
      <c r="M2022" s="34"/>
      <c r="N2022" s="34"/>
      <c r="O2022" s="34"/>
      <c r="P2022" s="35"/>
      <c r="Q2022" s="35"/>
      <c r="R2022" s="35"/>
      <c r="S2022" s="35"/>
      <c r="T2022" s="147"/>
      <c r="U2022" s="113" t="s">
        <v>622</v>
      </c>
      <c r="V2022" s="114"/>
      <c r="W2022" s="114"/>
      <c r="X2022" s="114"/>
      <c r="Y2022" s="114"/>
      <c r="Z2022" s="115"/>
      <c r="AA2022" s="115"/>
      <c r="AB2022" s="115"/>
      <c r="AC2022" s="115"/>
      <c r="AD2022" s="116"/>
      <c r="AE2022" s="116"/>
    </row>
    <row r="2023" spans="1:33" ht="14.25" thickBot="1">
      <c r="A2023" s="1" t="s">
        <v>0</v>
      </c>
      <c r="B2023" s="182" t="s">
        <v>17</v>
      </c>
      <c r="C2023" s="182"/>
      <c r="D2023" s="182"/>
      <c r="E2023" s="183"/>
      <c r="F2023" s="182" t="s">
        <v>13</v>
      </c>
      <c r="G2023" s="182"/>
      <c r="H2023" s="182"/>
      <c r="I2023" s="183"/>
      <c r="K2023" s="1" t="s">
        <v>0</v>
      </c>
      <c r="L2023" s="181" t="s">
        <v>17</v>
      </c>
      <c r="M2023" s="182"/>
      <c r="N2023" s="182"/>
      <c r="O2023" s="133"/>
      <c r="P2023" s="181" t="s">
        <v>13</v>
      </c>
      <c r="Q2023" s="182"/>
      <c r="R2023" s="182"/>
      <c r="S2023" s="133"/>
      <c r="T2023" s="148"/>
      <c r="U2023" s="1" t="s">
        <v>0</v>
      </c>
      <c r="V2023" s="182" t="s">
        <v>17</v>
      </c>
      <c r="W2023" s="182"/>
      <c r="X2023" s="182"/>
      <c r="Y2023" s="183"/>
      <c r="Z2023" s="182" t="s">
        <v>13</v>
      </c>
      <c r="AA2023" s="182"/>
      <c r="AB2023" s="182"/>
      <c r="AC2023" s="183"/>
      <c r="AD2023" s="182" t="s">
        <v>242</v>
      </c>
      <c r="AE2023" s="182"/>
      <c r="AF2023" s="182"/>
      <c r="AG2023" s="183"/>
    </row>
    <row r="2024" spans="1:33" ht="14.25" thickBot="1">
      <c r="A2024" s="1" t="s">
        <v>1</v>
      </c>
      <c r="B2024" s="2" t="s">
        <v>8</v>
      </c>
      <c r="C2024" s="1" t="s">
        <v>9</v>
      </c>
      <c r="D2024" s="19" t="s">
        <v>10</v>
      </c>
      <c r="E2024" s="1" t="s">
        <v>2</v>
      </c>
      <c r="F2024" s="2" t="s">
        <v>8</v>
      </c>
      <c r="G2024" s="1" t="s">
        <v>9</v>
      </c>
      <c r="H2024" s="19" t="s">
        <v>10</v>
      </c>
      <c r="I2024" s="1" t="s">
        <v>2</v>
      </c>
      <c r="K2024" s="1" t="s">
        <v>1</v>
      </c>
      <c r="L2024" s="2" t="s">
        <v>8</v>
      </c>
      <c r="M2024" s="1" t="s">
        <v>9</v>
      </c>
      <c r="N2024" s="19" t="s">
        <v>10</v>
      </c>
      <c r="O2024" s="1" t="s">
        <v>2</v>
      </c>
      <c r="P2024" s="2" t="s">
        <v>8</v>
      </c>
      <c r="Q2024" s="1" t="s">
        <v>9</v>
      </c>
      <c r="R2024" s="19" t="s">
        <v>10</v>
      </c>
      <c r="S2024" s="1" t="s">
        <v>2</v>
      </c>
      <c r="U2024" s="1" t="s">
        <v>1</v>
      </c>
      <c r="V2024" s="2" t="s">
        <v>8</v>
      </c>
      <c r="W2024" s="1" t="s">
        <v>9</v>
      </c>
      <c r="X2024" s="19" t="s">
        <v>10</v>
      </c>
      <c r="Y2024" s="1" t="s">
        <v>2</v>
      </c>
      <c r="Z2024" s="2" t="s">
        <v>8</v>
      </c>
      <c r="AA2024" s="1" t="s">
        <v>9</v>
      </c>
      <c r="AB2024" s="19" t="s">
        <v>10</v>
      </c>
      <c r="AC2024" s="1" t="s">
        <v>2</v>
      </c>
      <c r="AD2024" s="2" t="s">
        <v>8</v>
      </c>
      <c r="AE2024" s="1" t="s">
        <v>9</v>
      </c>
      <c r="AF2024" s="19" t="s">
        <v>10</v>
      </c>
      <c r="AG2024" s="1" t="s">
        <v>2</v>
      </c>
    </row>
    <row r="2025" spans="1:33">
      <c r="A2025" s="21" t="s">
        <v>7</v>
      </c>
      <c r="B2025" s="18">
        <f>B2019</f>
        <v>6</v>
      </c>
      <c r="C2025" s="22">
        <f>C2019</f>
        <v>8</v>
      </c>
      <c r="D2025" s="22">
        <f>D2019</f>
        <v>7</v>
      </c>
      <c r="E2025" s="17">
        <f t="shared" ref="E2025:E2061" si="1267">SUM(B2025:D2025)</f>
        <v>21</v>
      </c>
      <c r="F2025" s="22">
        <f>F2019</f>
        <v>6</v>
      </c>
      <c r="G2025" s="22">
        <f>G2019</f>
        <v>8</v>
      </c>
      <c r="H2025" s="22">
        <f>H2019</f>
        <v>7</v>
      </c>
      <c r="I2025" s="17">
        <f t="shared" ref="I2025:I2061" si="1268">SUM(F2025:H2025)</f>
        <v>21</v>
      </c>
      <c r="K2025" s="21" t="s">
        <v>7</v>
      </c>
      <c r="L2025" s="18">
        <f>L2019</f>
        <v>164</v>
      </c>
      <c r="M2025" s="22">
        <f t="shared" ref="M2025:S2025" si="1269">M2019</f>
        <v>316</v>
      </c>
      <c r="N2025" s="22">
        <f t="shared" si="1269"/>
        <v>236</v>
      </c>
      <c r="O2025" s="17">
        <f t="shared" si="1269"/>
        <v>716</v>
      </c>
      <c r="P2025" s="22">
        <f t="shared" si="1269"/>
        <v>164</v>
      </c>
      <c r="Q2025" s="22">
        <f t="shared" si="1269"/>
        <v>316</v>
      </c>
      <c r="R2025" s="22">
        <f t="shared" si="1269"/>
        <v>236</v>
      </c>
      <c r="S2025" s="17">
        <f t="shared" si="1269"/>
        <v>716</v>
      </c>
      <c r="U2025" s="21" t="s">
        <v>7</v>
      </c>
      <c r="V2025" s="18">
        <f>V2019</f>
        <v>23</v>
      </c>
      <c r="W2025" s="22">
        <f>W2019</f>
        <v>24</v>
      </c>
      <c r="X2025" s="22">
        <f>X2019</f>
        <v>17</v>
      </c>
      <c r="Y2025" s="17">
        <f t="shared" ref="Y2025:Y2061" si="1270">SUM(V2025:X2025)</f>
        <v>64</v>
      </c>
      <c r="Z2025" s="22">
        <f>Z2019</f>
        <v>23</v>
      </c>
      <c r="AA2025" s="22">
        <f>AA2019</f>
        <v>24</v>
      </c>
      <c r="AB2025" s="22">
        <f>AB2019</f>
        <v>17</v>
      </c>
      <c r="AC2025" s="17">
        <f t="shared" ref="AC2025:AC2061" si="1271">SUM(Z2025:AB2025)</f>
        <v>64</v>
      </c>
      <c r="AD2025" s="22">
        <f>AD2019</f>
        <v>23</v>
      </c>
      <c r="AE2025" s="22">
        <f>AE2019</f>
        <v>24</v>
      </c>
      <c r="AF2025" s="22">
        <f>AF2019</f>
        <v>17</v>
      </c>
      <c r="AG2025" s="17">
        <f t="shared" ref="AG2025:AG2061" si="1272">SUM(AD2025:AF2025)</f>
        <v>64</v>
      </c>
    </row>
    <row r="2026" spans="1:33">
      <c r="A2026" s="5" t="s">
        <v>37</v>
      </c>
      <c r="B2026" s="16"/>
      <c r="C2026" s="11">
        <v>1</v>
      </c>
      <c r="D2026" s="16">
        <v>1</v>
      </c>
      <c r="E2026" s="4">
        <f t="shared" si="1267"/>
        <v>2</v>
      </c>
      <c r="F2026" s="16"/>
      <c r="G2026" s="11">
        <v>1</v>
      </c>
      <c r="H2026" s="16">
        <v>1</v>
      </c>
      <c r="I2026" s="4">
        <f t="shared" si="1268"/>
        <v>2</v>
      </c>
      <c r="J2026" s="49">
        <v>45895</v>
      </c>
      <c r="K2026" s="5" t="s">
        <v>3</v>
      </c>
      <c r="L2026" s="16"/>
      <c r="M2026" s="11"/>
      <c r="N2026" s="16"/>
      <c r="O2026" s="4">
        <f t="shared" ref="O2026:O2057" si="1273">SUM(L2026:N2026)</f>
        <v>0</v>
      </c>
      <c r="P2026" s="16"/>
      <c r="Q2026" s="11"/>
      <c r="R2026" s="16"/>
      <c r="S2026" s="4">
        <f t="shared" ref="S2026:S2057" si="1274">SUM(P2026:R2026)</f>
        <v>0</v>
      </c>
      <c r="U2026" s="5" t="s">
        <v>3</v>
      </c>
      <c r="V2026" s="16"/>
      <c r="W2026" s="11"/>
      <c r="X2026" s="16"/>
      <c r="Y2026" s="4">
        <f t="shared" si="1270"/>
        <v>0</v>
      </c>
      <c r="Z2026" s="16"/>
      <c r="AA2026" s="11"/>
      <c r="AB2026" s="16"/>
      <c r="AC2026" s="4">
        <f t="shared" si="1271"/>
        <v>0</v>
      </c>
      <c r="AD2026" s="16"/>
      <c r="AE2026" s="11"/>
      <c r="AF2026" s="16"/>
      <c r="AG2026" s="4">
        <f t="shared" si="1272"/>
        <v>0</v>
      </c>
    </row>
    <row r="2027" spans="1:33">
      <c r="A2027" s="5" t="s">
        <v>37</v>
      </c>
      <c r="B2027" s="16"/>
      <c r="C2027" s="11"/>
      <c r="D2027" s="16">
        <v>1</v>
      </c>
      <c r="E2027" s="4">
        <f t="shared" si="1267"/>
        <v>1</v>
      </c>
      <c r="F2027" s="16"/>
      <c r="G2027" s="11"/>
      <c r="H2027" s="16">
        <v>1</v>
      </c>
      <c r="I2027" s="4">
        <f t="shared" si="1268"/>
        <v>1</v>
      </c>
      <c r="J2027" s="49">
        <v>45910</v>
      </c>
      <c r="K2027" s="5" t="s">
        <v>3</v>
      </c>
      <c r="L2027" s="16"/>
      <c r="M2027" s="11"/>
      <c r="N2027" s="16"/>
      <c r="O2027" s="4">
        <f t="shared" si="1273"/>
        <v>0</v>
      </c>
      <c r="P2027" s="16"/>
      <c r="Q2027" s="11"/>
      <c r="R2027" s="16"/>
      <c r="S2027" s="4">
        <f t="shared" si="1274"/>
        <v>0</v>
      </c>
      <c r="U2027" s="5" t="s">
        <v>3</v>
      </c>
      <c r="V2027" s="32"/>
      <c r="W2027" s="31"/>
      <c r="X2027" s="32"/>
      <c r="Y2027" s="4">
        <f t="shared" si="1270"/>
        <v>0</v>
      </c>
      <c r="Z2027" s="32"/>
      <c r="AA2027" s="31"/>
      <c r="AB2027" s="32"/>
      <c r="AC2027" s="4">
        <f t="shared" si="1271"/>
        <v>0</v>
      </c>
      <c r="AD2027" s="32"/>
      <c r="AE2027" s="31"/>
      <c r="AF2027" s="32"/>
      <c r="AG2027" s="4">
        <f t="shared" si="1272"/>
        <v>0</v>
      </c>
    </row>
    <row r="2028" spans="1:33">
      <c r="A2028" s="5" t="s">
        <v>3</v>
      </c>
      <c r="B2028" s="16"/>
      <c r="C2028" s="11"/>
      <c r="D2028" s="16">
        <v>5</v>
      </c>
      <c r="E2028" s="4">
        <f t="shared" si="1267"/>
        <v>5</v>
      </c>
      <c r="F2028" s="16"/>
      <c r="G2028" s="11"/>
      <c r="H2028" s="16">
        <v>5</v>
      </c>
      <c r="I2028" s="4">
        <f t="shared" si="1268"/>
        <v>5</v>
      </c>
      <c r="J2028" s="43">
        <v>45931</v>
      </c>
      <c r="K2028" s="5" t="s">
        <v>3</v>
      </c>
      <c r="L2028" s="16"/>
      <c r="M2028" s="11"/>
      <c r="N2028" s="16"/>
      <c r="O2028" s="4">
        <f t="shared" ref="O2028:O2034" si="1275">SUM(L2028:N2028)</f>
        <v>0</v>
      </c>
      <c r="P2028" s="16"/>
      <c r="Q2028" s="11"/>
      <c r="R2028" s="16"/>
      <c r="S2028" s="4">
        <f t="shared" ref="S2028:S2034" si="1276">SUM(P2028:R2028)</f>
        <v>0</v>
      </c>
      <c r="U2028" s="5" t="s">
        <v>3</v>
      </c>
      <c r="V2028" s="32"/>
      <c r="W2028" s="31"/>
      <c r="X2028" s="32"/>
      <c r="Y2028" s="4">
        <f t="shared" si="1270"/>
        <v>0</v>
      </c>
      <c r="Z2028" s="32"/>
      <c r="AA2028" s="31"/>
      <c r="AB2028" s="32"/>
      <c r="AC2028" s="4">
        <f t="shared" si="1271"/>
        <v>0</v>
      </c>
      <c r="AD2028" s="32"/>
      <c r="AE2028" s="31"/>
      <c r="AF2028" s="32"/>
      <c r="AG2028" s="4">
        <f t="shared" si="1272"/>
        <v>0</v>
      </c>
    </row>
    <row r="2029" spans="1:33">
      <c r="A2029" s="5" t="s">
        <v>1127</v>
      </c>
      <c r="B2029" s="16"/>
      <c r="C2029" s="11"/>
      <c r="D2029" s="16">
        <v>1</v>
      </c>
      <c r="E2029" s="4">
        <f t="shared" si="1267"/>
        <v>1</v>
      </c>
      <c r="F2029" s="16"/>
      <c r="G2029" s="11"/>
      <c r="H2029" s="16">
        <v>1</v>
      </c>
      <c r="I2029" s="4">
        <f t="shared" si="1268"/>
        <v>1</v>
      </c>
      <c r="J2029" s="43">
        <v>45939</v>
      </c>
      <c r="K2029" s="5" t="s">
        <v>3</v>
      </c>
      <c r="L2029" s="16"/>
      <c r="M2029" s="11"/>
      <c r="N2029" s="16"/>
      <c r="O2029" s="4">
        <f t="shared" si="1275"/>
        <v>0</v>
      </c>
      <c r="P2029" s="16"/>
      <c r="Q2029" s="11"/>
      <c r="R2029" s="16"/>
      <c r="S2029" s="4">
        <f t="shared" si="1276"/>
        <v>0</v>
      </c>
      <c r="U2029" s="5" t="s">
        <v>3</v>
      </c>
      <c r="V2029" s="32"/>
      <c r="W2029" s="31"/>
      <c r="X2029" s="32"/>
      <c r="Y2029" s="4">
        <f t="shared" si="1270"/>
        <v>0</v>
      </c>
      <c r="Z2029" s="32"/>
      <c r="AA2029" s="31"/>
      <c r="AB2029" s="32"/>
      <c r="AC2029" s="4">
        <f t="shared" si="1271"/>
        <v>0</v>
      </c>
      <c r="AD2029" s="32"/>
      <c r="AE2029" s="31"/>
      <c r="AF2029" s="32"/>
      <c r="AG2029" s="4">
        <f t="shared" si="1272"/>
        <v>0</v>
      </c>
    </row>
    <row r="2030" spans="1:33">
      <c r="A2030" s="164" t="s">
        <v>3</v>
      </c>
      <c r="B2030" s="165">
        <v>5</v>
      </c>
      <c r="C2030" s="166"/>
      <c r="D2030" s="165"/>
      <c r="E2030" s="167">
        <f t="shared" si="1267"/>
        <v>5</v>
      </c>
      <c r="F2030" s="165">
        <v>5</v>
      </c>
      <c r="G2030" s="166"/>
      <c r="H2030" s="165"/>
      <c r="I2030" s="167">
        <f t="shared" si="1268"/>
        <v>5</v>
      </c>
      <c r="J2030" s="168">
        <v>45980</v>
      </c>
      <c r="K2030" s="5" t="s">
        <v>3</v>
      </c>
      <c r="L2030" s="16"/>
      <c r="M2030" s="11"/>
      <c r="N2030" s="16"/>
      <c r="O2030" s="4">
        <f t="shared" si="1275"/>
        <v>0</v>
      </c>
      <c r="P2030" s="16"/>
      <c r="Q2030" s="11"/>
      <c r="R2030" s="16"/>
      <c r="S2030" s="4">
        <f t="shared" si="1276"/>
        <v>0</v>
      </c>
      <c r="U2030" s="5" t="s">
        <v>3</v>
      </c>
      <c r="V2030" s="30"/>
      <c r="W2030" s="31"/>
      <c r="X2030" s="32"/>
      <c r="Y2030" s="4">
        <f t="shared" si="1270"/>
        <v>0</v>
      </c>
      <c r="Z2030" s="30"/>
      <c r="AA2030" s="31"/>
      <c r="AB2030" s="32"/>
      <c r="AC2030" s="4">
        <f t="shared" si="1271"/>
        <v>0</v>
      </c>
      <c r="AD2030" s="30"/>
      <c r="AE2030" s="31"/>
      <c r="AF2030" s="32"/>
      <c r="AG2030" s="4">
        <f t="shared" si="1272"/>
        <v>0</v>
      </c>
    </row>
    <row r="2031" spans="1:33">
      <c r="A2031" s="5" t="s">
        <v>1139</v>
      </c>
      <c r="B2031" s="16">
        <v>1</v>
      </c>
      <c r="C2031" s="11">
        <v>2</v>
      </c>
      <c r="D2031" s="16">
        <v>1</v>
      </c>
      <c r="E2031" s="4">
        <f t="shared" si="1267"/>
        <v>4</v>
      </c>
      <c r="F2031" s="16">
        <v>1</v>
      </c>
      <c r="G2031" s="11">
        <v>2</v>
      </c>
      <c r="H2031" s="16">
        <v>1</v>
      </c>
      <c r="I2031" s="4">
        <f t="shared" si="1268"/>
        <v>4</v>
      </c>
      <c r="J2031" s="49">
        <v>45993</v>
      </c>
      <c r="K2031" s="5" t="s">
        <v>3</v>
      </c>
      <c r="L2031" s="16"/>
      <c r="M2031" s="11"/>
      <c r="N2031" s="16"/>
      <c r="O2031" s="4">
        <f t="shared" si="1275"/>
        <v>0</v>
      </c>
      <c r="P2031" s="16"/>
      <c r="Q2031" s="11"/>
      <c r="R2031" s="16"/>
      <c r="S2031" s="4">
        <f t="shared" si="1276"/>
        <v>0</v>
      </c>
      <c r="U2031" s="5" t="s">
        <v>3</v>
      </c>
      <c r="V2031" s="30"/>
      <c r="W2031" s="31"/>
      <c r="X2031" s="32"/>
      <c r="Y2031" s="4">
        <f t="shared" si="1270"/>
        <v>0</v>
      </c>
      <c r="Z2031" s="30"/>
      <c r="AA2031" s="31"/>
      <c r="AB2031" s="32"/>
      <c r="AC2031" s="4">
        <f t="shared" si="1271"/>
        <v>0</v>
      </c>
      <c r="AD2031" s="30"/>
      <c r="AE2031" s="31"/>
      <c r="AF2031" s="32"/>
      <c r="AG2031" s="4">
        <f t="shared" si="1272"/>
        <v>0</v>
      </c>
    </row>
    <row r="2032" spans="1:33">
      <c r="A2032" s="5" t="s">
        <v>3</v>
      </c>
      <c r="B2032" s="32"/>
      <c r="C2032" s="31"/>
      <c r="D2032" s="32"/>
      <c r="E2032" s="4">
        <f t="shared" si="1267"/>
        <v>0</v>
      </c>
      <c r="F2032" s="32"/>
      <c r="G2032" s="31"/>
      <c r="H2032" s="32"/>
      <c r="I2032" s="4">
        <f t="shared" si="1268"/>
        <v>0</v>
      </c>
      <c r="K2032" s="5" t="s">
        <v>3</v>
      </c>
      <c r="L2032" s="16"/>
      <c r="M2032" s="11"/>
      <c r="N2032" s="16"/>
      <c r="O2032" s="4">
        <f t="shared" si="1275"/>
        <v>0</v>
      </c>
      <c r="P2032" s="16"/>
      <c r="Q2032" s="11"/>
      <c r="R2032" s="16"/>
      <c r="S2032" s="4">
        <f t="shared" si="1276"/>
        <v>0</v>
      </c>
      <c r="U2032" s="5" t="s">
        <v>3</v>
      </c>
      <c r="V2032" s="30"/>
      <c r="W2032" s="31"/>
      <c r="X2032" s="32"/>
      <c r="Y2032" s="4">
        <f t="shared" si="1270"/>
        <v>0</v>
      </c>
      <c r="Z2032" s="30"/>
      <c r="AA2032" s="31"/>
      <c r="AB2032" s="32"/>
      <c r="AC2032" s="4">
        <f t="shared" si="1271"/>
        <v>0</v>
      </c>
      <c r="AD2032" s="30"/>
      <c r="AE2032" s="31"/>
      <c r="AF2032" s="32"/>
      <c r="AG2032" s="4">
        <f t="shared" si="1272"/>
        <v>0</v>
      </c>
    </row>
    <row r="2033" spans="1:34">
      <c r="A2033" s="5" t="s">
        <v>3</v>
      </c>
      <c r="B2033" s="32"/>
      <c r="C2033" s="31"/>
      <c r="D2033" s="32"/>
      <c r="E2033" s="4">
        <f t="shared" si="1267"/>
        <v>0</v>
      </c>
      <c r="F2033" s="32"/>
      <c r="G2033" s="31"/>
      <c r="H2033" s="32"/>
      <c r="I2033" s="4">
        <f t="shared" si="1268"/>
        <v>0</v>
      </c>
      <c r="K2033" s="5" t="s">
        <v>3</v>
      </c>
      <c r="L2033" s="16"/>
      <c r="M2033" s="11"/>
      <c r="N2033" s="16"/>
      <c r="O2033" s="4">
        <f t="shared" si="1275"/>
        <v>0</v>
      </c>
      <c r="P2033" s="16"/>
      <c r="Q2033" s="11"/>
      <c r="R2033" s="16"/>
      <c r="S2033" s="4">
        <f t="shared" si="1276"/>
        <v>0</v>
      </c>
      <c r="U2033" s="5" t="s">
        <v>3</v>
      </c>
      <c r="V2033" s="30"/>
      <c r="W2033" s="31"/>
      <c r="X2033" s="32"/>
      <c r="Y2033" s="4">
        <f t="shared" si="1270"/>
        <v>0</v>
      </c>
      <c r="Z2033" s="30"/>
      <c r="AA2033" s="31"/>
      <c r="AB2033" s="32"/>
      <c r="AC2033" s="4">
        <f t="shared" si="1271"/>
        <v>0</v>
      </c>
      <c r="AD2033" s="30"/>
      <c r="AE2033" s="31"/>
      <c r="AF2033" s="32"/>
      <c r="AG2033" s="4">
        <f t="shared" si="1272"/>
        <v>0</v>
      </c>
    </row>
    <row r="2034" spans="1:34">
      <c r="A2034" s="5" t="s">
        <v>3</v>
      </c>
      <c r="B2034" s="30"/>
      <c r="C2034" s="31"/>
      <c r="D2034" s="32"/>
      <c r="E2034" s="4">
        <f t="shared" si="1267"/>
        <v>0</v>
      </c>
      <c r="F2034" s="30"/>
      <c r="G2034" s="31"/>
      <c r="H2034" s="32"/>
      <c r="I2034" s="4">
        <f t="shared" si="1268"/>
        <v>0</v>
      </c>
      <c r="K2034" s="5" t="s">
        <v>3</v>
      </c>
      <c r="L2034" s="16"/>
      <c r="M2034" s="11"/>
      <c r="N2034" s="16"/>
      <c r="O2034" s="4">
        <f t="shared" si="1275"/>
        <v>0</v>
      </c>
      <c r="P2034" s="16"/>
      <c r="Q2034" s="11"/>
      <c r="R2034" s="16"/>
      <c r="S2034" s="4">
        <f t="shared" si="1276"/>
        <v>0</v>
      </c>
      <c r="U2034" s="6" t="s">
        <v>1024</v>
      </c>
      <c r="V2034" s="8">
        <v>20</v>
      </c>
      <c r="W2034" s="9">
        <v>30</v>
      </c>
      <c r="X2034" s="10">
        <v>20</v>
      </c>
      <c r="Y2034" s="7">
        <f t="shared" si="1270"/>
        <v>70</v>
      </c>
      <c r="Z2034" s="10">
        <v>20</v>
      </c>
      <c r="AA2034" s="9">
        <v>30</v>
      </c>
      <c r="AB2034" s="10">
        <v>20</v>
      </c>
      <c r="AC2034" s="7">
        <f t="shared" si="1271"/>
        <v>70</v>
      </c>
      <c r="AD2034" s="81">
        <v>20</v>
      </c>
      <c r="AE2034" s="80">
        <v>30</v>
      </c>
      <c r="AF2034" s="81">
        <v>20</v>
      </c>
      <c r="AG2034" s="7">
        <f t="shared" si="1272"/>
        <v>70</v>
      </c>
      <c r="AH2034" s="92" t="s">
        <v>1087</v>
      </c>
    </row>
    <row r="2035" spans="1:34" ht="14.25" thickBot="1">
      <c r="A2035" s="6" t="s">
        <v>3</v>
      </c>
      <c r="B2035" s="36"/>
      <c r="C2035" s="37"/>
      <c r="D2035" s="36"/>
      <c r="E2035" s="20">
        <f t="shared" si="1267"/>
        <v>0</v>
      </c>
      <c r="F2035" s="13"/>
      <c r="G2035" s="12"/>
      <c r="H2035" s="13"/>
      <c r="I2035" s="20">
        <f t="shared" si="1268"/>
        <v>0</v>
      </c>
      <c r="K2035" s="6" t="s">
        <v>3</v>
      </c>
      <c r="L2035" s="36"/>
      <c r="M2035" s="37"/>
      <c r="N2035" s="36"/>
      <c r="O2035" s="20">
        <f t="shared" si="1273"/>
        <v>0</v>
      </c>
      <c r="P2035" s="13"/>
      <c r="Q2035" s="12"/>
      <c r="R2035" s="13"/>
      <c r="S2035" s="20">
        <f t="shared" si="1274"/>
        <v>0</v>
      </c>
      <c r="U2035" s="5" t="s">
        <v>3</v>
      </c>
      <c r="V2035" s="152"/>
      <c r="W2035" s="153"/>
      <c r="X2035" s="154"/>
      <c r="Y2035" s="4">
        <f t="shared" ref="Y2035" si="1277">SUM(V2035:X2035)</f>
        <v>0</v>
      </c>
      <c r="Z2035" s="152"/>
      <c r="AA2035" s="153"/>
      <c r="AB2035" s="154"/>
      <c r="AC2035" s="4">
        <f t="shared" ref="AC2035" si="1278">SUM(Z2035:AB2035)</f>
        <v>0</v>
      </c>
      <c r="AD2035" s="152"/>
      <c r="AE2035" s="153"/>
      <c r="AF2035" s="154"/>
      <c r="AG2035" s="4">
        <f t="shared" ref="AG2035" si="1279">SUM(AD2035:AF2035)</f>
        <v>0</v>
      </c>
    </row>
    <row r="2036" spans="1:34" ht="14.25" thickBot="1">
      <c r="A2036" s="23" t="s">
        <v>4</v>
      </c>
      <c r="B2036" s="24">
        <f>SUM(B2025:B2035)</f>
        <v>12</v>
      </c>
      <c r="C2036" s="24">
        <f>SUM(C2025:C2035)</f>
        <v>11</v>
      </c>
      <c r="D2036" s="25">
        <f>SUM(D2025:D2035)</f>
        <v>16</v>
      </c>
      <c r="E2036" s="26">
        <f t="shared" si="1267"/>
        <v>39</v>
      </c>
      <c r="F2036" s="24">
        <f>SUM(F2025:F2035)</f>
        <v>12</v>
      </c>
      <c r="G2036" s="24">
        <f>SUM(G2025:G2035)</f>
        <v>11</v>
      </c>
      <c r="H2036" s="25">
        <f>SUM(H2025:H2035)</f>
        <v>16</v>
      </c>
      <c r="I2036" s="26">
        <f t="shared" si="1268"/>
        <v>39</v>
      </c>
      <c r="K2036" s="23" t="s">
        <v>4</v>
      </c>
      <c r="L2036" s="24">
        <f>SUM(L2025:L2035)</f>
        <v>164</v>
      </c>
      <c r="M2036" s="24">
        <f t="shared" ref="M2036" si="1280">SUM(M2025:M2035)</f>
        <v>316</v>
      </c>
      <c r="N2036" s="25">
        <f t="shared" ref="N2036" si="1281">SUM(N2025:N2035)</f>
        <v>236</v>
      </c>
      <c r="O2036" s="26">
        <f t="shared" ref="O2036" si="1282">SUM(O2025:O2035)</f>
        <v>716</v>
      </c>
      <c r="P2036" s="24">
        <f t="shared" ref="P2036" si="1283">SUM(P2025:P2035)</f>
        <v>164</v>
      </c>
      <c r="Q2036" s="24">
        <f t="shared" ref="Q2036" si="1284">SUM(Q2025:Q2035)</f>
        <v>316</v>
      </c>
      <c r="R2036" s="25">
        <f t="shared" ref="R2036" si="1285">SUM(R2025:R2035)</f>
        <v>236</v>
      </c>
      <c r="S2036" s="26">
        <f t="shared" ref="S2036" si="1286">SUM(S2025:S2035)</f>
        <v>716</v>
      </c>
      <c r="U2036" s="23" t="s">
        <v>4</v>
      </c>
      <c r="V2036" s="24">
        <f>SUM(V2025:V2035)</f>
        <v>43</v>
      </c>
      <c r="W2036" s="24">
        <f>SUM(W2025:W2035)</f>
        <v>54</v>
      </c>
      <c r="X2036" s="25">
        <f>SUM(X2025:X2035)</f>
        <v>37</v>
      </c>
      <c r="Y2036" s="26">
        <f t="shared" si="1270"/>
        <v>134</v>
      </c>
      <c r="Z2036" s="24">
        <f>SUM(Z2025:Z2035)</f>
        <v>43</v>
      </c>
      <c r="AA2036" s="24">
        <f>SUM(AA2025:AA2035)</f>
        <v>54</v>
      </c>
      <c r="AB2036" s="25">
        <f>SUM(AB2025:AB2035)</f>
        <v>37</v>
      </c>
      <c r="AC2036" s="26">
        <f t="shared" si="1271"/>
        <v>134</v>
      </c>
      <c r="AD2036" s="24">
        <f>SUM(AD2025:AD2035)</f>
        <v>43</v>
      </c>
      <c r="AE2036" s="24">
        <f>SUM(AE2025:AE2035)</f>
        <v>54</v>
      </c>
      <c r="AF2036" s="25">
        <f>SUM(AF2025:AF2035)</f>
        <v>37</v>
      </c>
      <c r="AG2036" s="26">
        <f t="shared" si="1272"/>
        <v>134</v>
      </c>
    </row>
    <row r="2037" spans="1:34">
      <c r="A2037" s="3" t="s">
        <v>1110</v>
      </c>
      <c r="B2037" s="8"/>
      <c r="C2037" s="9"/>
      <c r="D2037" s="10">
        <v>1</v>
      </c>
      <c r="E2037" s="7">
        <f t="shared" si="1267"/>
        <v>1</v>
      </c>
      <c r="F2037" s="8"/>
      <c r="G2037" s="9"/>
      <c r="H2037" s="10">
        <v>1</v>
      </c>
      <c r="I2037" s="7">
        <f t="shared" si="1268"/>
        <v>1</v>
      </c>
      <c r="J2037" s="43">
        <v>45890</v>
      </c>
      <c r="K2037" s="40" t="s">
        <v>1037</v>
      </c>
      <c r="L2037" s="79">
        <v>20</v>
      </c>
      <c r="M2037" s="80">
        <v>30</v>
      </c>
      <c r="N2037" s="81">
        <v>20</v>
      </c>
      <c r="O2037" s="82">
        <f t="shared" ref="O2037:O2056" si="1287">SUM(L2037:N2037)</f>
        <v>70</v>
      </c>
      <c r="P2037" s="79">
        <v>20</v>
      </c>
      <c r="Q2037" s="80">
        <v>30</v>
      </c>
      <c r="R2037" s="81">
        <v>20</v>
      </c>
      <c r="S2037" s="82">
        <f t="shared" ref="S2037:S2056" si="1288">SUM(P2037:R2037)</f>
        <v>70</v>
      </c>
      <c r="U2037" s="156" t="s">
        <v>1103</v>
      </c>
      <c r="V2037" s="8">
        <v>5</v>
      </c>
      <c r="W2037" s="9">
        <v>6</v>
      </c>
      <c r="X2037" s="10">
        <v>4</v>
      </c>
      <c r="Y2037" s="4">
        <f t="shared" si="1270"/>
        <v>15</v>
      </c>
      <c r="Z2037" s="8">
        <v>5</v>
      </c>
      <c r="AA2037" s="9">
        <v>6</v>
      </c>
      <c r="AB2037" s="10">
        <v>4</v>
      </c>
      <c r="AC2037" s="4">
        <f t="shared" si="1271"/>
        <v>15</v>
      </c>
      <c r="AD2037" s="8">
        <v>5</v>
      </c>
      <c r="AE2037" s="9">
        <v>6</v>
      </c>
      <c r="AF2037" s="10">
        <v>4</v>
      </c>
      <c r="AG2037" s="4">
        <f t="shared" si="1272"/>
        <v>15</v>
      </c>
      <c r="AH2037" s="43">
        <v>45870</v>
      </c>
    </row>
    <row r="2038" spans="1:34">
      <c r="A2038" s="3" t="s">
        <v>383</v>
      </c>
      <c r="B2038" s="8"/>
      <c r="C2038" s="9"/>
      <c r="D2038" s="10">
        <v>2</v>
      </c>
      <c r="E2038" s="7">
        <f t="shared" si="1267"/>
        <v>2</v>
      </c>
      <c r="F2038" s="8"/>
      <c r="G2038" s="9"/>
      <c r="H2038" s="10">
        <v>2</v>
      </c>
      <c r="I2038" s="7">
        <f t="shared" si="1268"/>
        <v>2</v>
      </c>
      <c r="J2038" s="43">
        <v>45891</v>
      </c>
      <c r="K2038" s="3" t="s">
        <v>1108</v>
      </c>
      <c r="L2038" s="8"/>
      <c r="M2038" s="9">
        <v>10</v>
      </c>
      <c r="N2038" s="10">
        <v>10</v>
      </c>
      <c r="O2038" s="7">
        <f t="shared" si="1287"/>
        <v>20</v>
      </c>
      <c r="P2038" s="8"/>
      <c r="Q2038" s="9">
        <v>10</v>
      </c>
      <c r="R2038" s="10">
        <v>10</v>
      </c>
      <c r="S2038" s="7">
        <f t="shared" si="1288"/>
        <v>20</v>
      </c>
      <c r="T2038" s="43">
        <v>45889</v>
      </c>
      <c r="U2038" s="156" t="s">
        <v>1109</v>
      </c>
      <c r="V2038" s="8">
        <v>18</v>
      </c>
      <c r="W2038" s="9">
        <v>16</v>
      </c>
      <c r="X2038" s="10">
        <v>12</v>
      </c>
      <c r="Y2038" s="4">
        <f t="shared" si="1270"/>
        <v>46</v>
      </c>
      <c r="Z2038" s="8">
        <v>18</v>
      </c>
      <c r="AA2038" s="9">
        <v>16</v>
      </c>
      <c r="AB2038" s="10">
        <v>12</v>
      </c>
      <c r="AC2038" s="4">
        <f t="shared" si="1271"/>
        <v>46</v>
      </c>
      <c r="AD2038" s="8">
        <v>18</v>
      </c>
      <c r="AE2038" s="9">
        <v>16</v>
      </c>
      <c r="AF2038" s="10">
        <v>12</v>
      </c>
      <c r="AG2038" s="4">
        <f t="shared" si="1272"/>
        <v>46</v>
      </c>
      <c r="AH2038" s="43">
        <v>45889</v>
      </c>
    </row>
    <row r="2039" spans="1:34">
      <c r="A2039" s="3" t="s">
        <v>815</v>
      </c>
      <c r="B2039" s="8"/>
      <c r="C2039" s="9">
        <v>1</v>
      </c>
      <c r="D2039" s="10"/>
      <c r="E2039" s="7">
        <f t="shared" si="1267"/>
        <v>1</v>
      </c>
      <c r="F2039" s="8"/>
      <c r="G2039" s="9">
        <v>1</v>
      </c>
      <c r="H2039" s="10"/>
      <c r="I2039" s="7">
        <f t="shared" si="1268"/>
        <v>1</v>
      </c>
      <c r="J2039" s="43">
        <v>45896</v>
      </c>
      <c r="K2039" s="3" t="s">
        <v>295</v>
      </c>
      <c r="L2039" s="8"/>
      <c r="M2039" s="9">
        <v>5</v>
      </c>
      <c r="N2039" s="10"/>
      <c r="O2039" s="7">
        <f t="shared" si="1287"/>
        <v>5</v>
      </c>
      <c r="P2039" s="8"/>
      <c r="Q2039" s="9">
        <v>5</v>
      </c>
      <c r="R2039" s="10"/>
      <c r="S2039" s="7">
        <f t="shared" si="1288"/>
        <v>5</v>
      </c>
      <c r="T2039" s="43">
        <v>45877</v>
      </c>
      <c r="U2039" s="3" t="s">
        <v>1116</v>
      </c>
      <c r="V2039" s="8">
        <v>1</v>
      </c>
      <c r="W2039" s="9"/>
      <c r="X2039" s="10">
        <v>-1</v>
      </c>
      <c r="Y2039" s="7">
        <f t="shared" si="1270"/>
        <v>0</v>
      </c>
      <c r="Z2039" s="8">
        <v>1</v>
      </c>
      <c r="AA2039" s="9"/>
      <c r="AB2039" s="10">
        <v>-1</v>
      </c>
      <c r="AC2039" s="7">
        <f t="shared" si="1271"/>
        <v>0</v>
      </c>
      <c r="AD2039" s="8">
        <v>1</v>
      </c>
      <c r="AE2039" s="9"/>
      <c r="AF2039" s="10">
        <v>-1</v>
      </c>
      <c r="AG2039" s="7">
        <f t="shared" si="1272"/>
        <v>0</v>
      </c>
      <c r="AH2039" s="43">
        <v>45901</v>
      </c>
    </row>
    <row r="2040" spans="1:34">
      <c r="A2040" s="3" t="s">
        <v>389</v>
      </c>
      <c r="B2040" s="8"/>
      <c r="C2040" s="9"/>
      <c r="D2040" s="10">
        <v>1</v>
      </c>
      <c r="E2040" s="7">
        <f t="shared" si="1267"/>
        <v>1</v>
      </c>
      <c r="F2040" s="8"/>
      <c r="G2040" s="9"/>
      <c r="H2040" s="10">
        <v>1</v>
      </c>
      <c r="I2040" s="7">
        <f t="shared" si="1268"/>
        <v>1</v>
      </c>
      <c r="J2040" s="43">
        <v>45901</v>
      </c>
      <c r="K2040" s="3" t="s">
        <v>1111</v>
      </c>
      <c r="L2040" s="8"/>
      <c r="M2040" s="9"/>
      <c r="N2040" s="10">
        <v>3</v>
      </c>
      <c r="O2040" s="7">
        <f t="shared" si="1287"/>
        <v>3</v>
      </c>
      <c r="P2040" s="8"/>
      <c r="Q2040" s="9"/>
      <c r="R2040" s="10">
        <v>3</v>
      </c>
      <c r="S2040" s="7">
        <f t="shared" si="1288"/>
        <v>3</v>
      </c>
      <c r="T2040" s="43">
        <v>45891</v>
      </c>
      <c r="U2040" s="156" t="s">
        <v>1118</v>
      </c>
      <c r="V2040" s="8">
        <v>5</v>
      </c>
      <c r="W2040" s="9">
        <v>3</v>
      </c>
      <c r="X2040" s="10">
        <v>3</v>
      </c>
      <c r="Y2040" s="4">
        <f t="shared" si="1270"/>
        <v>11</v>
      </c>
      <c r="Z2040" s="8">
        <v>5</v>
      </c>
      <c r="AA2040" s="9">
        <v>3</v>
      </c>
      <c r="AB2040" s="10">
        <v>3</v>
      </c>
      <c r="AC2040" s="4">
        <f t="shared" si="1271"/>
        <v>11</v>
      </c>
      <c r="AD2040" s="8">
        <v>5</v>
      </c>
      <c r="AE2040" s="9">
        <v>3</v>
      </c>
      <c r="AF2040" s="10">
        <v>3</v>
      </c>
      <c r="AG2040" s="4">
        <f t="shared" si="1272"/>
        <v>11</v>
      </c>
      <c r="AH2040" s="43">
        <v>45908</v>
      </c>
    </row>
    <row r="2041" spans="1:34">
      <c r="A2041" s="3" t="s">
        <v>390</v>
      </c>
      <c r="B2041" s="8"/>
      <c r="C2041" s="9"/>
      <c r="D2041" s="10">
        <v>1</v>
      </c>
      <c r="E2041" s="7">
        <f t="shared" si="1267"/>
        <v>1</v>
      </c>
      <c r="F2041" s="8"/>
      <c r="G2041" s="9"/>
      <c r="H2041" s="10">
        <v>1</v>
      </c>
      <c r="I2041" s="7">
        <f t="shared" si="1268"/>
        <v>1</v>
      </c>
      <c r="J2041" s="43">
        <v>45903</v>
      </c>
      <c r="K2041" s="3" t="s">
        <v>980</v>
      </c>
      <c r="L2041" s="8">
        <v>4</v>
      </c>
      <c r="M2041" s="9">
        <v>8</v>
      </c>
      <c r="N2041" s="10">
        <v>4</v>
      </c>
      <c r="O2041" s="7">
        <f t="shared" si="1287"/>
        <v>16</v>
      </c>
      <c r="P2041" s="8">
        <v>4</v>
      </c>
      <c r="Q2041" s="9">
        <v>8</v>
      </c>
      <c r="R2041" s="10">
        <v>4</v>
      </c>
      <c r="S2041" s="7">
        <f t="shared" si="1288"/>
        <v>16</v>
      </c>
      <c r="T2041" s="43">
        <v>45891</v>
      </c>
      <c r="U2041" s="3" t="s">
        <v>35</v>
      </c>
      <c r="V2041" s="8">
        <v>2</v>
      </c>
      <c r="W2041" s="9">
        <v>-2</v>
      </c>
      <c r="X2041" s="10"/>
      <c r="Y2041" s="4">
        <f t="shared" si="1270"/>
        <v>0</v>
      </c>
      <c r="Z2041" s="8">
        <v>2</v>
      </c>
      <c r="AA2041" s="9">
        <v>-2</v>
      </c>
      <c r="AB2041" s="10"/>
      <c r="AC2041" s="4">
        <f t="shared" si="1271"/>
        <v>0</v>
      </c>
      <c r="AD2041" s="8">
        <v>2</v>
      </c>
      <c r="AE2041" s="9">
        <v>-2</v>
      </c>
      <c r="AF2041" s="10"/>
      <c r="AG2041" s="4">
        <f t="shared" si="1272"/>
        <v>0</v>
      </c>
      <c r="AH2041" s="43">
        <v>45920</v>
      </c>
    </row>
    <row r="2042" spans="1:34">
      <c r="A2042" s="3" t="s">
        <v>391</v>
      </c>
      <c r="B2042" s="8"/>
      <c r="C2042" s="9"/>
      <c r="D2042" s="10">
        <v>1</v>
      </c>
      <c r="E2042" s="7">
        <f t="shared" si="1267"/>
        <v>1</v>
      </c>
      <c r="F2042" s="8"/>
      <c r="G2042" s="9"/>
      <c r="H2042" s="10">
        <v>1</v>
      </c>
      <c r="I2042" s="7">
        <f t="shared" si="1268"/>
        <v>1</v>
      </c>
      <c r="J2042" s="43">
        <v>45904</v>
      </c>
      <c r="K2042" s="3" t="s">
        <v>1112</v>
      </c>
      <c r="L2042" s="8"/>
      <c r="M2042" s="9">
        <v>10</v>
      </c>
      <c r="N2042" s="10"/>
      <c r="O2042" s="7">
        <f t="shared" si="1287"/>
        <v>10</v>
      </c>
      <c r="P2042" s="8"/>
      <c r="Q2042" s="9">
        <v>10</v>
      </c>
      <c r="R2042" s="10"/>
      <c r="S2042" s="7">
        <f t="shared" si="1288"/>
        <v>10</v>
      </c>
      <c r="T2042" s="43">
        <v>45894</v>
      </c>
      <c r="U2042" s="3" t="s">
        <v>35</v>
      </c>
      <c r="V2042" s="8"/>
      <c r="W2042" s="9">
        <v>1</v>
      </c>
      <c r="X2042" s="10">
        <v>-1</v>
      </c>
      <c r="Y2042" s="7">
        <f t="shared" si="1270"/>
        <v>0</v>
      </c>
      <c r="Z2042" s="8"/>
      <c r="AA2042" s="9">
        <v>1</v>
      </c>
      <c r="AB2042" s="10">
        <v>-1</v>
      </c>
      <c r="AC2042" s="7">
        <f t="shared" si="1271"/>
        <v>0</v>
      </c>
      <c r="AD2042" s="8"/>
      <c r="AE2042" s="9">
        <v>1</v>
      </c>
      <c r="AF2042" s="10">
        <v>-1</v>
      </c>
      <c r="AG2042" s="7">
        <f t="shared" si="1272"/>
        <v>0</v>
      </c>
      <c r="AH2042" s="49">
        <v>45947</v>
      </c>
    </row>
    <row r="2043" spans="1:34">
      <c r="A2043" s="3" t="s">
        <v>393</v>
      </c>
      <c r="B2043" s="8">
        <v>1</v>
      </c>
      <c r="C2043" s="9"/>
      <c r="D2043" s="10"/>
      <c r="E2043" s="7">
        <f t="shared" si="1267"/>
        <v>1</v>
      </c>
      <c r="F2043" s="8">
        <v>1</v>
      </c>
      <c r="G2043" s="9"/>
      <c r="H2043" s="10"/>
      <c r="I2043" s="7">
        <f t="shared" si="1268"/>
        <v>1</v>
      </c>
      <c r="J2043" s="43">
        <v>45905</v>
      </c>
      <c r="K2043" s="3" t="s">
        <v>1113</v>
      </c>
      <c r="L2043" s="8"/>
      <c r="M2043" s="9">
        <v>3</v>
      </c>
      <c r="N2043" s="10">
        <v>5</v>
      </c>
      <c r="O2043" s="7">
        <f t="shared" si="1287"/>
        <v>8</v>
      </c>
      <c r="P2043" s="8"/>
      <c r="Q2043" s="9">
        <v>3</v>
      </c>
      <c r="R2043" s="10">
        <v>5</v>
      </c>
      <c r="S2043" s="7">
        <f t="shared" si="1288"/>
        <v>8</v>
      </c>
      <c r="T2043" s="43">
        <v>45895</v>
      </c>
      <c r="U2043" s="156" t="s">
        <v>1133</v>
      </c>
      <c r="V2043" s="8"/>
      <c r="W2043" s="9">
        <v>1</v>
      </c>
      <c r="X2043" s="10"/>
      <c r="Y2043" s="7">
        <f t="shared" si="1270"/>
        <v>1</v>
      </c>
      <c r="Z2043" s="8"/>
      <c r="AA2043" s="9">
        <v>1</v>
      </c>
      <c r="AB2043" s="10"/>
      <c r="AC2043" s="7">
        <f t="shared" si="1271"/>
        <v>1</v>
      </c>
      <c r="AD2043" s="8"/>
      <c r="AE2043" s="9">
        <v>1</v>
      </c>
      <c r="AF2043" s="10"/>
      <c r="AG2043" s="7">
        <f t="shared" si="1272"/>
        <v>1</v>
      </c>
      <c r="AH2043" s="43">
        <v>45957</v>
      </c>
    </row>
    <row r="2044" spans="1:34">
      <c r="A2044" s="3" t="s">
        <v>395</v>
      </c>
      <c r="B2044" s="8">
        <v>1</v>
      </c>
      <c r="C2044" s="9"/>
      <c r="D2044" s="10"/>
      <c r="E2044" s="7">
        <f t="shared" si="1267"/>
        <v>1</v>
      </c>
      <c r="F2044" s="8">
        <v>1</v>
      </c>
      <c r="G2044" s="9"/>
      <c r="H2044" s="10"/>
      <c r="I2044" s="7">
        <f t="shared" si="1268"/>
        <v>1</v>
      </c>
      <c r="J2044" s="43">
        <v>45908</v>
      </c>
      <c r="K2044" s="3" t="s">
        <v>1114</v>
      </c>
      <c r="L2044" s="8"/>
      <c r="M2044" s="9">
        <v>9</v>
      </c>
      <c r="N2044" s="10"/>
      <c r="O2044" s="7">
        <f t="shared" si="1287"/>
        <v>9</v>
      </c>
      <c r="P2044" s="8"/>
      <c r="Q2044" s="9">
        <v>9</v>
      </c>
      <c r="R2044" s="10"/>
      <c r="S2044" s="7">
        <f t="shared" si="1288"/>
        <v>9</v>
      </c>
      <c r="T2044" s="43">
        <v>45897</v>
      </c>
      <c r="U2044" s="3"/>
      <c r="V2044" s="8"/>
      <c r="W2044" s="9"/>
      <c r="X2044" s="10"/>
      <c r="Y2044" s="7">
        <f t="shared" si="1270"/>
        <v>0</v>
      </c>
      <c r="Z2044" s="8"/>
      <c r="AA2044" s="9"/>
      <c r="AB2044" s="10"/>
      <c r="AC2044" s="7">
        <f t="shared" si="1271"/>
        <v>0</v>
      </c>
      <c r="AD2044" s="8"/>
      <c r="AE2044" s="9"/>
      <c r="AF2044" s="10"/>
      <c r="AG2044" s="7">
        <f t="shared" si="1272"/>
        <v>0</v>
      </c>
    </row>
    <row r="2045" spans="1:34">
      <c r="A2045" s="3" t="s">
        <v>605</v>
      </c>
      <c r="B2045" s="8">
        <v>1</v>
      </c>
      <c r="C2045" s="9"/>
      <c r="D2045" s="10"/>
      <c r="E2045" s="7">
        <f t="shared" si="1267"/>
        <v>1</v>
      </c>
      <c r="F2045" s="8">
        <v>1</v>
      </c>
      <c r="G2045" s="9"/>
      <c r="H2045" s="10"/>
      <c r="I2045" s="7">
        <f t="shared" si="1268"/>
        <v>1</v>
      </c>
      <c r="J2045" s="43">
        <v>45910</v>
      </c>
      <c r="K2045" s="3" t="s">
        <v>1117</v>
      </c>
      <c r="L2045" s="8">
        <v>3</v>
      </c>
      <c r="M2045" s="9"/>
      <c r="N2045" s="10"/>
      <c r="O2045" s="7">
        <f t="shared" si="1287"/>
        <v>3</v>
      </c>
      <c r="P2045" s="8">
        <v>3</v>
      </c>
      <c r="Q2045" s="9"/>
      <c r="R2045" s="10"/>
      <c r="S2045" s="7">
        <f t="shared" si="1288"/>
        <v>3</v>
      </c>
      <c r="T2045" s="43">
        <v>45905</v>
      </c>
      <c r="U2045" s="3"/>
      <c r="V2045" s="8"/>
      <c r="W2045" s="9"/>
      <c r="X2045" s="10"/>
      <c r="Y2045" s="7">
        <f t="shared" si="1270"/>
        <v>0</v>
      </c>
      <c r="Z2045" s="8"/>
      <c r="AA2045" s="9"/>
      <c r="AB2045" s="10"/>
      <c r="AC2045" s="7">
        <f t="shared" si="1271"/>
        <v>0</v>
      </c>
      <c r="AD2045" s="8"/>
      <c r="AE2045" s="9"/>
      <c r="AF2045" s="10"/>
      <c r="AG2045" s="7">
        <f t="shared" si="1272"/>
        <v>0</v>
      </c>
    </row>
    <row r="2046" spans="1:34">
      <c r="A2046" s="3" t="s">
        <v>1120</v>
      </c>
      <c r="B2046" s="8"/>
      <c r="C2046" s="9"/>
      <c r="D2046" s="10">
        <v>1</v>
      </c>
      <c r="E2046" s="7">
        <f t="shared" si="1267"/>
        <v>1</v>
      </c>
      <c r="F2046" s="8"/>
      <c r="G2046" s="9"/>
      <c r="H2046" s="10">
        <v>1</v>
      </c>
      <c r="I2046" s="7">
        <f t="shared" si="1268"/>
        <v>1</v>
      </c>
      <c r="J2046" s="43">
        <v>45924</v>
      </c>
      <c r="K2046" s="3" t="s">
        <v>609</v>
      </c>
      <c r="L2046" s="8"/>
      <c r="M2046" s="9"/>
      <c r="N2046" s="10">
        <v>3</v>
      </c>
      <c r="O2046" s="7">
        <f t="shared" si="1287"/>
        <v>3</v>
      </c>
      <c r="P2046" s="8"/>
      <c r="Q2046" s="9"/>
      <c r="R2046" s="10">
        <v>3</v>
      </c>
      <c r="S2046" s="7">
        <f t="shared" si="1288"/>
        <v>3</v>
      </c>
      <c r="T2046" s="43">
        <v>45912</v>
      </c>
      <c r="U2046" s="3"/>
      <c r="V2046" s="8"/>
      <c r="W2046" s="9"/>
      <c r="X2046" s="10"/>
      <c r="Y2046" s="7">
        <f t="shared" si="1270"/>
        <v>0</v>
      </c>
      <c r="Z2046" s="8"/>
      <c r="AA2046" s="9"/>
      <c r="AB2046" s="10"/>
      <c r="AC2046" s="7">
        <f t="shared" si="1271"/>
        <v>0</v>
      </c>
      <c r="AD2046" s="8"/>
      <c r="AE2046" s="9"/>
      <c r="AF2046" s="10"/>
      <c r="AG2046" s="7">
        <f t="shared" si="1272"/>
        <v>0</v>
      </c>
    </row>
    <row r="2047" spans="1:34">
      <c r="A2047" s="3" t="s">
        <v>400</v>
      </c>
      <c r="B2047" s="8"/>
      <c r="C2047" s="9"/>
      <c r="D2047" s="10">
        <v>1</v>
      </c>
      <c r="E2047" s="7">
        <f t="shared" si="1267"/>
        <v>1</v>
      </c>
      <c r="F2047" s="8"/>
      <c r="G2047" s="9"/>
      <c r="H2047" s="10">
        <v>1</v>
      </c>
      <c r="I2047" s="7">
        <f t="shared" si="1268"/>
        <v>1</v>
      </c>
      <c r="J2047" s="43">
        <v>45926</v>
      </c>
      <c r="K2047" s="3" t="s">
        <v>1119</v>
      </c>
      <c r="L2047" s="8">
        <v>2</v>
      </c>
      <c r="M2047" s="9"/>
      <c r="N2047" s="10"/>
      <c r="O2047" s="7">
        <f t="shared" si="1287"/>
        <v>2</v>
      </c>
      <c r="P2047" s="8">
        <v>2</v>
      </c>
      <c r="Q2047" s="9"/>
      <c r="R2047" s="10"/>
      <c r="S2047" s="7">
        <f t="shared" si="1288"/>
        <v>2</v>
      </c>
      <c r="T2047" s="43">
        <v>45922</v>
      </c>
      <c r="U2047" s="3"/>
      <c r="V2047" s="30"/>
      <c r="W2047" s="9"/>
      <c r="X2047" s="10"/>
      <c r="Y2047" s="7">
        <f t="shared" si="1270"/>
        <v>0</v>
      </c>
      <c r="Z2047" s="8"/>
      <c r="AA2047" s="9"/>
      <c r="AB2047" s="10"/>
      <c r="AC2047" s="7">
        <f t="shared" si="1271"/>
        <v>0</v>
      </c>
      <c r="AD2047" s="8"/>
      <c r="AE2047" s="9"/>
      <c r="AF2047" s="10"/>
      <c r="AG2047" s="7">
        <f t="shared" si="1272"/>
        <v>0</v>
      </c>
    </row>
    <row r="2048" spans="1:34">
      <c r="A2048" s="3" t="s">
        <v>613</v>
      </c>
      <c r="B2048" s="8"/>
      <c r="C2048" s="9"/>
      <c r="D2048" s="10">
        <v>1</v>
      </c>
      <c r="E2048" s="7">
        <f t="shared" si="1267"/>
        <v>1</v>
      </c>
      <c r="F2048" s="8"/>
      <c r="G2048" s="9"/>
      <c r="H2048" s="10">
        <v>1</v>
      </c>
      <c r="I2048" s="7">
        <f t="shared" si="1268"/>
        <v>1</v>
      </c>
      <c r="J2048" s="43">
        <v>45931</v>
      </c>
      <c r="K2048" s="3" t="s">
        <v>295</v>
      </c>
      <c r="L2048" s="8"/>
      <c r="M2048" s="9"/>
      <c r="N2048" s="10">
        <v>5</v>
      </c>
      <c r="O2048" s="7">
        <f t="shared" si="1287"/>
        <v>5</v>
      </c>
      <c r="P2048" s="8"/>
      <c r="Q2048" s="9"/>
      <c r="R2048" s="10">
        <v>5</v>
      </c>
      <c r="S2048" s="7">
        <f t="shared" si="1288"/>
        <v>5</v>
      </c>
      <c r="T2048" s="43">
        <v>45931</v>
      </c>
      <c r="U2048" s="3"/>
      <c r="V2048" s="8"/>
      <c r="W2048" s="9"/>
      <c r="X2048" s="10"/>
      <c r="Y2048" s="7">
        <f t="shared" si="1270"/>
        <v>0</v>
      </c>
      <c r="Z2048" s="8"/>
      <c r="AA2048" s="9"/>
      <c r="AB2048" s="10"/>
      <c r="AC2048" s="7">
        <f t="shared" si="1271"/>
        <v>0</v>
      </c>
      <c r="AD2048" s="8"/>
      <c r="AE2048" s="9"/>
      <c r="AF2048" s="10"/>
      <c r="AG2048" s="7">
        <f t="shared" si="1272"/>
        <v>0</v>
      </c>
    </row>
    <row r="2049" spans="1:34">
      <c r="A2049" s="3" t="s">
        <v>1126</v>
      </c>
      <c r="B2049" s="8">
        <v>1</v>
      </c>
      <c r="C2049" s="9"/>
      <c r="D2049" s="10"/>
      <c r="E2049" s="7">
        <f t="shared" si="1267"/>
        <v>1</v>
      </c>
      <c r="F2049" s="8">
        <v>1</v>
      </c>
      <c r="G2049" s="9"/>
      <c r="H2049" s="10"/>
      <c r="I2049" s="7">
        <f t="shared" si="1268"/>
        <v>1</v>
      </c>
      <c r="J2049" s="43">
        <v>45938</v>
      </c>
      <c r="K2049" s="3" t="s">
        <v>1123</v>
      </c>
      <c r="L2049" s="8">
        <v>1</v>
      </c>
      <c r="M2049" s="9"/>
      <c r="N2049" s="10"/>
      <c r="O2049" s="7">
        <f t="shared" si="1287"/>
        <v>1</v>
      </c>
      <c r="P2049" s="8">
        <v>1</v>
      </c>
      <c r="Q2049" s="9"/>
      <c r="R2049" s="10"/>
      <c r="S2049" s="7">
        <f t="shared" si="1288"/>
        <v>1</v>
      </c>
      <c r="T2049" s="43">
        <v>45938</v>
      </c>
      <c r="U2049" s="3"/>
      <c r="V2049" s="8"/>
      <c r="W2049" s="9"/>
      <c r="X2049" s="10"/>
      <c r="Y2049" s="7">
        <f t="shared" si="1270"/>
        <v>0</v>
      </c>
      <c r="Z2049" s="8"/>
      <c r="AA2049" s="9"/>
      <c r="AB2049" s="10"/>
      <c r="AC2049" s="7">
        <f t="shared" si="1271"/>
        <v>0</v>
      </c>
      <c r="AD2049" s="8"/>
      <c r="AE2049" s="9"/>
      <c r="AF2049" s="10"/>
      <c r="AG2049" s="7">
        <f t="shared" si="1272"/>
        <v>0</v>
      </c>
    </row>
    <row r="2050" spans="1:34">
      <c r="A2050" s="3" t="s">
        <v>1134</v>
      </c>
      <c r="B2050" s="8"/>
      <c r="C2050" s="9">
        <v>1</v>
      </c>
      <c r="D2050" s="10"/>
      <c r="E2050" s="7">
        <f t="shared" si="1267"/>
        <v>1</v>
      </c>
      <c r="F2050" s="8"/>
      <c r="G2050" s="9">
        <v>1</v>
      </c>
      <c r="H2050" s="10"/>
      <c r="I2050" s="7">
        <f t="shared" si="1268"/>
        <v>1</v>
      </c>
      <c r="J2050" s="43">
        <v>45957</v>
      </c>
      <c r="K2050" s="3" t="s">
        <v>1124</v>
      </c>
      <c r="L2050" s="8">
        <v>3</v>
      </c>
      <c r="M2050" s="9"/>
      <c r="N2050" s="10"/>
      <c r="O2050" s="7">
        <f t="shared" si="1287"/>
        <v>3</v>
      </c>
      <c r="P2050" s="8">
        <v>3</v>
      </c>
      <c r="Q2050" s="9"/>
      <c r="R2050" s="10"/>
      <c r="S2050" s="7">
        <f t="shared" si="1288"/>
        <v>3</v>
      </c>
      <c r="T2050" s="43">
        <v>45938</v>
      </c>
      <c r="U2050" s="3"/>
      <c r="V2050" s="8"/>
      <c r="W2050" s="9"/>
      <c r="X2050" s="10"/>
      <c r="Y2050" s="7">
        <f t="shared" si="1270"/>
        <v>0</v>
      </c>
      <c r="Z2050" s="8"/>
      <c r="AA2050" s="9"/>
      <c r="AB2050" s="10"/>
      <c r="AC2050" s="7">
        <f t="shared" si="1271"/>
        <v>0</v>
      </c>
      <c r="AD2050" s="8"/>
      <c r="AE2050" s="9"/>
      <c r="AF2050" s="10"/>
      <c r="AG2050" s="7">
        <f t="shared" si="1272"/>
        <v>0</v>
      </c>
    </row>
    <row r="2051" spans="1:34">
      <c r="A2051" s="3" t="s">
        <v>848</v>
      </c>
      <c r="B2051" s="8"/>
      <c r="C2051" s="9"/>
      <c r="D2051" s="10">
        <v>1</v>
      </c>
      <c r="E2051" s="7">
        <f t="shared" si="1267"/>
        <v>1</v>
      </c>
      <c r="F2051" s="8"/>
      <c r="G2051" s="9"/>
      <c r="H2051" s="10">
        <v>1</v>
      </c>
      <c r="I2051" s="7">
        <f t="shared" si="1268"/>
        <v>1</v>
      </c>
      <c r="J2051" s="43">
        <v>45961</v>
      </c>
      <c r="K2051" s="3" t="s">
        <v>1125</v>
      </c>
      <c r="L2051" s="8"/>
      <c r="M2051" s="9">
        <v>1</v>
      </c>
      <c r="N2051" s="10"/>
      <c r="O2051" s="7">
        <f t="shared" si="1287"/>
        <v>1</v>
      </c>
      <c r="P2051" s="8"/>
      <c r="Q2051" s="9">
        <v>1</v>
      </c>
      <c r="R2051" s="10"/>
      <c r="S2051" s="7">
        <f t="shared" si="1288"/>
        <v>1</v>
      </c>
      <c r="T2051" s="43">
        <v>45938</v>
      </c>
      <c r="U2051" s="3"/>
      <c r="V2051" s="8"/>
      <c r="W2051" s="9"/>
      <c r="X2051" s="10"/>
      <c r="Y2051" s="7">
        <f t="shared" si="1270"/>
        <v>0</v>
      </c>
      <c r="Z2051" s="8"/>
      <c r="AA2051" s="9"/>
      <c r="AB2051" s="10"/>
      <c r="AC2051" s="7">
        <f t="shared" si="1271"/>
        <v>0</v>
      </c>
      <c r="AD2051" s="8"/>
      <c r="AE2051" s="9"/>
      <c r="AF2051" s="10"/>
      <c r="AG2051" s="7">
        <f t="shared" si="1272"/>
        <v>0</v>
      </c>
    </row>
    <row r="2052" spans="1:34">
      <c r="A2052" s="3" t="s">
        <v>849</v>
      </c>
      <c r="B2052" s="8">
        <v>1</v>
      </c>
      <c r="C2052" s="9"/>
      <c r="D2052" s="10"/>
      <c r="E2052" s="7">
        <f t="shared" si="1267"/>
        <v>1</v>
      </c>
      <c r="F2052" s="8">
        <v>1</v>
      </c>
      <c r="G2052" s="9"/>
      <c r="H2052" s="10"/>
      <c r="I2052" s="7">
        <f t="shared" si="1268"/>
        <v>1</v>
      </c>
      <c r="J2052" s="43">
        <v>45980</v>
      </c>
      <c r="K2052" s="3" t="s">
        <v>1128</v>
      </c>
      <c r="L2052" s="8"/>
      <c r="M2052" s="9">
        <v>2</v>
      </c>
      <c r="N2052" s="10"/>
      <c r="O2052" s="7">
        <f t="shared" si="1287"/>
        <v>2</v>
      </c>
      <c r="P2052" s="8"/>
      <c r="Q2052" s="9">
        <v>2</v>
      </c>
      <c r="R2052" s="10"/>
      <c r="S2052" s="7">
        <f t="shared" si="1288"/>
        <v>2</v>
      </c>
      <c r="T2052" s="43">
        <v>45950</v>
      </c>
      <c r="U2052" s="3"/>
      <c r="V2052" s="8"/>
      <c r="W2052" s="9"/>
      <c r="X2052" s="10"/>
      <c r="Y2052" s="7">
        <f t="shared" si="1270"/>
        <v>0</v>
      </c>
      <c r="Z2052" s="8"/>
      <c r="AA2052" s="9"/>
      <c r="AB2052" s="10"/>
      <c r="AC2052" s="7">
        <f t="shared" si="1271"/>
        <v>0</v>
      </c>
      <c r="AD2052" s="8"/>
      <c r="AE2052" s="9"/>
      <c r="AF2052" s="10"/>
      <c r="AG2052" s="7">
        <f t="shared" si="1272"/>
        <v>0</v>
      </c>
    </row>
    <row r="2053" spans="1:34">
      <c r="A2053" s="3" t="s">
        <v>1136</v>
      </c>
      <c r="B2053" s="8">
        <v>2</v>
      </c>
      <c r="C2053" s="9"/>
      <c r="D2053" s="10"/>
      <c r="E2053" s="7">
        <f t="shared" si="1267"/>
        <v>2</v>
      </c>
      <c r="F2053" s="8">
        <v>2</v>
      </c>
      <c r="G2053" s="9"/>
      <c r="H2053" s="10"/>
      <c r="I2053" s="7">
        <f t="shared" si="1268"/>
        <v>2</v>
      </c>
      <c r="J2053" s="43">
        <v>45982</v>
      </c>
      <c r="K2053" s="3" t="s">
        <v>1135</v>
      </c>
      <c r="L2053" s="8"/>
      <c r="M2053" s="9">
        <v>1</v>
      </c>
      <c r="N2053" s="10"/>
      <c r="O2053" s="7">
        <f t="shared" si="1287"/>
        <v>1</v>
      </c>
      <c r="P2053" s="8"/>
      <c r="Q2053" s="9">
        <v>1</v>
      </c>
      <c r="R2053" s="10"/>
      <c r="S2053" s="7">
        <f t="shared" si="1288"/>
        <v>1</v>
      </c>
      <c r="T2053" s="43">
        <v>45960</v>
      </c>
      <c r="U2053" s="3"/>
      <c r="V2053" s="8"/>
      <c r="W2053" s="9"/>
      <c r="X2053" s="10"/>
      <c r="Y2053" s="7">
        <f t="shared" si="1270"/>
        <v>0</v>
      </c>
      <c r="Z2053" s="8"/>
      <c r="AA2053" s="9"/>
      <c r="AB2053" s="10"/>
      <c r="AC2053" s="7">
        <f t="shared" si="1271"/>
        <v>0</v>
      </c>
      <c r="AD2053" s="8"/>
      <c r="AE2053" s="9"/>
      <c r="AF2053" s="10"/>
      <c r="AG2053" s="7">
        <f t="shared" si="1272"/>
        <v>0</v>
      </c>
    </row>
    <row r="2054" spans="1:34">
      <c r="A2054" s="3" t="s">
        <v>1137</v>
      </c>
      <c r="B2054" s="8">
        <v>-1</v>
      </c>
      <c r="C2054" s="9"/>
      <c r="D2054" s="10"/>
      <c r="E2054" s="7">
        <f t="shared" si="1267"/>
        <v>-1</v>
      </c>
      <c r="F2054" s="8">
        <v>-1</v>
      </c>
      <c r="G2054" s="9"/>
      <c r="H2054" s="10"/>
      <c r="I2054" s="7">
        <f t="shared" si="1268"/>
        <v>-1</v>
      </c>
      <c r="J2054" s="43">
        <v>45979</v>
      </c>
      <c r="K2054" s="166" t="s">
        <v>1138</v>
      </c>
      <c r="L2054" s="169">
        <v>5</v>
      </c>
      <c r="M2054" s="170"/>
      <c r="N2054" s="171"/>
      <c r="O2054" s="172">
        <f t="shared" si="1287"/>
        <v>5</v>
      </c>
      <c r="P2054" s="169">
        <v>5</v>
      </c>
      <c r="Q2054" s="170"/>
      <c r="R2054" s="171"/>
      <c r="S2054" s="172">
        <f t="shared" si="1288"/>
        <v>5</v>
      </c>
      <c r="T2054" s="168">
        <v>45980</v>
      </c>
      <c r="U2054" s="3"/>
      <c r="V2054" s="8"/>
      <c r="W2054" s="9"/>
      <c r="X2054" s="10"/>
      <c r="Y2054" s="7">
        <f t="shared" si="1270"/>
        <v>0</v>
      </c>
      <c r="Z2054" s="8"/>
      <c r="AA2054" s="9"/>
      <c r="AB2054" s="10"/>
      <c r="AC2054" s="7">
        <f t="shared" si="1271"/>
        <v>0</v>
      </c>
      <c r="AD2054" s="8"/>
      <c r="AE2054" s="9"/>
      <c r="AF2054" s="10"/>
      <c r="AG2054" s="7">
        <f t="shared" si="1272"/>
        <v>0</v>
      </c>
    </row>
    <row r="2055" spans="1:34">
      <c r="A2055" s="3"/>
      <c r="B2055" s="8"/>
      <c r="C2055" s="9"/>
      <c r="D2055" s="10"/>
      <c r="E2055" s="7">
        <f t="shared" si="1267"/>
        <v>0</v>
      </c>
      <c r="F2055" s="8"/>
      <c r="G2055" s="9"/>
      <c r="H2055" s="10"/>
      <c r="I2055" s="7">
        <f t="shared" si="1268"/>
        <v>0</v>
      </c>
      <c r="K2055" s="3" t="s">
        <v>1104</v>
      </c>
      <c r="L2055" s="8"/>
      <c r="M2055" s="9">
        <v>2</v>
      </c>
      <c r="N2055" s="10"/>
      <c r="O2055" s="7">
        <f t="shared" si="1287"/>
        <v>2</v>
      </c>
      <c r="P2055" s="8"/>
      <c r="Q2055" s="9">
        <v>2</v>
      </c>
      <c r="R2055" s="10"/>
      <c r="S2055" s="7">
        <f t="shared" si="1288"/>
        <v>2</v>
      </c>
      <c r="T2055" s="43">
        <v>46065</v>
      </c>
      <c r="U2055" s="3"/>
      <c r="V2055" s="8"/>
      <c r="W2055" s="9"/>
      <c r="X2055" s="10"/>
      <c r="Y2055" s="7">
        <f t="shared" si="1270"/>
        <v>0</v>
      </c>
      <c r="Z2055" s="8"/>
      <c r="AA2055" s="9"/>
      <c r="AB2055" s="10"/>
      <c r="AC2055" s="7">
        <f t="shared" si="1271"/>
        <v>0</v>
      </c>
      <c r="AD2055" s="8"/>
      <c r="AE2055" s="9"/>
      <c r="AF2055" s="10"/>
      <c r="AG2055" s="7">
        <f t="shared" si="1272"/>
        <v>0</v>
      </c>
    </row>
    <row r="2056" spans="1:34">
      <c r="A2056" s="11"/>
      <c r="B2056" s="8"/>
      <c r="C2056" s="9"/>
      <c r="D2056" s="10"/>
      <c r="E2056" s="7">
        <f t="shared" si="1267"/>
        <v>0</v>
      </c>
      <c r="F2056" s="8"/>
      <c r="G2056" s="9"/>
      <c r="H2056" s="10"/>
      <c r="I2056" s="7">
        <f t="shared" si="1268"/>
        <v>0</v>
      </c>
      <c r="K2056" s="11"/>
      <c r="L2056" s="8"/>
      <c r="M2056" s="9"/>
      <c r="N2056" s="10"/>
      <c r="O2056" s="7">
        <f t="shared" si="1287"/>
        <v>0</v>
      </c>
      <c r="P2056" s="8"/>
      <c r="Q2056" s="9"/>
      <c r="R2056" s="10"/>
      <c r="S2056" s="7">
        <f t="shared" si="1288"/>
        <v>0</v>
      </c>
      <c r="T2056" s="71"/>
      <c r="U2056" s="3"/>
      <c r="V2056" s="8"/>
      <c r="W2056" s="9"/>
      <c r="X2056" s="10"/>
      <c r="Y2056" s="7">
        <f t="shared" si="1270"/>
        <v>0</v>
      </c>
      <c r="Z2056" s="8"/>
      <c r="AA2056" s="9"/>
      <c r="AB2056" s="10"/>
      <c r="AC2056" s="7">
        <f t="shared" si="1271"/>
        <v>0</v>
      </c>
      <c r="AD2056" s="8"/>
      <c r="AE2056" s="9"/>
      <c r="AF2056" s="10"/>
      <c r="AG2056" s="7">
        <f t="shared" si="1272"/>
        <v>0</v>
      </c>
    </row>
    <row r="2057" spans="1:34">
      <c r="A2057" s="11"/>
      <c r="B2057" s="8"/>
      <c r="C2057" s="9"/>
      <c r="D2057" s="10"/>
      <c r="E2057" s="7">
        <f t="shared" si="1267"/>
        <v>0</v>
      </c>
      <c r="F2057" s="8"/>
      <c r="G2057" s="9"/>
      <c r="H2057" s="10"/>
      <c r="I2057" s="7">
        <f t="shared" si="1268"/>
        <v>0</v>
      </c>
      <c r="K2057" s="11"/>
      <c r="L2057" s="8"/>
      <c r="M2057" s="9"/>
      <c r="N2057" s="10"/>
      <c r="O2057" s="7">
        <f t="shared" si="1273"/>
        <v>0</v>
      </c>
      <c r="P2057" s="8"/>
      <c r="Q2057" s="9"/>
      <c r="R2057" s="10"/>
      <c r="S2057" s="7">
        <f t="shared" si="1274"/>
        <v>0</v>
      </c>
      <c r="U2057" s="11"/>
      <c r="V2057" s="8"/>
      <c r="W2057" s="9"/>
      <c r="X2057" s="10"/>
      <c r="Y2057" s="7">
        <f t="shared" si="1270"/>
        <v>0</v>
      </c>
      <c r="Z2057" s="8"/>
      <c r="AA2057" s="9"/>
      <c r="AB2057" s="10"/>
      <c r="AC2057" s="7">
        <f t="shared" si="1271"/>
        <v>0</v>
      </c>
      <c r="AD2057" s="8"/>
      <c r="AE2057" s="9"/>
      <c r="AF2057" s="10"/>
      <c r="AG2057" s="7">
        <f t="shared" si="1272"/>
        <v>0</v>
      </c>
    </row>
    <row r="2058" spans="1:34">
      <c r="A2058" s="11"/>
      <c r="B2058" s="8"/>
      <c r="C2058" s="9"/>
      <c r="D2058" s="10"/>
      <c r="E2058" s="7">
        <f t="shared" si="1267"/>
        <v>0</v>
      </c>
      <c r="F2058" s="8"/>
      <c r="G2058" s="9"/>
      <c r="H2058" s="10"/>
      <c r="I2058" s="7">
        <f t="shared" si="1268"/>
        <v>0</v>
      </c>
      <c r="K2058" s="40" t="s">
        <v>1023</v>
      </c>
      <c r="L2058" s="79"/>
      <c r="M2058" s="80"/>
      <c r="N2058" s="81"/>
      <c r="O2058" s="82">
        <f t="shared" ref="O2058:O2059" si="1289">SUM(L2058:N2058)</f>
        <v>0</v>
      </c>
      <c r="P2058" s="79"/>
      <c r="Q2058" s="80"/>
      <c r="R2058" s="81"/>
      <c r="S2058" s="82">
        <f t="shared" ref="S2058:S2059" si="1290">SUM(P2058:R2058)</f>
        <v>0</v>
      </c>
      <c r="T2058" s="71"/>
      <c r="U2058" s="11"/>
      <c r="V2058" s="8"/>
      <c r="W2058" s="9"/>
      <c r="X2058" s="10"/>
      <c r="Y2058" s="7">
        <f t="shared" si="1270"/>
        <v>0</v>
      </c>
      <c r="Z2058" s="8"/>
      <c r="AA2058" s="9"/>
      <c r="AB2058" s="10"/>
      <c r="AC2058" s="7">
        <f t="shared" si="1271"/>
        <v>0</v>
      </c>
      <c r="AD2058" s="8"/>
      <c r="AE2058" s="9"/>
      <c r="AF2058" s="10"/>
      <c r="AG2058" s="7">
        <f t="shared" si="1272"/>
        <v>0</v>
      </c>
    </row>
    <row r="2059" spans="1:34">
      <c r="A2059" s="11"/>
      <c r="B2059" s="8"/>
      <c r="C2059" s="9"/>
      <c r="D2059" s="10"/>
      <c r="E2059" s="7">
        <f t="shared" si="1267"/>
        <v>0</v>
      </c>
      <c r="F2059" s="8"/>
      <c r="G2059" s="9"/>
      <c r="H2059" s="10"/>
      <c r="I2059" s="7">
        <f t="shared" si="1268"/>
        <v>0</v>
      </c>
      <c r="K2059" s="3" t="s">
        <v>1089</v>
      </c>
      <c r="L2059" s="8"/>
      <c r="M2059" s="9"/>
      <c r="N2059" s="10"/>
      <c r="O2059" s="7">
        <f t="shared" si="1289"/>
        <v>0</v>
      </c>
      <c r="P2059" s="8"/>
      <c r="Q2059" s="9"/>
      <c r="R2059" s="10"/>
      <c r="S2059" s="7">
        <f t="shared" si="1290"/>
        <v>0</v>
      </c>
      <c r="T2059" s="71" t="s">
        <v>1090</v>
      </c>
      <c r="U2059" s="3"/>
      <c r="V2059" s="8"/>
      <c r="W2059" s="9"/>
      <c r="X2059" s="10"/>
      <c r="Y2059" s="7">
        <f t="shared" si="1270"/>
        <v>0</v>
      </c>
      <c r="Z2059" s="8"/>
      <c r="AA2059" s="9"/>
      <c r="AB2059" s="10"/>
      <c r="AC2059" s="7">
        <f t="shared" si="1271"/>
        <v>0</v>
      </c>
      <c r="AD2059" s="8"/>
      <c r="AE2059" s="9"/>
      <c r="AF2059" s="10"/>
      <c r="AG2059" s="7">
        <f t="shared" si="1272"/>
        <v>0</v>
      </c>
    </row>
    <row r="2060" spans="1:34" ht="14.25" thickBot="1">
      <c r="A2060" s="3"/>
      <c r="B2060" s="8"/>
      <c r="C2060" s="9"/>
      <c r="D2060" s="10"/>
      <c r="E2060" s="7">
        <f t="shared" si="1267"/>
        <v>0</v>
      </c>
      <c r="F2060" s="8"/>
      <c r="G2060" s="9"/>
      <c r="H2060" s="10"/>
      <c r="I2060" s="7">
        <f t="shared" si="1268"/>
        <v>0</v>
      </c>
      <c r="K2060" s="11" t="s">
        <v>1080</v>
      </c>
      <c r="L2060" s="8"/>
      <c r="M2060" s="9"/>
      <c r="N2060" s="10"/>
      <c r="O2060" s="7">
        <f t="shared" ref="O2060" si="1291">SUM(L2060:N2060)</f>
        <v>0</v>
      </c>
      <c r="P2060" s="8"/>
      <c r="Q2060" s="9"/>
      <c r="R2060" s="10"/>
      <c r="S2060" s="7">
        <f t="shared" ref="S2060" si="1292">SUM(P2060:R2060)</f>
        <v>0</v>
      </c>
      <c r="T2060" s="71" t="s">
        <v>1081</v>
      </c>
      <c r="U2060" s="3" t="s">
        <v>1047</v>
      </c>
      <c r="V2060" s="8"/>
      <c r="W2060" s="9"/>
      <c r="X2060" s="10"/>
      <c r="Y2060" s="7">
        <f t="shared" si="1270"/>
        <v>0</v>
      </c>
      <c r="Z2060" s="8"/>
      <c r="AA2060" s="9"/>
      <c r="AB2060" s="10"/>
      <c r="AC2060" s="7">
        <f t="shared" si="1271"/>
        <v>0</v>
      </c>
      <c r="AD2060" s="8"/>
      <c r="AE2060" s="9"/>
      <c r="AF2060" s="10"/>
      <c r="AG2060" s="7">
        <f t="shared" si="1272"/>
        <v>0</v>
      </c>
      <c r="AH2060" s="71" t="s">
        <v>1064</v>
      </c>
    </row>
    <row r="2061" spans="1:34" ht="14.25" thickBot="1">
      <c r="A2061" s="2" t="s">
        <v>5</v>
      </c>
      <c r="B2061" s="14">
        <f>SUM(B2037:B2060)</f>
        <v>6</v>
      </c>
      <c r="C2061" s="14">
        <f>SUM(C2037:C2060)</f>
        <v>2</v>
      </c>
      <c r="D2061" s="14">
        <f>SUM(D2037:D2060)</f>
        <v>10</v>
      </c>
      <c r="E2061" s="15">
        <f t="shared" si="1267"/>
        <v>18</v>
      </c>
      <c r="F2061" s="14">
        <f>SUM(F2037:F2060)</f>
        <v>6</v>
      </c>
      <c r="G2061" s="14">
        <f>SUM(G2037:G2060)</f>
        <v>2</v>
      </c>
      <c r="H2061" s="14">
        <f>SUM(H2037:H2060)</f>
        <v>10</v>
      </c>
      <c r="I2061" s="15">
        <f t="shared" si="1268"/>
        <v>18</v>
      </c>
      <c r="K2061" s="2" t="s">
        <v>5</v>
      </c>
      <c r="L2061" s="14">
        <f>SUM(L2037:L2060)</f>
        <v>38</v>
      </c>
      <c r="M2061" s="14">
        <f t="shared" ref="M2061" si="1293">SUM(M2037:M2060)</f>
        <v>81</v>
      </c>
      <c r="N2061" s="14">
        <f t="shared" ref="N2061" si="1294">SUM(N2037:N2060)</f>
        <v>50</v>
      </c>
      <c r="O2061" s="15">
        <f t="shared" ref="O2061" si="1295">SUM(O2037:O2060)</f>
        <v>169</v>
      </c>
      <c r="P2061" s="14">
        <f t="shared" ref="P2061" si="1296">SUM(P2037:P2060)</f>
        <v>38</v>
      </c>
      <c r="Q2061" s="14">
        <f t="shared" ref="Q2061" si="1297">SUM(Q2037:Q2060)</f>
        <v>81</v>
      </c>
      <c r="R2061" s="14">
        <f t="shared" ref="R2061" si="1298">SUM(R2037:R2060)</f>
        <v>50</v>
      </c>
      <c r="S2061" s="15">
        <f t="shared" ref="S2061" si="1299">SUM(S2037:S2060)</f>
        <v>169</v>
      </c>
      <c r="U2061" s="2" t="s">
        <v>5</v>
      </c>
      <c r="V2061" s="14">
        <f>SUM(V2037:V2060)</f>
        <v>31</v>
      </c>
      <c r="W2061" s="14">
        <f>SUM(W2037:W2060)</f>
        <v>25</v>
      </c>
      <c r="X2061" s="14">
        <f>SUM(X2037:X2060)</f>
        <v>17</v>
      </c>
      <c r="Y2061" s="15">
        <f t="shared" si="1270"/>
        <v>73</v>
      </c>
      <c r="Z2061" s="14">
        <f>SUM(Z2037:Z2060)</f>
        <v>31</v>
      </c>
      <c r="AA2061" s="14">
        <f>SUM(AA2037:AA2060)</f>
        <v>25</v>
      </c>
      <c r="AB2061" s="14">
        <f>SUM(AB2037:AB2060)</f>
        <v>17</v>
      </c>
      <c r="AC2061" s="15">
        <f t="shared" si="1271"/>
        <v>73</v>
      </c>
      <c r="AD2061" s="14">
        <f>SUM(AD2037:AD2060)</f>
        <v>31</v>
      </c>
      <c r="AE2061" s="14">
        <f>SUM(AE2037:AE2060)</f>
        <v>25</v>
      </c>
      <c r="AF2061" s="14">
        <f>SUM(AF2037:AF2060)</f>
        <v>17</v>
      </c>
      <c r="AG2061" s="15">
        <f t="shared" si="1272"/>
        <v>73</v>
      </c>
    </row>
    <row r="2062" spans="1:34" ht="14.25" thickBot="1">
      <c r="A2062" s="27" t="s">
        <v>6</v>
      </c>
      <c r="B2062" s="28">
        <f>B2036-B2061</f>
        <v>6</v>
      </c>
      <c r="C2062" s="28">
        <f t="shared" ref="C2062:E2062" si="1300">C2036-C2061</f>
        <v>9</v>
      </c>
      <c r="D2062" s="28">
        <f t="shared" si="1300"/>
        <v>6</v>
      </c>
      <c r="E2062" s="28">
        <f t="shared" si="1300"/>
        <v>21</v>
      </c>
      <c r="F2062" s="28">
        <f>F2036-F2061</f>
        <v>6</v>
      </c>
      <c r="G2062" s="28">
        <f t="shared" ref="G2062:I2062" si="1301">G2036-G2061</f>
        <v>9</v>
      </c>
      <c r="H2062" s="28">
        <f t="shared" si="1301"/>
        <v>6</v>
      </c>
      <c r="I2062" s="26">
        <f t="shared" si="1301"/>
        <v>21</v>
      </c>
      <c r="K2062" s="27" t="s">
        <v>6</v>
      </c>
      <c r="L2062" s="28">
        <f>L2036-L2061</f>
        <v>126</v>
      </c>
      <c r="M2062" s="28">
        <f t="shared" ref="M2062" si="1302">M2036-M2061</f>
        <v>235</v>
      </c>
      <c r="N2062" s="28">
        <f t="shared" ref="N2062" si="1303">N2036-N2061</f>
        <v>186</v>
      </c>
      <c r="O2062" s="28">
        <f t="shared" ref="O2062" si="1304">O2036-O2061</f>
        <v>547</v>
      </c>
      <c r="P2062" s="28">
        <f t="shared" ref="P2062" si="1305">P2036-P2061</f>
        <v>126</v>
      </c>
      <c r="Q2062" s="28">
        <f t="shared" ref="Q2062" si="1306">Q2036-Q2061</f>
        <v>235</v>
      </c>
      <c r="R2062" s="28">
        <f t="shared" ref="R2062" si="1307">R2036-R2061</f>
        <v>186</v>
      </c>
      <c r="S2062" s="26">
        <f t="shared" ref="S2062" si="1308">S2036-S2061</f>
        <v>547</v>
      </c>
      <c r="T2062" s="173" t="s">
        <v>1149</v>
      </c>
      <c r="U2062" s="27" t="s">
        <v>6</v>
      </c>
      <c r="V2062" s="28">
        <f>V2036-V2061</f>
        <v>12</v>
      </c>
      <c r="W2062" s="28">
        <f t="shared" ref="W2062:Y2062" si="1309">W2036-W2061</f>
        <v>29</v>
      </c>
      <c r="X2062" s="28">
        <f t="shared" si="1309"/>
        <v>20</v>
      </c>
      <c r="Y2062" s="28">
        <f t="shared" si="1309"/>
        <v>61</v>
      </c>
      <c r="Z2062" s="28">
        <f>Z2036-Z2061</f>
        <v>12</v>
      </c>
      <c r="AA2062" s="28">
        <f t="shared" ref="AA2062:AC2062" si="1310">AA2036-AA2061</f>
        <v>29</v>
      </c>
      <c r="AB2062" s="28">
        <f t="shared" si="1310"/>
        <v>20</v>
      </c>
      <c r="AC2062" s="26">
        <f t="shared" si="1310"/>
        <v>61</v>
      </c>
      <c r="AD2062" s="28">
        <f>AD2036-AD2061</f>
        <v>12</v>
      </c>
      <c r="AE2062" s="28">
        <f t="shared" ref="AE2062:AG2062" si="1311">AE2036-AE2061</f>
        <v>29</v>
      </c>
      <c r="AF2062" s="28">
        <f t="shared" si="1311"/>
        <v>20</v>
      </c>
      <c r="AG2062" s="26">
        <f t="shared" si="1311"/>
        <v>61</v>
      </c>
    </row>
    <row r="2063" spans="1:34">
      <c r="K2063" s="157" t="s">
        <v>1121</v>
      </c>
      <c r="L2063" s="66">
        <f>L2061+L2018+L1975+L1932+L1889+L1846</f>
        <v>683</v>
      </c>
      <c r="M2063" s="66">
        <f t="shared" ref="M2063:S2063" si="1312">M2061+M2018+M1975+M1932+M1889+M1846</f>
        <v>853</v>
      </c>
      <c r="N2063" s="66">
        <f t="shared" si="1312"/>
        <v>503</v>
      </c>
      <c r="O2063" s="66">
        <f t="shared" si="1312"/>
        <v>2039</v>
      </c>
      <c r="P2063" s="66">
        <f t="shared" si="1312"/>
        <v>683</v>
      </c>
      <c r="Q2063" s="66">
        <f t="shared" si="1312"/>
        <v>853</v>
      </c>
      <c r="R2063" s="66">
        <f t="shared" si="1312"/>
        <v>503</v>
      </c>
      <c r="S2063" s="66">
        <f t="shared" si="1312"/>
        <v>2039</v>
      </c>
      <c r="U2063" s="144" t="s">
        <v>1091</v>
      </c>
      <c r="AD2063" s="74">
        <f>139-20</f>
        <v>119</v>
      </c>
      <c r="AE2063" s="74">
        <f>81-30</f>
        <v>51</v>
      </c>
      <c r="AF2063" s="74">
        <f>70-20</f>
        <v>50</v>
      </c>
      <c r="AG2063" s="155">
        <f>SUM(AD2063:AF2063)</f>
        <v>220</v>
      </c>
    </row>
    <row r="2064" spans="1:34" ht="37.5" customHeight="1">
      <c r="A2064" s="159"/>
      <c r="B2064" s="159"/>
      <c r="C2064" s="159"/>
      <c r="D2064" s="159"/>
      <c r="E2064" s="159"/>
      <c r="F2064" s="159"/>
      <c r="G2064" s="159"/>
      <c r="H2064" s="159"/>
      <c r="I2064" s="159"/>
      <c r="J2064" s="160"/>
      <c r="K2064" s="161" t="s">
        <v>1122</v>
      </c>
      <c r="L2064" s="162">
        <f>L2063/$O$2063*100</f>
        <v>33.496812162824909</v>
      </c>
      <c r="M2064" s="162">
        <f t="shared" ref="M2064:O2064" si="1313">M2063/$O$2063*100</f>
        <v>41.834232466895536</v>
      </c>
      <c r="N2064" s="162">
        <f t="shared" si="1313"/>
        <v>24.668955370279548</v>
      </c>
      <c r="O2064" s="162">
        <f t="shared" si="1313"/>
        <v>100</v>
      </c>
      <c r="P2064" s="163"/>
      <c r="Q2064" s="163"/>
      <c r="R2064" s="163"/>
      <c r="S2064" s="163"/>
      <c r="U2064" s="94" t="s">
        <v>1018</v>
      </c>
      <c r="V2064">
        <v>36</v>
      </c>
      <c r="W2064">
        <v>67</v>
      </c>
      <c r="X2064">
        <v>43</v>
      </c>
      <c r="Y2064">
        <f>SUM(V2064:X2064)</f>
        <v>146</v>
      </c>
      <c r="AD2064">
        <v>160</v>
      </c>
      <c r="AE2064">
        <v>103</v>
      </c>
      <c r="AF2064">
        <v>84</v>
      </c>
      <c r="AG2064" s="145">
        <f>SUM(AD2064:AF2064)</f>
        <v>347</v>
      </c>
    </row>
    <row r="2065" spans="1:34" ht="26.25" thickBot="1">
      <c r="A2065" s="33" t="s">
        <v>1130</v>
      </c>
      <c r="B2065" s="34"/>
      <c r="C2065" s="34"/>
      <c r="D2065" s="34"/>
      <c r="E2065" s="34"/>
      <c r="F2065" s="35"/>
      <c r="G2065" s="35"/>
      <c r="H2065" s="35"/>
      <c r="I2065" s="35"/>
      <c r="K2065" s="33" t="s">
        <v>1129</v>
      </c>
      <c r="L2065" s="34"/>
      <c r="M2065" s="34"/>
      <c r="N2065" s="34"/>
      <c r="O2065" s="34"/>
      <c r="P2065" s="35"/>
      <c r="Q2065" s="35"/>
      <c r="R2065" s="35"/>
      <c r="S2065" s="35"/>
      <c r="U2065" s="113" t="s">
        <v>622</v>
      </c>
      <c r="V2065" s="114"/>
      <c r="W2065" s="114"/>
      <c r="X2065" s="114"/>
      <c r="Y2065" s="114"/>
      <c r="Z2065" s="115"/>
      <c r="AA2065" s="115"/>
      <c r="AB2065" s="115"/>
      <c r="AC2065" s="115"/>
      <c r="AD2065" s="116"/>
      <c r="AE2065" s="116"/>
    </row>
    <row r="2066" spans="1:34" ht="14.25" thickBot="1">
      <c r="A2066" s="1" t="s">
        <v>0</v>
      </c>
      <c r="B2066" s="182" t="s">
        <v>17</v>
      </c>
      <c r="C2066" s="182"/>
      <c r="D2066" s="182"/>
      <c r="E2066" s="183"/>
      <c r="F2066" s="182" t="s">
        <v>13</v>
      </c>
      <c r="G2066" s="182"/>
      <c r="H2066" s="182"/>
      <c r="I2066" s="183"/>
      <c r="K2066" s="1" t="s">
        <v>0</v>
      </c>
      <c r="L2066" s="181" t="s">
        <v>17</v>
      </c>
      <c r="M2066" s="182"/>
      <c r="N2066" s="182"/>
      <c r="O2066" s="133"/>
      <c r="P2066" s="181" t="s">
        <v>13</v>
      </c>
      <c r="Q2066" s="182"/>
      <c r="R2066" s="182"/>
      <c r="S2066" s="133"/>
      <c r="U2066" s="1" t="s">
        <v>0</v>
      </c>
      <c r="V2066" s="182" t="s">
        <v>17</v>
      </c>
      <c r="W2066" s="182"/>
      <c r="X2066" s="182"/>
      <c r="Y2066" s="183"/>
      <c r="Z2066" s="182" t="s">
        <v>13</v>
      </c>
      <c r="AA2066" s="182"/>
      <c r="AB2066" s="182"/>
      <c r="AC2066" s="183"/>
      <c r="AD2066" s="182" t="s">
        <v>242</v>
      </c>
      <c r="AE2066" s="182"/>
      <c r="AF2066" s="182"/>
      <c r="AG2066" s="183"/>
    </row>
    <row r="2067" spans="1:34" ht="14.25" thickBot="1">
      <c r="A2067" s="1" t="s">
        <v>1</v>
      </c>
      <c r="B2067" s="2" t="s">
        <v>8</v>
      </c>
      <c r="C2067" s="1" t="s">
        <v>9</v>
      </c>
      <c r="D2067" s="19" t="s">
        <v>10</v>
      </c>
      <c r="E2067" s="1" t="s">
        <v>2</v>
      </c>
      <c r="F2067" s="2" t="s">
        <v>8</v>
      </c>
      <c r="G2067" s="1" t="s">
        <v>9</v>
      </c>
      <c r="H2067" s="19" t="s">
        <v>10</v>
      </c>
      <c r="I2067" s="1" t="s">
        <v>2</v>
      </c>
      <c r="K2067" s="1" t="s">
        <v>1</v>
      </c>
      <c r="L2067" s="2" t="s">
        <v>8</v>
      </c>
      <c r="M2067" s="1" t="s">
        <v>9</v>
      </c>
      <c r="N2067" s="19" t="s">
        <v>10</v>
      </c>
      <c r="O2067" s="1" t="s">
        <v>2</v>
      </c>
      <c r="P2067" s="2" t="s">
        <v>8</v>
      </c>
      <c r="Q2067" s="1" t="s">
        <v>9</v>
      </c>
      <c r="R2067" s="19" t="s">
        <v>10</v>
      </c>
      <c r="S2067" s="1" t="s">
        <v>2</v>
      </c>
      <c r="U2067" s="1" t="s">
        <v>1</v>
      </c>
      <c r="V2067" s="2" t="s">
        <v>8</v>
      </c>
      <c r="W2067" s="1" t="s">
        <v>9</v>
      </c>
      <c r="X2067" s="19" t="s">
        <v>10</v>
      </c>
      <c r="Y2067" s="1" t="s">
        <v>2</v>
      </c>
      <c r="Z2067" s="2" t="s">
        <v>8</v>
      </c>
      <c r="AA2067" s="1" t="s">
        <v>9</v>
      </c>
      <c r="AB2067" s="19" t="s">
        <v>10</v>
      </c>
      <c r="AC2067" s="1" t="s">
        <v>2</v>
      </c>
      <c r="AD2067" s="2" t="s">
        <v>8</v>
      </c>
      <c r="AE2067" s="1" t="s">
        <v>9</v>
      </c>
      <c r="AF2067" s="19" t="s">
        <v>10</v>
      </c>
      <c r="AG2067" s="1" t="s">
        <v>2</v>
      </c>
    </row>
    <row r="2068" spans="1:34">
      <c r="A2068" s="21" t="s">
        <v>7</v>
      </c>
      <c r="B2068" s="18">
        <f>B2062</f>
        <v>6</v>
      </c>
      <c r="C2068" s="22">
        <f>C2062</f>
        <v>9</v>
      </c>
      <c r="D2068" s="22">
        <f>D2062</f>
        <v>6</v>
      </c>
      <c r="E2068" s="17">
        <f t="shared" ref="E2068:E2104" si="1314">SUM(B2068:D2068)</f>
        <v>21</v>
      </c>
      <c r="F2068" s="22">
        <f>F2062</f>
        <v>6</v>
      </c>
      <c r="G2068" s="22">
        <f>G2062</f>
        <v>9</v>
      </c>
      <c r="H2068" s="22">
        <f>H2062</f>
        <v>6</v>
      </c>
      <c r="I2068" s="17">
        <f t="shared" ref="I2068:I2104" si="1315">SUM(F2068:H2068)</f>
        <v>21</v>
      </c>
      <c r="K2068" s="21" t="s">
        <v>7</v>
      </c>
      <c r="L2068" s="18">
        <f>L2062</f>
        <v>126</v>
      </c>
      <c r="M2068" s="22">
        <f t="shared" ref="M2068:S2068" si="1316">M2062</f>
        <v>235</v>
      </c>
      <c r="N2068" s="22">
        <f t="shared" si="1316"/>
        <v>186</v>
      </c>
      <c r="O2068" s="17">
        <f t="shared" si="1316"/>
        <v>547</v>
      </c>
      <c r="P2068" s="22">
        <f t="shared" si="1316"/>
        <v>126</v>
      </c>
      <c r="Q2068" s="22">
        <f t="shared" si="1316"/>
        <v>235</v>
      </c>
      <c r="R2068" s="22">
        <f t="shared" si="1316"/>
        <v>186</v>
      </c>
      <c r="S2068" s="17">
        <f t="shared" si="1316"/>
        <v>547</v>
      </c>
      <c r="U2068" s="21" t="s">
        <v>7</v>
      </c>
      <c r="V2068" s="18">
        <f>V2062</f>
        <v>12</v>
      </c>
      <c r="W2068" s="22">
        <f>W2062</f>
        <v>29</v>
      </c>
      <c r="X2068" s="22">
        <f>X2062</f>
        <v>20</v>
      </c>
      <c r="Y2068" s="17">
        <f t="shared" ref="Y2068:Y2104" si="1317">SUM(V2068:X2068)</f>
        <v>61</v>
      </c>
      <c r="Z2068" s="22">
        <f>Z2062</f>
        <v>12</v>
      </c>
      <c r="AA2068" s="22">
        <f>AA2062</f>
        <v>29</v>
      </c>
      <c r="AB2068" s="22">
        <f>AB2062</f>
        <v>20</v>
      </c>
      <c r="AC2068" s="17">
        <f t="shared" ref="AC2068:AC2104" si="1318">SUM(Z2068:AB2068)</f>
        <v>61</v>
      </c>
      <c r="AD2068" s="22">
        <f>AD2062</f>
        <v>12</v>
      </c>
      <c r="AE2068" s="22">
        <f>AE2062</f>
        <v>29</v>
      </c>
      <c r="AF2068" s="22">
        <f>AF2062</f>
        <v>20</v>
      </c>
      <c r="AG2068" s="17">
        <f t="shared" ref="AG2068:AG2104" si="1319">SUM(AD2068:AF2068)</f>
        <v>61</v>
      </c>
    </row>
    <row r="2069" spans="1:34">
      <c r="A2069" s="3" t="s">
        <v>1162</v>
      </c>
      <c r="B2069" s="8"/>
      <c r="C2069" s="9">
        <v>1</v>
      </c>
      <c r="D2069" s="10">
        <v>1</v>
      </c>
      <c r="E2069" s="7">
        <f t="shared" si="1314"/>
        <v>2</v>
      </c>
      <c r="F2069" s="8"/>
      <c r="G2069" s="9">
        <v>1</v>
      </c>
      <c r="H2069" s="10">
        <v>1</v>
      </c>
      <c r="I2069" s="7">
        <f t="shared" si="1315"/>
        <v>2</v>
      </c>
      <c r="J2069" s="49">
        <v>46098</v>
      </c>
      <c r="K2069" s="5" t="s">
        <v>3</v>
      </c>
      <c r="L2069" s="16"/>
      <c r="M2069" s="11"/>
      <c r="N2069" s="16"/>
      <c r="O2069" s="4">
        <f t="shared" ref="O2069:O2093" si="1320">SUM(L2069:N2069)</f>
        <v>0</v>
      </c>
      <c r="P2069" s="16"/>
      <c r="Q2069" s="11"/>
      <c r="R2069" s="16"/>
      <c r="S2069" s="4">
        <f t="shared" ref="S2069:S2093" si="1321">SUM(P2069:R2069)</f>
        <v>0</v>
      </c>
      <c r="U2069" s="5" t="s">
        <v>3</v>
      </c>
      <c r="V2069" s="16"/>
      <c r="W2069" s="11"/>
      <c r="X2069" s="16"/>
      <c r="Y2069" s="4">
        <f t="shared" si="1317"/>
        <v>0</v>
      </c>
      <c r="Z2069" s="16"/>
      <c r="AA2069" s="11"/>
      <c r="AB2069" s="16"/>
      <c r="AC2069" s="4">
        <f t="shared" si="1318"/>
        <v>0</v>
      </c>
      <c r="AD2069" s="16"/>
      <c r="AE2069" s="11"/>
      <c r="AF2069" s="16"/>
      <c r="AG2069" s="4">
        <f t="shared" si="1319"/>
        <v>0</v>
      </c>
    </row>
    <row r="2070" spans="1:34">
      <c r="A2070" s="3" t="s">
        <v>1173</v>
      </c>
      <c r="B2070" s="8"/>
      <c r="C2070" s="9"/>
      <c r="D2070" s="10">
        <v>1</v>
      </c>
      <c r="E2070" s="7">
        <f t="shared" ref="E2070" si="1322">SUM(B2070:D2070)</f>
        <v>1</v>
      </c>
      <c r="F2070" s="8"/>
      <c r="G2070" s="9"/>
      <c r="H2070" s="10">
        <v>1</v>
      </c>
      <c r="I2070" s="7">
        <f t="shared" ref="I2070" si="1323">SUM(F2070:H2070)</f>
        <v>1</v>
      </c>
      <c r="J2070" s="49">
        <v>46120</v>
      </c>
      <c r="K2070" s="5" t="s">
        <v>3</v>
      </c>
      <c r="L2070" s="16"/>
      <c r="M2070" s="11"/>
      <c r="N2070" s="16"/>
      <c r="O2070" s="4">
        <f t="shared" ref="O2070:O2073" si="1324">SUM(L2070:N2070)</f>
        <v>0</v>
      </c>
      <c r="P2070" s="16"/>
      <c r="Q2070" s="11"/>
      <c r="R2070" s="16"/>
      <c r="S2070" s="4">
        <f t="shared" ref="S2070:S2073" si="1325">SUM(P2070:R2070)</f>
        <v>0</v>
      </c>
      <c r="U2070" s="5" t="s">
        <v>3</v>
      </c>
      <c r="V2070" s="32"/>
      <c r="W2070" s="31"/>
      <c r="X2070" s="32"/>
      <c r="Y2070" s="4">
        <f t="shared" si="1317"/>
        <v>0</v>
      </c>
      <c r="Z2070" s="32"/>
      <c r="AA2070" s="31"/>
      <c r="AB2070" s="32"/>
      <c r="AC2070" s="4">
        <f t="shared" si="1318"/>
        <v>0</v>
      </c>
      <c r="AD2070" s="32"/>
      <c r="AE2070" s="31"/>
      <c r="AF2070" s="32"/>
      <c r="AG2070" s="4">
        <f t="shared" si="1319"/>
        <v>0</v>
      </c>
    </row>
    <row r="2071" spans="1:34">
      <c r="A2071" s="5" t="s">
        <v>3</v>
      </c>
      <c r="B2071" s="16">
        <v>5</v>
      </c>
      <c r="C2071" s="11"/>
      <c r="D2071" s="16">
        <v>5</v>
      </c>
      <c r="E2071" s="4">
        <f t="shared" si="1314"/>
        <v>10</v>
      </c>
      <c r="F2071" s="16">
        <v>5</v>
      </c>
      <c r="G2071" s="11"/>
      <c r="H2071" s="16">
        <v>5</v>
      </c>
      <c r="I2071" s="4">
        <f t="shared" si="1315"/>
        <v>10</v>
      </c>
      <c r="J2071" s="43">
        <v>46129</v>
      </c>
      <c r="K2071" s="5" t="s">
        <v>3</v>
      </c>
      <c r="L2071" s="16"/>
      <c r="M2071" s="11"/>
      <c r="N2071" s="16"/>
      <c r="O2071" s="4">
        <f t="shared" si="1324"/>
        <v>0</v>
      </c>
      <c r="P2071" s="16"/>
      <c r="Q2071" s="11"/>
      <c r="R2071" s="16"/>
      <c r="S2071" s="4">
        <f t="shared" si="1325"/>
        <v>0</v>
      </c>
      <c r="U2071" s="5" t="s">
        <v>3</v>
      </c>
      <c r="V2071" s="32"/>
      <c r="W2071" s="31"/>
      <c r="X2071" s="32"/>
      <c r="Y2071" s="4">
        <f t="shared" si="1317"/>
        <v>0</v>
      </c>
      <c r="Z2071" s="32"/>
      <c r="AA2071" s="31"/>
      <c r="AB2071" s="32"/>
      <c r="AC2071" s="4">
        <f t="shared" si="1318"/>
        <v>0</v>
      </c>
      <c r="AD2071" s="32"/>
      <c r="AE2071" s="31"/>
      <c r="AF2071" s="32"/>
      <c r="AG2071" s="4">
        <f t="shared" si="1319"/>
        <v>0</v>
      </c>
    </row>
    <row r="2072" spans="1:34">
      <c r="A2072" s="164" t="s">
        <v>3</v>
      </c>
      <c r="B2072" s="165"/>
      <c r="C2072" s="166">
        <v>3</v>
      </c>
      <c r="D2072" s="165">
        <v>5</v>
      </c>
      <c r="E2072" s="167">
        <f t="shared" si="1314"/>
        <v>8</v>
      </c>
      <c r="F2072" s="165"/>
      <c r="G2072" s="166">
        <v>3</v>
      </c>
      <c r="H2072" s="165">
        <v>5</v>
      </c>
      <c r="I2072" s="167">
        <f t="shared" si="1315"/>
        <v>8</v>
      </c>
      <c r="J2072" s="168">
        <v>46153</v>
      </c>
      <c r="K2072" s="5" t="s">
        <v>3</v>
      </c>
      <c r="L2072" s="16"/>
      <c r="M2072" s="11"/>
      <c r="N2072" s="16"/>
      <c r="O2072" s="4">
        <f t="shared" si="1324"/>
        <v>0</v>
      </c>
      <c r="P2072" s="16"/>
      <c r="Q2072" s="11"/>
      <c r="R2072" s="16"/>
      <c r="S2072" s="4">
        <f t="shared" si="1325"/>
        <v>0</v>
      </c>
      <c r="U2072" s="174" t="s">
        <v>1143</v>
      </c>
      <c r="V2072" s="8">
        <v>20</v>
      </c>
      <c r="W2072" s="9">
        <v>0</v>
      </c>
      <c r="X2072" s="10">
        <v>0</v>
      </c>
      <c r="Y2072" s="7">
        <f t="shared" si="1317"/>
        <v>20</v>
      </c>
      <c r="Z2072" s="8">
        <v>20</v>
      </c>
      <c r="AA2072" s="9">
        <v>0</v>
      </c>
      <c r="AB2072" s="10">
        <v>0</v>
      </c>
      <c r="AC2072" s="7">
        <f t="shared" si="1318"/>
        <v>20</v>
      </c>
      <c r="AD2072" s="122">
        <v>20</v>
      </c>
      <c r="AE2072" s="60">
        <v>0</v>
      </c>
      <c r="AF2072" s="61">
        <v>0</v>
      </c>
      <c r="AG2072" s="4">
        <f t="shared" si="1319"/>
        <v>20</v>
      </c>
      <c r="AH2072" s="43" t="s">
        <v>1164</v>
      </c>
    </row>
    <row r="2073" spans="1:34">
      <c r="A2073" s="5" t="s">
        <v>3</v>
      </c>
      <c r="B2073" s="16">
        <v>3</v>
      </c>
      <c r="C2073" s="11">
        <v>3</v>
      </c>
      <c r="D2073" s="16"/>
      <c r="E2073" s="4">
        <f t="shared" si="1314"/>
        <v>6</v>
      </c>
      <c r="F2073" s="16">
        <v>3</v>
      </c>
      <c r="G2073" s="11">
        <v>3</v>
      </c>
      <c r="H2073" s="16"/>
      <c r="I2073" s="4">
        <f t="shared" si="1315"/>
        <v>6</v>
      </c>
      <c r="J2073" s="43">
        <v>46170</v>
      </c>
      <c r="K2073" s="5" t="s">
        <v>3</v>
      </c>
      <c r="L2073" s="16"/>
      <c r="M2073" s="11"/>
      <c r="N2073" s="16"/>
      <c r="O2073" s="4">
        <f t="shared" si="1324"/>
        <v>0</v>
      </c>
      <c r="P2073" s="16"/>
      <c r="Q2073" s="11"/>
      <c r="R2073" s="16"/>
      <c r="S2073" s="4">
        <f t="shared" si="1325"/>
        <v>0</v>
      </c>
      <c r="U2073" s="40" t="s">
        <v>1151</v>
      </c>
      <c r="V2073" s="8">
        <v>10</v>
      </c>
      <c r="W2073" s="9">
        <v>10</v>
      </c>
      <c r="X2073" s="10">
        <v>5</v>
      </c>
      <c r="Y2073" s="7">
        <f t="shared" si="1317"/>
        <v>25</v>
      </c>
      <c r="Z2073" s="8">
        <v>10</v>
      </c>
      <c r="AA2073" s="9">
        <v>10</v>
      </c>
      <c r="AB2073" s="10">
        <v>5</v>
      </c>
      <c r="AC2073" s="7">
        <f t="shared" si="1318"/>
        <v>25</v>
      </c>
      <c r="AD2073" s="79">
        <v>10</v>
      </c>
      <c r="AE2073" s="9">
        <v>10</v>
      </c>
      <c r="AF2073" s="10">
        <v>5</v>
      </c>
      <c r="AG2073" s="4">
        <f t="shared" si="1319"/>
        <v>25</v>
      </c>
      <c r="AH2073" s="43" t="s">
        <v>1169</v>
      </c>
    </row>
    <row r="2074" spans="1:34">
      <c r="A2074" s="5" t="s">
        <v>37</v>
      </c>
      <c r="B2074" s="16"/>
      <c r="C2074" s="11"/>
      <c r="D2074" s="16">
        <v>1</v>
      </c>
      <c r="E2074" s="4">
        <f t="shared" si="1314"/>
        <v>1</v>
      </c>
      <c r="F2074" s="16"/>
      <c r="G2074" s="11"/>
      <c r="H2074" s="16">
        <v>1</v>
      </c>
      <c r="I2074" s="4">
        <f t="shared" si="1315"/>
        <v>1</v>
      </c>
      <c r="J2074" s="43">
        <v>46168</v>
      </c>
      <c r="K2074" s="5" t="s">
        <v>3</v>
      </c>
      <c r="L2074" s="16"/>
      <c r="M2074" s="11"/>
      <c r="N2074" s="16"/>
      <c r="O2074" s="4">
        <f t="shared" si="1320"/>
        <v>0</v>
      </c>
      <c r="P2074" s="16"/>
      <c r="Q2074" s="11"/>
      <c r="R2074" s="16"/>
      <c r="S2074" s="4">
        <f t="shared" si="1321"/>
        <v>0</v>
      </c>
      <c r="U2074" s="5" t="s">
        <v>3</v>
      </c>
      <c r="V2074" s="30"/>
      <c r="W2074" s="31"/>
      <c r="X2074" s="32"/>
      <c r="Y2074" s="4">
        <f t="shared" si="1317"/>
        <v>0</v>
      </c>
      <c r="Z2074" s="30"/>
      <c r="AA2074" s="31"/>
      <c r="AB2074" s="32"/>
      <c r="AC2074" s="4">
        <f t="shared" si="1318"/>
        <v>0</v>
      </c>
      <c r="AD2074" s="30"/>
      <c r="AE2074" s="31"/>
      <c r="AF2074" s="32"/>
      <c r="AG2074" s="4">
        <f t="shared" si="1319"/>
        <v>0</v>
      </c>
    </row>
    <row r="2075" spans="1:34">
      <c r="A2075" s="5" t="s">
        <v>3</v>
      </c>
      <c r="B2075" s="32"/>
      <c r="C2075" s="31"/>
      <c r="D2075" s="32"/>
      <c r="E2075" s="4">
        <f t="shared" si="1314"/>
        <v>0</v>
      </c>
      <c r="F2075" s="32"/>
      <c r="G2075" s="31"/>
      <c r="H2075" s="32"/>
      <c r="I2075" s="4">
        <f t="shared" si="1315"/>
        <v>0</v>
      </c>
      <c r="K2075" s="5" t="s">
        <v>3</v>
      </c>
      <c r="L2075" s="16"/>
      <c r="M2075" s="11"/>
      <c r="N2075" s="16"/>
      <c r="O2075" s="4">
        <f t="shared" si="1320"/>
        <v>0</v>
      </c>
      <c r="P2075" s="16"/>
      <c r="Q2075" s="11"/>
      <c r="R2075" s="16"/>
      <c r="S2075" s="4">
        <f t="shared" si="1321"/>
        <v>0</v>
      </c>
      <c r="U2075" s="40" t="s">
        <v>1183</v>
      </c>
      <c r="V2075" s="32">
        <v>10</v>
      </c>
      <c r="W2075" s="31">
        <v>25</v>
      </c>
      <c r="X2075" s="32">
        <v>25</v>
      </c>
      <c r="Y2075" s="4">
        <f t="shared" si="1317"/>
        <v>60</v>
      </c>
      <c r="Z2075" s="32">
        <v>10</v>
      </c>
      <c r="AA2075" s="31">
        <v>25</v>
      </c>
      <c r="AB2075" s="32">
        <v>25</v>
      </c>
      <c r="AC2075" s="4">
        <f t="shared" si="1318"/>
        <v>60</v>
      </c>
      <c r="AD2075" s="75">
        <v>35</v>
      </c>
      <c r="AE2075" s="76">
        <v>40</v>
      </c>
      <c r="AF2075" s="75">
        <v>25</v>
      </c>
      <c r="AG2075" s="4">
        <f t="shared" si="1319"/>
        <v>100</v>
      </c>
      <c r="AH2075" s="43">
        <v>46137</v>
      </c>
    </row>
    <row r="2076" spans="1:34">
      <c r="A2076" s="5" t="s">
        <v>3</v>
      </c>
      <c r="B2076" s="32"/>
      <c r="C2076" s="31"/>
      <c r="D2076" s="32"/>
      <c r="E2076" s="4">
        <f t="shared" si="1314"/>
        <v>0</v>
      </c>
      <c r="F2076" s="32"/>
      <c r="G2076" s="31"/>
      <c r="H2076" s="32"/>
      <c r="I2076" s="4">
        <f t="shared" si="1315"/>
        <v>0</v>
      </c>
      <c r="K2076" s="5" t="s">
        <v>3</v>
      </c>
      <c r="L2076" s="16"/>
      <c r="M2076" s="11"/>
      <c r="N2076" s="16"/>
      <c r="O2076" s="4">
        <f t="shared" si="1320"/>
        <v>0</v>
      </c>
      <c r="P2076" s="16"/>
      <c r="Q2076" s="11"/>
      <c r="R2076" s="16"/>
      <c r="S2076" s="4">
        <f t="shared" si="1321"/>
        <v>0</v>
      </c>
      <c r="U2076" s="5" t="s">
        <v>78</v>
      </c>
      <c r="V2076" s="30">
        <v>1</v>
      </c>
      <c r="W2076" s="31"/>
      <c r="X2076" s="32"/>
      <c r="Y2076" s="4">
        <f t="shared" si="1317"/>
        <v>1</v>
      </c>
      <c r="Z2076" s="30">
        <v>1</v>
      </c>
      <c r="AA2076" s="31"/>
      <c r="AB2076" s="32"/>
      <c r="AC2076" s="4">
        <f t="shared" si="1318"/>
        <v>1</v>
      </c>
      <c r="AD2076" s="30">
        <v>1</v>
      </c>
      <c r="AE2076" s="31"/>
      <c r="AF2076" s="32"/>
      <c r="AG2076" s="4">
        <f t="shared" si="1319"/>
        <v>1</v>
      </c>
      <c r="AH2076" s="49">
        <v>46140</v>
      </c>
    </row>
    <row r="2077" spans="1:34">
      <c r="A2077" s="5" t="s">
        <v>3</v>
      </c>
      <c r="B2077" s="30"/>
      <c r="C2077" s="31"/>
      <c r="D2077" s="32"/>
      <c r="E2077" s="4">
        <f t="shared" si="1314"/>
        <v>0</v>
      </c>
      <c r="F2077" s="30"/>
      <c r="G2077" s="31"/>
      <c r="H2077" s="32"/>
      <c r="I2077" s="4">
        <f t="shared" si="1315"/>
        <v>0</v>
      </c>
      <c r="K2077" s="5" t="s">
        <v>3</v>
      </c>
      <c r="L2077" s="16"/>
      <c r="M2077" s="11"/>
      <c r="N2077" s="16"/>
      <c r="O2077" s="4">
        <f t="shared" si="1320"/>
        <v>0</v>
      </c>
      <c r="P2077" s="16"/>
      <c r="Q2077" s="11"/>
      <c r="R2077" s="16"/>
      <c r="S2077" s="4">
        <f t="shared" si="1321"/>
        <v>0</v>
      </c>
      <c r="U2077" s="5" t="s">
        <v>78</v>
      </c>
      <c r="V2077" s="30"/>
      <c r="W2077" s="31"/>
      <c r="X2077" s="32">
        <v>1</v>
      </c>
      <c r="Y2077" s="4">
        <f t="shared" si="1317"/>
        <v>1</v>
      </c>
      <c r="Z2077" s="30"/>
      <c r="AA2077" s="31"/>
      <c r="AB2077" s="32">
        <v>1</v>
      </c>
      <c r="AC2077" s="4">
        <f t="shared" si="1318"/>
        <v>1</v>
      </c>
      <c r="AD2077" s="30"/>
      <c r="AE2077" s="31"/>
      <c r="AF2077" s="32">
        <v>1</v>
      </c>
      <c r="AG2077" s="4">
        <f t="shared" si="1319"/>
        <v>1</v>
      </c>
      <c r="AH2077" s="49">
        <v>46155</v>
      </c>
    </row>
    <row r="2078" spans="1:34" ht="14.25" thickBot="1">
      <c r="A2078" s="6" t="s">
        <v>3</v>
      </c>
      <c r="B2078" s="36"/>
      <c r="C2078" s="37"/>
      <c r="D2078" s="36"/>
      <c r="E2078" s="20">
        <f t="shared" si="1314"/>
        <v>0</v>
      </c>
      <c r="F2078" s="13"/>
      <c r="G2078" s="12"/>
      <c r="H2078" s="13"/>
      <c r="I2078" s="20">
        <f t="shared" si="1315"/>
        <v>0</v>
      </c>
      <c r="K2078" s="6" t="s">
        <v>3</v>
      </c>
      <c r="L2078" s="36"/>
      <c r="M2078" s="37"/>
      <c r="N2078" s="36"/>
      <c r="O2078" s="20">
        <f t="shared" si="1320"/>
        <v>0</v>
      </c>
      <c r="P2078" s="13"/>
      <c r="Q2078" s="12"/>
      <c r="R2078" s="13"/>
      <c r="S2078" s="20">
        <f t="shared" si="1321"/>
        <v>0</v>
      </c>
      <c r="U2078" s="5" t="s">
        <v>3</v>
      </c>
      <c r="V2078" s="30"/>
      <c r="W2078" s="31"/>
      <c r="X2078" s="32"/>
      <c r="Y2078" s="4">
        <f t="shared" ref="Y2078" si="1326">SUM(V2078:X2078)</f>
        <v>0</v>
      </c>
      <c r="Z2078" s="30"/>
      <c r="AA2078" s="31"/>
      <c r="AB2078" s="32"/>
      <c r="AC2078" s="4">
        <f t="shared" ref="AC2078" si="1327">SUM(Z2078:AB2078)</f>
        <v>0</v>
      </c>
      <c r="AD2078" s="30"/>
      <c r="AE2078" s="31"/>
      <c r="AF2078" s="32"/>
      <c r="AG2078" s="4">
        <f t="shared" ref="AG2078" si="1328">SUM(AD2078:AF2078)</f>
        <v>0</v>
      </c>
    </row>
    <row r="2079" spans="1:34" ht="14.25" thickBot="1">
      <c r="A2079" s="23" t="s">
        <v>4</v>
      </c>
      <c r="B2079" s="24">
        <f>SUM(B2068:B2078)</f>
        <v>14</v>
      </c>
      <c r="C2079" s="24">
        <f>SUM(C2068:C2078)</f>
        <v>16</v>
      </c>
      <c r="D2079" s="25">
        <f>SUM(D2068:D2078)</f>
        <v>19</v>
      </c>
      <c r="E2079" s="26">
        <f t="shared" si="1314"/>
        <v>49</v>
      </c>
      <c r="F2079" s="24">
        <f>SUM(F2068:F2078)</f>
        <v>14</v>
      </c>
      <c r="G2079" s="24">
        <f>SUM(G2068:G2078)</f>
        <v>16</v>
      </c>
      <c r="H2079" s="25">
        <f>SUM(H2068:H2078)</f>
        <v>19</v>
      </c>
      <c r="I2079" s="26">
        <f t="shared" si="1315"/>
        <v>49</v>
      </c>
      <c r="K2079" s="23" t="s">
        <v>4</v>
      </c>
      <c r="L2079" s="24">
        <f>SUM(L2068:L2078)</f>
        <v>126</v>
      </c>
      <c r="M2079" s="24">
        <f t="shared" ref="M2079:S2079" si="1329">SUM(M2068:M2078)</f>
        <v>235</v>
      </c>
      <c r="N2079" s="25">
        <f t="shared" si="1329"/>
        <v>186</v>
      </c>
      <c r="O2079" s="26">
        <f t="shared" si="1329"/>
        <v>547</v>
      </c>
      <c r="P2079" s="24">
        <f t="shared" si="1329"/>
        <v>126</v>
      </c>
      <c r="Q2079" s="24">
        <f t="shared" si="1329"/>
        <v>235</v>
      </c>
      <c r="R2079" s="25">
        <f t="shared" si="1329"/>
        <v>186</v>
      </c>
      <c r="S2079" s="26">
        <f t="shared" si="1329"/>
        <v>547</v>
      </c>
      <c r="U2079" s="23" t="s">
        <v>4</v>
      </c>
      <c r="V2079" s="24">
        <f>SUM(V2068:V2078)</f>
        <v>53</v>
      </c>
      <c r="W2079" s="24">
        <f>SUM(W2068:W2078)</f>
        <v>64</v>
      </c>
      <c r="X2079" s="25">
        <f>SUM(X2068:X2078)</f>
        <v>51</v>
      </c>
      <c r="Y2079" s="26">
        <f t="shared" si="1317"/>
        <v>168</v>
      </c>
      <c r="Z2079" s="24">
        <f>SUM(Z2068:Z2078)</f>
        <v>53</v>
      </c>
      <c r="AA2079" s="24">
        <f>SUM(AA2068:AA2078)</f>
        <v>64</v>
      </c>
      <c r="AB2079" s="25">
        <f>SUM(AB2068:AB2078)</f>
        <v>51</v>
      </c>
      <c r="AC2079" s="26">
        <f t="shared" si="1318"/>
        <v>168</v>
      </c>
      <c r="AD2079" s="24">
        <f>SUM(AD2068:AD2078)</f>
        <v>78</v>
      </c>
      <c r="AE2079" s="24">
        <f>SUM(AE2068:AE2078)</f>
        <v>79</v>
      </c>
      <c r="AF2079" s="25">
        <f>SUM(AF2068:AF2078)</f>
        <v>51</v>
      </c>
      <c r="AG2079" s="26">
        <f t="shared" si="1319"/>
        <v>208</v>
      </c>
    </row>
    <row r="2080" spans="1:34">
      <c r="A2080" s="3" t="s">
        <v>1147</v>
      </c>
      <c r="B2080" s="8"/>
      <c r="C2080" s="9">
        <v>1</v>
      </c>
      <c r="D2080" s="10"/>
      <c r="E2080" s="7">
        <f t="shared" si="1314"/>
        <v>1</v>
      </c>
      <c r="F2080" s="8"/>
      <c r="G2080" s="9">
        <v>1</v>
      </c>
      <c r="H2080" s="10"/>
      <c r="I2080" s="7">
        <f t="shared" si="1315"/>
        <v>1</v>
      </c>
      <c r="J2080" s="49">
        <v>46070</v>
      </c>
      <c r="K2080" s="40" t="s">
        <v>1143</v>
      </c>
      <c r="L2080" s="8">
        <v>20</v>
      </c>
      <c r="M2080" s="9">
        <v>0</v>
      </c>
      <c r="N2080" s="10">
        <v>0</v>
      </c>
      <c r="O2080" s="7">
        <f t="shared" ref="O2080" si="1330">SUM(L2080:N2080)</f>
        <v>20</v>
      </c>
      <c r="P2080" s="8">
        <v>20</v>
      </c>
      <c r="Q2080" s="9">
        <v>0</v>
      </c>
      <c r="R2080" s="10">
        <v>0</v>
      </c>
      <c r="S2080" s="7">
        <f t="shared" ref="S2080" si="1331">SUM(P2080:R2080)</f>
        <v>20</v>
      </c>
      <c r="T2080" s="43">
        <v>45717</v>
      </c>
      <c r="U2080" s="40" t="s">
        <v>1158</v>
      </c>
      <c r="V2080" s="8">
        <v>9</v>
      </c>
      <c r="W2080" s="9">
        <v>11</v>
      </c>
      <c r="X2080" s="10">
        <v>8</v>
      </c>
      <c r="Y2080" s="4">
        <f t="shared" si="1317"/>
        <v>28</v>
      </c>
      <c r="Z2080" s="8">
        <v>9</v>
      </c>
      <c r="AA2080" s="9">
        <v>11</v>
      </c>
      <c r="AB2080" s="10">
        <v>8</v>
      </c>
      <c r="AC2080" s="4">
        <f t="shared" si="1318"/>
        <v>28</v>
      </c>
      <c r="AD2080" s="8">
        <v>9</v>
      </c>
      <c r="AE2080" s="9">
        <v>11</v>
      </c>
      <c r="AF2080" s="10">
        <v>8</v>
      </c>
      <c r="AG2080" s="4">
        <f t="shared" si="1319"/>
        <v>28</v>
      </c>
      <c r="AH2080" s="43">
        <v>46090</v>
      </c>
    </row>
    <row r="2081" spans="1:34">
      <c r="A2081" s="3" t="s">
        <v>1148</v>
      </c>
      <c r="B2081" s="8"/>
      <c r="C2081" s="9">
        <v>1</v>
      </c>
      <c r="D2081" s="10">
        <v>1</v>
      </c>
      <c r="E2081" s="7">
        <f t="shared" si="1314"/>
        <v>2</v>
      </c>
      <c r="F2081" s="8"/>
      <c r="G2081" s="9">
        <v>1</v>
      </c>
      <c r="H2081" s="10">
        <v>1</v>
      </c>
      <c r="I2081" s="7">
        <f t="shared" si="1315"/>
        <v>2</v>
      </c>
      <c r="J2081" s="49">
        <v>46073</v>
      </c>
      <c r="K2081" s="3" t="s">
        <v>1106</v>
      </c>
      <c r="L2081" s="8"/>
      <c r="M2081" s="9">
        <v>5</v>
      </c>
      <c r="N2081" s="10"/>
      <c r="O2081" s="7">
        <f t="shared" si="1320"/>
        <v>5</v>
      </c>
      <c r="P2081" s="8"/>
      <c r="Q2081" s="9">
        <v>5</v>
      </c>
      <c r="R2081" s="10"/>
      <c r="S2081" s="7">
        <f t="shared" si="1321"/>
        <v>5</v>
      </c>
      <c r="T2081" s="43">
        <v>46086</v>
      </c>
      <c r="U2081" s="40" t="s">
        <v>1165</v>
      </c>
      <c r="V2081" s="8">
        <v>6</v>
      </c>
      <c r="W2081" s="9">
        <v>8</v>
      </c>
      <c r="X2081" s="10">
        <v>8</v>
      </c>
      <c r="Y2081" s="4">
        <f t="shared" si="1317"/>
        <v>22</v>
      </c>
      <c r="Z2081" s="8">
        <v>6</v>
      </c>
      <c r="AA2081" s="9">
        <v>8</v>
      </c>
      <c r="AB2081" s="10">
        <v>8</v>
      </c>
      <c r="AC2081" s="4">
        <f t="shared" si="1318"/>
        <v>22</v>
      </c>
      <c r="AD2081" s="8">
        <v>6</v>
      </c>
      <c r="AE2081" s="9">
        <v>8</v>
      </c>
      <c r="AF2081" s="10">
        <v>8</v>
      </c>
      <c r="AG2081" s="4">
        <f t="shared" si="1319"/>
        <v>22</v>
      </c>
      <c r="AH2081" s="43">
        <v>46111</v>
      </c>
    </row>
    <row r="2082" spans="1:34">
      <c r="A2082" s="3" t="s">
        <v>1159</v>
      </c>
      <c r="B2082" s="8"/>
      <c r="C2082" s="9"/>
      <c r="D2082" s="10">
        <v>1</v>
      </c>
      <c r="E2082" s="7">
        <f t="shared" si="1314"/>
        <v>1</v>
      </c>
      <c r="F2082" s="8"/>
      <c r="G2082" s="9"/>
      <c r="H2082" s="10">
        <v>1</v>
      </c>
      <c r="I2082" s="7">
        <f t="shared" si="1315"/>
        <v>1</v>
      </c>
      <c r="J2082" s="49">
        <v>46090</v>
      </c>
      <c r="K2082" s="40" t="s">
        <v>1151</v>
      </c>
      <c r="L2082" s="8">
        <v>10</v>
      </c>
      <c r="M2082" s="9">
        <v>10</v>
      </c>
      <c r="N2082" s="10">
        <v>5</v>
      </c>
      <c r="O2082" s="7">
        <f t="shared" si="1320"/>
        <v>25</v>
      </c>
      <c r="P2082" s="8">
        <v>10</v>
      </c>
      <c r="Q2082" s="9">
        <v>10</v>
      </c>
      <c r="R2082" s="10">
        <v>5</v>
      </c>
      <c r="S2082" s="7">
        <f t="shared" si="1321"/>
        <v>25</v>
      </c>
      <c r="T2082" s="43">
        <v>46118</v>
      </c>
      <c r="U2082" s="40" t="s">
        <v>1176</v>
      </c>
      <c r="V2082" s="8">
        <v>7</v>
      </c>
      <c r="W2082" s="9">
        <v>2</v>
      </c>
      <c r="X2082" s="10">
        <v>6</v>
      </c>
      <c r="Y2082" s="7">
        <f t="shared" si="1317"/>
        <v>15</v>
      </c>
      <c r="Z2082" s="8">
        <v>7</v>
      </c>
      <c r="AA2082" s="9">
        <v>2</v>
      </c>
      <c r="AB2082" s="10">
        <v>6</v>
      </c>
      <c r="AC2082" s="7">
        <f t="shared" si="1318"/>
        <v>15</v>
      </c>
      <c r="AD2082" s="8">
        <v>7</v>
      </c>
      <c r="AE2082" s="9">
        <v>2</v>
      </c>
      <c r="AF2082" s="10">
        <v>6</v>
      </c>
      <c r="AG2082" s="7">
        <f t="shared" si="1319"/>
        <v>15</v>
      </c>
      <c r="AH2082" s="43">
        <v>46126</v>
      </c>
    </row>
    <row r="2083" spans="1:34">
      <c r="A2083" s="3" t="s">
        <v>50</v>
      </c>
      <c r="B2083" s="8">
        <v>1</v>
      </c>
      <c r="C2083" s="9"/>
      <c r="D2083" s="10"/>
      <c r="E2083" s="7">
        <f t="shared" si="1314"/>
        <v>1</v>
      </c>
      <c r="F2083" s="8">
        <v>1</v>
      </c>
      <c r="G2083" s="9"/>
      <c r="H2083" s="10"/>
      <c r="I2083" s="7">
        <f t="shared" si="1315"/>
        <v>1</v>
      </c>
      <c r="J2083" s="49">
        <v>46092</v>
      </c>
      <c r="K2083" s="3" t="s">
        <v>1178</v>
      </c>
      <c r="L2083" s="8">
        <v>5</v>
      </c>
      <c r="M2083" s="9"/>
      <c r="N2083" s="10">
        <v>5</v>
      </c>
      <c r="O2083" s="7">
        <f t="shared" si="1320"/>
        <v>10</v>
      </c>
      <c r="P2083" s="8">
        <v>5</v>
      </c>
      <c r="Q2083" s="9"/>
      <c r="R2083" s="10">
        <v>5</v>
      </c>
      <c r="S2083" s="7">
        <f t="shared" si="1321"/>
        <v>10</v>
      </c>
      <c r="T2083" s="43">
        <v>46129</v>
      </c>
      <c r="U2083" s="40" t="s">
        <v>1180</v>
      </c>
      <c r="V2083" s="8"/>
      <c r="W2083" s="9">
        <v>3</v>
      </c>
      <c r="X2083" s="10">
        <v>3</v>
      </c>
      <c r="Y2083" s="4">
        <f t="shared" si="1317"/>
        <v>6</v>
      </c>
      <c r="Z2083" s="8"/>
      <c r="AA2083" s="9">
        <v>3</v>
      </c>
      <c r="AB2083" s="10">
        <v>3</v>
      </c>
      <c r="AC2083" s="4">
        <f t="shared" si="1318"/>
        <v>6</v>
      </c>
      <c r="AD2083" s="8"/>
      <c r="AE2083" s="9">
        <v>3</v>
      </c>
      <c r="AF2083" s="10">
        <v>3</v>
      </c>
      <c r="AG2083" s="4">
        <f t="shared" si="1319"/>
        <v>6</v>
      </c>
      <c r="AH2083" s="43">
        <v>46136</v>
      </c>
    </row>
    <row r="2084" spans="1:34">
      <c r="A2084" s="3" t="s">
        <v>1177</v>
      </c>
      <c r="B2084" s="8">
        <v>1</v>
      </c>
      <c r="C2084" s="9"/>
      <c r="D2084" s="10"/>
      <c r="E2084" s="7">
        <f t="shared" si="1314"/>
        <v>1</v>
      </c>
      <c r="F2084" s="8">
        <v>1</v>
      </c>
      <c r="G2084" s="9"/>
      <c r="H2084" s="10"/>
      <c r="I2084" s="7">
        <f t="shared" si="1315"/>
        <v>1</v>
      </c>
      <c r="J2084" s="43">
        <v>46127</v>
      </c>
      <c r="K2084" s="3" t="s">
        <v>1179</v>
      </c>
      <c r="L2084" s="8">
        <v>4</v>
      </c>
      <c r="M2084" s="9">
        <v>6</v>
      </c>
      <c r="N2084" s="10">
        <v>5</v>
      </c>
      <c r="O2084" s="7">
        <f t="shared" si="1320"/>
        <v>15</v>
      </c>
      <c r="P2084" s="8">
        <v>4</v>
      </c>
      <c r="Q2084" s="9">
        <v>6</v>
      </c>
      <c r="R2084" s="10">
        <v>5</v>
      </c>
      <c r="S2084" s="7">
        <f t="shared" si="1321"/>
        <v>15</v>
      </c>
      <c r="T2084" s="43">
        <v>46132</v>
      </c>
      <c r="U2084" s="40" t="s">
        <v>1182</v>
      </c>
      <c r="V2084" s="8">
        <v>16</v>
      </c>
      <c r="W2084" s="9">
        <v>18</v>
      </c>
      <c r="X2084" s="10">
        <v>15</v>
      </c>
      <c r="Y2084" s="4">
        <f t="shared" si="1317"/>
        <v>49</v>
      </c>
      <c r="Z2084" s="8">
        <v>16</v>
      </c>
      <c r="AA2084" s="9">
        <v>18</v>
      </c>
      <c r="AB2084" s="10">
        <v>15</v>
      </c>
      <c r="AC2084" s="4">
        <f t="shared" si="1318"/>
        <v>49</v>
      </c>
      <c r="AD2084" s="8">
        <v>16</v>
      </c>
      <c r="AE2084" s="9">
        <v>18</v>
      </c>
      <c r="AF2084" s="10">
        <v>15</v>
      </c>
      <c r="AG2084" s="4">
        <f t="shared" si="1319"/>
        <v>49</v>
      </c>
      <c r="AH2084" s="43">
        <v>46142</v>
      </c>
    </row>
    <row r="2085" spans="1:34">
      <c r="A2085" s="3" t="s">
        <v>623</v>
      </c>
      <c r="B2085" s="8">
        <v>1</v>
      </c>
      <c r="C2085" s="9"/>
      <c r="D2085" s="10">
        <v>3</v>
      </c>
      <c r="E2085" s="7">
        <f t="shared" si="1314"/>
        <v>4</v>
      </c>
      <c r="F2085" s="8">
        <v>1</v>
      </c>
      <c r="G2085" s="9"/>
      <c r="H2085" s="10">
        <v>3</v>
      </c>
      <c r="I2085" s="7">
        <f t="shared" si="1315"/>
        <v>4</v>
      </c>
      <c r="J2085" s="43">
        <v>46129</v>
      </c>
      <c r="K2085" s="40" t="s">
        <v>1183</v>
      </c>
      <c r="L2085" s="8">
        <v>10</v>
      </c>
      <c r="M2085" s="9">
        <v>25</v>
      </c>
      <c r="N2085" s="10">
        <v>25</v>
      </c>
      <c r="O2085" s="7">
        <f t="shared" si="1320"/>
        <v>60</v>
      </c>
      <c r="P2085" s="8">
        <v>10</v>
      </c>
      <c r="Q2085" s="9">
        <v>25</v>
      </c>
      <c r="R2085" s="10">
        <v>25</v>
      </c>
      <c r="S2085" s="7">
        <f t="shared" si="1321"/>
        <v>60</v>
      </c>
      <c r="T2085" s="43">
        <v>46137</v>
      </c>
      <c r="U2085" s="3"/>
      <c r="V2085" s="8"/>
      <c r="W2085" s="9"/>
      <c r="X2085" s="10"/>
      <c r="Y2085" s="7">
        <f t="shared" si="1317"/>
        <v>0</v>
      </c>
      <c r="Z2085" s="8"/>
      <c r="AA2085" s="9"/>
      <c r="AB2085" s="10"/>
      <c r="AC2085" s="7">
        <f t="shared" si="1318"/>
        <v>0</v>
      </c>
      <c r="AD2085" s="8"/>
      <c r="AE2085" s="9"/>
      <c r="AF2085" s="10"/>
      <c r="AG2085" s="7">
        <f t="shared" si="1319"/>
        <v>0</v>
      </c>
    </row>
    <row r="2086" spans="1:34">
      <c r="A2086" s="3" t="s">
        <v>416</v>
      </c>
      <c r="B2086" s="8">
        <v>2</v>
      </c>
      <c r="C2086" s="9">
        <v>1</v>
      </c>
      <c r="D2086" s="10">
        <v>1</v>
      </c>
      <c r="E2086" s="7">
        <f t="shared" si="1314"/>
        <v>4</v>
      </c>
      <c r="F2086" s="8">
        <v>2</v>
      </c>
      <c r="G2086" s="9">
        <v>1</v>
      </c>
      <c r="H2086" s="10">
        <v>1</v>
      </c>
      <c r="I2086" s="7">
        <f t="shared" si="1315"/>
        <v>4</v>
      </c>
      <c r="J2086" s="43">
        <v>46129</v>
      </c>
      <c r="K2086" s="3" t="s">
        <v>1184</v>
      </c>
      <c r="L2086" s="8">
        <v>5</v>
      </c>
      <c r="M2086" s="9">
        <v>9</v>
      </c>
      <c r="N2086" s="10">
        <v>1</v>
      </c>
      <c r="O2086" s="7">
        <f t="shared" si="1320"/>
        <v>15</v>
      </c>
      <c r="P2086" s="8">
        <v>5</v>
      </c>
      <c r="Q2086" s="9">
        <v>9</v>
      </c>
      <c r="R2086" s="10">
        <v>1</v>
      </c>
      <c r="S2086" s="7">
        <f t="shared" si="1321"/>
        <v>15</v>
      </c>
      <c r="T2086" s="43">
        <v>46139</v>
      </c>
      <c r="U2086" s="3"/>
      <c r="V2086" s="8"/>
      <c r="W2086" s="9"/>
      <c r="X2086" s="10"/>
      <c r="Y2086" s="7">
        <f t="shared" si="1317"/>
        <v>0</v>
      </c>
      <c r="Z2086" s="8"/>
      <c r="AA2086" s="9"/>
      <c r="AB2086" s="10"/>
      <c r="AC2086" s="7">
        <f t="shared" si="1318"/>
        <v>0</v>
      </c>
      <c r="AD2086" s="8"/>
      <c r="AE2086" s="9"/>
      <c r="AF2086" s="10"/>
      <c r="AG2086" s="7">
        <f t="shared" si="1319"/>
        <v>0</v>
      </c>
    </row>
    <row r="2087" spans="1:34">
      <c r="A2087" s="3" t="s">
        <v>417</v>
      </c>
      <c r="B2087" s="8"/>
      <c r="C2087" s="9"/>
      <c r="D2087" s="10">
        <v>1</v>
      </c>
      <c r="E2087" s="7">
        <f t="shared" si="1314"/>
        <v>1</v>
      </c>
      <c r="F2087" s="8"/>
      <c r="G2087" s="9"/>
      <c r="H2087" s="10">
        <v>1</v>
      </c>
      <c r="I2087" s="7">
        <f t="shared" si="1315"/>
        <v>1</v>
      </c>
      <c r="J2087" s="43">
        <v>46135</v>
      </c>
      <c r="K2087" s="3" t="s">
        <v>428</v>
      </c>
      <c r="L2087" s="8">
        <v>2</v>
      </c>
      <c r="M2087" s="9">
        <v>2</v>
      </c>
      <c r="N2087" s="10">
        <v>5</v>
      </c>
      <c r="O2087" s="7">
        <f t="shared" si="1320"/>
        <v>9</v>
      </c>
      <c r="P2087" s="8">
        <v>2</v>
      </c>
      <c r="Q2087" s="9">
        <v>2</v>
      </c>
      <c r="R2087" s="10">
        <v>5</v>
      </c>
      <c r="S2087" s="7">
        <f t="shared" si="1321"/>
        <v>9</v>
      </c>
      <c r="T2087" s="43">
        <v>46140</v>
      </c>
      <c r="U2087" s="3"/>
      <c r="V2087" s="8"/>
      <c r="W2087" s="9"/>
      <c r="X2087" s="10"/>
      <c r="Y2087" s="7">
        <f t="shared" si="1317"/>
        <v>0</v>
      </c>
      <c r="Z2087" s="8"/>
      <c r="AA2087" s="9"/>
      <c r="AB2087" s="10"/>
      <c r="AC2087" s="7">
        <f t="shared" si="1318"/>
        <v>0</v>
      </c>
      <c r="AD2087" s="8"/>
      <c r="AE2087" s="9"/>
      <c r="AF2087" s="10"/>
      <c r="AG2087" s="7">
        <f t="shared" si="1319"/>
        <v>0</v>
      </c>
    </row>
    <row r="2088" spans="1:34">
      <c r="A2088" s="3" t="s">
        <v>1181</v>
      </c>
      <c r="B2088" s="8">
        <v>1</v>
      </c>
      <c r="C2088" s="9"/>
      <c r="D2088" s="10"/>
      <c r="E2088" s="7">
        <f t="shared" si="1314"/>
        <v>1</v>
      </c>
      <c r="F2088" s="8">
        <v>1</v>
      </c>
      <c r="G2088" s="9"/>
      <c r="H2088" s="10"/>
      <c r="I2088" s="7">
        <f t="shared" si="1315"/>
        <v>1</v>
      </c>
      <c r="J2088" s="43">
        <v>46136</v>
      </c>
      <c r="K2088" s="3" t="s">
        <v>1189</v>
      </c>
      <c r="L2088" s="8">
        <v>25</v>
      </c>
      <c r="M2088" s="9">
        <v>20</v>
      </c>
      <c r="N2088" s="10">
        <v>10</v>
      </c>
      <c r="O2088" s="7">
        <f t="shared" si="1320"/>
        <v>55</v>
      </c>
      <c r="P2088" s="8">
        <v>25</v>
      </c>
      <c r="Q2088" s="9">
        <v>20</v>
      </c>
      <c r="R2088" s="10">
        <v>10</v>
      </c>
      <c r="S2088" s="7">
        <f t="shared" si="1321"/>
        <v>55</v>
      </c>
      <c r="T2088" s="43">
        <v>46151</v>
      </c>
      <c r="U2088" s="3"/>
      <c r="V2088" s="8"/>
      <c r="W2088" s="9"/>
      <c r="X2088" s="10"/>
      <c r="Y2088" s="7">
        <f t="shared" si="1317"/>
        <v>0</v>
      </c>
      <c r="Z2088" s="8"/>
      <c r="AA2088" s="9"/>
      <c r="AB2088" s="10"/>
      <c r="AC2088" s="7">
        <f t="shared" si="1318"/>
        <v>0</v>
      </c>
      <c r="AD2088" s="8"/>
      <c r="AE2088" s="9"/>
      <c r="AF2088" s="10"/>
      <c r="AG2088" s="7">
        <f t="shared" si="1319"/>
        <v>0</v>
      </c>
    </row>
    <row r="2089" spans="1:34">
      <c r="A2089" s="3" t="s">
        <v>422</v>
      </c>
      <c r="B2089" s="8">
        <v>1</v>
      </c>
      <c r="C2089" s="9">
        <v>1</v>
      </c>
      <c r="D2089" s="10"/>
      <c r="E2089" s="7">
        <f t="shared" si="1314"/>
        <v>2</v>
      </c>
      <c r="F2089" s="8">
        <v>1</v>
      </c>
      <c r="G2089" s="9">
        <v>1</v>
      </c>
      <c r="H2089" s="10"/>
      <c r="I2089" s="7">
        <f t="shared" si="1315"/>
        <v>2</v>
      </c>
      <c r="J2089" s="43">
        <v>46137</v>
      </c>
      <c r="K2089" s="179" t="s">
        <v>1190</v>
      </c>
      <c r="L2089" s="169"/>
      <c r="M2089" s="170">
        <v>3</v>
      </c>
      <c r="N2089" s="171">
        <v>5</v>
      </c>
      <c r="O2089" s="172">
        <f t="shared" si="1320"/>
        <v>8</v>
      </c>
      <c r="P2089" s="169"/>
      <c r="Q2089" s="170">
        <v>3</v>
      </c>
      <c r="R2089" s="171">
        <v>5</v>
      </c>
      <c r="S2089" s="172">
        <f t="shared" si="1321"/>
        <v>8</v>
      </c>
      <c r="T2089" s="168">
        <v>46153</v>
      </c>
      <c r="U2089" s="3"/>
      <c r="V2089" s="8"/>
      <c r="W2089" s="9"/>
      <c r="X2089" s="10"/>
      <c r="Y2089" s="7">
        <f t="shared" si="1317"/>
        <v>0</v>
      </c>
      <c r="Z2089" s="8"/>
      <c r="AA2089" s="9"/>
      <c r="AB2089" s="10"/>
      <c r="AC2089" s="7">
        <f t="shared" si="1318"/>
        <v>0</v>
      </c>
      <c r="AD2089" s="8"/>
      <c r="AE2089" s="9"/>
      <c r="AF2089" s="10"/>
      <c r="AG2089" s="7">
        <f t="shared" si="1319"/>
        <v>0</v>
      </c>
    </row>
    <row r="2090" spans="1:34">
      <c r="A2090" s="3" t="s">
        <v>633</v>
      </c>
      <c r="B2090" s="8"/>
      <c r="C2090" s="9"/>
      <c r="D2090" s="10">
        <v>1</v>
      </c>
      <c r="E2090" s="7">
        <f t="shared" si="1314"/>
        <v>1</v>
      </c>
      <c r="F2090" s="8"/>
      <c r="G2090" s="9"/>
      <c r="H2090" s="10">
        <v>1</v>
      </c>
      <c r="I2090" s="7">
        <f t="shared" si="1315"/>
        <v>1</v>
      </c>
      <c r="J2090" s="43">
        <v>46143</v>
      </c>
      <c r="K2090" s="3" t="s">
        <v>1191</v>
      </c>
      <c r="L2090" s="8">
        <v>3</v>
      </c>
      <c r="M2090" s="9">
        <v>3</v>
      </c>
      <c r="N2090" s="10"/>
      <c r="O2090" s="7">
        <f t="shared" si="1320"/>
        <v>6</v>
      </c>
      <c r="P2090" s="8">
        <v>3</v>
      </c>
      <c r="Q2090" s="9">
        <v>3</v>
      </c>
      <c r="R2090" s="10"/>
      <c r="S2090" s="7">
        <f t="shared" si="1321"/>
        <v>6</v>
      </c>
      <c r="T2090" s="43">
        <v>46157</v>
      </c>
      <c r="U2090" s="3"/>
      <c r="V2090" s="30"/>
      <c r="W2090" s="9"/>
      <c r="X2090" s="10"/>
      <c r="Y2090" s="7">
        <f t="shared" si="1317"/>
        <v>0</v>
      </c>
      <c r="Z2090" s="8"/>
      <c r="AA2090" s="9"/>
      <c r="AB2090" s="10"/>
      <c r="AC2090" s="7">
        <f t="shared" si="1318"/>
        <v>0</v>
      </c>
      <c r="AD2090" s="8"/>
      <c r="AE2090" s="9"/>
      <c r="AF2090" s="10"/>
      <c r="AG2090" s="7">
        <f t="shared" si="1319"/>
        <v>0</v>
      </c>
    </row>
    <row r="2091" spans="1:34">
      <c r="A2091" s="3" t="s">
        <v>1186</v>
      </c>
      <c r="B2091" s="8"/>
      <c r="C2091" s="9"/>
      <c r="D2091" s="10">
        <v>1</v>
      </c>
      <c r="E2091" s="7">
        <f t="shared" si="1314"/>
        <v>1</v>
      </c>
      <c r="F2091" s="8"/>
      <c r="G2091" s="9"/>
      <c r="H2091" s="10">
        <v>1</v>
      </c>
      <c r="I2091" s="7">
        <f t="shared" si="1315"/>
        <v>1</v>
      </c>
      <c r="J2091" s="43">
        <v>46149</v>
      </c>
      <c r="K2091" s="3" t="s">
        <v>1192</v>
      </c>
      <c r="L2091" s="8">
        <v>5</v>
      </c>
      <c r="M2091" s="9">
        <v>10</v>
      </c>
      <c r="N2091" s="10">
        <v>20</v>
      </c>
      <c r="O2091" s="7">
        <f t="shared" ref="O2091:O2092" si="1332">SUM(L2091:N2091)</f>
        <v>35</v>
      </c>
      <c r="P2091" s="8">
        <v>5</v>
      </c>
      <c r="Q2091" s="9">
        <v>10</v>
      </c>
      <c r="R2091" s="10">
        <v>20</v>
      </c>
      <c r="S2091" s="7">
        <f t="shared" ref="S2091:S2092" si="1333">SUM(P2091:R2091)</f>
        <v>35</v>
      </c>
      <c r="T2091" s="43">
        <v>46156</v>
      </c>
      <c r="U2091" s="3"/>
      <c r="V2091" s="8"/>
      <c r="W2091" s="9"/>
      <c r="X2091" s="10"/>
      <c r="Y2091" s="7">
        <f t="shared" si="1317"/>
        <v>0</v>
      </c>
      <c r="Z2091" s="8"/>
      <c r="AA2091" s="9"/>
      <c r="AB2091" s="10"/>
      <c r="AC2091" s="7">
        <f t="shared" si="1318"/>
        <v>0</v>
      </c>
      <c r="AD2091" s="8"/>
      <c r="AE2091" s="9"/>
      <c r="AF2091" s="10"/>
      <c r="AG2091" s="7">
        <f t="shared" si="1319"/>
        <v>0</v>
      </c>
    </row>
    <row r="2092" spans="1:34">
      <c r="A2092" s="3" t="s">
        <v>430</v>
      </c>
      <c r="B2092" s="8"/>
      <c r="C2092" s="9">
        <v>1</v>
      </c>
      <c r="D2092" s="10">
        <v>1</v>
      </c>
      <c r="E2092" s="7">
        <f t="shared" si="1314"/>
        <v>2</v>
      </c>
      <c r="F2092" s="8"/>
      <c r="G2092" s="9">
        <v>1</v>
      </c>
      <c r="H2092" s="10">
        <v>1</v>
      </c>
      <c r="I2092" s="7">
        <f t="shared" si="1315"/>
        <v>2</v>
      </c>
      <c r="J2092" s="43">
        <v>46150</v>
      </c>
      <c r="K2092" s="3" t="s">
        <v>1193</v>
      </c>
      <c r="L2092" s="8"/>
      <c r="M2092" s="9"/>
      <c r="N2092" s="10">
        <v>5</v>
      </c>
      <c r="O2092" s="7">
        <f t="shared" si="1332"/>
        <v>5</v>
      </c>
      <c r="P2092" s="8"/>
      <c r="Q2092" s="9"/>
      <c r="R2092" s="10">
        <v>5</v>
      </c>
      <c r="S2092" s="7">
        <f t="shared" si="1333"/>
        <v>5</v>
      </c>
      <c r="T2092" s="43">
        <v>46157</v>
      </c>
      <c r="U2092" s="3"/>
      <c r="V2092" s="8"/>
      <c r="W2092" s="9"/>
      <c r="X2092" s="10"/>
      <c r="Y2092" s="7">
        <f t="shared" si="1317"/>
        <v>0</v>
      </c>
      <c r="Z2092" s="8"/>
      <c r="AA2092" s="9"/>
      <c r="AB2092" s="10"/>
      <c r="AC2092" s="7">
        <f t="shared" si="1318"/>
        <v>0</v>
      </c>
      <c r="AD2092" s="8"/>
      <c r="AE2092" s="9"/>
      <c r="AF2092" s="10"/>
      <c r="AG2092" s="7">
        <f t="shared" si="1319"/>
        <v>0</v>
      </c>
    </row>
    <row r="2093" spans="1:34">
      <c r="A2093" s="3" t="s">
        <v>432</v>
      </c>
      <c r="B2093" s="8"/>
      <c r="C2093" s="9"/>
      <c r="D2093" s="10">
        <v>2</v>
      </c>
      <c r="E2093" s="7">
        <f t="shared" si="1314"/>
        <v>2</v>
      </c>
      <c r="F2093" s="8"/>
      <c r="G2093" s="9"/>
      <c r="H2093" s="10">
        <v>2</v>
      </c>
      <c r="I2093" s="7">
        <f t="shared" si="1315"/>
        <v>2</v>
      </c>
      <c r="J2093" s="43">
        <v>46153</v>
      </c>
      <c r="K2093" s="3" t="s">
        <v>1194</v>
      </c>
      <c r="L2093" s="8"/>
      <c r="M2093" s="9">
        <v>10</v>
      </c>
      <c r="N2093" s="10">
        <v>5</v>
      </c>
      <c r="O2093" s="7">
        <f t="shared" si="1320"/>
        <v>15</v>
      </c>
      <c r="P2093" s="8"/>
      <c r="Q2093" s="9">
        <v>10</v>
      </c>
      <c r="R2093" s="10">
        <v>5</v>
      </c>
      <c r="S2093" s="7">
        <f t="shared" si="1321"/>
        <v>15</v>
      </c>
      <c r="T2093" s="43">
        <v>46158</v>
      </c>
      <c r="U2093" s="3"/>
      <c r="V2093" s="8"/>
      <c r="W2093" s="9"/>
      <c r="X2093" s="10"/>
      <c r="Y2093" s="7">
        <f t="shared" si="1317"/>
        <v>0</v>
      </c>
      <c r="Z2093" s="8"/>
      <c r="AA2093" s="9"/>
      <c r="AB2093" s="10"/>
      <c r="AC2093" s="7">
        <f t="shared" si="1318"/>
        <v>0</v>
      </c>
      <c r="AD2093" s="8"/>
      <c r="AE2093" s="9"/>
      <c r="AF2093" s="10"/>
      <c r="AG2093" s="7">
        <f t="shared" si="1319"/>
        <v>0</v>
      </c>
    </row>
    <row r="2094" spans="1:34">
      <c r="A2094" s="3" t="s">
        <v>433</v>
      </c>
      <c r="B2094" s="8"/>
      <c r="C2094" s="9">
        <v>1</v>
      </c>
      <c r="D2094" s="10"/>
      <c r="E2094" s="7">
        <f t="shared" si="1314"/>
        <v>1</v>
      </c>
      <c r="F2094" s="8"/>
      <c r="G2094" s="9">
        <v>1</v>
      </c>
      <c r="H2094" s="10"/>
      <c r="I2094" s="7">
        <f t="shared" si="1315"/>
        <v>1</v>
      </c>
      <c r="J2094" s="43">
        <v>46155</v>
      </c>
      <c r="K2094" s="3" t="s">
        <v>1197</v>
      </c>
      <c r="L2094" s="8">
        <v>1</v>
      </c>
      <c r="M2094" s="9">
        <v>6</v>
      </c>
      <c r="N2094" s="10"/>
      <c r="O2094" s="7">
        <f t="shared" ref="O2094:O2103" si="1334">SUM(L2094:N2094)</f>
        <v>7</v>
      </c>
      <c r="P2094" s="8">
        <v>1</v>
      </c>
      <c r="Q2094" s="9">
        <v>6</v>
      </c>
      <c r="R2094" s="10"/>
      <c r="S2094" s="7">
        <f t="shared" ref="S2094:S2103" si="1335">SUM(P2094:R2094)</f>
        <v>7</v>
      </c>
      <c r="T2094" s="43">
        <v>46170</v>
      </c>
      <c r="U2094" s="3"/>
      <c r="V2094" s="8"/>
      <c r="W2094" s="9"/>
      <c r="X2094" s="10"/>
      <c r="Y2094" s="7">
        <f t="shared" si="1317"/>
        <v>0</v>
      </c>
      <c r="Z2094" s="8"/>
      <c r="AA2094" s="9"/>
      <c r="AB2094" s="10"/>
      <c r="AC2094" s="7">
        <f t="shared" si="1318"/>
        <v>0</v>
      </c>
      <c r="AD2094" s="8"/>
      <c r="AE2094" s="9"/>
      <c r="AF2094" s="10"/>
      <c r="AG2094" s="7">
        <f t="shared" si="1319"/>
        <v>0</v>
      </c>
    </row>
    <row r="2095" spans="1:34">
      <c r="A2095" s="3" t="s">
        <v>434</v>
      </c>
      <c r="B2095" s="8">
        <v>1</v>
      </c>
      <c r="C2095" s="9"/>
      <c r="D2095" s="10">
        <v>2</v>
      </c>
      <c r="E2095" s="7">
        <f t="shared" si="1314"/>
        <v>3</v>
      </c>
      <c r="F2095" s="8">
        <v>1</v>
      </c>
      <c r="G2095" s="9"/>
      <c r="H2095" s="10">
        <v>2</v>
      </c>
      <c r="I2095" s="7">
        <f t="shared" si="1315"/>
        <v>3</v>
      </c>
      <c r="J2095" s="43">
        <v>46156</v>
      </c>
      <c r="K2095" s="3" t="s">
        <v>449</v>
      </c>
      <c r="L2095" s="8">
        <v>4</v>
      </c>
      <c r="M2095" s="9">
        <v>3</v>
      </c>
      <c r="N2095" s="10">
        <v>3</v>
      </c>
      <c r="O2095" s="7">
        <f t="shared" si="1334"/>
        <v>10</v>
      </c>
      <c r="P2095" s="8">
        <v>4</v>
      </c>
      <c r="Q2095" s="9">
        <v>3</v>
      </c>
      <c r="R2095" s="10">
        <v>3</v>
      </c>
      <c r="S2095" s="7">
        <f t="shared" si="1335"/>
        <v>10</v>
      </c>
      <c r="T2095" s="43">
        <v>46171</v>
      </c>
      <c r="U2095" s="3"/>
      <c r="V2095" s="8"/>
      <c r="W2095" s="9"/>
      <c r="X2095" s="10"/>
      <c r="Y2095" s="7">
        <f t="shared" si="1317"/>
        <v>0</v>
      </c>
      <c r="Z2095" s="8"/>
      <c r="AA2095" s="9"/>
      <c r="AB2095" s="10"/>
      <c r="AC2095" s="7">
        <f t="shared" si="1318"/>
        <v>0</v>
      </c>
      <c r="AD2095" s="8"/>
      <c r="AE2095" s="9"/>
      <c r="AF2095" s="10"/>
      <c r="AG2095" s="7">
        <f t="shared" si="1319"/>
        <v>0</v>
      </c>
    </row>
    <row r="2096" spans="1:34">
      <c r="A2096" s="3" t="s">
        <v>436</v>
      </c>
      <c r="B2096" s="8"/>
      <c r="C2096" s="9">
        <v>1</v>
      </c>
      <c r="D2096" s="10"/>
      <c r="E2096" s="7">
        <f t="shared" si="1314"/>
        <v>1</v>
      </c>
      <c r="F2096" s="8"/>
      <c r="G2096" s="9">
        <v>1</v>
      </c>
      <c r="H2096" s="10"/>
      <c r="I2096" s="7">
        <f t="shared" si="1315"/>
        <v>1</v>
      </c>
      <c r="J2096" s="43">
        <v>46160</v>
      </c>
      <c r="K2096" s="3" t="s">
        <v>1199</v>
      </c>
      <c r="L2096" s="8">
        <v>3</v>
      </c>
      <c r="M2096" s="9">
        <v>3</v>
      </c>
      <c r="N2096" s="10"/>
      <c r="O2096" s="7">
        <f t="shared" si="1334"/>
        <v>6</v>
      </c>
      <c r="P2096" s="8">
        <v>3</v>
      </c>
      <c r="Q2096" s="9">
        <v>3</v>
      </c>
      <c r="R2096" s="10"/>
      <c r="S2096" s="7">
        <f t="shared" si="1335"/>
        <v>6</v>
      </c>
      <c r="T2096" s="43">
        <v>46170</v>
      </c>
      <c r="U2096" s="3"/>
      <c r="V2096" s="8"/>
      <c r="W2096" s="9"/>
      <c r="X2096" s="10"/>
      <c r="Y2096" s="7">
        <f t="shared" si="1317"/>
        <v>0</v>
      </c>
      <c r="Z2096" s="8"/>
      <c r="AA2096" s="9"/>
      <c r="AB2096" s="10"/>
      <c r="AC2096" s="7">
        <f t="shared" si="1318"/>
        <v>0</v>
      </c>
      <c r="AD2096" s="8"/>
      <c r="AE2096" s="9"/>
      <c r="AF2096" s="10"/>
      <c r="AG2096" s="7">
        <f t="shared" si="1319"/>
        <v>0</v>
      </c>
    </row>
    <row r="2097" spans="1:34">
      <c r="A2097" s="3" t="s">
        <v>437</v>
      </c>
      <c r="B2097" s="8"/>
      <c r="C2097" s="9">
        <v>1</v>
      </c>
      <c r="D2097" s="10"/>
      <c r="E2097" s="7">
        <f t="shared" si="1314"/>
        <v>1</v>
      </c>
      <c r="F2097" s="8"/>
      <c r="G2097" s="9">
        <v>1</v>
      </c>
      <c r="H2097" s="10"/>
      <c r="I2097" s="7">
        <f t="shared" si="1315"/>
        <v>1</v>
      </c>
      <c r="J2097" s="43">
        <v>46163</v>
      </c>
      <c r="K2097" s="3" t="s">
        <v>1202</v>
      </c>
      <c r="L2097" s="8"/>
      <c r="M2097" s="9"/>
      <c r="N2097" s="10">
        <v>5</v>
      </c>
      <c r="O2097" s="7">
        <f t="shared" si="1334"/>
        <v>5</v>
      </c>
      <c r="P2097" s="8"/>
      <c r="Q2097" s="9"/>
      <c r="R2097" s="10">
        <v>5</v>
      </c>
      <c r="S2097" s="7">
        <f t="shared" si="1335"/>
        <v>5</v>
      </c>
      <c r="T2097" s="43">
        <v>46177</v>
      </c>
      <c r="U2097" s="3"/>
      <c r="V2097" s="8"/>
      <c r="W2097" s="9"/>
      <c r="X2097" s="10"/>
      <c r="Y2097" s="7">
        <f t="shared" si="1317"/>
        <v>0</v>
      </c>
      <c r="Z2097" s="8"/>
      <c r="AA2097" s="9"/>
      <c r="AB2097" s="10"/>
      <c r="AC2097" s="7">
        <f t="shared" si="1318"/>
        <v>0</v>
      </c>
      <c r="AD2097" s="8"/>
      <c r="AE2097" s="9"/>
      <c r="AF2097" s="10"/>
      <c r="AG2097" s="7">
        <f t="shared" si="1319"/>
        <v>0</v>
      </c>
    </row>
    <row r="2098" spans="1:34">
      <c r="A2098" s="3" t="s">
        <v>1196</v>
      </c>
      <c r="B2098" s="8"/>
      <c r="C2098" s="9">
        <v>1</v>
      </c>
      <c r="D2098" s="10"/>
      <c r="E2098" s="7">
        <f t="shared" si="1314"/>
        <v>1</v>
      </c>
      <c r="F2098" s="8"/>
      <c r="G2098" s="9">
        <v>1</v>
      </c>
      <c r="H2098" s="10"/>
      <c r="I2098" s="7">
        <f t="shared" si="1315"/>
        <v>1</v>
      </c>
      <c r="J2098" s="43">
        <v>46167</v>
      </c>
      <c r="K2098" s="3" t="s">
        <v>1204</v>
      </c>
      <c r="L2098" s="8">
        <v>1</v>
      </c>
      <c r="M2098" s="9">
        <v>4</v>
      </c>
      <c r="N2098" s="10">
        <v>5</v>
      </c>
      <c r="O2098" s="7">
        <f t="shared" si="1334"/>
        <v>10</v>
      </c>
      <c r="P2098" s="8">
        <v>1</v>
      </c>
      <c r="Q2098" s="9">
        <v>4</v>
      </c>
      <c r="R2098" s="10">
        <v>5</v>
      </c>
      <c r="S2098" s="7">
        <f t="shared" si="1335"/>
        <v>10</v>
      </c>
      <c r="T2098" s="43">
        <v>46174</v>
      </c>
      <c r="U2098" s="3"/>
      <c r="V2098" s="8"/>
      <c r="W2098" s="9"/>
      <c r="X2098" s="10"/>
      <c r="Y2098" s="7">
        <f t="shared" si="1317"/>
        <v>0</v>
      </c>
      <c r="Z2098" s="8"/>
      <c r="AA2098" s="9"/>
      <c r="AB2098" s="10"/>
      <c r="AC2098" s="7">
        <f t="shared" si="1318"/>
        <v>0</v>
      </c>
      <c r="AD2098" s="8"/>
      <c r="AE2098" s="9"/>
      <c r="AF2098" s="10"/>
      <c r="AG2098" s="7">
        <f t="shared" si="1319"/>
        <v>0</v>
      </c>
    </row>
    <row r="2099" spans="1:34">
      <c r="A2099" s="11" t="s">
        <v>1198</v>
      </c>
      <c r="B2099" s="8">
        <v>2</v>
      </c>
      <c r="C2099" s="9">
        <v>2</v>
      </c>
      <c r="D2099" s="10"/>
      <c r="E2099" s="7">
        <f t="shared" si="1314"/>
        <v>4</v>
      </c>
      <c r="F2099" s="8">
        <v>2</v>
      </c>
      <c r="G2099" s="9">
        <v>2</v>
      </c>
      <c r="H2099" s="10"/>
      <c r="I2099" s="7">
        <f t="shared" si="1315"/>
        <v>4</v>
      </c>
      <c r="J2099" s="43">
        <v>46168</v>
      </c>
      <c r="K2099" s="3" t="s">
        <v>1206</v>
      </c>
      <c r="L2099" s="8">
        <v>4</v>
      </c>
      <c r="M2099" s="9">
        <v>12</v>
      </c>
      <c r="N2099" s="10">
        <v>2</v>
      </c>
      <c r="O2099" s="7">
        <f t="shared" si="1334"/>
        <v>18</v>
      </c>
      <c r="P2099" s="8">
        <v>4</v>
      </c>
      <c r="Q2099" s="9">
        <v>12</v>
      </c>
      <c r="R2099" s="10">
        <v>2</v>
      </c>
      <c r="S2099" s="7">
        <f t="shared" si="1335"/>
        <v>18</v>
      </c>
      <c r="T2099" s="43">
        <v>46177</v>
      </c>
      <c r="U2099" s="3"/>
      <c r="V2099" s="8"/>
      <c r="W2099" s="9"/>
      <c r="X2099" s="10"/>
      <c r="Y2099" s="7">
        <f t="shared" si="1317"/>
        <v>0</v>
      </c>
      <c r="Z2099" s="8"/>
      <c r="AA2099" s="9"/>
      <c r="AB2099" s="10"/>
      <c r="AC2099" s="7">
        <f t="shared" si="1318"/>
        <v>0</v>
      </c>
      <c r="AD2099" s="8"/>
      <c r="AE2099" s="9"/>
      <c r="AF2099" s="10"/>
      <c r="AG2099" s="7">
        <f t="shared" si="1319"/>
        <v>0</v>
      </c>
    </row>
    <row r="2100" spans="1:34">
      <c r="A2100" s="3" t="s">
        <v>1203</v>
      </c>
      <c r="B2100" s="8"/>
      <c r="C2100" s="9">
        <v>1</v>
      </c>
      <c r="D2100" s="10"/>
      <c r="E2100" s="7">
        <f t="shared" si="1314"/>
        <v>1</v>
      </c>
      <c r="F2100" s="8"/>
      <c r="G2100" s="9">
        <v>1</v>
      </c>
      <c r="H2100" s="10"/>
      <c r="I2100" s="7">
        <f t="shared" si="1315"/>
        <v>1</v>
      </c>
      <c r="J2100" s="43">
        <v>46172</v>
      </c>
      <c r="K2100" s="40"/>
      <c r="L2100" s="8"/>
      <c r="M2100" s="9"/>
      <c r="N2100" s="10"/>
      <c r="O2100" s="7">
        <f t="shared" si="1334"/>
        <v>0</v>
      </c>
      <c r="P2100" s="8"/>
      <c r="Q2100" s="9"/>
      <c r="R2100" s="10"/>
      <c r="S2100" s="7">
        <f t="shared" si="1335"/>
        <v>0</v>
      </c>
      <c r="U2100" s="11"/>
      <c r="V2100" s="8"/>
      <c r="W2100" s="9"/>
      <c r="X2100" s="10"/>
      <c r="Y2100" s="7">
        <f t="shared" si="1317"/>
        <v>0</v>
      </c>
      <c r="Z2100" s="8"/>
      <c r="AA2100" s="9"/>
      <c r="AB2100" s="10"/>
      <c r="AC2100" s="7">
        <f t="shared" si="1318"/>
        <v>0</v>
      </c>
      <c r="AD2100" s="8"/>
      <c r="AE2100" s="9"/>
      <c r="AF2100" s="10"/>
      <c r="AG2100" s="7">
        <f t="shared" si="1319"/>
        <v>0</v>
      </c>
    </row>
    <row r="2101" spans="1:34">
      <c r="A2101" s="11"/>
      <c r="B2101" s="8"/>
      <c r="C2101" s="9"/>
      <c r="D2101" s="10"/>
      <c r="E2101" s="7">
        <f t="shared" si="1314"/>
        <v>0</v>
      </c>
      <c r="F2101" s="8"/>
      <c r="G2101" s="9"/>
      <c r="H2101" s="10"/>
      <c r="I2101" s="7">
        <f t="shared" si="1315"/>
        <v>0</v>
      </c>
      <c r="K2101" s="11" t="s">
        <v>1160</v>
      </c>
      <c r="L2101" s="8"/>
      <c r="M2101" s="9"/>
      <c r="N2101" s="10"/>
      <c r="O2101" s="7">
        <f t="shared" si="1334"/>
        <v>0</v>
      </c>
      <c r="P2101" s="8"/>
      <c r="Q2101" s="9"/>
      <c r="R2101" s="10"/>
      <c r="S2101" s="7">
        <f t="shared" si="1335"/>
        <v>0</v>
      </c>
      <c r="T2101" s="71" t="s">
        <v>1025</v>
      </c>
      <c r="U2101" s="11"/>
      <c r="V2101" s="8"/>
      <c r="W2101" s="9"/>
      <c r="X2101" s="10"/>
      <c r="Y2101" s="7">
        <f t="shared" ref="Y2101" si="1336">SUM(V2101:X2101)</f>
        <v>0</v>
      </c>
      <c r="Z2101" s="8"/>
      <c r="AA2101" s="9"/>
      <c r="AB2101" s="10"/>
      <c r="AC2101" s="7">
        <f t="shared" ref="AC2101" si="1337">SUM(Z2101:AB2101)</f>
        <v>0</v>
      </c>
      <c r="AD2101" s="8"/>
      <c r="AE2101" s="9"/>
      <c r="AF2101" s="10"/>
      <c r="AG2101" s="7">
        <f t="shared" ref="AG2101" si="1338">SUM(AD2101:AF2101)</f>
        <v>0</v>
      </c>
    </row>
    <row r="2102" spans="1:34">
      <c r="A2102" s="11"/>
      <c r="B2102" s="8"/>
      <c r="C2102" s="9"/>
      <c r="D2102" s="10"/>
      <c r="E2102" s="7">
        <f t="shared" si="1314"/>
        <v>0</v>
      </c>
      <c r="F2102" s="8"/>
      <c r="G2102" s="9"/>
      <c r="H2102" s="10"/>
      <c r="I2102" s="7">
        <f t="shared" si="1315"/>
        <v>0</v>
      </c>
      <c r="K2102" s="11" t="s">
        <v>1154</v>
      </c>
      <c r="L2102" s="8"/>
      <c r="M2102" s="9"/>
      <c r="N2102" s="10"/>
      <c r="O2102" s="7">
        <f t="shared" si="1334"/>
        <v>0</v>
      </c>
      <c r="P2102" s="8"/>
      <c r="Q2102" s="9"/>
      <c r="R2102" s="10"/>
      <c r="S2102" s="7">
        <f t="shared" si="1335"/>
        <v>0</v>
      </c>
      <c r="T2102" s="71" t="s">
        <v>1041</v>
      </c>
      <c r="U2102" s="40" t="s">
        <v>1141</v>
      </c>
      <c r="V2102" s="8"/>
      <c r="W2102" s="9"/>
      <c r="X2102" s="10"/>
      <c r="Y2102" s="7">
        <f t="shared" ref="Y2102:Y2103" si="1339">SUM(V2102:X2102)</f>
        <v>0</v>
      </c>
      <c r="Z2102" s="8"/>
      <c r="AA2102" s="9"/>
      <c r="AB2102" s="10"/>
      <c r="AC2102" s="7">
        <f t="shared" ref="AC2102:AC2103" si="1340">SUM(Z2102:AB2102)</f>
        <v>0</v>
      </c>
      <c r="AD2102" s="8"/>
      <c r="AE2102" s="9"/>
      <c r="AF2102" s="10"/>
      <c r="AG2102" s="7">
        <f t="shared" ref="AG2102:AG2103" si="1341">SUM(AD2102:AF2102)</f>
        <v>0</v>
      </c>
      <c r="AH2102" s="71" t="s">
        <v>1142</v>
      </c>
    </row>
    <row r="2103" spans="1:34" ht="14.25" thickBot="1">
      <c r="A2103" s="3"/>
      <c r="B2103" s="8"/>
      <c r="C2103" s="9"/>
      <c r="D2103" s="10"/>
      <c r="E2103" s="7">
        <f t="shared" si="1314"/>
        <v>0</v>
      </c>
      <c r="F2103" s="8"/>
      <c r="G2103" s="9"/>
      <c r="H2103" s="10"/>
      <c r="I2103" s="7">
        <f t="shared" si="1315"/>
        <v>0</v>
      </c>
      <c r="K2103" s="11" t="s">
        <v>1145</v>
      </c>
      <c r="L2103" s="8"/>
      <c r="M2103" s="9"/>
      <c r="N2103" s="10"/>
      <c r="O2103" s="7">
        <f t="shared" si="1334"/>
        <v>0</v>
      </c>
      <c r="P2103" s="8"/>
      <c r="Q2103" s="9"/>
      <c r="R2103" s="10"/>
      <c r="S2103" s="7">
        <f t="shared" si="1335"/>
        <v>0</v>
      </c>
      <c r="T2103" s="71" t="s">
        <v>1146</v>
      </c>
      <c r="U2103" s="40" t="s">
        <v>1153</v>
      </c>
      <c r="V2103" s="8"/>
      <c r="W2103" s="9"/>
      <c r="X2103" s="10"/>
      <c r="Y2103" s="7">
        <f t="shared" si="1339"/>
        <v>0</v>
      </c>
      <c r="Z2103" s="8"/>
      <c r="AA2103" s="9"/>
      <c r="AB2103" s="10"/>
      <c r="AC2103" s="7">
        <f t="shared" si="1340"/>
        <v>0</v>
      </c>
      <c r="AD2103" s="8"/>
      <c r="AE2103" s="9"/>
      <c r="AF2103" s="10"/>
      <c r="AG2103" s="7">
        <f t="shared" si="1341"/>
        <v>0</v>
      </c>
      <c r="AH2103" s="43" t="s">
        <v>1152</v>
      </c>
    </row>
    <row r="2104" spans="1:34" ht="14.25" thickBot="1">
      <c r="A2104" s="2" t="s">
        <v>5</v>
      </c>
      <c r="B2104" s="14">
        <f>SUM(B2080:B2103)</f>
        <v>10</v>
      </c>
      <c r="C2104" s="14">
        <f>SUM(C2080:C2103)</f>
        <v>12</v>
      </c>
      <c r="D2104" s="14">
        <f>SUM(D2080:D2103)</f>
        <v>14</v>
      </c>
      <c r="E2104" s="15">
        <f t="shared" si="1314"/>
        <v>36</v>
      </c>
      <c r="F2104" s="14">
        <f>SUM(F2080:F2103)</f>
        <v>10</v>
      </c>
      <c r="G2104" s="14">
        <f>SUM(G2080:G2103)</f>
        <v>12</v>
      </c>
      <c r="H2104" s="14">
        <f>SUM(H2080:H2103)</f>
        <v>14</v>
      </c>
      <c r="I2104" s="15">
        <f t="shared" si="1315"/>
        <v>36</v>
      </c>
      <c r="K2104" s="2" t="s">
        <v>5</v>
      </c>
      <c r="L2104" s="14">
        <f>SUM(L2080:L2103)</f>
        <v>102</v>
      </c>
      <c r="M2104" s="14">
        <f t="shared" ref="M2104:S2104" si="1342">SUM(M2080:M2103)</f>
        <v>131</v>
      </c>
      <c r="N2104" s="14">
        <f t="shared" si="1342"/>
        <v>106</v>
      </c>
      <c r="O2104" s="15">
        <f t="shared" si="1342"/>
        <v>339</v>
      </c>
      <c r="P2104" s="14">
        <f t="shared" si="1342"/>
        <v>102</v>
      </c>
      <c r="Q2104" s="14">
        <f t="shared" si="1342"/>
        <v>131</v>
      </c>
      <c r="R2104" s="14">
        <f t="shared" si="1342"/>
        <v>106</v>
      </c>
      <c r="S2104" s="15">
        <f t="shared" si="1342"/>
        <v>339</v>
      </c>
      <c r="U2104" s="2" t="s">
        <v>5</v>
      </c>
      <c r="V2104" s="14">
        <f>SUM(V2080:V2103)</f>
        <v>38</v>
      </c>
      <c r="W2104" s="14">
        <f>SUM(W2080:W2103)</f>
        <v>42</v>
      </c>
      <c r="X2104" s="14">
        <f>SUM(X2080:X2103)</f>
        <v>40</v>
      </c>
      <c r="Y2104" s="15">
        <f t="shared" si="1317"/>
        <v>120</v>
      </c>
      <c r="Z2104" s="14">
        <f>SUM(Z2080:Z2103)</f>
        <v>38</v>
      </c>
      <c r="AA2104" s="14">
        <f>SUM(AA2080:AA2103)</f>
        <v>42</v>
      </c>
      <c r="AB2104" s="14">
        <f>SUM(AB2080:AB2103)</f>
        <v>40</v>
      </c>
      <c r="AC2104" s="15">
        <f t="shared" si="1318"/>
        <v>120</v>
      </c>
      <c r="AD2104" s="14">
        <f>SUM(AD2080:AD2103)</f>
        <v>38</v>
      </c>
      <c r="AE2104" s="14">
        <f>SUM(AE2080:AE2103)</f>
        <v>42</v>
      </c>
      <c r="AF2104" s="14">
        <f>SUM(AF2080:AF2103)</f>
        <v>40</v>
      </c>
      <c r="AG2104" s="15">
        <f t="shared" si="1319"/>
        <v>120</v>
      </c>
    </row>
    <row r="2105" spans="1:34" ht="14.25" thickBot="1">
      <c r="A2105" s="27" t="s">
        <v>6</v>
      </c>
      <c r="B2105" s="28">
        <f>B2079-B2104</f>
        <v>4</v>
      </c>
      <c r="C2105" s="28">
        <f t="shared" ref="C2105:E2105" si="1343">C2079-C2104</f>
        <v>4</v>
      </c>
      <c r="D2105" s="28">
        <f t="shared" si="1343"/>
        <v>5</v>
      </c>
      <c r="E2105" s="28">
        <f t="shared" si="1343"/>
        <v>13</v>
      </c>
      <c r="F2105" s="28">
        <f>F2079-F2104</f>
        <v>4</v>
      </c>
      <c r="G2105" s="28">
        <f t="shared" ref="G2105:I2105" si="1344">G2079-G2104</f>
        <v>4</v>
      </c>
      <c r="H2105" s="28">
        <f t="shared" si="1344"/>
        <v>5</v>
      </c>
      <c r="I2105" s="26">
        <f t="shared" si="1344"/>
        <v>13</v>
      </c>
      <c r="K2105" s="27" t="s">
        <v>6</v>
      </c>
      <c r="L2105" s="28">
        <f>L2079-L2104</f>
        <v>24</v>
      </c>
      <c r="M2105" s="28">
        <f t="shared" ref="M2105:S2105" si="1345">M2079-M2104</f>
        <v>104</v>
      </c>
      <c r="N2105" s="28">
        <f t="shared" si="1345"/>
        <v>80</v>
      </c>
      <c r="O2105" s="28">
        <f t="shared" si="1345"/>
        <v>208</v>
      </c>
      <c r="P2105" s="28">
        <f t="shared" si="1345"/>
        <v>24</v>
      </c>
      <c r="Q2105" s="28">
        <f t="shared" si="1345"/>
        <v>104</v>
      </c>
      <c r="R2105" s="28">
        <f t="shared" si="1345"/>
        <v>80</v>
      </c>
      <c r="S2105" s="26">
        <f t="shared" si="1345"/>
        <v>208</v>
      </c>
      <c r="U2105" s="27" t="s">
        <v>6</v>
      </c>
      <c r="V2105" s="28">
        <f>V2079-V2104</f>
        <v>15</v>
      </c>
      <c r="W2105" s="28">
        <f t="shared" ref="W2105:Y2105" si="1346">W2079-W2104</f>
        <v>22</v>
      </c>
      <c r="X2105" s="28">
        <f t="shared" si="1346"/>
        <v>11</v>
      </c>
      <c r="Y2105" s="28">
        <f t="shared" si="1346"/>
        <v>48</v>
      </c>
      <c r="Z2105" s="28">
        <f>Z2079-Z2104</f>
        <v>15</v>
      </c>
      <c r="AA2105" s="28">
        <f t="shared" ref="AA2105:AC2105" si="1347">AA2079-AA2104</f>
        <v>22</v>
      </c>
      <c r="AB2105" s="28">
        <f t="shared" si="1347"/>
        <v>11</v>
      </c>
      <c r="AC2105" s="26">
        <f t="shared" si="1347"/>
        <v>48</v>
      </c>
      <c r="AD2105" s="28">
        <f>AD2079-AD2104</f>
        <v>40</v>
      </c>
      <c r="AE2105" s="28">
        <f t="shared" ref="AE2105:AG2105" si="1348">AE2079-AE2104</f>
        <v>37</v>
      </c>
      <c r="AF2105" s="28">
        <f t="shared" si="1348"/>
        <v>11</v>
      </c>
      <c r="AG2105" s="26">
        <f t="shared" si="1348"/>
        <v>88</v>
      </c>
      <c r="AH2105" s="74" t="s">
        <v>1115</v>
      </c>
    </row>
    <row r="2106" spans="1:34">
      <c r="K2106" s="157" t="s">
        <v>1036</v>
      </c>
      <c r="L2106" s="86">
        <f>L2105/$O$2105*100</f>
        <v>11.538461538461538</v>
      </c>
      <c r="M2106" s="86">
        <f t="shared" ref="M2106:O2106" si="1349">M2105/$O$2105*100</f>
        <v>50</v>
      </c>
      <c r="N2106" s="86">
        <f t="shared" si="1349"/>
        <v>38.461538461538467</v>
      </c>
      <c r="O2106" s="86">
        <f t="shared" si="1349"/>
        <v>100</v>
      </c>
      <c r="U2106" s="148" t="s">
        <v>1171</v>
      </c>
      <c r="AD2106" s="74">
        <f>139-20-20-10-35</f>
        <v>54</v>
      </c>
      <c r="AE2106" s="74">
        <f>81-30-0-10-41</f>
        <v>0</v>
      </c>
      <c r="AF2106" s="74">
        <f>70-20-0-5-25</f>
        <v>20</v>
      </c>
      <c r="AG2106" s="155">
        <f>SUM(AD2106:AF2106)</f>
        <v>74</v>
      </c>
    </row>
    <row r="2107" spans="1:34">
      <c r="K2107" s="158" t="s">
        <v>1122</v>
      </c>
      <c r="L2107" s="74">
        <v>33.5</v>
      </c>
      <c r="M2107" s="74">
        <v>41.8</v>
      </c>
      <c r="N2107" s="74">
        <v>24.7</v>
      </c>
      <c r="O2107" s="106">
        <f>SUM(L2107:N2107)</f>
        <v>100</v>
      </c>
      <c r="AG2107" s="143"/>
    </row>
    <row r="2108" spans="1:34" ht="26.25" thickBot="1">
      <c r="A2108" s="33" t="s">
        <v>1130</v>
      </c>
      <c r="B2108" s="34"/>
      <c r="C2108" s="34"/>
      <c r="D2108" s="34"/>
      <c r="E2108" s="34"/>
      <c r="F2108" s="35"/>
      <c r="G2108" s="35"/>
      <c r="H2108" s="35"/>
      <c r="I2108" s="35"/>
      <c r="K2108" s="33" t="s">
        <v>1129</v>
      </c>
      <c r="L2108" s="34"/>
      <c r="M2108" s="34"/>
      <c r="N2108" s="34"/>
      <c r="O2108" s="34"/>
      <c r="P2108" s="35"/>
      <c r="Q2108" s="35"/>
      <c r="R2108" s="35"/>
      <c r="S2108" s="35"/>
      <c r="U2108" s="113" t="s">
        <v>622</v>
      </c>
      <c r="V2108" s="114"/>
      <c r="W2108" s="114"/>
      <c r="X2108" s="114"/>
      <c r="Y2108" s="114"/>
      <c r="Z2108" s="115"/>
      <c r="AA2108" s="115"/>
      <c r="AB2108" s="115"/>
      <c r="AC2108" s="115"/>
      <c r="AD2108" s="116"/>
      <c r="AE2108" s="116"/>
    </row>
    <row r="2109" spans="1:34" ht="14.25" thickBot="1">
      <c r="A2109" s="1" t="s">
        <v>0</v>
      </c>
      <c r="B2109" s="182" t="s">
        <v>17</v>
      </c>
      <c r="C2109" s="182"/>
      <c r="D2109" s="182"/>
      <c r="E2109" s="183"/>
      <c r="F2109" s="182" t="s">
        <v>13</v>
      </c>
      <c r="G2109" s="182"/>
      <c r="H2109" s="182"/>
      <c r="I2109" s="183"/>
      <c r="K2109" s="1" t="s">
        <v>0</v>
      </c>
      <c r="L2109" s="181" t="s">
        <v>17</v>
      </c>
      <c r="M2109" s="182"/>
      <c r="N2109" s="182"/>
      <c r="O2109" s="133"/>
      <c r="P2109" s="181" t="s">
        <v>13</v>
      </c>
      <c r="Q2109" s="182"/>
      <c r="R2109" s="182"/>
      <c r="S2109" s="133"/>
      <c r="U2109" s="1" t="s">
        <v>0</v>
      </c>
      <c r="V2109" s="182" t="s">
        <v>17</v>
      </c>
      <c r="W2109" s="182"/>
      <c r="X2109" s="182"/>
      <c r="Y2109" s="183"/>
      <c r="Z2109" s="182" t="s">
        <v>13</v>
      </c>
      <c r="AA2109" s="182"/>
      <c r="AB2109" s="182"/>
      <c r="AC2109" s="183"/>
      <c r="AD2109" s="182" t="s">
        <v>242</v>
      </c>
      <c r="AE2109" s="182"/>
      <c r="AF2109" s="182"/>
      <c r="AG2109" s="183"/>
    </row>
    <row r="2110" spans="1:34" ht="14.25" thickBot="1">
      <c r="A2110" s="1" t="s">
        <v>1</v>
      </c>
      <c r="B2110" s="2" t="s">
        <v>8</v>
      </c>
      <c r="C2110" s="1" t="s">
        <v>9</v>
      </c>
      <c r="D2110" s="19" t="s">
        <v>10</v>
      </c>
      <c r="E2110" s="1" t="s">
        <v>2</v>
      </c>
      <c r="F2110" s="2" t="s">
        <v>8</v>
      </c>
      <c r="G2110" s="1" t="s">
        <v>9</v>
      </c>
      <c r="H2110" s="19" t="s">
        <v>10</v>
      </c>
      <c r="I2110" s="1" t="s">
        <v>2</v>
      </c>
      <c r="K2110" s="1" t="s">
        <v>1</v>
      </c>
      <c r="L2110" s="2" t="s">
        <v>8</v>
      </c>
      <c r="M2110" s="1" t="s">
        <v>9</v>
      </c>
      <c r="N2110" s="19" t="s">
        <v>10</v>
      </c>
      <c r="O2110" s="1" t="s">
        <v>2</v>
      </c>
      <c r="P2110" s="2" t="s">
        <v>8</v>
      </c>
      <c r="Q2110" s="1" t="s">
        <v>9</v>
      </c>
      <c r="R2110" s="19" t="s">
        <v>10</v>
      </c>
      <c r="S2110" s="1" t="s">
        <v>2</v>
      </c>
      <c r="U2110" s="1" t="s">
        <v>1</v>
      </c>
      <c r="V2110" s="2" t="s">
        <v>8</v>
      </c>
      <c r="W2110" s="1" t="s">
        <v>9</v>
      </c>
      <c r="X2110" s="19" t="s">
        <v>10</v>
      </c>
      <c r="Y2110" s="1" t="s">
        <v>2</v>
      </c>
      <c r="Z2110" s="2" t="s">
        <v>8</v>
      </c>
      <c r="AA2110" s="1" t="s">
        <v>9</v>
      </c>
      <c r="AB2110" s="19" t="s">
        <v>10</v>
      </c>
      <c r="AC2110" s="1" t="s">
        <v>2</v>
      </c>
      <c r="AD2110" s="2" t="s">
        <v>8</v>
      </c>
      <c r="AE2110" s="1" t="s">
        <v>9</v>
      </c>
      <c r="AF2110" s="19" t="s">
        <v>10</v>
      </c>
      <c r="AG2110" s="1" t="s">
        <v>2</v>
      </c>
    </row>
    <row r="2111" spans="1:34">
      <c r="A2111" s="21" t="s">
        <v>7</v>
      </c>
      <c r="B2111" s="18">
        <f>B2105</f>
        <v>4</v>
      </c>
      <c r="C2111" s="22">
        <f>C2105</f>
        <v>4</v>
      </c>
      <c r="D2111" s="22">
        <f>D2105</f>
        <v>5</v>
      </c>
      <c r="E2111" s="17">
        <f t="shared" ref="E2111:E2147" si="1350">SUM(B2111:D2111)</f>
        <v>13</v>
      </c>
      <c r="F2111" s="22">
        <f>F2105</f>
        <v>4</v>
      </c>
      <c r="G2111" s="22">
        <f>G2105</f>
        <v>4</v>
      </c>
      <c r="H2111" s="22">
        <f>H2105</f>
        <v>5</v>
      </c>
      <c r="I2111" s="17">
        <f t="shared" ref="I2111:I2147" si="1351">SUM(F2111:H2111)</f>
        <v>13</v>
      </c>
      <c r="K2111" s="21" t="s">
        <v>7</v>
      </c>
      <c r="L2111" s="18">
        <f>L2105</f>
        <v>24</v>
      </c>
      <c r="M2111" s="22">
        <f t="shared" ref="M2111:S2111" si="1352">M2105</f>
        <v>104</v>
      </c>
      <c r="N2111" s="22">
        <f t="shared" si="1352"/>
        <v>80</v>
      </c>
      <c r="O2111" s="17">
        <f t="shared" si="1352"/>
        <v>208</v>
      </c>
      <c r="P2111" s="22">
        <f t="shared" si="1352"/>
        <v>24</v>
      </c>
      <c r="Q2111" s="22">
        <f t="shared" si="1352"/>
        <v>104</v>
      </c>
      <c r="R2111" s="22">
        <f t="shared" si="1352"/>
        <v>80</v>
      </c>
      <c r="S2111" s="17">
        <f t="shared" si="1352"/>
        <v>208</v>
      </c>
      <c r="U2111" s="21" t="s">
        <v>7</v>
      </c>
      <c r="V2111" s="18">
        <f>V2105</f>
        <v>15</v>
      </c>
      <c r="W2111" s="22">
        <f>W2105</f>
        <v>22</v>
      </c>
      <c r="X2111" s="22">
        <f>X2105</f>
        <v>11</v>
      </c>
      <c r="Y2111" s="17">
        <f t="shared" ref="Y2111:Y2147" si="1353">SUM(V2111:X2111)</f>
        <v>48</v>
      </c>
      <c r="Z2111" s="22">
        <f>Z2105</f>
        <v>15</v>
      </c>
      <c r="AA2111" s="22">
        <f>AA2105</f>
        <v>22</v>
      </c>
      <c r="AB2111" s="22">
        <f>AB2105</f>
        <v>11</v>
      </c>
      <c r="AC2111" s="17">
        <f t="shared" ref="AC2111:AC2147" si="1354">SUM(Z2111:AB2111)</f>
        <v>48</v>
      </c>
      <c r="AD2111" s="22">
        <f>AD2105</f>
        <v>40</v>
      </c>
      <c r="AE2111" s="22">
        <f>AE2105</f>
        <v>37</v>
      </c>
      <c r="AF2111" s="22">
        <f>AF2105</f>
        <v>11</v>
      </c>
      <c r="AG2111" s="17">
        <f t="shared" ref="AG2111:AG2147" si="1355">SUM(AD2111:AF2111)</f>
        <v>88</v>
      </c>
    </row>
    <row r="2112" spans="1:34">
      <c r="A2112" s="5" t="s">
        <v>3</v>
      </c>
      <c r="B2112" s="16"/>
      <c r="C2112" s="11"/>
      <c r="D2112" s="16"/>
      <c r="E2112" s="4">
        <f t="shared" si="1350"/>
        <v>0</v>
      </c>
      <c r="F2112" s="16"/>
      <c r="G2112" s="11"/>
      <c r="H2112" s="16"/>
      <c r="I2112" s="4">
        <f t="shared" si="1351"/>
        <v>0</v>
      </c>
      <c r="K2112" s="5" t="s">
        <v>3</v>
      </c>
      <c r="L2112" s="16"/>
      <c r="M2112" s="11"/>
      <c r="N2112" s="16"/>
      <c r="O2112" s="4">
        <f t="shared" ref="O2112:O2121" si="1356">SUM(L2112:N2112)</f>
        <v>0</v>
      </c>
      <c r="P2112" s="16"/>
      <c r="Q2112" s="11"/>
      <c r="R2112" s="16"/>
      <c r="S2112" s="4">
        <f t="shared" ref="S2112:S2121" si="1357">SUM(P2112:R2112)</f>
        <v>0</v>
      </c>
      <c r="U2112" s="5" t="s">
        <v>3</v>
      </c>
      <c r="V2112" s="16"/>
      <c r="W2112" s="11"/>
      <c r="X2112" s="16"/>
      <c r="Y2112" s="4">
        <f t="shared" si="1353"/>
        <v>0</v>
      </c>
      <c r="Z2112" s="16"/>
      <c r="AA2112" s="11"/>
      <c r="AB2112" s="16"/>
      <c r="AC2112" s="4">
        <f t="shared" si="1354"/>
        <v>0</v>
      </c>
      <c r="AD2112" s="16"/>
      <c r="AE2112" s="11"/>
      <c r="AF2112" s="16"/>
      <c r="AG2112" s="4">
        <f t="shared" si="1355"/>
        <v>0</v>
      </c>
    </row>
    <row r="2113" spans="1:34">
      <c r="A2113" s="5" t="s">
        <v>3</v>
      </c>
      <c r="B2113" s="16"/>
      <c r="C2113" s="11"/>
      <c r="D2113" s="16"/>
      <c r="E2113" s="4">
        <f t="shared" si="1350"/>
        <v>0</v>
      </c>
      <c r="F2113" s="16"/>
      <c r="G2113" s="11"/>
      <c r="H2113" s="16"/>
      <c r="I2113" s="4">
        <f t="shared" si="1351"/>
        <v>0</v>
      </c>
      <c r="K2113" s="5" t="s">
        <v>1131</v>
      </c>
      <c r="L2113" s="16">
        <v>120</v>
      </c>
      <c r="M2113" s="11">
        <v>140</v>
      </c>
      <c r="N2113" s="16">
        <v>80</v>
      </c>
      <c r="O2113" s="4">
        <f t="shared" si="1356"/>
        <v>340</v>
      </c>
      <c r="P2113" s="16">
        <v>120</v>
      </c>
      <c r="Q2113" s="11">
        <v>140</v>
      </c>
      <c r="R2113" s="16">
        <v>80</v>
      </c>
      <c r="S2113" s="4">
        <f t="shared" si="1357"/>
        <v>340</v>
      </c>
      <c r="T2113" s="43">
        <v>45778</v>
      </c>
      <c r="U2113" s="3" t="s">
        <v>1212</v>
      </c>
      <c r="V2113" s="32">
        <v>26</v>
      </c>
      <c r="W2113" s="31">
        <v>16</v>
      </c>
      <c r="X2113" s="32">
        <v>20</v>
      </c>
      <c r="Y2113" s="4">
        <f t="shared" si="1353"/>
        <v>62</v>
      </c>
      <c r="Z2113" s="32">
        <v>26</v>
      </c>
      <c r="AA2113" s="31">
        <v>16</v>
      </c>
      <c r="AB2113" s="32">
        <v>20</v>
      </c>
      <c r="AC2113" s="4">
        <f t="shared" si="1354"/>
        <v>62</v>
      </c>
      <c r="AD2113" s="32">
        <v>1</v>
      </c>
      <c r="AE2113" s="31">
        <v>0</v>
      </c>
      <c r="AF2113" s="32">
        <v>20</v>
      </c>
      <c r="AG2113" s="4">
        <f t="shared" si="1355"/>
        <v>21</v>
      </c>
      <c r="AH2113" s="43">
        <v>46178</v>
      </c>
    </row>
    <row r="2114" spans="1:34">
      <c r="A2114" s="5" t="s">
        <v>3</v>
      </c>
      <c r="B2114" s="16"/>
      <c r="C2114" s="11"/>
      <c r="D2114" s="16"/>
      <c r="E2114" s="4">
        <f t="shared" si="1350"/>
        <v>0</v>
      </c>
      <c r="F2114" s="16"/>
      <c r="G2114" s="11"/>
      <c r="H2114" s="16"/>
      <c r="I2114" s="4">
        <f t="shared" si="1351"/>
        <v>0</v>
      </c>
      <c r="K2114" s="5" t="s">
        <v>3</v>
      </c>
      <c r="L2114" s="16"/>
      <c r="M2114" s="11"/>
      <c r="N2114" s="16"/>
      <c r="O2114" s="4">
        <f t="shared" ref="O2114:O2116" si="1358">SUM(L2114:N2114)</f>
        <v>0</v>
      </c>
      <c r="P2114" s="16"/>
      <c r="Q2114" s="11"/>
      <c r="R2114" s="16"/>
      <c r="S2114" s="4">
        <f t="shared" ref="S2114:S2116" si="1359">SUM(P2114:R2114)</f>
        <v>0</v>
      </c>
      <c r="U2114" s="5" t="s">
        <v>3</v>
      </c>
      <c r="V2114" s="32"/>
      <c r="W2114" s="31"/>
      <c r="X2114" s="32"/>
      <c r="Y2114" s="4">
        <f t="shared" ref="Y2114" si="1360">SUM(V2114:X2114)</f>
        <v>0</v>
      </c>
      <c r="Z2114" s="32"/>
      <c r="AA2114" s="31"/>
      <c r="AB2114" s="32"/>
      <c r="AC2114" s="4">
        <f t="shared" ref="AC2114" si="1361">SUM(Z2114:AB2114)</f>
        <v>0</v>
      </c>
      <c r="AD2114" s="32"/>
      <c r="AE2114" s="31"/>
      <c r="AF2114" s="32"/>
      <c r="AG2114" s="4">
        <f t="shared" ref="AG2114" si="1362">SUM(AD2114:AF2114)</f>
        <v>0</v>
      </c>
    </row>
    <row r="2115" spans="1:34">
      <c r="A2115" s="5" t="s">
        <v>3</v>
      </c>
      <c r="B2115" s="16"/>
      <c r="C2115" s="11"/>
      <c r="D2115" s="16"/>
      <c r="E2115" s="4">
        <f t="shared" si="1350"/>
        <v>0</v>
      </c>
      <c r="F2115" s="16"/>
      <c r="G2115" s="11"/>
      <c r="H2115" s="16"/>
      <c r="I2115" s="4">
        <f t="shared" si="1351"/>
        <v>0</v>
      </c>
      <c r="K2115" s="5" t="s">
        <v>3</v>
      </c>
      <c r="L2115" s="16"/>
      <c r="M2115" s="11"/>
      <c r="N2115" s="16"/>
      <c r="O2115" s="4">
        <f t="shared" si="1358"/>
        <v>0</v>
      </c>
      <c r="P2115" s="16"/>
      <c r="Q2115" s="11"/>
      <c r="R2115" s="16"/>
      <c r="S2115" s="4">
        <f t="shared" si="1359"/>
        <v>0</v>
      </c>
      <c r="U2115" s="5" t="s">
        <v>3</v>
      </c>
      <c r="V2115" s="32"/>
      <c r="W2115" s="31"/>
      <c r="X2115" s="32"/>
      <c r="Y2115" s="4">
        <f t="shared" ref="Y2115" si="1363">SUM(V2115:X2115)</f>
        <v>0</v>
      </c>
      <c r="Z2115" s="32"/>
      <c r="AA2115" s="31"/>
      <c r="AB2115" s="32"/>
      <c r="AC2115" s="4">
        <f t="shared" ref="AC2115" si="1364">SUM(Z2115:AB2115)</f>
        <v>0</v>
      </c>
      <c r="AD2115" s="32"/>
      <c r="AE2115" s="31"/>
      <c r="AF2115" s="32"/>
      <c r="AG2115" s="4">
        <f t="shared" ref="AG2115" si="1365">SUM(AD2115:AF2115)</f>
        <v>0</v>
      </c>
    </row>
    <row r="2116" spans="1:34">
      <c r="A2116" s="5" t="s">
        <v>3</v>
      </c>
      <c r="B2116" s="16"/>
      <c r="C2116" s="11"/>
      <c r="D2116" s="16"/>
      <c r="E2116" s="4">
        <f t="shared" si="1350"/>
        <v>0</v>
      </c>
      <c r="F2116" s="16"/>
      <c r="G2116" s="11"/>
      <c r="H2116" s="16"/>
      <c r="I2116" s="4">
        <f t="shared" si="1351"/>
        <v>0</v>
      </c>
      <c r="K2116" s="5" t="s">
        <v>1132</v>
      </c>
      <c r="L2116" s="16">
        <v>180</v>
      </c>
      <c r="M2116" s="11">
        <v>200</v>
      </c>
      <c r="N2116" s="16">
        <v>100</v>
      </c>
      <c r="O2116" s="4">
        <f t="shared" si="1358"/>
        <v>480</v>
      </c>
      <c r="P2116" s="16">
        <v>180</v>
      </c>
      <c r="Q2116" s="11">
        <v>200</v>
      </c>
      <c r="R2116" s="16">
        <v>100</v>
      </c>
      <c r="S2116" s="4">
        <f t="shared" si="1359"/>
        <v>480</v>
      </c>
      <c r="T2116" s="43" t="s">
        <v>1195</v>
      </c>
      <c r="U2116" s="5" t="s">
        <v>3</v>
      </c>
      <c r="V2116" s="30"/>
      <c r="W2116" s="31"/>
      <c r="X2116" s="32"/>
      <c r="Y2116" s="4">
        <f t="shared" si="1353"/>
        <v>0</v>
      </c>
      <c r="Z2116" s="30"/>
      <c r="AA2116" s="31"/>
      <c r="AB2116" s="32"/>
      <c r="AC2116" s="4">
        <f t="shared" si="1354"/>
        <v>0</v>
      </c>
      <c r="AD2116" s="30"/>
      <c r="AE2116" s="31"/>
      <c r="AF2116" s="32"/>
      <c r="AG2116" s="4">
        <f t="shared" si="1355"/>
        <v>0</v>
      </c>
    </row>
    <row r="2117" spans="1:34">
      <c r="A2117" s="5" t="s">
        <v>3</v>
      </c>
      <c r="B2117" s="16"/>
      <c r="C2117" s="11"/>
      <c r="D2117" s="16"/>
      <c r="E2117" s="4">
        <f t="shared" si="1350"/>
        <v>0</v>
      </c>
      <c r="F2117" s="16"/>
      <c r="G2117" s="11"/>
      <c r="H2117" s="16"/>
      <c r="I2117" s="4">
        <f t="shared" si="1351"/>
        <v>0</v>
      </c>
      <c r="K2117" s="5" t="s">
        <v>3</v>
      </c>
      <c r="L2117" s="16"/>
      <c r="M2117" s="11"/>
      <c r="N2117" s="16"/>
      <c r="O2117" s="4">
        <f t="shared" si="1356"/>
        <v>0</v>
      </c>
      <c r="P2117" s="16"/>
      <c r="Q2117" s="11"/>
      <c r="R2117" s="16"/>
      <c r="S2117" s="4">
        <f t="shared" si="1357"/>
        <v>0</v>
      </c>
      <c r="U2117" s="5" t="s">
        <v>3</v>
      </c>
      <c r="V2117" s="30"/>
      <c r="W2117" s="31"/>
      <c r="X2117" s="32"/>
      <c r="Y2117" s="4">
        <f t="shared" si="1353"/>
        <v>0</v>
      </c>
      <c r="Z2117" s="30"/>
      <c r="AA2117" s="31"/>
      <c r="AB2117" s="32"/>
      <c r="AC2117" s="4">
        <f t="shared" si="1354"/>
        <v>0</v>
      </c>
      <c r="AD2117" s="30"/>
      <c r="AE2117" s="31"/>
      <c r="AF2117" s="32"/>
      <c r="AG2117" s="4">
        <f t="shared" si="1355"/>
        <v>0</v>
      </c>
    </row>
    <row r="2118" spans="1:34">
      <c r="A2118" s="5" t="s">
        <v>3</v>
      </c>
      <c r="B2118" s="32"/>
      <c r="C2118" s="31"/>
      <c r="D2118" s="32"/>
      <c r="E2118" s="4">
        <f t="shared" si="1350"/>
        <v>0</v>
      </c>
      <c r="F2118" s="32"/>
      <c r="G2118" s="31"/>
      <c r="H2118" s="32"/>
      <c r="I2118" s="4">
        <f t="shared" si="1351"/>
        <v>0</v>
      </c>
      <c r="K2118" s="5" t="s">
        <v>3</v>
      </c>
      <c r="L2118" s="16"/>
      <c r="M2118" s="11"/>
      <c r="N2118" s="16"/>
      <c r="O2118" s="4">
        <f t="shared" si="1356"/>
        <v>0</v>
      </c>
      <c r="P2118" s="16"/>
      <c r="Q2118" s="11"/>
      <c r="R2118" s="16"/>
      <c r="S2118" s="4">
        <f t="shared" si="1357"/>
        <v>0</v>
      </c>
      <c r="U2118" s="5" t="s">
        <v>3</v>
      </c>
      <c r="V2118" s="30"/>
      <c r="W2118" s="31"/>
      <c r="X2118" s="32"/>
      <c r="Y2118" s="4">
        <f t="shared" si="1353"/>
        <v>0</v>
      </c>
      <c r="Z2118" s="30"/>
      <c r="AA2118" s="31"/>
      <c r="AB2118" s="32"/>
      <c r="AC2118" s="4">
        <f t="shared" si="1354"/>
        <v>0</v>
      </c>
      <c r="AD2118" s="30"/>
      <c r="AE2118" s="31"/>
      <c r="AF2118" s="32"/>
      <c r="AG2118" s="4">
        <f t="shared" si="1355"/>
        <v>0</v>
      </c>
    </row>
    <row r="2119" spans="1:34">
      <c r="A2119" s="5" t="s">
        <v>3</v>
      </c>
      <c r="B2119" s="32"/>
      <c r="C2119" s="31"/>
      <c r="D2119" s="32"/>
      <c r="E2119" s="4">
        <f t="shared" si="1350"/>
        <v>0</v>
      </c>
      <c r="F2119" s="32"/>
      <c r="G2119" s="31"/>
      <c r="H2119" s="32"/>
      <c r="I2119" s="4">
        <f t="shared" si="1351"/>
        <v>0</v>
      </c>
      <c r="K2119" s="5" t="s">
        <v>3</v>
      </c>
      <c r="L2119" s="16"/>
      <c r="M2119" s="11"/>
      <c r="N2119" s="16"/>
      <c r="O2119" s="4">
        <f t="shared" si="1356"/>
        <v>0</v>
      </c>
      <c r="P2119" s="16"/>
      <c r="Q2119" s="11"/>
      <c r="R2119" s="16"/>
      <c r="S2119" s="4">
        <f t="shared" si="1357"/>
        <v>0</v>
      </c>
      <c r="U2119" s="5" t="s">
        <v>3</v>
      </c>
      <c r="V2119" s="30"/>
      <c r="W2119" s="31"/>
      <c r="X2119" s="32"/>
      <c r="Y2119" s="4">
        <f t="shared" si="1353"/>
        <v>0</v>
      </c>
      <c r="Z2119" s="30"/>
      <c r="AA2119" s="31"/>
      <c r="AB2119" s="32"/>
      <c r="AC2119" s="4">
        <f t="shared" si="1354"/>
        <v>0</v>
      </c>
      <c r="AD2119" s="30"/>
      <c r="AE2119" s="31"/>
      <c r="AF2119" s="32"/>
      <c r="AG2119" s="4">
        <f t="shared" si="1355"/>
        <v>0</v>
      </c>
    </row>
    <row r="2120" spans="1:34">
      <c r="A2120" s="5" t="s">
        <v>3</v>
      </c>
      <c r="B2120" s="30"/>
      <c r="C2120" s="31"/>
      <c r="D2120" s="32"/>
      <c r="E2120" s="4">
        <f t="shared" si="1350"/>
        <v>0</v>
      </c>
      <c r="F2120" s="30"/>
      <c r="G2120" s="31"/>
      <c r="H2120" s="32"/>
      <c r="I2120" s="4">
        <f t="shared" si="1351"/>
        <v>0</v>
      </c>
      <c r="K2120" s="5" t="s">
        <v>3</v>
      </c>
      <c r="L2120" s="16"/>
      <c r="M2120" s="11"/>
      <c r="N2120" s="16"/>
      <c r="O2120" s="4">
        <f t="shared" si="1356"/>
        <v>0</v>
      </c>
      <c r="P2120" s="16"/>
      <c r="Q2120" s="11"/>
      <c r="R2120" s="16"/>
      <c r="S2120" s="4">
        <f t="shared" si="1357"/>
        <v>0</v>
      </c>
      <c r="U2120" s="5" t="s">
        <v>3</v>
      </c>
      <c r="V2120" s="30"/>
      <c r="W2120" s="31"/>
      <c r="X2120" s="32"/>
      <c r="Y2120" s="4">
        <f t="shared" si="1353"/>
        <v>0</v>
      </c>
      <c r="Z2120" s="30"/>
      <c r="AA2120" s="31"/>
      <c r="AB2120" s="32"/>
      <c r="AC2120" s="4">
        <f t="shared" si="1354"/>
        <v>0</v>
      </c>
      <c r="AD2120" s="30"/>
      <c r="AE2120" s="31"/>
      <c r="AF2120" s="32"/>
      <c r="AG2120" s="4">
        <f t="shared" si="1355"/>
        <v>0</v>
      </c>
    </row>
    <row r="2121" spans="1:34" ht="14.25" thickBot="1">
      <c r="A2121" s="6" t="s">
        <v>3</v>
      </c>
      <c r="B2121" s="36"/>
      <c r="C2121" s="37"/>
      <c r="D2121" s="36"/>
      <c r="E2121" s="20">
        <f t="shared" si="1350"/>
        <v>0</v>
      </c>
      <c r="F2121" s="13"/>
      <c r="G2121" s="12"/>
      <c r="H2121" s="13"/>
      <c r="I2121" s="20">
        <f t="shared" si="1351"/>
        <v>0</v>
      </c>
      <c r="K2121" s="6" t="s">
        <v>3</v>
      </c>
      <c r="L2121" s="36"/>
      <c r="M2121" s="37"/>
      <c r="N2121" s="36"/>
      <c r="O2121" s="20">
        <f t="shared" si="1356"/>
        <v>0</v>
      </c>
      <c r="P2121" s="13"/>
      <c r="Q2121" s="12"/>
      <c r="R2121" s="13"/>
      <c r="S2121" s="20">
        <f t="shared" si="1357"/>
        <v>0</v>
      </c>
      <c r="U2121" s="5" t="s">
        <v>3</v>
      </c>
      <c r="V2121" s="30"/>
      <c r="W2121" s="31"/>
      <c r="X2121" s="32"/>
      <c r="Y2121" s="4">
        <f t="shared" si="1353"/>
        <v>0</v>
      </c>
      <c r="Z2121" s="30"/>
      <c r="AA2121" s="31"/>
      <c r="AB2121" s="32"/>
      <c r="AC2121" s="4">
        <f t="shared" si="1354"/>
        <v>0</v>
      </c>
      <c r="AD2121" s="30"/>
      <c r="AE2121" s="31"/>
      <c r="AF2121" s="32"/>
      <c r="AG2121" s="4">
        <f t="shared" si="1355"/>
        <v>0</v>
      </c>
    </row>
    <row r="2122" spans="1:34" ht="14.25" thickBot="1">
      <c r="A2122" s="23" t="s">
        <v>4</v>
      </c>
      <c r="B2122" s="24">
        <f>SUM(B2111:B2121)</f>
        <v>4</v>
      </c>
      <c r="C2122" s="24">
        <f>SUM(C2111:C2121)</f>
        <v>4</v>
      </c>
      <c r="D2122" s="25">
        <f>SUM(D2111:D2121)</f>
        <v>5</v>
      </c>
      <c r="E2122" s="26">
        <f t="shared" si="1350"/>
        <v>13</v>
      </c>
      <c r="F2122" s="24">
        <f>SUM(F2111:F2121)</f>
        <v>4</v>
      </c>
      <c r="G2122" s="24">
        <f>SUM(G2111:G2121)</f>
        <v>4</v>
      </c>
      <c r="H2122" s="25">
        <f>SUM(H2111:H2121)</f>
        <v>5</v>
      </c>
      <c r="I2122" s="26">
        <f t="shared" si="1351"/>
        <v>13</v>
      </c>
      <c r="K2122" s="23" t="s">
        <v>4</v>
      </c>
      <c r="L2122" s="24">
        <f>SUM(L2111:L2121)</f>
        <v>324</v>
      </c>
      <c r="M2122" s="24">
        <f t="shared" ref="M2122:S2122" si="1366">SUM(M2111:M2121)</f>
        <v>444</v>
      </c>
      <c r="N2122" s="25">
        <f t="shared" si="1366"/>
        <v>260</v>
      </c>
      <c r="O2122" s="26">
        <f t="shared" si="1366"/>
        <v>1028</v>
      </c>
      <c r="P2122" s="24">
        <f t="shared" si="1366"/>
        <v>324</v>
      </c>
      <c r="Q2122" s="24">
        <f t="shared" si="1366"/>
        <v>444</v>
      </c>
      <c r="R2122" s="25">
        <f t="shared" si="1366"/>
        <v>260</v>
      </c>
      <c r="S2122" s="26">
        <f t="shared" si="1366"/>
        <v>1028</v>
      </c>
      <c r="U2122" s="23" t="s">
        <v>4</v>
      </c>
      <c r="V2122" s="24">
        <f>SUM(V2111:V2121)</f>
        <v>41</v>
      </c>
      <c r="W2122" s="24">
        <f>SUM(W2111:W2121)</f>
        <v>38</v>
      </c>
      <c r="X2122" s="25">
        <f>SUM(X2111:X2121)</f>
        <v>31</v>
      </c>
      <c r="Y2122" s="26">
        <f t="shared" si="1353"/>
        <v>110</v>
      </c>
      <c r="Z2122" s="24">
        <f>SUM(Z2111:Z2121)</f>
        <v>41</v>
      </c>
      <c r="AA2122" s="24">
        <f>SUM(AA2111:AA2121)</f>
        <v>38</v>
      </c>
      <c r="AB2122" s="25">
        <f>SUM(AB2111:AB2121)</f>
        <v>31</v>
      </c>
      <c r="AC2122" s="26">
        <f t="shared" si="1354"/>
        <v>110</v>
      </c>
      <c r="AD2122" s="24">
        <f>SUM(AD2111:AD2121)</f>
        <v>41</v>
      </c>
      <c r="AE2122" s="24">
        <f>SUM(AE2111:AE2121)</f>
        <v>37</v>
      </c>
      <c r="AF2122" s="25">
        <f>SUM(AF2111:AF2121)</f>
        <v>31</v>
      </c>
      <c r="AG2122" s="26">
        <f t="shared" si="1355"/>
        <v>109</v>
      </c>
    </row>
    <row r="2123" spans="1:34">
      <c r="A2123" s="3"/>
      <c r="B2123" s="8"/>
      <c r="C2123" s="9"/>
      <c r="D2123" s="10"/>
      <c r="E2123" s="7">
        <f t="shared" ref="E2123:E2124" si="1367">SUM(B2123:D2123)</f>
        <v>0</v>
      </c>
      <c r="F2123" s="8"/>
      <c r="G2123" s="9"/>
      <c r="H2123" s="10"/>
      <c r="I2123" s="7">
        <f t="shared" ref="I2123:I2124" si="1368">SUM(F2123:H2123)</f>
        <v>0</v>
      </c>
      <c r="J2123" s="71"/>
      <c r="K2123" s="3" t="s">
        <v>817</v>
      </c>
      <c r="L2123" s="32">
        <v>26</v>
      </c>
      <c r="M2123" s="31">
        <v>16</v>
      </c>
      <c r="N2123" s="32">
        <v>20</v>
      </c>
      <c r="O2123" s="4">
        <f t="shared" ref="O2123:O2125" si="1369">SUM(L2123:N2123)</f>
        <v>62</v>
      </c>
      <c r="P2123" s="32">
        <v>26</v>
      </c>
      <c r="Q2123" s="31">
        <v>16</v>
      </c>
      <c r="R2123" s="32">
        <v>20</v>
      </c>
      <c r="S2123" s="7">
        <f t="shared" ref="S2123:S2125" si="1370">SUM(P2123:R2123)</f>
        <v>62</v>
      </c>
      <c r="T2123" s="43">
        <v>46178</v>
      </c>
      <c r="U2123" s="40"/>
      <c r="V2123" s="8"/>
      <c r="W2123" s="9"/>
      <c r="X2123" s="10"/>
      <c r="Y2123" s="4">
        <f t="shared" si="1353"/>
        <v>0</v>
      </c>
      <c r="Z2123" s="8"/>
      <c r="AA2123" s="9"/>
      <c r="AB2123" s="10"/>
      <c r="AC2123" s="4">
        <f t="shared" si="1354"/>
        <v>0</v>
      </c>
      <c r="AD2123" s="8"/>
      <c r="AE2123" s="9"/>
      <c r="AF2123" s="10"/>
      <c r="AG2123" s="4">
        <f t="shared" si="1355"/>
        <v>0</v>
      </c>
    </row>
    <row r="2124" spans="1:34">
      <c r="A2124" s="3"/>
      <c r="B2124" s="8"/>
      <c r="C2124" s="9"/>
      <c r="D2124" s="10"/>
      <c r="E2124" s="7">
        <f t="shared" si="1367"/>
        <v>0</v>
      </c>
      <c r="F2124" s="8"/>
      <c r="G2124" s="9"/>
      <c r="H2124" s="10"/>
      <c r="I2124" s="7">
        <f t="shared" si="1368"/>
        <v>0</v>
      </c>
      <c r="J2124" s="71"/>
      <c r="K2124" s="3" t="s">
        <v>1209</v>
      </c>
      <c r="L2124" s="8">
        <v>6</v>
      </c>
      <c r="M2124" s="9">
        <v>2</v>
      </c>
      <c r="N2124" s="10">
        <v>2</v>
      </c>
      <c r="O2124" s="7">
        <f t="shared" si="1369"/>
        <v>10</v>
      </c>
      <c r="P2124" s="8">
        <v>6</v>
      </c>
      <c r="Q2124" s="9">
        <v>2</v>
      </c>
      <c r="R2124" s="10">
        <v>2</v>
      </c>
      <c r="S2124" s="7">
        <f t="shared" si="1370"/>
        <v>10</v>
      </c>
      <c r="T2124" s="43">
        <v>46178</v>
      </c>
      <c r="U2124" s="40"/>
      <c r="V2124" s="8"/>
      <c r="W2124" s="9"/>
      <c r="X2124" s="10"/>
      <c r="Y2124" s="4">
        <f t="shared" si="1353"/>
        <v>0</v>
      </c>
      <c r="Z2124" s="8"/>
      <c r="AA2124" s="9"/>
      <c r="AB2124" s="10"/>
      <c r="AC2124" s="4">
        <f t="shared" si="1354"/>
        <v>0</v>
      </c>
      <c r="AD2124" s="8"/>
      <c r="AE2124" s="9"/>
      <c r="AF2124" s="10"/>
      <c r="AG2124" s="4">
        <f t="shared" si="1355"/>
        <v>0</v>
      </c>
    </row>
    <row r="2125" spans="1:34">
      <c r="A2125" s="3"/>
      <c r="B2125" s="8"/>
      <c r="C2125" s="9"/>
      <c r="D2125" s="10"/>
      <c r="E2125" s="7">
        <f t="shared" si="1350"/>
        <v>0</v>
      </c>
      <c r="F2125" s="8"/>
      <c r="G2125" s="9"/>
      <c r="H2125" s="10"/>
      <c r="I2125" s="7">
        <f t="shared" si="1351"/>
        <v>0</v>
      </c>
      <c r="J2125" s="71"/>
      <c r="K2125" s="3"/>
      <c r="L2125" s="8"/>
      <c r="M2125" s="9"/>
      <c r="N2125" s="10"/>
      <c r="O2125" s="7">
        <f t="shared" si="1369"/>
        <v>0</v>
      </c>
      <c r="P2125" s="8"/>
      <c r="Q2125" s="9"/>
      <c r="R2125" s="10"/>
      <c r="S2125" s="7">
        <f t="shared" si="1370"/>
        <v>0</v>
      </c>
      <c r="U2125" s="40"/>
      <c r="V2125" s="8"/>
      <c r="W2125" s="9"/>
      <c r="X2125" s="10"/>
      <c r="Y2125" s="7">
        <f t="shared" si="1353"/>
        <v>0</v>
      </c>
      <c r="Z2125" s="8"/>
      <c r="AA2125" s="9"/>
      <c r="AB2125" s="10"/>
      <c r="AC2125" s="7">
        <f t="shared" si="1354"/>
        <v>0</v>
      </c>
      <c r="AD2125" s="8"/>
      <c r="AE2125" s="9"/>
      <c r="AF2125" s="10"/>
      <c r="AG2125" s="7">
        <f t="shared" si="1355"/>
        <v>0</v>
      </c>
    </row>
    <row r="2126" spans="1:34">
      <c r="A2126" s="3"/>
      <c r="B2126" s="8"/>
      <c r="C2126" s="9"/>
      <c r="D2126" s="10"/>
      <c r="E2126" s="7">
        <f t="shared" si="1350"/>
        <v>0</v>
      </c>
      <c r="F2126" s="8"/>
      <c r="G2126" s="9"/>
      <c r="H2126" s="10"/>
      <c r="I2126" s="7">
        <f t="shared" si="1351"/>
        <v>0</v>
      </c>
      <c r="K2126" s="3"/>
      <c r="L2126" s="8"/>
      <c r="M2126" s="9"/>
      <c r="N2126" s="10"/>
      <c r="O2126" s="7">
        <f t="shared" ref="O2126:O2137" si="1371">SUM(L2126:N2126)</f>
        <v>0</v>
      </c>
      <c r="P2126" s="8"/>
      <c r="Q2126" s="9"/>
      <c r="R2126" s="10"/>
      <c r="S2126" s="7">
        <f t="shared" ref="S2126:S2137" si="1372">SUM(P2126:R2126)</f>
        <v>0</v>
      </c>
      <c r="U2126" s="40"/>
      <c r="V2126" s="8"/>
      <c r="W2126" s="9"/>
      <c r="X2126" s="10"/>
      <c r="Y2126" s="4">
        <f t="shared" si="1353"/>
        <v>0</v>
      </c>
      <c r="Z2126" s="8"/>
      <c r="AA2126" s="9"/>
      <c r="AB2126" s="10"/>
      <c r="AC2126" s="4">
        <f t="shared" si="1354"/>
        <v>0</v>
      </c>
      <c r="AD2126" s="8"/>
      <c r="AE2126" s="9"/>
      <c r="AF2126" s="10"/>
      <c r="AG2126" s="4">
        <f t="shared" si="1355"/>
        <v>0</v>
      </c>
    </row>
    <row r="2127" spans="1:34">
      <c r="A2127" s="3"/>
      <c r="B2127" s="8"/>
      <c r="C2127" s="9"/>
      <c r="D2127" s="10"/>
      <c r="E2127" s="7">
        <f t="shared" si="1350"/>
        <v>0</v>
      </c>
      <c r="F2127" s="8"/>
      <c r="G2127" s="9"/>
      <c r="H2127" s="10"/>
      <c r="I2127" s="7">
        <f t="shared" si="1351"/>
        <v>0</v>
      </c>
      <c r="K2127" s="3"/>
      <c r="L2127" s="8"/>
      <c r="M2127" s="9"/>
      <c r="N2127" s="10"/>
      <c r="O2127" s="7">
        <f t="shared" si="1371"/>
        <v>0</v>
      </c>
      <c r="P2127" s="8"/>
      <c r="Q2127" s="9"/>
      <c r="R2127" s="10"/>
      <c r="S2127" s="7">
        <f t="shared" si="1372"/>
        <v>0</v>
      </c>
      <c r="U2127" s="3"/>
      <c r="V2127" s="8"/>
      <c r="W2127" s="9"/>
      <c r="X2127" s="10"/>
      <c r="Y2127" s="4">
        <f t="shared" si="1353"/>
        <v>0</v>
      </c>
      <c r="Z2127" s="8"/>
      <c r="AA2127" s="9"/>
      <c r="AB2127" s="10"/>
      <c r="AC2127" s="4">
        <f t="shared" si="1354"/>
        <v>0</v>
      </c>
      <c r="AD2127" s="8"/>
      <c r="AE2127" s="9"/>
      <c r="AF2127" s="10"/>
      <c r="AG2127" s="4">
        <f t="shared" si="1355"/>
        <v>0</v>
      </c>
    </row>
    <row r="2128" spans="1:34">
      <c r="A2128" s="3"/>
      <c r="B2128" s="8"/>
      <c r="C2128" s="9"/>
      <c r="D2128" s="10"/>
      <c r="E2128" s="7">
        <f t="shared" si="1350"/>
        <v>0</v>
      </c>
      <c r="F2128" s="8"/>
      <c r="G2128" s="9"/>
      <c r="H2128" s="10"/>
      <c r="I2128" s="7">
        <f t="shared" si="1351"/>
        <v>0</v>
      </c>
      <c r="K2128" s="3"/>
      <c r="L2128" s="8"/>
      <c r="M2128" s="9"/>
      <c r="N2128" s="10"/>
      <c r="O2128" s="7">
        <f t="shared" si="1371"/>
        <v>0</v>
      </c>
      <c r="P2128" s="8"/>
      <c r="Q2128" s="9"/>
      <c r="R2128" s="10"/>
      <c r="S2128" s="7">
        <f t="shared" si="1372"/>
        <v>0</v>
      </c>
      <c r="U2128" s="3"/>
      <c r="V2128" s="8"/>
      <c r="W2128" s="9"/>
      <c r="X2128" s="10"/>
      <c r="Y2128" s="7">
        <f t="shared" si="1353"/>
        <v>0</v>
      </c>
      <c r="Z2128" s="8"/>
      <c r="AA2128" s="9"/>
      <c r="AB2128" s="10"/>
      <c r="AC2128" s="7">
        <f t="shared" si="1354"/>
        <v>0</v>
      </c>
      <c r="AD2128" s="8"/>
      <c r="AE2128" s="9"/>
      <c r="AF2128" s="10"/>
      <c r="AG2128" s="7">
        <f t="shared" si="1355"/>
        <v>0</v>
      </c>
    </row>
    <row r="2129" spans="1:33">
      <c r="A2129" s="3"/>
      <c r="B2129" s="8"/>
      <c r="C2129" s="9"/>
      <c r="D2129" s="10"/>
      <c r="E2129" s="7">
        <f t="shared" si="1350"/>
        <v>0</v>
      </c>
      <c r="F2129" s="8"/>
      <c r="G2129" s="9"/>
      <c r="H2129" s="10"/>
      <c r="I2129" s="7">
        <f t="shared" si="1351"/>
        <v>0</v>
      </c>
      <c r="K2129" s="3"/>
      <c r="L2129" s="8"/>
      <c r="M2129" s="9"/>
      <c r="N2129" s="10"/>
      <c r="O2129" s="7">
        <f t="shared" si="1371"/>
        <v>0</v>
      </c>
      <c r="P2129" s="8"/>
      <c r="Q2129" s="9"/>
      <c r="R2129" s="10"/>
      <c r="S2129" s="7">
        <f t="shared" si="1372"/>
        <v>0</v>
      </c>
      <c r="U2129" s="3"/>
      <c r="V2129" s="8"/>
      <c r="W2129" s="9"/>
      <c r="X2129" s="10"/>
      <c r="Y2129" s="7">
        <f t="shared" si="1353"/>
        <v>0</v>
      </c>
      <c r="Z2129" s="8"/>
      <c r="AA2129" s="9"/>
      <c r="AB2129" s="10"/>
      <c r="AC2129" s="7">
        <f t="shared" si="1354"/>
        <v>0</v>
      </c>
      <c r="AD2129" s="8"/>
      <c r="AE2129" s="9"/>
      <c r="AF2129" s="10"/>
      <c r="AG2129" s="7">
        <f t="shared" si="1355"/>
        <v>0</v>
      </c>
    </row>
    <row r="2130" spans="1:33">
      <c r="A2130" s="3"/>
      <c r="B2130" s="8"/>
      <c r="C2130" s="9"/>
      <c r="D2130" s="10"/>
      <c r="E2130" s="7">
        <f t="shared" si="1350"/>
        <v>0</v>
      </c>
      <c r="F2130" s="8"/>
      <c r="G2130" s="9"/>
      <c r="H2130" s="10"/>
      <c r="I2130" s="7">
        <f t="shared" si="1351"/>
        <v>0</v>
      </c>
      <c r="K2130" s="3"/>
      <c r="L2130" s="8"/>
      <c r="M2130" s="9"/>
      <c r="N2130" s="10"/>
      <c r="O2130" s="7">
        <f t="shared" si="1371"/>
        <v>0</v>
      </c>
      <c r="P2130" s="8"/>
      <c r="Q2130" s="9"/>
      <c r="R2130" s="10"/>
      <c r="S2130" s="7">
        <f t="shared" si="1372"/>
        <v>0</v>
      </c>
      <c r="U2130" s="3"/>
      <c r="V2130" s="8"/>
      <c r="W2130" s="9"/>
      <c r="X2130" s="10"/>
      <c r="Y2130" s="7">
        <f t="shared" si="1353"/>
        <v>0</v>
      </c>
      <c r="Z2130" s="8"/>
      <c r="AA2130" s="9"/>
      <c r="AB2130" s="10"/>
      <c r="AC2130" s="7">
        <f t="shared" si="1354"/>
        <v>0</v>
      </c>
      <c r="AD2130" s="8"/>
      <c r="AE2130" s="9"/>
      <c r="AF2130" s="10"/>
      <c r="AG2130" s="7">
        <f t="shared" si="1355"/>
        <v>0</v>
      </c>
    </row>
    <row r="2131" spans="1:33">
      <c r="A2131" s="3"/>
      <c r="B2131" s="8"/>
      <c r="C2131" s="9"/>
      <c r="D2131" s="10"/>
      <c r="E2131" s="7">
        <f t="shared" si="1350"/>
        <v>0</v>
      </c>
      <c r="F2131" s="8"/>
      <c r="G2131" s="9"/>
      <c r="H2131" s="10"/>
      <c r="I2131" s="7">
        <f t="shared" si="1351"/>
        <v>0</v>
      </c>
      <c r="K2131" s="3"/>
      <c r="L2131" s="8"/>
      <c r="M2131" s="9"/>
      <c r="N2131" s="10"/>
      <c r="O2131" s="7">
        <f t="shared" si="1371"/>
        <v>0</v>
      </c>
      <c r="P2131" s="8"/>
      <c r="Q2131" s="9"/>
      <c r="R2131" s="10"/>
      <c r="S2131" s="7">
        <f t="shared" si="1372"/>
        <v>0</v>
      </c>
      <c r="U2131" s="3"/>
      <c r="V2131" s="8"/>
      <c r="W2131" s="9"/>
      <c r="X2131" s="10"/>
      <c r="Y2131" s="7">
        <f t="shared" si="1353"/>
        <v>0</v>
      </c>
      <c r="Z2131" s="8"/>
      <c r="AA2131" s="9"/>
      <c r="AB2131" s="10"/>
      <c r="AC2131" s="7">
        <f t="shared" si="1354"/>
        <v>0</v>
      </c>
      <c r="AD2131" s="8"/>
      <c r="AE2131" s="9"/>
      <c r="AF2131" s="10"/>
      <c r="AG2131" s="7">
        <f t="shared" si="1355"/>
        <v>0</v>
      </c>
    </row>
    <row r="2132" spans="1:33">
      <c r="A2132" s="3"/>
      <c r="B2132" s="8"/>
      <c r="C2132" s="9"/>
      <c r="D2132" s="10"/>
      <c r="E2132" s="7">
        <f t="shared" si="1350"/>
        <v>0</v>
      </c>
      <c r="F2132" s="8"/>
      <c r="G2132" s="9"/>
      <c r="H2132" s="10"/>
      <c r="I2132" s="7">
        <f t="shared" si="1351"/>
        <v>0</v>
      </c>
      <c r="K2132" s="3"/>
      <c r="L2132" s="8"/>
      <c r="M2132" s="9"/>
      <c r="N2132" s="10"/>
      <c r="O2132" s="7">
        <f t="shared" si="1371"/>
        <v>0</v>
      </c>
      <c r="P2132" s="8"/>
      <c r="Q2132" s="9"/>
      <c r="R2132" s="10"/>
      <c r="S2132" s="7">
        <f t="shared" si="1372"/>
        <v>0</v>
      </c>
      <c r="U2132" s="3"/>
      <c r="V2132" s="8"/>
      <c r="W2132" s="9"/>
      <c r="X2132" s="10"/>
      <c r="Y2132" s="7">
        <f t="shared" si="1353"/>
        <v>0</v>
      </c>
      <c r="Z2132" s="8"/>
      <c r="AA2132" s="9"/>
      <c r="AB2132" s="10"/>
      <c r="AC2132" s="7">
        <f t="shared" si="1354"/>
        <v>0</v>
      </c>
      <c r="AD2132" s="8"/>
      <c r="AE2132" s="9"/>
      <c r="AF2132" s="10"/>
      <c r="AG2132" s="7">
        <f t="shared" si="1355"/>
        <v>0</v>
      </c>
    </row>
    <row r="2133" spans="1:33">
      <c r="A2133" s="3"/>
      <c r="B2133" s="8"/>
      <c r="C2133" s="9"/>
      <c r="D2133" s="10"/>
      <c r="E2133" s="7">
        <f t="shared" si="1350"/>
        <v>0</v>
      </c>
      <c r="F2133" s="8"/>
      <c r="G2133" s="9"/>
      <c r="H2133" s="10"/>
      <c r="I2133" s="7">
        <f t="shared" si="1351"/>
        <v>0</v>
      </c>
      <c r="K2133" s="3"/>
      <c r="L2133" s="8"/>
      <c r="M2133" s="9"/>
      <c r="N2133" s="10"/>
      <c r="O2133" s="7">
        <f t="shared" si="1371"/>
        <v>0</v>
      </c>
      <c r="P2133" s="8"/>
      <c r="Q2133" s="9"/>
      <c r="R2133" s="10"/>
      <c r="S2133" s="7">
        <f t="shared" si="1372"/>
        <v>0</v>
      </c>
      <c r="U2133" s="3"/>
      <c r="V2133" s="30"/>
      <c r="W2133" s="9"/>
      <c r="X2133" s="10"/>
      <c r="Y2133" s="7">
        <f t="shared" si="1353"/>
        <v>0</v>
      </c>
      <c r="Z2133" s="8"/>
      <c r="AA2133" s="9"/>
      <c r="AB2133" s="10"/>
      <c r="AC2133" s="7">
        <f t="shared" si="1354"/>
        <v>0</v>
      </c>
      <c r="AD2133" s="8"/>
      <c r="AE2133" s="9"/>
      <c r="AF2133" s="10"/>
      <c r="AG2133" s="7">
        <f t="shared" si="1355"/>
        <v>0</v>
      </c>
    </row>
    <row r="2134" spans="1:33">
      <c r="A2134" s="3"/>
      <c r="B2134" s="8"/>
      <c r="C2134" s="9"/>
      <c r="D2134" s="10"/>
      <c r="E2134" s="7">
        <f t="shared" si="1350"/>
        <v>0</v>
      </c>
      <c r="F2134" s="8"/>
      <c r="G2134" s="9"/>
      <c r="H2134" s="10"/>
      <c r="I2134" s="7">
        <f t="shared" si="1351"/>
        <v>0</v>
      </c>
      <c r="K2134" s="3"/>
      <c r="L2134" s="8"/>
      <c r="M2134" s="9"/>
      <c r="N2134" s="10"/>
      <c r="O2134" s="7">
        <f t="shared" si="1371"/>
        <v>0</v>
      </c>
      <c r="P2134" s="8"/>
      <c r="Q2134" s="9"/>
      <c r="R2134" s="10"/>
      <c r="S2134" s="7">
        <f t="shared" si="1372"/>
        <v>0</v>
      </c>
      <c r="U2134" s="3"/>
      <c r="V2134" s="8"/>
      <c r="W2134" s="9"/>
      <c r="X2134" s="10"/>
      <c r="Y2134" s="7">
        <f t="shared" si="1353"/>
        <v>0</v>
      </c>
      <c r="Z2134" s="8"/>
      <c r="AA2134" s="9"/>
      <c r="AB2134" s="10"/>
      <c r="AC2134" s="7">
        <f t="shared" si="1354"/>
        <v>0</v>
      </c>
      <c r="AD2134" s="8"/>
      <c r="AE2134" s="9"/>
      <c r="AF2134" s="10"/>
      <c r="AG2134" s="7">
        <f t="shared" si="1355"/>
        <v>0</v>
      </c>
    </row>
    <row r="2135" spans="1:33">
      <c r="A2135" s="3"/>
      <c r="B2135" s="8"/>
      <c r="C2135" s="9"/>
      <c r="D2135" s="10"/>
      <c r="E2135" s="7">
        <f t="shared" si="1350"/>
        <v>0</v>
      </c>
      <c r="F2135" s="8"/>
      <c r="G2135" s="9"/>
      <c r="H2135" s="10"/>
      <c r="I2135" s="7">
        <f t="shared" si="1351"/>
        <v>0</v>
      </c>
      <c r="K2135" s="3"/>
      <c r="L2135" s="8"/>
      <c r="M2135" s="9"/>
      <c r="N2135" s="10"/>
      <c r="O2135" s="7">
        <f t="shared" si="1371"/>
        <v>0</v>
      </c>
      <c r="P2135" s="8"/>
      <c r="Q2135" s="9"/>
      <c r="R2135" s="10"/>
      <c r="S2135" s="7">
        <f t="shared" si="1372"/>
        <v>0</v>
      </c>
      <c r="U2135" s="3"/>
      <c r="V2135" s="8"/>
      <c r="W2135" s="9"/>
      <c r="X2135" s="10"/>
      <c r="Y2135" s="7">
        <f t="shared" si="1353"/>
        <v>0</v>
      </c>
      <c r="Z2135" s="8"/>
      <c r="AA2135" s="9"/>
      <c r="AB2135" s="10"/>
      <c r="AC2135" s="7">
        <f t="shared" si="1354"/>
        <v>0</v>
      </c>
      <c r="AD2135" s="8"/>
      <c r="AE2135" s="9"/>
      <c r="AF2135" s="10"/>
      <c r="AG2135" s="7">
        <f t="shared" si="1355"/>
        <v>0</v>
      </c>
    </row>
    <row r="2136" spans="1:33">
      <c r="A2136" s="3"/>
      <c r="B2136" s="8"/>
      <c r="C2136" s="9"/>
      <c r="D2136" s="10"/>
      <c r="E2136" s="7">
        <f t="shared" si="1350"/>
        <v>0</v>
      </c>
      <c r="F2136" s="8"/>
      <c r="G2136" s="9"/>
      <c r="H2136" s="10"/>
      <c r="I2136" s="7">
        <f t="shared" si="1351"/>
        <v>0</v>
      </c>
      <c r="K2136" s="40"/>
      <c r="L2136" s="8"/>
      <c r="M2136" s="9"/>
      <c r="N2136" s="10"/>
      <c r="O2136" s="7">
        <f t="shared" si="1371"/>
        <v>0</v>
      </c>
      <c r="P2136" s="8"/>
      <c r="Q2136" s="9"/>
      <c r="R2136" s="10"/>
      <c r="S2136" s="7">
        <f t="shared" si="1372"/>
        <v>0</v>
      </c>
      <c r="U2136" s="3"/>
      <c r="V2136" s="8"/>
      <c r="W2136" s="9"/>
      <c r="X2136" s="10"/>
      <c r="Y2136" s="7">
        <f t="shared" si="1353"/>
        <v>0</v>
      </c>
      <c r="Z2136" s="8"/>
      <c r="AA2136" s="9"/>
      <c r="AB2136" s="10"/>
      <c r="AC2136" s="7">
        <f t="shared" si="1354"/>
        <v>0</v>
      </c>
      <c r="AD2136" s="8"/>
      <c r="AE2136" s="9"/>
      <c r="AF2136" s="10"/>
      <c r="AG2136" s="7">
        <f t="shared" si="1355"/>
        <v>0</v>
      </c>
    </row>
    <row r="2137" spans="1:33">
      <c r="A2137" s="3"/>
      <c r="B2137" s="8"/>
      <c r="C2137" s="9"/>
      <c r="D2137" s="10"/>
      <c r="E2137" s="7">
        <f t="shared" si="1350"/>
        <v>0</v>
      </c>
      <c r="F2137" s="8"/>
      <c r="G2137" s="9"/>
      <c r="H2137" s="10"/>
      <c r="I2137" s="7">
        <f t="shared" si="1351"/>
        <v>0</v>
      </c>
      <c r="K2137" s="3"/>
      <c r="L2137" s="8"/>
      <c r="M2137" s="9"/>
      <c r="N2137" s="10"/>
      <c r="O2137" s="7">
        <f t="shared" si="1371"/>
        <v>0</v>
      </c>
      <c r="P2137" s="8"/>
      <c r="Q2137" s="9"/>
      <c r="R2137" s="10"/>
      <c r="S2137" s="7">
        <f t="shared" si="1372"/>
        <v>0</v>
      </c>
      <c r="U2137" s="3"/>
      <c r="V2137" s="8"/>
      <c r="W2137" s="9"/>
      <c r="X2137" s="10"/>
      <c r="Y2137" s="7">
        <f t="shared" si="1353"/>
        <v>0</v>
      </c>
      <c r="Z2137" s="8"/>
      <c r="AA2137" s="9"/>
      <c r="AB2137" s="10"/>
      <c r="AC2137" s="7">
        <f t="shared" si="1354"/>
        <v>0</v>
      </c>
      <c r="AD2137" s="8"/>
      <c r="AE2137" s="9"/>
      <c r="AF2137" s="10"/>
      <c r="AG2137" s="7">
        <f t="shared" si="1355"/>
        <v>0</v>
      </c>
    </row>
    <row r="2138" spans="1:33">
      <c r="A2138" s="3"/>
      <c r="B2138" s="8"/>
      <c r="C2138" s="9"/>
      <c r="D2138" s="10"/>
      <c r="E2138" s="7">
        <f t="shared" si="1350"/>
        <v>0</v>
      </c>
      <c r="F2138" s="8"/>
      <c r="G2138" s="9"/>
      <c r="H2138" s="10"/>
      <c r="I2138" s="7">
        <f t="shared" si="1351"/>
        <v>0</v>
      </c>
      <c r="K2138" s="3"/>
      <c r="L2138" s="8"/>
      <c r="M2138" s="9"/>
      <c r="N2138" s="10"/>
      <c r="O2138" s="7">
        <f t="shared" ref="O2138:O2140" si="1373">SUM(L2138:N2138)</f>
        <v>0</v>
      </c>
      <c r="P2138" s="8"/>
      <c r="Q2138" s="9"/>
      <c r="R2138" s="10"/>
      <c r="S2138" s="7">
        <f t="shared" ref="S2138:S2140" si="1374">SUM(P2138:R2138)</f>
        <v>0</v>
      </c>
      <c r="U2138" s="3"/>
      <c r="V2138" s="8"/>
      <c r="W2138" s="9"/>
      <c r="X2138" s="10"/>
      <c r="Y2138" s="7">
        <f t="shared" si="1353"/>
        <v>0</v>
      </c>
      <c r="Z2138" s="8"/>
      <c r="AA2138" s="9"/>
      <c r="AB2138" s="10"/>
      <c r="AC2138" s="7">
        <f t="shared" si="1354"/>
        <v>0</v>
      </c>
      <c r="AD2138" s="8"/>
      <c r="AE2138" s="9"/>
      <c r="AF2138" s="10"/>
      <c r="AG2138" s="7">
        <f t="shared" si="1355"/>
        <v>0</v>
      </c>
    </row>
    <row r="2139" spans="1:33">
      <c r="A2139" s="3"/>
      <c r="B2139" s="8"/>
      <c r="C2139" s="9"/>
      <c r="D2139" s="10"/>
      <c r="E2139" s="7">
        <f t="shared" si="1350"/>
        <v>0</v>
      </c>
      <c r="F2139" s="8"/>
      <c r="G2139" s="9"/>
      <c r="H2139" s="10"/>
      <c r="I2139" s="7">
        <f t="shared" si="1351"/>
        <v>0</v>
      </c>
      <c r="K2139" s="3"/>
      <c r="L2139" s="8"/>
      <c r="M2139" s="9"/>
      <c r="N2139" s="10"/>
      <c r="O2139" s="7">
        <f t="shared" si="1373"/>
        <v>0</v>
      </c>
      <c r="P2139" s="8"/>
      <c r="Q2139" s="9"/>
      <c r="R2139" s="10"/>
      <c r="S2139" s="7">
        <f t="shared" si="1374"/>
        <v>0</v>
      </c>
      <c r="U2139" s="3"/>
      <c r="V2139" s="8"/>
      <c r="W2139" s="9"/>
      <c r="X2139" s="10"/>
      <c r="Y2139" s="7">
        <f t="shared" si="1353"/>
        <v>0</v>
      </c>
      <c r="Z2139" s="8"/>
      <c r="AA2139" s="9"/>
      <c r="AB2139" s="10"/>
      <c r="AC2139" s="7">
        <f t="shared" si="1354"/>
        <v>0</v>
      </c>
      <c r="AD2139" s="8"/>
      <c r="AE2139" s="9"/>
      <c r="AF2139" s="10"/>
      <c r="AG2139" s="7">
        <f t="shared" si="1355"/>
        <v>0</v>
      </c>
    </row>
    <row r="2140" spans="1:33">
      <c r="A2140" s="3"/>
      <c r="B2140" s="8"/>
      <c r="C2140" s="9"/>
      <c r="D2140" s="10"/>
      <c r="E2140" s="7">
        <f t="shared" si="1350"/>
        <v>0</v>
      </c>
      <c r="F2140" s="8"/>
      <c r="G2140" s="9"/>
      <c r="H2140" s="10"/>
      <c r="I2140" s="7">
        <f t="shared" si="1351"/>
        <v>0</v>
      </c>
      <c r="K2140" s="3"/>
      <c r="L2140" s="8"/>
      <c r="M2140" s="9"/>
      <c r="N2140" s="10"/>
      <c r="O2140" s="7">
        <f t="shared" si="1373"/>
        <v>0</v>
      </c>
      <c r="P2140" s="8"/>
      <c r="Q2140" s="9"/>
      <c r="R2140" s="10"/>
      <c r="S2140" s="7">
        <f t="shared" si="1374"/>
        <v>0</v>
      </c>
      <c r="U2140" s="3"/>
      <c r="V2140" s="8"/>
      <c r="W2140" s="9"/>
      <c r="X2140" s="10"/>
      <c r="Y2140" s="7">
        <f t="shared" si="1353"/>
        <v>0</v>
      </c>
      <c r="Z2140" s="8"/>
      <c r="AA2140" s="9"/>
      <c r="AB2140" s="10"/>
      <c r="AC2140" s="7">
        <f t="shared" si="1354"/>
        <v>0</v>
      </c>
      <c r="AD2140" s="8"/>
      <c r="AE2140" s="9"/>
      <c r="AF2140" s="10"/>
      <c r="AG2140" s="7">
        <f t="shared" si="1355"/>
        <v>0</v>
      </c>
    </row>
    <row r="2141" spans="1:33">
      <c r="A2141" s="11"/>
      <c r="B2141" s="8"/>
      <c r="C2141" s="9"/>
      <c r="D2141" s="10"/>
      <c r="E2141" s="7">
        <f t="shared" si="1350"/>
        <v>0</v>
      </c>
      <c r="F2141" s="8"/>
      <c r="G2141" s="9"/>
      <c r="H2141" s="10"/>
      <c r="I2141" s="7">
        <f t="shared" si="1351"/>
        <v>0</v>
      </c>
      <c r="K2141" s="3"/>
      <c r="L2141" s="8"/>
      <c r="M2141" s="9"/>
      <c r="N2141" s="10"/>
      <c r="O2141" s="7">
        <f t="shared" ref="O2141" si="1375">SUM(L2141:N2141)</f>
        <v>0</v>
      </c>
      <c r="P2141" s="8"/>
      <c r="Q2141" s="9"/>
      <c r="R2141" s="10"/>
      <c r="S2141" s="7">
        <f t="shared" ref="S2141" si="1376">SUM(P2141:R2141)</f>
        <v>0</v>
      </c>
      <c r="U2141" s="3"/>
      <c r="V2141" s="8"/>
      <c r="W2141" s="9"/>
      <c r="X2141" s="10"/>
      <c r="Y2141" s="7">
        <f t="shared" si="1353"/>
        <v>0</v>
      </c>
      <c r="Z2141" s="8"/>
      <c r="AA2141" s="9"/>
      <c r="AB2141" s="10"/>
      <c r="AC2141" s="7">
        <f t="shared" si="1354"/>
        <v>0</v>
      </c>
      <c r="AD2141" s="8"/>
      <c r="AE2141" s="9"/>
      <c r="AF2141" s="10"/>
      <c r="AG2141" s="7">
        <f t="shared" si="1355"/>
        <v>0</v>
      </c>
    </row>
    <row r="2142" spans="1:33">
      <c r="A2142" s="11"/>
      <c r="B2142" s="8"/>
      <c r="C2142" s="9"/>
      <c r="D2142" s="10"/>
      <c r="E2142" s="7">
        <f t="shared" si="1350"/>
        <v>0</v>
      </c>
      <c r="F2142" s="8"/>
      <c r="G2142" s="9"/>
      <c r="H2142" s="10"/>
      <c r="I2142" s="7">
        <f t="shared" si="1351"/>
        <v>0</v>
      </c>
      <c r="K2142" s="3"/>
      <c r="L2142" s="8"/>
      <c r="M2142" s="9"/>
      <c r="N2142" s="10"/>
      <c r="O2142" s="7">
        <f t="shared" ref="O2142" si="1377">SUM(L2142:N2142)</f>
        <v>0</v>
      </c>
      <c r="P2142" s="8"/>
      <c r="Q2142" s="9"/>
      <c r="R2142" s="10"/>
      <c r="S2142" s="7">
        <f t="shared" ref="S2142" si="1378">SUM(P2142:R2142)</f>
        <v>0</v>
      </c>
      <c r="U2142" s="3"/>
      <c r="V2142" s="8"/>
      <c r="W2142" s="9"/>
      <c r="X2142" s="10"/>
      <c r="Y2142" s="7">
        <f t="shared" si="1353"/>
        <v>0</v>
      </c>
      <c r="Z2142" s="8"/>
      <c r="AA2142" s="9"/>
      <c r="AB2142" s="10"/>
      <c r="AC2142" s="7">
        <f t="shared" si="1354"/>
        <v>0</v>
      </c>
      <c r="AD2142" s="8"/>
      <c r="AE2142" s="9"/>
      <c r="AF2142" s="10"/>
      <c r="AG2142" s="7">
        <f t="shared" si="1355"/>
        <v>0</v>
      </c>
    </row>
    <row r="2143" spans="1:33">
      <c r="A2143" s="11"/>
      <c r="B2143" s="8"/>
      <c r="C2143" s="9"/>
      <c r="D2143" s="10"/>
      <c r="E2143" s="7">
        <f t="shared" si="1350"/>
        <v>0</v>
      </c>
      <c r="F2143" s="8"/>
      <c r="G2143" s="9"/>
      <c r="H2143" s="10"/>
      <c r="I2143" s="7">
        <f t="shared" si="1351"/>
        <v>0</v>
      </c>
      <c r="K2143" s="11" t="s">
        <v>493</v>
      </c>
      <c r="L2143" s="8"/>
      <c r="M2143" s="9"/>
      <c r="N2143" s="10"/>
      <c r="O2143" s="7">
        <f t="shared" ref="O2143:O2146" si="1379">SUM(L2143:N2143)</f>
        <v>0</v>
      </c>
      <c r="P2143" s="8"/>
      <c r="Q2143" s="9"/>
      <c r="R2143" s="10"/>
      <c r="S2143" s="7">
        <f t="shared" ref="S2143:S2146" si="1380">SUM(P2143:R2143)</f>
        <v>0</v>
      </c>
      <c r="T2143" s="71" t="s">
        <v>494</v>
      </c>
      <c r="U2143" s="11"/>
      <c r="V2143" s="8"/>
      <c r="W2143" s="9"/>
      <c r="X2143" s="10"/>
      <c r="Y2143" s="7">
        <f t="shared" si="1353"/>
        <v>0</v>
      </c>
      <c r="Z2143" s="8"/>
      <c r="AA2143" s="9"/>
      <c r="AB2143" s="10"/>
      <c r="AC2143" s="7">
        <f t="shared" si="1354"/>
        <v>0</v>
      </c>
      <c r="AD2143" s="8"/>
      <c r="AE2143" s="9"/>
      <c r="AF2143" s="10"/>
      <c r="AG2143" s="7">
        <f t="shared" si="1355"/>
        <v>0</v>
      </c>
    </row>
    <row r="2144" spans="1:33">
      <c r="A2144" s="11"/>
      <c r="B2144" s="8"/>
      <c r="C2144" s="9"/>
      <c r="D2144" s="10"/>
      <c r="E2144" s="7">
        <f t="shared" si="1350"/>
        <v>0</v>
      </c>
      <c r="F2144" s="8"/>
      <c r="G2144" s="9"/>
      <c r="H2144" s="10"/>
      <c r="I2144" s="7">
        <f t="shared" si="1351"/>
        <v>0</v>
      </c>
      <c r="K2144" s="11" t="s">
        <v>267</v>
      </c>
      <c r="L2144" s="8"/>
      <c r="M2144" s="9"/>
      <c r="N2144" s="10"/>
      <c r="O2144" s="7">
        <f t="shared" si="1379"/>
        <v>0</v>
      </c>
      <c r="P2144" s="8"/>
      <c r="Q2144" s="9"/>
      <c r="R2144" s="10"/>
      <c r="S2144" s="7">
        <f t="shared" si="1380"/>
        <v>0</v>
      </c>
      <c r="T2144" s="71" t="s">
        <v>268</v>
      </c>
      <c r="U2144" s="11"/>
      <c r="V2144" s="8"/>
      <c r="W2144" s="9"/>
      <c r="X2144" s="10"/>
      <c r="Y2144" s="7">
        <f t="shared" si="1353"/>
        <v>0</v>
      </c>
      <c r="Z2144" s="8"/>
      <c r="AA2144" s="9"/>
      <c r="AB2144" s="10"/>
      <c r="AC2144" s="7">
        <f t="shared" si="1354"/>
        <v>0</v>
      </c>
      <c r="AD2144" s="8"/>
      <c r="AE2144" s="9"/>
      <c r="AF2144" s="10"/>
      <c r="AG2144" s="7">
        <f t="shared" si="1355"/>
        <v>0</v>
      </c>
    </row>
    <row r="2145" spans="1:33">
      <c r="A2145" s="11"/>
      <c r="B2145" s="8"/>
      <c r="C2145" s="9"/>
      <c r="D2145" s="10"/>
      <c r="E2145" s="7">
        <f t="shared" si="1350"/>
        <v>0</v>
      </c>
      <c r="F2145" s="8"/>
      <c r="G2145" s="9"/>
      <c r="H2145" s="10"/>
      <c r="I2145" s="7">
        <f t="shared" si="1351"/>
        <v>0</v>
      </c>
      <c r="K2145" s="40" t="s">
        <v>1144</v>
      </c>
      <c r="L2145" s="79"/>
      <c r="M2145" s="80"/>
      <c r="N2145" s="81"/>
      <c r="O2145" s="82">
        <f t="shared" si="1379"/>
        <v>0</v>
      </c>
      <c r="P2145" s="79"/>
      <c r="Q2145" s="80"/>
      <c r="R2145" s="81"/>
      <c r="S2145" s="82">
        <f t="shared" si="1380"/>
        <v>0</v>
      </c>
      <c r="T2145" s="71"/>
      <c r="U2145" s="11"/>
      <c r="V2145" s="8"/>
      <c r="W2145" s="9"/>
      <c r="X2145" s="10"/>
      <c r="Y2145" s="7">
        <f t="shared" ref="Y2145" si="1381">SUM(V2145:X2145)</f>
        <v>0</v>
      </c>
      <c r="Z2145" s="8"/>
      <c r="AA2145" s="9"/>
      <c r="AB2145" s="10"/>
      <c r="AC2145" s="7">
        <f t="shared" ref="AC2145" si="1382">SUM(Z2145:AB2145)</f>
        <v>0</v>
      </c>
      <c r="AD2145" s="8"/>
      <c r="AE2145" s="9"/>
      <c r="AF2145" s="10"/>
      <c r="AG2145" s="7">
        <f t="shared" ref="AG2145" si="1383">SUM(AD2145:AF2145)</f>
        <v>0</v>
      </c>
    </row>
    <row r="2146" spans="1:33" ht="14.25" thickBot="1">
      <c r="A2146" s="3"/>
      <c r="B2146" s="8"/>
      <c r="C2146" s="9"/>
      <c r="D2146" s="10"/>
      <c r="E2146" s="7">
        <f t="shared" si="1350"/>
        <v>0</v>
      </c>
      <c r="F2146" s="8"/>
      <c r="G2146" s="9"/>
      <c r="H2146" s="10"/>
      <c r="I2146" s="7">
        <f t="shared" si="1351"/>
        <v>0</v>
      </c>
      <c r="K2146" s="3" t="s">
        <v>1140</v>
      </c>
      <c r="L2146" s="8"/>
      <c r="M2146" s="9"/>
      <c r="N2146" s="10"/>
      <c r="O2146" s="7">
        <f t="shared" si="1379"/>
        <v>0</v>
      </c>
      <c r="P2146" s="8"/>
      <c r="Q2146" s="9"/>
      <c r="R2146" s="10"/>
      <c r="S2146" s="7">
        <f t="shared" si="1380"/>
        <v>0</v>
      </c>
      <c r="T2146" s="71" t="s">
        <v>1161</v>
      </c>
      <c r="U2146" s="11"/>
      <c r="V2146" s="8"/>
      <c r="W2146" s="9"/>
      <c r="X2146" s="10"/>
      <c r="Y2146" s="7">
        <f t="shared" ref="Y2146" si="1384">SUM(V2146:X2146)</f>
        <v>0</v>
      </c>
      <c r="Z2146" s="8"/>
      <c r="AA2146" s="9"/>
      <c r="AB2146" s="10"/>
      <c r="AC2146" s="7">
        <f t="shared" ref="AC2146" si="1385">SUM(Z2146:AB2146)</f>
        <v>0</v>
      </c>
      <c r="AD2146" s="8"/>
      <c r="AE2146" s="9"/>
      <c r="AF2146" s="10"/>
      <c r="AG2146" s="7">
        <f t="shared" ref="AG2146" si="1386">SUM(AD2146:AF2146)</f>
        <v>0</v>
      </c>
    </row>
    <row r="2147" spans="1:33" ht="14.25" thickBot="1">
      <c r="A2147" s="2" t="s">
        <v>5</v>
      </c>
      <c r="B2147" s="14">
        <f>SUM(B2123:B2146)</f>
        <v>0</v>
      </c>
      <c r="C2147" s="14">
        <f>SUM(C2123:C2146)</f>
        <v>0</v>
      </c>
      <c r="D2147" s="14">
        <f>SUM(D2123:D2146)</f>
        <v>0</v>
      </c>
      <c r="E2147" s="15">
        <f t="shared" si="1350"/>
        <v>0</v>
      </c>
      <c r="F2147" s="14">
        <f>SUM(F2123:F2146)</f>
        <v>0</v>
      </c>
      <c r="G2147" s="14">
        <f>SUM(G2123:G2146)</f>
        <v>0</v>
      </c>
      <c r="H2147" s="14">
        <f>SUM(H2123:H2146)</f>
        <v>0</v>
      </c>
      <c r="I2147" s="15">
        <f t="shared" si="1351"/>
        <v>0</v>
      </c>
      <c r="K2147" s="2" t="s">
        <v>5</v>
      </c>
      <c r="L2147" s="14">
        <f>SUM(L2123:L2146)</f>
        <v>32</v>
      </c>
      <c r="M2147" s="14">
        <f t="shared" ref="M2147:S2147" si="1387">SUM(M2123:M2146)</f>
        <v>18</v>
      </c>
      <c r="N2147" s="14">
        <f t="shared" si="1387"/>
        <v>22</v>
      </c>
      <c r="O2147" s="15">
        <f t="shared" si="1387"/>
        <v>72</v>
      </c>
      <c r="P2147" s="14">
        <f t="shared" si="1387"/>
        <v>32</v>
      </c>
      <c r="Q2147" s="14">
        <f t="shared" si="1387"/>
        <v>18</v>
      </c>
      <c r="R2147" s="14">
        <f t="shared" si="1387"/>
        <v>22</v>
      </c>
      <c r="S2147" s="15">
        <f t="shared" si="1387"/>
        <v>72</v>
      </c>
      <c r="U2147" s="2" t="s">
        <v>5</v>
      </c>
      <c r="V2147" s="14">
        <f>SUM(V2123:V2146)</f>
        <v>0</v>
      </c>
      <c r="W2147" s="14">
        <f>SUM(W2123:W2146)</f>
        <v>0</v>
      </c>
      <c r="X2147" s="14">
        <f>SUM(X2123:X2146)</f>
        <v>0</v>
      </c>
      <c r="Y2147" s="15">
        <f t="shared" si="1353"/>
        <v>0</v>
      </c>
      <c r="Z2147" s="14">
        <f>SUM(Z2123:Z2146)</f>
        <v>0</v>
      </c>
      <c r="AA2147" s="14">
        <f>SUM(AA2123:AA2146)</f>
        <v>0</v>
      </c>
      <c r="AB2147" s="14">
        <f>SUM(AB2123:AB2146)</f>
        <v>0</v>
      </c>
      <c r="AC2147" s="15">
        <f t="shared" si="1354"/>
        <v>0</v>
      </c>
      <c r="AD2147" s="14">
        <f>SUM(AD2123:AD2146)</f>
        <v>0</v>
      </c>
      <c r="AE2147" s="14">
        <f>SUM(AE2123:AE2146)</f>
        <v>0</v>
      </c>
      <c r="AF2147" s="14">
        <f>SUM(AF2123:AF2146)</f>
        <v>0</v>
      </c>
      <c r="AG2147" s="15">
        <f t="shared" si="1355"/>
        <v>0</v>
      </c>
    </row>
    <row r="2148" spans="1:33" ht="14.25" thickBot="1">
      <c r="A2148" s="27" t="s">
        <v>6</v>
      </c>
      <c r="B2148" s="28">
        <f>B2122-B2147</f>
        <v>4</v>
      </c>
      <c r="C2148" s="28">
        <f t="shared" ref="C2148:E2148" si="1388">C2122-C2147</f>
        <v>4</v>
      </c>
      <c r="D2148" s="28">
        <f t="shared" si="1388"/>
        <v>5</v>
      </c>
      <c r="E2148" s="28">
        <f t="shared" si="1388"/>
        <v>13</v>
      </c>
      <c r="F2148" s="28">
        <f>F2122-F2147</f>
        <v>4</v>
      </c>
      <c r="G2148" s="28">
        <f t="shared" ref="G2148:I2148" si="1389">G2122-G2147</f>
        <v>4</v>
      </c>
      <c r="H2148" s="28">
        <f t="shared" si="1389"/>
        <v>5</v>
      </c>
      <c r="I2148" s="26">
        <f t="shared" si="1389"/>
        <v>13</v>
      </c>
      <c r="K2148" s="27" t="s">
        <v>6</v>
      </c>
      <c r="L2148" s="28">
        <f>L2122-L2147</f>
        <v>292</v>
      </c>
      <c r="M2148" s="28">
        <f t="shared" ref="M2148:S2148" si="1390">M2122-M2147</f>
        <v>426</v>
      </c>
      <c r="N2148" s="28">
        <f t="shared" si="1390"/>
        <v>238</v>
      </c>
      <c r="O2148" s="28">
        <f t="shared" si="1390"/>
        <v>956</v>
      </c>
      <c r="P2148" s="28">
        <f t="shared" si="1390"/>
        <v>292</v>
      </c>
      <c r="Q2148" s="28">
        <f t="shared" si="1390"/>
        <v>426</v>
      </c>
      <c r="R2148" s="28">
        <f t="shared" si="1390"/>
        <v>238</v>
      </c>
      <c r="S2148" s="26">
        <f t="shared" si="1390"/>
        <v>956</v>
      </c>
      <c r="U2148" s="27" t="s">
        <v>6</v>
      </c>
      <c r="V2148" s="28">
        <f>V2122-V2147</f>
        <v>41</v>
      </c>
      <c r="W2148" s="28">
        <f t="shared" ref="W2148:Y2148" si="1391">W2122-W2147</f>
        <v>38</v>
      </c>
      <c r="X2148" s="28">
        <f t="shared" si="1391"/>
        <v>31</v>
      </c>
      <c r="Y2148" s="28">
        <f t="shared" si="1391"/>
        <v>110</v>
      </c>
      <c r="Z2148" s="28">
        <f>Z2122-Z2147</f>
        <v>41</v>
      </c>
      <c r="AA2148" s="28">
        <f t="shared" ref="AA2148:AC2148" si="1392">AA2122-AA2147</f>
        <v>38</v>
      </c>
      <c r="AB2148" s="28">
        <f t="shared" si="1392"/>
        <v>31</v>
      </c>
      <c r="AC2148" s="26">
        <f t="shared" si="1392"/>
        <v>110</v>
      </c>
      <c r="AD2148" s="28">
        <f>AD2122-AD2147</f>
        <v>41</v>
      </c>
      <c r="AE2148" s="28">
        <f t="shared" ref="AE2148:AG2148" si="1393">AE2122-AE2147</f>
        <v>37</v>
      </c>
      <c r="AF2148" s="28">
        <f t="shared" si="1393"/>
        <v>31</v>
      </c>
      <c r="AG2148" s="26">
        <f t="shared" si="1393"/>
        <v>109</v>
      </c>
    </row>
    <row r="2149" spans="1:33">
      <c r="K2149" s="157"/>
      <c r="L2149" s="86"/>
      <c r="M2149" s="86"/>
      <c r="N2149" s="86"/>
      <c r="O2149" s="86"/>
      <c r="U2149" s="144"/>
      <c r="AD2149" s="74"/>
      <c r="AE2149" s="74"/>
      <c r="AF2149" s="74"/>
      <c r="AG2149" s="180"/>
    </row>
    <row r="2150" spans="1:33">
      <c r="K2150" s="158"/>
      <c r="L2150" s="74"/>
      <c r="M2150" s="74"/>
      <c r="N2150" s="74"/>
      <c r="O2150" s="106"/>
    </row>
    <row r="2151" spans="1:33" ht="26.25" thickBot="1">
      <c r="A2151" s="33" t="s">
        <v>1130</v>
      </c>
      <c r="B2151" s="34"/>
      <c r="C2151" s="34"/>
      <c r="D2151" s="34"/>
      <c r="E2151" s="34"/>
      <c r="F2151" s="35"/>
      <c r="G2151" s="35"/>
      <c r="H2151" s="35"/>
      <c r="I2151" s="35"/>
      <c r="K2151" s="33" t="s">
        <v>1129</v>
      </c>
      <c r="L2151" s="34"/>
      <c r="M2151" s="34"/>
      <c r="N2151" s="34"/>
      <c r="O2151" s="34"/>
      <c r="P2151" s="35"/>
      <c r="Q2151" s="35"/>
      <c r="R2151" s="35"/>
      <c r="S2151" s="35"/>
      <c r="U2151" s="113" t="s">
        <v>622</v>
      </c>
      <c r="V2151" s="114"/>
      <c r="W2151" s="114"/>
      <c r="X2151" s="114"/>
      <c r="Y2151" s="114"/>
      <c r="Z2151" s="115"/>
      <c r="AA2151" s="115"/>
      <c r="AB2151" s="115"/>
      <c r="AC2151" s="115"/>
      <c r="AD2151" s="116"/>
      <c r="AE2151" s="116"/>
    </row>
    <row r="2152" spans="1:33" ht="14.25" thickBot="1">
      <c r="A2152" s="1" t="s">
        <v>0</v>
      </c>
      <c r="B2152" s="182" t="s">
        <v>17</v>
      </c>
      <c r="C2152" s="182"/>
      <c r="D2152" s="182"/>
      <c r="E2152" s="183"/>
      <c r="F2152" s="182" t="s">
        <v>13</v>
      </c>
      <c r="G2152" s="182"/>
      <c r="H2152" s="182"/>
      <c r="I2152" s="183"/>
      <c r="K2152" s="1" t="s">
        <v>0</v>
      </c>
      <c r="L2152" s="181" t="s">
        <v>17</v>
      </c>
      <c r="M2152" s="182"/>
      <c r="N2152" s="182"/>
      <c r="O2152" s="133"/>
      <c r="P2152" s="181" t="s">
        <v>13</v>
      </c>
      <c r="Q2152" s="182"/>
      <c r="R2152" s="182"/>
      <c r="S2152" s="133"/>
      <c r="U2152" s="1" t="s">
        <v>0</v>
      </c>
      <c r="V2152" s="182" t="s">
        <v>17</v>
      </c>
      <c r="W2152" s="182"/>
      <c r="X2152" s="182"/>
      <c r="Y2152" s="183"/>
      <c r="Z2152" s="182" t="s">
        <v>13</v>
      </c>
      <c r="AA2152" s="182"/>
      <c r="AB2152" s="182"/>
      <c r="AC2152" s="183"/>
      <c r="AD2152" s="182" t="s">
        <v>242</v>
      </c>
      <c r="AE2152" s="182"/>
      <c r="AF2152" s="182"/>
      <c r="AG2152" s="183"/>
    </row>
    <row r="2153" spans="1:33" ht="14.25" thickBot="1">
      <c r="A2153" s="1" t="s">
        <v>1</v>
      </c>
      <c r="B2153" s="2" t="s">
        <v>8</v>
      </c>
      <c r="C2153" s="1" t="s">
        <v>9</v>
      </c>
      <c r="D2153" s="19" t="s">
        <v>10</v>
      </c>
      <c r="E2153" s="1" t="s">
        <v>2</v>
      </c>
      <c r="F2153" s="2" t="s">
        <v>8</v>
      </c>
      <c r="G2153" s="1" t="s">
        <v>9</v>
      </c>
      <c r="H2153" s="19" t="s">
        <v>10</v>
      </c>
      <c r="I2153" s="1" t="s">
        <v>2</v>
      </c>
      <c r="K2153" s="1" t="s">
        <v>1</v>
      </c>
      <c r="L2153" s="2" t="s">
        <v>8</v>
      </c>
      <c r="M2153" s="1" t="s">
        <v>9</v>
      </c>
      <c r="N2153" s="19" t="s">
        <v>10</v>
      </c>
      <c r="O2153" s="1" t="s">
        <v>2</v>
      </c>
      <c r="P2153" s="2" t="s">
        <v>8</v>
      </c>
      <c r="Q2153" s="1" t="s">
        <v>9</v>
      </c>
      <c r="R2153" s="19" t="s">
        <v>10</v>
      </c>
      <c r="S2153" s="1" t="s">
        <v>2</v>
      </c>
      <c r="U2153" s="1" t="s">
        <v>1</v>
      </c>
      <c r="V2153" s="2" t="s">
        <v>8</v>
      </c>
      <c r="W2153" s="1" t="s">
        <v>9</v>
      </c>
      <c r="X2153" s="19" t="s">
        <v>10</v>
      </c>
      <c r="Y2153" s="1" t="s">
        <v>2</v>
      </c>
      <c r="Z2153" s="2" t="s">
        <v>8</v>
      </c>
      <c r="AA2153" s="1" t="s">
        <v>9</v>
      </c>
      <c r="AB2153" s="19" t="s">
        <v>10</v>
      </c>
      <c r="AC2153" s="1" t="s">
        <v>2</v>
      </c>
      <c r="AD2153" s="2" t="s">
        <v>8</v>
      </c>
      <c r="AE2153" s="1" t="s">
        <v>9</v>
      </c>
      <c r="AF2153" s="19" t="s">
        <v>10</v>
      </c>
      <c r="AG2153" s="1" t="s">
        <v>2</v>
      </c>
    </row>
    <row r="2154" spans="1:33">
      <c r="A2154" s="21" t="s">
        <v>7</v>
      </c>
      <c r="B2154" s="18">
        <f>B2148</f>
        <v>4</v>
      </c>
      <c r="C2154" s="22">
        <f>C2148</f>
        <v>4</v>
      </c>
      <c r="D2154" s="22">
        <f>D2148</f>
        <v>5</v>
      </c>
      <c r="E2154" s="17">
        <f t="shared" ref="E2154:E2190" si="1394">SUM(B2154:D2154)</f>
        <v>13</v>
      </c>
      <c r="F2154" s="22">
        <f>F2148</f>
        <v>4</v>
      </c>
      <c r="G2154" s="22">
        <f>G2148</f>
        <v>4</v>
      </c>
      <c r="H2154" s="22">
        <f>H2148</f>
        <v>5</v>
      </c>
      <c r="I2154" s="17">
        <f t="shared" ref="I2154:I2190" si="1395">SUM(F2154:H2154)</f>
        <v>13</v>
      </c>
      <c r="K2154" s="21" t="s">
        <v>7</v>
      </c>
      <c r="L2154" s="18">
        <f>L2148</f>
        <v>292</v>
      </c>
      <c r="M2154" s="22">
        <f t="shared" ref="M2154:S2154" si="1396">M2148</f>
        <v>426</v>
      </c>
      <c r="N2154" s="22">
        <f t="shared" si="1396"/>
        <v>238</v>
      </c>
      <c r="O2154" s="17">
        <f t="shared" si="1396"/>
        <v>956</v>
      </c>
      <c r="P2154" s="22">
        <f t="shared" si="1396"/>
        <v>292</v>
      </c>
      <c r="Q2154" s="22">
        <f t="shared" si="1396"/>
        <v>426</v>
      </c>
      <c r="R2154" s="22">
        <f t="shared" si="1396"/>
        <v>238</v>
      </c>
      <c r="S2154" s="17">
        <f t="shared" si="1396"/>
        <v>956</v>
      </c>
      <c r="U2154" s="21" t="s">
        <v>7</v>
      </c>
      <c r="V2154" s="18">
        <f>V2148</f>
        <v>41</v>
      </c>
      <c r="W2154" s="22">
        <f>W2148</f>
        <v>38</v>
      </c>
      <c r="X2154" s="22">
        <f>X2148</f>
        <v>31</v>
      </c>
      <c r="Y2154" s="17">
        <f t="shared" ref="Y2154:Y2190" si="1397">SUM(V2154:X2154)</f>
        <v>110</v>
      </c>
      <c r="Z2154" s="22">
        <f>Z2148</f>
        <v>41</v>
      </c>
      <c r="AA2154" s="22">
        <f>AA2148</f>
        <v>38</v>
      </c>
      <c r="AB2154" s="22">
        <f>AB2148</f>
        <v>31</v>
      </c>
      <c r="AC2154" s="17">
        <f t="shared" ref="AC2154:AC2190" si="1398">SUM(Z2154:AB2154)</f>
        <v>110</v>
      </c>
      <c r="AD2154" s="22">
        <f>AD2148</f>
        <v>41</v>
      </c>
      <c r="AE2154" s="22">
        <f>AE2148</f>
        <v>37</v>
      </c>
      <c r="AF2154" s="22">
        <f>AF2148</f>
        <v>31</v>
      </c>
      <c r="AG2154" s="17">
        <f t="shared" ref="AG2154:AG2190" si="1399">SUM(AD2154:AF2154)</f>
        <v>109</v>
      </c>
    </row>
    <row r="2155" spans="1:33">
      <c r="A2155" s="5" t="s">
        <v>3</v>
      </c>
      <c r="B2155" s="16">
        <v>5</v>
      </c>
      <c r="C2155" s="11"/>
      <c r="D2155" s="16"/>
      <c r="E2155" s="4">
        <f t="shared" si="1394"/>
        <v>5</v>
      </c>
      <c r="F2155" s="16">
        <v>5</v>
      </c>
      <c r="G2155" s="11"/>
      <c r="H2155" s="16"/>
      <c r="I2155" s="4">
        <f t="shared" si="1395"/>
        <v>5</v>
      </c>
      <c r="J2155" s="43">
        <v>46188</v>
      </c>
      <c r="K2155" s="5" t="s">
        <v>3</v>
      </c>
      <c r="L2155" s="16"/>
      <c r="M2155" s="11"/>
      <c r="N2155" s="16"/>
      <c r="O2155" s="4">
        <f t="shared" ref="O2155:O2164" si="1400">SUM(L2155:N2155)</f>
        <v>0</v>
      </c>
      <c r="P2155" s="16"/>
      <c r="Q2155" s="11"/>
      <c r="R2155" s="16"/>
      <c r="S2155" s="4">
        <f t="shared" ref="S2155:S2164" si="1401">SUM(P2155:R2155)</f>
        <v>0</v>
      </c>
      <c r="U2155" s="5" t="s">
        <v>3</v>
      </c>
      <c r="V2155" s="16"/>
      <c r="W2155" s="11"/>
      <c r="X2155" s="16"/>
      <c r="Y2155" s="4">
        <f t="shared" si="1397"/>
        <v>0</v>
      </c>
      <c r="Z2155" s="16"/>
      <c r="AA2155" s="11"/>
      <c r="AB2155" s="16"/>
      <c r="AC2155" s="4">
        <f t="shared" si="1398"/>
        <v>0</v>
      </c>
      <c r="AD2155" s="16"/>
      <c r="AE2155" s="11"/>
      <c r="AF2155" s="16"/>
      <c r="AG2155" s="4">
        <f t="shared" si="1399"/>
        <v>0</v>
      </c>
    </row>
    <row r="2156" spans="1:33">
      <c r="A2156" s="5" t="s">
        <v>1225</v>
      </c>
      <c r="B2156" s="16">
        <v>3</v>
      </c>
      <c r="C2156" s="11">
        <v>2</v>
      </c>
      <c r="D2156" s="16">
        <v>3</v>
      </c>
      <c r="E2156" s="4">
        <f t="shared" si="1394"/>
        <v>8</v>
      </c>
      <c r="F2156" s="16">
        <v>3</v>
      </c>
      <c r="G2156" s="11">
        <v>2</v>
      </c>
      <c r="H2156" s="16">
        <v>3</v>
      </c>
      <c r="I2156" s="4">
        <f t="shared" si="1395"/>
        <v>8</v>
      </c>
      <c r="J2156" s="49">
        <v>46191</v>
      </c>
      <c r="K2156" s="5" t="s">
        <v>3</v>
      </c>
      <c r="L2156" s="16"/>
      <c r="M2156" s="11"/>
      <c r="N2156" s="16"/>
      <c r="O2156" s="4">
        <f t="shared" ref="O2156:O2157" si="1402">SUM(L2156:N2156)</f>
        <v>0</v>
      </c>
      <c r="P2156" s="16"/>
      <c r="Q2156" s="11"/>
      <c r="R2156" s="16"/>
      <c r="S2156" s="4">
        <f t="shared" ref="S2156:S2157" si="1403">SUM(P2156:R2156)</f>
        <v>0</v>
      </c>
      <c r="U2156" s="5" t="s">
        <v>3</v>
      </c>
      <c r="V2156" s="32"/>
      <c r="W2156" s="31"/>
      <c r="X2156" s="32"/>
      <c r="Y2156" s="4">
        <f t="shared" si="1397"/>
        <v>0</v>
      </c>
      <c r="Z2156" s="32"/>
      <c r="AA2156" s="31"/>
      <c r="AB2156" s="32"/>
      <c r="AC2156" s="4">
        <f t="shared" si="1398"/>
        <v>0</v>
      </c>
      <c r="AD2156" s="32"/>
      <c r="AE2156" s="31"/>
      <c r="AF2156" s="32"/>
      <c r="AG2156" s="4">
        <f t="shared" si="1399"/>
        <v>0</v>
      </c>
    </row>
    <row r="2157" spans="1:33">
      <c r="A2157" s="5" t="s">
        <v>3</v>
      </c>
      <c r="B2157" s="16"/>
      <c r="C2157" s="11"/>
      <c r="D2157" s="16"/>
      <c r="E2157" s="4">
        <f t="shared" si="1394"/>
        <v>0</v>
      </c>
      <c r="F2157" s="16"/>
      <c r="G2157" s="11"/>
      <c r="H2157" s="16"/>
      <c r="I2157" s="4">
        <f t="shared" si="1395"/>
        <v>0</v>
      </c>
      <c r="K2157" s="5" t="s">
        <v>1210</v>
      </c>
      <c r="L2157" s="16">
        <v>100</v>
      </c>
      <c r="M2157" s="11"/>
      <c r="N2157" s="16"/>
      <c r="O2157" s="4">
        <f t="shared" si="1402"/>
        <v>100</v>
      </c>
      <c r="P2157" s="16">
        <v>100</v>
      </c>
      <c r="Q2157" s="11"/>
      <c r="R2157" s="16"/>
      <c r="S2157" s="4">
        <f t="shared" si="1403"/>
        <v>100</v>
      </c>
      <c r="T2157" s="43" t="s">
        <v>1224</v>
      </c>
      <c r="U2157" s="5" t="s">
        <v>3</v>
      </c>
      <c r="V2157" s="32"/>
      <c r="W2157" s="31"/>
      <c r="X2157" s="32"/>
      <c r="Y2157" s="4">
        <f t="shared" si="1397"/>
        <v>0</v>
      </c>
      <c r="Z2157" s="32"/>
      <c r="AA2157" s="31"/>
      <c r="AB2157" s="32"/>
      <c r="AC2157" s="4">
        <f t="shared" si="1398"/>
        <v>0</v>
      </c>
      <c r="AD2157" s="32"/>
      <c r="AE2157" s="31"/>
      <c r="AF2157" s="32"/>
      <c r="AG2157" s="4">
        <f t="shared" si="1399"/>
        <v>0</v>
      </c>
    </row>
    <row r="2158" spans="1:33">
      <c r="A2158" s="5" t="s">
        <v>3</v>
      </c>
      <c r="B2158" s="16"/>
      <c r="C2158" s="11"/>
      <c r="D2158" s="16"/>
      <c r="E2158" s="4">
        <f t="shared" si="1394"/>
        <v>0</v>
      </c>
      <c r="F2158" s="16"/>
      <c r="G2158" s="11"/>
      <c r="H2158" s="16"/>
      <c r="I2158" s="4">
        <f t="shared" si="1395"/>
        <v>0</v>
      </c>
      <c r="K2158" s="5" t="s">
        <v>3</v>
      </c>
      <c r="L2158" s="16"/>
      <c r="M2158" s="11"/>
      <c r="N2158" s="16"/>
      <c r="O2158" s="4">
        <f t="shared" ref="O2158" si="1404">SUM(L2158:N2158)</f>
        <v>0</v>
      </c>
      <c r="P2158" s="16"/>
      <c r="Q2158" s="11"/>
      <c r="R2158" s="16"/>
      <c r="S2158" s="4">
        <f t="shared" ref="S2158" si="1405">SUM(P2158:R2158)</f>
        <v>0</v>
      </c>
      <c r="U2158" s="5" t="s">
        <v>3</v>
      </c>
      <c r="V2158" s="32"/>
      <c r="W2158" s="31"/>
      <c r="X2158" s="32"/>
      <c r="Y2158" s="4">
        <f t="shared" ref="Y2158" si="1406">SUM(V2158:X2158)</f>
        <v>0</v>
      </c>
      <c r="Z2158" s="32"/>
      <c r="AA2158" s="31"/>
      <c r="AB2158" s="32"/>
      <c r="AC2158" s="4">
        <f t="shared" ref="AC2158" si="1407">SUM(Z2158:AB2158)</f>
        <v>0</v>
      </c>
      <c r="AD2158" s="32"/>
      <c r="AE2158" s="31"/>
      <c r="AF2158" s="32"/>
      <c r="AG2158" s="4">
        <f t="shared" ref="AG2158" si="1408">SUM(AD2158:AF2158)</f>
        <v>0</v>
      </c>
    </row>
    <row r="2159" spans="1:33">
      <c r="A2159" s="5" t="s">
        <v>3</v>
      </c>
      <c r="B2159" s="16"/>
      <c r="C2159" s="11"/>
      <c r="D2159" s="16"/>
      <c r="E2159" s="4">
        <f t="shared" si="1394"/>
        <v>0</v>
      </c>
      <c r="F2159" s="16"/>
      <c r="G2159" s="11"/>
      <c r="H2159" s="16"/>
      <c r="I2159" s="4">
        <f t="shared" si="1395"/>
        <v>0</v>
      </c>
      <c r="K2159" s="5" t="s">
        <v>3</v>
      </c>
      <c r="L2159" s="16"/>
      <c r="M2159" s="11"/>
      <c r="N2159" s="16"/>
      <c r="O2159" s="4">
        <f t="shared" si="1400"/>
        <v>0</v>
      </c>
      <c r="P2159" s="16"/>
      <c r="Q2159" s="11"/>
      <c r="R2159" s="16"/>
      <c r="S2159" s="4">
        <f t="shared" si="1401"/>
        <v>0</v>
      </c>
      <c r="U2159" s="5" t="s">
        <v>3</v>
      </c>
      <c r="V2159" s="30"/>
      <c r="W2159" s="31"/>
      <c r="X2159" s="32"/>
      <c r="Y2159" s="4">
        <f t="shared" si="1397"/>
        <v>0</v>
      </c>
      <c r="Z2159" s="30"/>
      <c r="AA2159" s="31"/>
      <c r="AB2159" s="32"/>
      <c r="AC2159" s="4">
        <f t="shared" si="1398"/>
        <v>0</v>
      </c>
      <c r="AD2159" s="30"/>
      <c r="AE2159" s="31"/>
      <c r="AF2159" s="32"/>
      <c r="AG2159" s="4">
        <f t="shared" si="1399"/>
        <v>0</v>
      </c>
    </row>
    <row r="2160" spans="1:33">
      <c r="A2160" s="5" t="s">
        <v>3</v>
      </c>
      <c r="B2160" s="16"/>
      <c r="C2160" s="11"/>
      <c r="D2160" s="16"/>
      <c r="E2160" s="4">
        <f t="shared" si="1394"/>
        <v>0</v>
      </c>
      <c r="F2160" s="16"/>
      <c r="G2160" s="11"/>
      <c r="H2160" s="16"/>
      <c r="I2160" s="4">
        <f t="shared" si="1395"/>
        <v>0</v>
      </c>
      <c r="K2160" s="5" t="s">
        <v>3</v>
      </c>
      <c r="L2160" s="16"/>
      <c r="M2160" s="11"/>
      <c r="N2160" s="16"/>
      <c r="O2160" s="4">
        <f t="shared" si="1400"/>
        <v>0</v>
      </c>
      <c r="P2160" s="16"/>
      <c r="Q2160" s="11"/>
      <c r="R2160" s="16"/>
      <c r="S2160" s="4">
        <f t="shared" si="1401"/>
        <v>0</v>
      </c>
      <c r="U2160" s="5" t="s">
        <v>3</v>
      </c>
      <c r="V2160" s="30"/>
      <c r="W2160" s="31"/>
      <c r="X2160" s="32"/>
      <c r="Y2160" s="4">
        <f t="shared" si="1397"/>
        <v>0</v>
      </c>
      <c r="Z2160" s="30"/>
      <c r="AA2160" s="31"/>
      <c r="AB2160" s="32"/>
      <c r="AC2160" s="4">
        <f t="shared" si="1398"/>
        <v>0</v>
      </c>
      <c r="AD2160" s="30"/>
      <c r="AE2160" s="31"/>
      <c r="AF2160" s="32"/>
      <c r="AG2160" s="4">
        <f t="shared" si="1399"/>
        <v>0</v>
      </c>
    </row>
    <row r="2161" spans="1:34">
      <c r="A2161" s="5" t="s">
        <v>3</v>
      </c>
      <c r="B2161" s="32"/>
      <c r="C2161" s="31"/>
      <c r="D2161" s="32"/>
      <c r="E2161" s="4">
        <f t="shared" si="1394"/>
        <v>0</v>
      </c>
      <c r="F2161" s="32"/>
      <c r="G2161" s="31"/>
      <c r="H2161" s="32"/>
      <c r="I2161" s="4">
        <f t="shared" si="1395"/>
        <v>0</v>
      </c>
      <c r="K2161" s="5" t="s">
        <v>3</v>
      </c>
      <c r="L2161" s="16"/>
      <c r="M2161" s="11"/>
      <c r="N2161" s="16"/>
      <c r="O2161" s="4">
        <f t="shared" si="1400"/>
        <v>0</v>
      </c>
      <c r="P2161" s="16"/>
      <c r="Q2161" s="11"/>
      <c r="R2161" s="16"/>
      <c r="S2161" s="4">
        <f t="shared" si="1401"/>
        <v>0</v>
      </c>
      <c r="U2161" s="5" t="s">
        <v>3</v>
      </c>
      <c r="V2161" s="30"/>
      <c r="W2161" s="31"/>
      <c r="X2161" s="32"/>
      <c r="Y2161" s="4">
        <f t="shared" si="1397"/>
        <v>0</v>
      </c>
      <c r="Z2161" s="30"/>
      <c r="AA2161" s="31"/>
      <c r="AB2161" s="32"/>
      <c r="AC2161" s="4">
        <f t="shared" si="1398"/>
        <v>0</v>
      </c>
      <c r="AD2161" s="30"/>
      <c r="AE2161" s="31"/>
      <c r="AF2161" s="32"/>
      <c r="AG2161" s="4">
        <f t="shared" si="1399"/>
        <v>0</v>
      </c>
    </row>
    <row r="2162" spans="1:34">
      <c r="A2162" s="5" t="s">
        <v>3</v>
      </c>
      <c r="B2162" s="32"/>
      <c r="C2162" s="31"/>
      <c r="D2162" s="32"/>
      <c r="E2162" s="4">
        <f t="shared" si="1394"/>
        <v>0</v>
      </c>
      <c r="F2162" s="32"/>
      <c r="G2162" s="31"/>
      <c r="H2162" s="32"/>
      <c r="I2162" s="4">
        <f t="shared" si="1395"/>
        <v>0</v>
      </c>
      <c r="K2162" s="5" t="s">
        <v>3</v>
      </c>
      <c r="L2162" s="16"/>
      <c r="M2162" s="11"/>
      <c r="N2162" s="16"/>
      <c r="O2162" s="4">
        <f t="shared" si="1400"/>
        <v>0</v>
      </c>
      <c r="P2162" s="16"/>
      <c r="Q2162" s="11"/>
      <c r="R2162" s="16"/>
      <c r="S2162" s="4">
        <f t="shared" si="1401"/>
        <v>0</v>
      </c>
      <c r="U2162" s="5" t="s">
        <v>3</v>
      </c>
      <c r="V2162" s="30"/>
      <c r="W2162" s="31"/>
      <c r="X2162" s="32"/>
      <c r="Y2162" s="4">
        <f t="shared" si="1397"/>
        <v>0</v>
      </c>
      <c r="Z2162" s="30"/>
      <c r="AA2162" s="31"/>
      <c r="AB2162" s="32"/>
      <c r="AC2162" s="4">
        <f t="shared" si="1398"/>
        <v>0</v>
      </c>
      <c r="AD2162" s="30"/>
      <c r="AE2162" s="31"/>
      <c r="AF2162" s="32"/>
      <c r="AG2162" s="4">
        <f t="shared" si="1399"/>
        <v>0</v>
      </c>
    </row>
    <row r="2163" spans="1:34">
      <c r="A2163" s="5" t="s">
        <v>3</v>
      </c>
      <c r="B2163" s="30"/>
      <c r="C2163" s="31"/>
      <c r="D2163" s="32"/>
      <c r="E2163" s="4">
        <f t="shared" si="1394"/>
        <v>0</v>
      </c>
      <c r="F2163" s="30"/>
      <c r="G2163" s="31"/>
      <c r="H2163" s="32"/>
      <c r="I2163" s="4">
        <f t="shared" si="1395"/>
        <v>0</v>
      </c>
      <c r="K2163" s="5" t="s">
        <v>3</v>
      </c>
      <c r="L2163" s="16"/>
      <c r="M2163" s="11"/>
      <c r="N2163" s="16"/>
      <c r="O2163" s="4">
        <f t="shared" si="1400"/>
        <v>0</v>
      </c>
      <c r="P2163" s="16"/>
      <c r="Q2163" s="11"/>
      <c r="R2163" s="16"/>
      <c r="S2163" s="4">
        <f t="shared" si="1401"/>
        <v>0</v>
      </c>
      <c r="U2163" s="5" t="s">
        <v>3</v>
      </c>
      <c r="V2163" s="30"/>
      <c r="W2163" s="31"/>
      <c r="X2163" s="32"/>
      <c r="Y2163" s="4">
        <f t="shared" si="1397"/>
        <v>0</v>
      </c>
      <c r="Z2163" s="30"/>
      <c r="AA2163" s="31"/>
      <c r="AB2163" s="32"/>
      <c r="AC2163" s="4">
        <f t="shared" si="1398"/>
        <v>0</v>
      </c>
      <c r="AD2163" s="30"/>
      <c r="AE2163" s="31"/>
      <c r="AF2163" s="32"/>
      <c r="AG2163" s="4">
        <f t="shared" si="1399"/>
        <v>0</v>
      </c>
    </row>
    <row r="2164" spans="1:34" ht="14.25" thickBot="1">
      <c r="A2164" s="6" t="s">
        <v>3</v>
      </c>
      <c r="B2164" s="36"/>
      <c r="C2164" s="37"/>
      <c r="D2164" s="36"/>
      <c r="E2164" s="20">
        <f t="shared" si="1394"/>
        <v>0</v>
      </c>
      <c r="F2164" s="13"/>
      <c r="G2164" s="12"/>
      <c r="H2164" s="13"/>
      <c r="I2164" s="20">
        <f t="shared" si="1395"/>
        <v>0</v>
      </c>
      <c r="K2164" s="6" t="s">
        <v>3</v>
      </c>
      <c r="L2164" s="36"/>
      <c r="M2164" s="37"/>
      <c r="N2164" s="36"/>
      <c r="O2164" s="20">
        <f t="shared" si="1400"/>
        <v>0</v>
      </c>
      <c r="P2164" s="13"/>
      <c r="Q2164" s="12"/>
      <c r="R2164" s="13"/>
      <c r="S2164" s="20">
        <f t="shared" si="1401"/>
        <v>0</v>
      </c>
      <c r="U2164" s="5" t="s">
        <v>3</v>
      </c>
      <c r="V2164" s="30"/>
      <c r="W2164" s="31"/>
      <c r="X2164" s="32"/>
      <c r="Y2164" s="4">
        <f t="shared" si="1397"/>
        <v>0</v>
      </c>
      <c r="Z2164" s="30"/>
      <c r="AA2164" s="31"/>
      <c r="AB2164" s="32"/>
      <c r="AC2164" s="4">
        <f t="shared" si="1398"/>
        <v>0</v>
      </c>
      <c r="AD2164" s="30"/>
      <c r="AE2164" s="31"/>
      <c r="AF2164" s="32"/>
      <c r="AG2164" s="4">
        <f t="shared" si="1399"/>
        <v>0</v>
      </c>
    </row>
    <row r="2165" spans="1:34" ht="14.25" thickBot="1">
      <c r="A2165" s="23" t="s">
        <v>4</v>
      </c>
      <c r="B2165" s="24">
        <f>SUM(B2154:B2164)</f>
        <v>12</v>
      </c>
      <c r="C2165" s="24">
        <f>SUM(C2154:C2164)</f>
        <v>6</v>
      </c>
      <c r="D2165" s="25">
        <f>SUM(D2154:D2164)</f>
        <v>8</v>
      </c>
      <c r="E2165" s="26">
        <f t="shared" si="1394"/>
        <v>26</v>
      </c>
      <c r="F2165" s="24">
        <f>SUM(F2154:F2164)</f>
        <v>12</v>
      </c>
      <c r="G2165" s="24">
        <f>SUM(G2154:G2164)</f>
        <v>6</v>
      </c>
      <c r="H2165" s="25">
        <f>SUM(H2154:H2164)</f>
        <v>8</v>
      </c>
      <c r="I2165" s="26">
        <f t="shared" si="1395"/>
        <v>26</v>
      </c>
      <c r="K2165" s="23" t="s">
        <v>4</v>
      </c>
      <c r="L2165" s="24">
        <f>SUM(L2154:L2164)</f>
        <v>392</v>
      </c>
      <c r="M2165" s="24">
        <f t="shared" ref="M2165:S2165" si="1409">SUM(M2154:M2164)</f>
        <v>426</v>
      </c>
      <c r="N2165" s="25">
        <f t="shared" si="1409"/>
        <v>238</v>
      </c>
      <c r="O2165" s="26">
        <f t="shared" si="1409"/>
        <v>1056</v>
      </c>
      <c r="P2165" s="24">
        <f t="shared" si="1409"/>
        <v>392</v>
      </c>
      <c r="Q2165" s="24">
        <f t="shared" si="1409"/>
        <v>426</v>
      </c>
      <c r="R2165" s="25">
        <f t="shared" si="1409"/>
        <v>238</v>
      </c>
      <c r="S2165" s="26">
        <f t="shared" si="1409"/>
        <v>1056</v>
      </c>
      <c r="U2165" s="23" t="s">
        <v>4</v>
      </c>
      <c r="V2165" s="24">
        <f>SUM(V2154:V2164)</f>
        <v>41</v>
      </c>
      <c r="W2165" s="24">
        <f>SUM(W2154:W2164)</f>
        <v>38</v>
      </c>
      <c r="X2165" s="25">
        <f>SUM(X2154:X2164)</f>
        <v>31</v>
      </c>
      <c r="Y2165" s="26">
        <f t="shared" si="1397"/>
        <v>110</v>
      </c>
      <c r="Z2165" s="24">
        <f>SUM(Z2154:Z2164)</f>
        <v>41</v>
      </c>
      <c r="AA2165" s="24">
        <f>SUM(AA2154:AA2164)</f>
        <v>38</v>
      </c>
      <c r="AB2165" s="25">
        <f>SUM(AB2154:AB2164)</f>
        <v>31</v>
      </c>
      <c r="AC2165" s="26">
        <f t="shared" si="1398"/>
        <v>110</v>
      </c>
      <c r="AD2165" s="24">
        <f>SUM(AD2154:AD2164)</f>
        <v>41</v>
      </c>
      <c r="AE2165" s="24">
        <f>SUM(AE2154:AE2164)</f>
        <v>37</v>
      </c>
      <c r="AF2165" s="25">
        <f>SUM(AF2154:AF2164)</f>
        <v>31</v>
      </c>
      <c r="AG2165" s="26">
        <f t="shared" si="1399"/>
        <v>109</v>
      </c>
    </row>
    <row r="2166" spans="1:34">
      <c r="A2166" s="3" t="s">
        <v>453</v>
      </c>
      <c r="B2166" s="8">
        <v>1</v>
      </c>
      <c r="C2166" s="9"/>
      <c r="D2166" s="10"/>
      <c r="E2166" s="7">
        <f t="shared" si="1394"/>
        <v>1</v>
      </c>
      <c r="F2166" s="8">
        <v>1</v>
      </c>
      <c r="G2166" s="9"/>
      <c r="H2166" s="10"/>
      <c r="I2166" s="7">
        <f t="shared" si="1395"/>
        <v>1</v>
      </c>
      <c r="J2166" s="43">
        <v>46178</v>
      </c>
      <c r="K2166" s="11" t="s">
        <v>1208</v>
      </c>
      <c r="L2166" s="8">
        <v>3</v>
      </c>
      <c r="M2166" s="9">
        <v>3</v>
      </c>
      <c r="N2166" s="10">
        <v>3</v>
      </c>
      <c r="O2166" s="7">
        <f t="shared" ref="O2166" si="1410">SUM(L2166:N2166)</f>
        <v>9</v>
      </c>
      <c r="P2166" s="8">
        <v>3</v>
      </c>
      <c r="Q2166" s="9">
        <v>3</v>
      </c>
      <c r="R2166" s="10">
        <v>3</v>
      </c>
      <c r="S2166" s="7">
        <f t="shared" ref="S2166" si="1411">SUM(P2166:R2166)</f>
        <v>9</v>
      </c>
      <c r="T2166" s="43">
        <v>46184</v>
      </c>
      <c r="U2166" s="40" t="s">
        <v>1221</v>
      </c>
      <c r="V2166" s="187">
        <v>5</v>
      </c>
      <c r="W2166" s="188">
        <v>3</v>
      </c>
      <c r="X2166" s="189">
        <v>3</v>
      </c>
      <c r="Y2166" s="190">
        <f t="shared" si="1397"/>
        <v>11</v>
      </c>
      <c r="Z2166" s="187">
        <v>5</v>
      </c>
      <c r="AA2166" s="188">
        <v>3</v>
      </c>
      <c r="AB2166" s="189">
        <v>3</v>
      </c>
      <c r="AC2166" s="190">
        <f t="shared" si="1398"/>
        <v>11</v>
      </c>
      <c r="AD2166" s="187">
        <v>5</v>
      </c>
      <c r="AE2166" s="188">
        <v>3</v>
      </c>
      <c r="AF2166" s="189">
        <v>3</v>
      </c>
      <c r="AG2166" s="190">
        <f t="shared" si="1399"/>
        <v>11</v>
      </c>
      <c r="AH2166" s="43">
        <v>46192</v>
      </c>
    </row>
    <row r="2167" spans="1:34">
      <c r="A2167" s="3" t="s">
        <v>454</v>
      </c>
      <c r="B2167" s="8">
        <v>1</v>
      </c>
      <c r="C2167" s="9">
        <v>1</v>
      </c>
      <c r="D2167" s="10"/>
      <c r="E2167" s="7">
        <f t="shared" si="1394"/>
        <v>2</v>
      </c>
      <c r="F2167" s="8">
        <v>1</v>
      </c>
      <c r="G2167" s="9">
        <v>1</v>
      </c>
      <c r="H2167" s="10"/>
      <c r="I2167" s="7">
        <f t="shared" si="1395"/>
        <v>2</v>
      </c>
      <c r="J2167" s="43">
        <v>46181</v>
      </c>
      <c r="K2167" s="11" t="s">
        <v>1213</v>
      </c>
      <c r="L2167" s="8">
        <v>25</v>
      </c>
      <c r="M2167" s="9">
        <v>30</v>
      </c>
      <c r="N2167" s="10">
        <v>20</v>
      </c>
      <c r="O2167" s="7">
        <f t="shared" ref="O2167:O2180" si="1412">SUM(L2167:N2167)</f>
        <v>75</v>
      </c>
      <c r="P2167" s="8">
        <v>25</v>
      </c>
      <c r="Q2167" s="9">
        <v>30</v>
      </c>
      <c r="R2167" s="10">
        <v>20</v>
      </c>
      <c r="S2167" s="7">
        <f t="shared" ref="S2167:S2180" si="1413">SUM(P2167:R2167)</f>
        <v>75</v>
      </c>
      <c r="T2167" s="43">
        <v>46183</v>
      </c>
      <c r="U2167" s="40"/>
      <c r="V2167" s="187"/>
      <c r="W2167" s="188"/>
      <c r="X2167" s="189"/>
      <c r="Y2167" s="190">
        <f t="shared" si="1397"/>
        <v>0</v>
      </c>
      <c r="Z2167" s="187"/>
      <c r="AA2167" s="188"/>
      <c r="AB2167" s="189"/>
      <c r="AC2167" s="190">
        <f t="shared" si="1398"/>
        <v>0</v>
      </c>
      <c r="AD2167" s="187"/>
      <c r="AE2167" s="188"/>
      <c r="AF2167" s="189"/>
      <c r="AG2167" s="190">
        <f t="shared" si="1399"/>
        <v>0</v>
      </c>
      <c r="AH2167" s="71"/>
    </row>
    <row r="2168" spans="1:34">
      <c r="A2168" s="3" t="s">
        <v>1217</v>
      </c>
      <c r="B2168" s="8">
        <v>1</v>
      </c>
      <c r="C2168" s="9"/>
      <c r="D2168" s="10">
        <v>1</v>
      </c>
      <c r="E2168" s="7">
        <f t="shared" si="1394"/>
        <v>2</v>
      </c>
      <c r="F2168" s="8">
        <v>1</v>
      </c>
      <c r="G2168" s="9"/>
      <c r="H2168" s="10">
        <v>1</v>
      </c>
      <c r="I2168" s="7">
        <f t="shared" si="1395"/>
        <v>2</v>
      </c>
      <c r="J2168" s="43">
        <v>46185</v>
      </c>
      <c r="K2168" s="3" t="s">
        <v>1214</v>
      </c>
      <c r="L2168" s="8">
        <v>4</v>
      </c>
      <c r="M2168" s="9">
        <v>4</v>
      </c>
      <c r="N2168" s="10">
        <v>4</v>
      </c>
      <c r="O2168" s="7">
        <f t="shared" si="1412"/>
        <v>12</v>
      </c>
      <c r="P2168" s="8">
        <v>4</v>
      </c>
      <c r="Q2168" s="9">
        <v>4</v>
      </c>
      <c r="R2168" s="10">
        <v>4</v>
      </c>
      <c r="S2168" s="7">
        <f t="shared" si="1413"/>
        <v>12</v>
      </c>
      <c r="T2168" s="43">
        <v>46183</v>
      </c>
      <c r="U2168" s="40"/>
      <c r="V2168" s="8"/>
      <c r="W2168" s="9"/>
      <c r="X2168" s="10"/>
      <c r="Y2168" s="7">
        <f t="shared" si="1397"/>
        <v>0</v>
      </c>
      <c r="Z2168" s="8"/>
      <c r="AA2168" s="9"/>
      <c r="AB2168" s="10"/>
      <c r="AC2168" s="7">
        <f t="shared" si="1398"/>
        <v>0</v>
      </c>
      <c r="AD2168" s="8"/>
      <c r="AE2168" s="9"/>
      <c r="AF2168" s="10"/>
      <c r="AG2168" s="7">
        <f t="shared" si="1399"/>
        <v>0</v>
      </c>
    </row>
    <row r="2169" spans="1:34">
      <c r="A2169" s="3" t="s">
        <v>1218</v>
      </c>
      <c r="B2169" s="8"/>
      <c r="C2169" s="9"/>
      <c r="D2169" s="10">
        <v>1</v>
      </c>
      <c r="E2169" s="7">
        <f t="shared" si="1394"/>
        <v>1</v>
      </c>
      <c r="F2169" s="8"/>
      <c r="G2169" s="9"/>
      <c r="H2169" s="10">
        <v>1</v>
      </c>
      <c r="I2169" s="7">
        <f t="shared" si="1395"/>
        <v>1</v>
      </c>
      <c r="J2169" s="43">
        <v>46188</v>
      </c>
      <c r="K2169" s="3" t="s">
        <v>456</v>
      </c>
      <c r="L2169" s="8"/>
      <c r="M2169" s="9"/>
      <c r="N2169" s="10">
        <v>3</v>
      </c>
      <c r="O2169" s="7">
        <f t="shared" si="1412"/>
        <v>3</v>
      </c>
      <c r="P2169" s="8"/>
      <c r="Q2169" s="9"/>
      <c r="R2169" s="10">
        <v>3</v>
      </c>
      <c r="S2169" s="7">
        <f t="shared" si="1413"/>
        <v>3</v>
      </c>
      <c r="T2169" s="43">
        <v>46185</v>
      </c>
      <c r="U2169" s="40"/>
      <c r="V2169" s="8"/>
      <c r="W2169" s="9"/>
      <c r="X2169" s="10"/>
      <c r="Y2169" s="4">
        <f t="shared" si="1397"/>
        <v>0</v>
      </c>
      <c r="Z2169" s="8"/>
      <c r="AA2169" s="9"/>
      <c r="AB2169" s="10"/>
      <c r="AC2169" s="4">
        <f t="shared" si="1398"/>
        <v>0</v>
      </c>
      <c r="AD2169" s="8"/>
      <c r="AE2169" s="9"/>
      <c r="AF2169" s="10"/>
      <c r="AG2169" s="4">
        <f t="shared" si="1399"/>
        <v>0</v>
      </c>
    </row>
    <row r="2170" spans="1:34">
      <c r="A2170" s="3"/>
      <c r="B2170" s="8"/>
      <c r="C2170" s="9"/>
      <c r="D2170" s="10"/>
      <c r="E2170" s="7">
        <f t="shared" si="1394"/>
        <v>0</v>
      </c>
      <c r="F2170" s="8"/>
      <c r="G2170" s="9"/>
      <c r="H2170" s="10"/>
      <c r="I2170" s="7">
        <f t="shared" si="1395"/>
        <v>0</v>
      </c>
      <c r="K2170" s="3" t="s">
        <v>1219</v>
      </c>
      <c r="L2170" s="8">
        <v>5</v>
      </c>
      <c r="M2170" s="9"/>
      <c r="N2170" s="10"/>
      <c r="O2170" s="7">
        <f t="shared" si="1412"/>
        <v>5</v>
      </c>
      <c r="P2170" s="8">
        <v>5</v>
      </c>
      <c r="Q2170" s="9"/>
      <c r="R2170" s="10"/>
      <c r="S2170" s="7">
        <f t="shared" si="1413"/>
        <v>5</v>
      </c>
      <c r="T2170" s="43">
        <v>46188</v>
      </c>
      <c r="U2170" s="3"/>
      <c r="V2170" s="8"/>
      <c r="W2170" s="9"/>
      <c r="X2170" s="10"/>
      <c r="Y2170" s="4">
        <f t="shared" si="1397"/>
        <v>0</v>
      </c>
      <c r="Z2170" s="8"/>
      <c r="AA2170" s="9"/>
      <c r="AB2170" s="10"/>
      <c r="AC2170" s="4">
        <f t="shared" si="1398"/>
        <v>0</v>
      </c>
      <c r="AD2170" s="8"/>
      <c r="AE2170" s="9"/>
      <c r="AF2170" s="10"/>
      <c r="AG2170" s="4">
        <f t="shared" si="1399"/>
        <v>0</v>
      </c>
    </row>
    <row r="2171" spans="1:34">
      <c r="A2171" s="3"/>
      <c r="B2171" s="8"/>
      <c r="C2171" s="9"/>
      <c r="D2171" s="10"/>
      <c r="E2171" s="7">
        <f t="shared" si="1394"/>
        <v>0</v>
      </c>
      <c r="F2171" s="8"/>
      <c r="G2171" s="9"/>
      <c r="H2171" s="10"/>
      <c r="I2171" s="7">
        <f t="shared" si="1395"/>
        <v>0</v>
      </c>
      <c r="K2171" s="3" t="s">
        <v>1220</v>
      </c>
      <c r="L2171" s="8">
        <v>8</v>
      </c>
      <c r="M2171" s="9">
        <v>28</v>
      </c>
      <c r="N2171" s="10">
        <v>19</v>
      </c>
      <c r="O2171" s="7">
        <f t="shared" si="1412"/>
        <v>55</v>
      </c>
      <c r="P2171" s="8">
        <v>8</v>
      </c>
      <c r="Q2171" s="9">
        <v>28</v>
      </c>
      <c r="R2171" s="10">
        <v>19</v>
      </c>
      <c r="S2171" s="7">
        <f t="shared" si="1413"/>
        <v>55</v>
      </c>
      <c r="T2171" s="43">
        <v>46190</v>
      </c>
      <c r="U2171" s="3"/>
      <c r="V2171" s="8"/>
      <c r="W2171" s="9"/>
      <c r="X2171" s="10"/>
      <c r="Y2171" s="7">
        <f t="shared" si="1397"/>
        <v>0</v>
      </c>
      <c r="Z2171" s="8"/>
      <c r="AA2171" s="9"/>
      <c r="AB2171" s="10"/>
      <c r="AC2171" s="7">
        <f t="shared" si="1398"/>
        <v>0</v>
      </c>
      <c r="AD2171" s="8"/>
      <c r="AE2171" s="9"/>
      <c r="AF2171" s="10"/>
      <c r="AG2171" s="7">
        <f t="shared" si="1399"/>
        <v>0</v>
      </c>
    </row>
    <row r="2172" spans="1:34">
      <c r="A2172" s="3"/>
      <c r="B2172" s="8"/>
      <c r="C2172" s="9"/>
      <c r="D2172" s="10"/>
      <c r="E2172" s="7">
        <f t="shared" si="1394"/>
        <v>0</v>
      </c>
      <c r="F2172" s="8"/>
      <c r="G2172" s="9"/>
      <c r="H2172" s="10"/>
      <c r="I2172" s="7">
        <f t="shared" si="1395"/>
        <v>0</v>
      </c>
      <c r="K2172" s="3" t="s">
        <v>460</v>
      </c>
      <c r="L2172" s="8">
        <v>6</v>
      </c>
      <c r="M2172" s="9">
        <v>11</v>
      </c>
      <c r="N2172" s="10">
        <v>5</v>
      </c>
      <c r="O2172" s="7">
        <f t="shared" si="1412"/>
        <v>22</v>
      </c>
      <c r="P2172" s="8">
        <v>6</v>
      </c>
      <c r="Q2172" s="9">
        <v>11</v>
      </c>
      <c r="R2172" s="10">
        <v>5</v>
      </c>
      <c r="S2172" s="7">
        <f t="shared" si="1413"/>
        <v>22</v>
      </c>
      <c r="T2172" s="43">
        <v>46191</v>
      </c>
      <c r="U2172" s="3"/>
      <c r="V2172" s="8"/>
      <c r="W2172" s="9"/>
      <c r="X2172" s="10"/>
      <c r="Y2172" s="7">
        <f t="shared" si="1397"/>
        <v>0</v>
      </c>
      <c r="Z2172" s="8"/>
      <c r="AA2172" s="9"/>
      <c r="AB2172" s="10"/>
      <c r="AC2172" s="7">
        <f t="shared" si="1398"/>
        <v>0</v>
      </c>
      <c r="AD2172" s="8"/>
      <c r="AE2172" s="9"/>
      <c r="AF2172" s="10"/>
      <c r="AG2172" s="7">
        <f t="shared" si="1399"/>
        <v>0</v>
      </c>
    </row>
    <row r="2173" spans="1:34">
      <c r="A2173" s="3"/>
      <c r="B2173" s="8"/>
      <c r="C2173" s="9"/>
      <c r="D2173" s="10"/>
      <c r="E2173" s="7">
        <f t="shared" si="1394"/>
        <v>0</v>
      </c>
      <c r="F2173" s="8"/>
      <c r="G2173" s="9"/>
      <c r="H2173" s="10"/>
      <c r="I2173" s="7">
        <f t="shared" si="1395"/>
        <v>0</v>
      </c>
      <c r="K2173" s="3" t="s">
        <v>1222</v>
      </c>
      <c r="L2173" s="8">
        <v>10</v>
      </c>
      <c r="M2173" s="9">
        <v>3</v>
      </c>
      <c r="N2173" s="10">
        <v>7</v>
      </c>
      <c r="O2173" s="7">
        <f t="shared" si="1412"/>
        <v>20</v>
      </c>
      <c r="P2173" s="8">
        <v>10</v>
      </c>
      <c r="Q2173" s="9">
        <v>3</v>
      </c>
      <c r="R2173" s="10">
        <v>7</v>
      </c>
      <c r="S2173" s="7">
        <f t="shared" si="1413"/>
        <v>20</v>
      </c>
      <c r="T2173" s="43">
        <v>46192</v>
      </c>
      <c r="U2173" s="3"/>
      <c r="V2173" s="8"/>
      <c r="W2173" s="9"/>
      <c r="X2173" s="10"/>
      <c r="Y2173" s="7">
        <f t="shared" si="1397"/>
        <v>0</v>
      </c>
      <c r="Z2173" s="8"/>
      <c r="AA2173" s="9"/>
      <c r="AB2173" s="10"/>
      <c r="AC2173" s="7">
        <f t="shared" si="1398"/>
        <v>0</v>
      </c>
      <c r="AD2173" s="8"/>
      <c r="AE2173" s="9"/>
      <c r="AF2173" s="10"/>
      <c r="AG2173" s="7">
        <f t="shared" si="1399"/>
        <v>0</v>
      </c>
    </row>
    <row r="2174" spans="1:34">
      <c r="A2174" s="3"/>
      <c r="B2174" s="8"/>
      <c r="C2174" s="9"/>
      <c r="D2174" s="10"/>
      <c r="E2174" s="7">
        <f t="shared" si="1394"/>
        <v>0</v>
      </c>
      <c r="F2174" s="8"/>
      <c r="G2174" s="9"/>
      <c r="H2174" s="10"/>
      <c r="I2174" s="7">
        <f t="shared" si="1395"/>
        <v>0</v>
      </c>
      <c r="K2174" s="22" t="s">
        <v>1223</v>
      </c>
      <c r="L2174" s="62">
        <v>9</v>
      </c>
      <c r="M2174" s="63">
        <v>18</v>
      </c>
      <c r="N2174" s="64">
        <v>14</v>
      </c>
      <c r="O2174" s="65">
        <f t="shared" si="1412"/>
        <v>41</v>
      </c>
      <c r="P2174" s="62">
        <v>9</v>
      </c>
      <c r="Q2174" s="63">
        <v>18</v>
      </c>
      <c r="R2174" s="64">
        <v>14</v>
      </c>
      <c r="S2174" s="65">
        <f t="shared" si="1413"/>
        <v>41</v>
      </c>
      <c r="T2174" s="95">
        <v>46192</v>
      </c>
      <c r="U2174" s="3"/>
      <c r="V2174" s="8"/>
      <c r="W2174" s="9"/>
      <c r="X2174" s="10"/>
      <c r="Y2174" s="7">
        <f t="shared" si="1397"/>
        <v>0</v>
      </c>
      <c r="Z2174" s="8"/>
      <c r="AA2174" s="9"/>
      <c r="AB2174" s="10"/>
      <c r="AC2174" s="7">
        <f t="shared" si="1398"/>
        <v>0</v>
      </c>
      <c r="AD2174" s="8"/>
      <c r="AE2174" s="9"/>
      <c r="AF2174" s="10"/>
      <c r="AG2174" s="7">
        <f t="shared" si="1399"/>
        <v>0</v>
      </c>
    </row>
    <row r="2175" spans="1:34">
      <c r="A2175" s="3"/>
      <c r="B2175" s="8"/>
      <c r="C2175" s="9"/>
      <c r="D2175" s="10"/>
      <c r="E2175" s="7">
        <f t="shared" si="1394"/>
        <v>0</v>
      </c>
      <c r="F2175" s="8"/>
      <c r="G2175" s="9"/>
      <c r="H2175" s="10"/>
      <c r="I2175" s="7">
        <f t="shared" si="1395"/>
        <v>0</v>
      </c>
      <c r="K2175" s="3"/>
      <c r="L2175" s="8"/>
      <c r="M2175" s="9"/>
      <c r="N2175" s="10"/>
      <c r="O2175" s="7">
        <f t="shared" si="1412"/>
        <v>0</v>
      </c>
      <c r="P2175" s="8"/>
      <c r="Q2175" s="9"/>
      <c r="R2175" s="10"/>
      <c r="S2175" s="7">
        <f t="shared" si="1413"/>
        <v>0</v>
      </c>
      <c r="U2175" s="3"/>
      <c r="V2175" s="8"/>
      <c r="W2175" s="9"/>
      <c r="X2175" s="10"/>
      <c r="Y2175" s="7">
        <f t="shared" si="1397"/>
        <v>0</v>
      </c>
      <c r="Z2175" s="8"/>
      <c r="AA2175" s="9"/>
      <c r="AB2175" s="10"/>
      <c r="AC2175" s="7">
        <f t="shared" si="1398"/>
        <v>0</v>
      </c>
      <c r="AD2175" s="8"/>
      <c r="AE2175" s="9"/>
      <c r="AF2175" s="10"/>
      <c r="AG2175" s="7">
        <f t="shared" si="1399"/>
        <v>0</v>
      </c>
    </row>
    <row r="2176" spans="1:34">
      <c r="A2176" s="3"/>
      <c r="B2176" s="8"/>
      <c r="C2176" s="9"/>
      <c r="D2176" s="10"/>
      <c r="E2176" s="7">
        <f t="shared" si="1394"/>
        <v>0</v>
      </c>
      <c r="F2176" s="8"/>
      <c r="G2176" s="9"/>
      <c r="H2176" s="10"/>
      <c r="I2176" s="7">
        <f t="shared" si="1395"/>
        <v>0</v>
      </c>
      <c r="K2176" s="3"/>
      <c r="L2176" s="8"/>
      <c r="M2176" s="9"/>
      <c r="N2176" s="10"/>
      <c r="O2176" s="7">
        <f t="shared" si="1412"/>
        <v>0</v>
      </c>
      <c r="P2176" s="8"/>
      <c r="Q2176" s="9"/>
      <c r="R2176" s="10"/>
      <c r="S2176" s="7">
        <f t="shared" si="1413"/>
        <v>0</v>
      </c>
      <c r="U2176" s="3"/>
      <c r="V2176" s="30"/>
      <c r="W2176" s="9"/>
      <c r="X2176" s="10"/>
      <c r="Y2176" s="7">
        <f t="shared" si="1397"/>
        <v>0</v>
      </c>
      <c r="Z2176" s="8"/>
      <c r="AA2176" s="9"/>
      <c r="AB2176" s="10"/>
      <c r="AC2176" s="7">
        <f t="shared" si="1398"/>
        <v>0</v>
      </c>
      <c r="AD2176" s="8"/>
      <c r="AE2176" s="9"/>
      <c r="AF2176" s="10"/>
      <c r="AG2176" s="7">
        <f t="shared" si="1399"/>
        <v>0</v>
      </c>
    </row>
    <row r="2177" spans="1:34">
      <c r="A2177" s="3"/>
      <c r="B2177" s="8"/>
      <c r="C2177" s="9"/>
      <c r="D2177" s="10"/>
      <c r="E2177" s="7">
        <f t="shared" si="1394"/>
        <v>0</v>
      </c>
      <c r="F2177" s="8"/>
      <c r="G2177" s="9"/>
      <c r="H2177" s="10"/>
      <c r="I2177" s="7">
        <f t="shared" si="1395"/>
        <v>0</v>
      </c>
      <c r="K2177" s="3"/>
      <c r="L2177" s="8"/>
      <c r="M2177" s="9"/>
      <c r="N2177" s="10"/>
      <c r="O2177" s="7">
        <f t="shared" si="1412"/>
        <v>0</v>
      </c>
      <c r="P2177" s="8"/>
      <c r="Q2177" s="9"/>
      <c r="R2177" s="10"/>
      <c r="S2177" s="7">
        <f t="shared" si="1413"/>
        <v>0</v>
      </c>
      <c r="U2177" s="3"/>
      <c r="V2177" s="8"/>
      <c r="W2177" s="9"/>
      <c r="X2177" s="10"/>
      <c r="Y2177" s="7">
        <f t="shared" si="1397"/>
        <v>0</v>
      </c>
      <c r="Z2177" s="8"/>
      <c r="AA2177" s="9"/>
      <c r="AB2177" s="10"/>
      <c r="AC2177" s="7">
        <f t="shared" si="1398"/>
        <v>0</v>
      </c>
      <c r="AD2177" s="8"/>
      <c r="AE2177" s="9"/>
      <c r="AF2177" s="10"/>
      <c r="AG2177" s="7">
        <f t="shared" si="1399"/>
        <v>0</v>
      </c>
    </row>
    <row r="2178" spans="1:34">
      <c r="A2178" s="3"/>
      <c r="B2178" s="8"/>
      <c r="C2178" s="9"/>
      <c r="D2178" s="10"/>
      <c r="E2178" s="7">
        <f t="shared" si="1394"/>
        <v>0</v>
      </c>
      <c r="F2178" s="8"/>
      <c r="G2178" s="9"/>
      <c r="H2178" s="10"/>
      <c r="I2178" s="7">
        <f t="shared" si="1395"/>
        <v>0</v>
      </c>
      <c r="K2178" s="3"/>
      <c r="L2178" s="8"/>
      <c r="M2178" s="9"/>
      <c r="N2178" s="10"/>
      <c r="O2178" s="7">
        <f t="shared" si="1412"/>
        <v>0</v>
      </c>
      <c r="P2178" s="8"/>
      <c r="Q2178" s="9"/>
      <c r="R2178" s="10"/>
      <c r="S2178" s="7">
        <f t="shared" si="1413"/>
        <v>0</v>
      </c>
      <c r="U2178" s="3"/>
      <c r="V2178" s="8"/>
      <c r="W2178" s="9"/>
      <c r="X2178" s="10"/>
      <c r="Y2178" s="7">
        <f t="shared" si="1397"/>
        <v>0</v>
      </c>
      <c r="Z2178" s="8"/>
      <c r="AA2178" s="9"/>
      <c r="AB2178" s="10"/>
      <c r="AC2178" s="7">
        <f t="shared" si="1398"/>
        <v>0</v>
      </c>
      <c r="AD2178" s="8"/>
      <c r="AE2178" s="9"/>
      <c r="AF2178" s="10"/>
      <c r="AG2178" s="7">
        <f t="shared" si="1399"/>
        <v>0</v>
      </c>
    </row>
    <row r="2179" spans="1:34">
      <c r="A2179" s="3"/>
      <c r="B2179" s="8"/>
      <c r="C2179" s="9"/>
      <c r="D2179" s="10"/>
      <c r="E2179" s="7">
        <f t="shared" si="1394"/>
        <v>0</v>
      </c>
      <c r="F2179" s="8"/>
      <c r="G2179" s="9"/>
      <c r="H2179" s="10"/>
      <c r="I2179" s="7">
        <f t="shared" si="1395"/>
        <v>0</v>
      </c>
      <c r="K2179" s="40"/>
      <c r="L2179" s="8"/>
      <c r="M2179" s="9"/>
      <c r="N2179" s="10"/>
      <c r="O2179" s="7">
        <f t="shared" si="1412"/>
        <v>0</v>
      </c>
      <c r="P2179" s="8"/>
      <c r="Q2179" s="9"/>
      <c r="R2179" s="10"/>
      <c r="S2179" s="7">
        <f t="shared" si="1413"/>
        <v>0</v>
      </c>
      <c r="U2179" s="3"/>
      <c r="V2179" s="8"/>
      <c r="W2179" s="9"/>
      <c r="X2179" s="10"/>
      <c r="Y2179" s="7">
        <f t="shared" si="1397"/>
        <v>0</v>
      </c>
      <c r="Z2179" s="8"/>
      <c r="AA2179" s="9"/>
      <c r="AB2179" s="10"/>
      <c r="AC2179" s="7">
        <f t="shared" si="1398"/>
        <v>0</v>
      </c>
      <c r="AD2179" s="8"/>
      <c r="AE2179" s="9"/>
      <c r="AF2179" s="10"/>
      <c r="AG2179" s="7">
        <f t="shared" si="1399"/>
        <v>0</v>
      </c>
    </row>
    <row r="2180" spans="1:34">
      <c r="A2180" s="3"/>
      <c r="B2180" s="8"/>
      <c r="C2180" s="9"/>
      <c r="D2180" s="10"/>
      <c r="E2180" s="7">
        <f t="shared" si="1394"/>
        <v>0</v>
      </c>
      <c r="F2180" s="8"/>
      <c r="G2180" s="9"/>
      <c r="H2180" s="10"/>
      <c r="I2180" s="7">
        <f t="shared" si="1395"/>
        <v>0</v>
      </c>
      <c r="K2180" s="3"/>
      <c r="L2180" s="8"/>
      <c r="M2180" s="9"/>
      <c r="N2180" s="10"/>
      <c r="O2180" s="7">
        <f t="shared" si="1412"/>
        <v>0</v>
      </c>
      <c r="P2180" s="8"/>
      <c r="Q2180" s="9"/>
      <c r="R2180" s="10"/>
      <c r="S2180" s="7">
        <f t="shared" si="1413"/>
        <v>0</v>
      </c>
      <c r="U2180" s="3"/>
      <c r="V2180" s="8"/>
      <c r="W2180" s="9"/>
      <c r="X2180" s="10"/>
      <c r="Y2180" s="7">
        <f t="shared" si="1397"/>
        <v>0</v>
      </c>
      <c r="Z2180" s="8"/>
      <c r="AA2180" s="9"/>
      <c r="AB2180" s="10"/>
      <c r="AC2180" s="7">
        <f t="shared" si="1398"/>
        <v>0</v>
      </c>
      <c r="AD2180" s="8"/>
      <c r="AE2180" s="9"/>
      <c r="AF2180" s="10"/>
      <c r="AG2180" s="7">
        <f t="shared" si="1399"/>
        <v>0</v>
      </c>
    </row>
    <row r="2181" spans="1:34">
      <c r="A2181" s="3"/>
      <c r="B2181" s="8"/>
      <c r="C2181" s="9"/>
      <c r="D2181" s="10"/>
      <c r="E2181" s="7">
        <f t="shared" si="1394"/>
        <v>0</v>
      </c>
      <c r="F2181" s="8"/>
      <c r="G2181" s="9"/>
      <c r="H2181" s="10"/>
      <c r="I2181" s="7">
        <f t="shared" si="1395"/>
        <v>0</v>
      </c>
      <c r="K2181" s="3"/>
      <c r="L2181" s="8"/>
      <c r="M2181" s="9"/>
      <c r="N2181" s="10"/>
      <c r="O2181" s="7">
        <f t="shared" ref="O2181" si="1414">SUM(L2181:N2181)</f>
        <v>0</v>
      </c>
      <c r="P2181" s="8"/>
      <c r="Q2181" s="9"/>
      <c r="R2181" s="10"/>
      <c r="S2181" s="7">
        <f t="shared" ref="S2181" si="1415">SUM(P2181:R2181)</f>
        <v>0</v>
      </c>
      <c r="U2181" s="3"/>
      <c r="V2181" s="8"/>
      <c r="W2181" s="9"/>
      <c r="X2181" s="10"/>
      <c r="Y2181" s="7">
        <f t="shared" si="1397"/>
        <v>0</v>
      </c>
      <c r="Z2181" s="8"/>
      <c r="AA2181" s="9"/>
      <c r="AB2181" s="10"/>
      <c r="AC2181" s="7">
        <f t="shared" si="1398"/>
        <v>0</v>
      </c>
      <c r="AD2181" s="8"/>
      <c r="AE2181" s="9"/>
      <c r="AF2181" s="10"/>
      <c r="AG2181" s="7">
        <f t="shared" si="1399"/>
        <v>0</v>
      </c>
    </row>
    <row r="2182" spans="1:34">
      <c r="A2182" s="3"/>
      <c r="B2182" s="8"/>
      <c r="C2182" s="9"/>
      <c r="D2182" s="10"/>
      <c r="E2182" s="7">
        <f t="shared" si="1394"/>
        <v>0</v>
      </c>
      <c r="F2182" s="8"/>
      <c r="G2182" s="9"/>
      <c r="H2182" s="10"/>
      <c r="I2182" s="7">
        <f t="shared" si="1395"/>
        <v>0</v>
      </c>
      <c r="K2182" s="3"/>
      <c r="L2182" s="8"/>
      <c r="M2182" s="9"/>
      <c r="N2182" s="10"/>
      <c r="O2182" s="7">
        <f t="shared" ref="O2182" si="1416">SUM(L2182:N2182)</f>
        <v>0</v>
      </c>
      <c r="P2182" s="8"/>
      <c r="Q2182" s="9"/>
      <c r="R2182" s="10"/>
      <c r="S2182" s="7">
        <f t="shared" ref="S2182" si="1417">SUM(P2182:R2182)</f>
        <v>0</v>
      </c>
      <c r="U2182" s="3"/>
      <c r="V2182" s="8"/>
      <c r="W2182" s="9"/>
      <c r="X2182" s="10"/>
      <c r="Y2182" s="7">
        <f t="shared" si="1397"/>
        <v>0</v>
      </c>
      <c r="Z2182" s="8"/>
      <c r="AA2182" s="9"/>
      <c r="AB2182" s="10"/>
      <c r="AC2182" s="7">
        <f t="shared" si="1398"/>
        <v>0</v>
      </c>
      <c r="AD2182" s="8"/>
      <c r="AE2182" s="9"/>
      <c r="AF2182" s="10"/>
      <c r="AG2182" s="7">
        <f t="shared" si="1399"/>
        <v>0</v>
      </c>
    </row>
    <row r="2183" spans="1:34">
      <c r="A2183" s="3"/>
      <c r="B2183" s="8"/>
      <c r="C2183" s="9"/>
      <c r="D2183" s="10"/>
      <c r="E2183" s="7">
        <f t="shared" si="1394"/>
        <v>0</v>
      </c>
      <c r="F2183" s="8"/>
      <c r="G2183" s="9"/>
      <c r="H2183" s="10"/>
      <c r="I2183" s="7">
        <f t="shared" si="1395"/>
        <v>0</v>
      </c>
      <c r="K2183" s="3"/>
      <c r="L2183" s="8"/>
      <c r="M2183" s="9"/>
      <c r="N2183" s="10"/>
      <c r="O2183" s="7">
        <f t="shared" ref="O2183:O2184" si="1418">SUM(L2183:N2183)</f>
        <v>0</v>
      </c>
      <c r="P2183" s="8"/>
      <c r="Q2183" s="9"/>
      <c r="R2183" s="10"/>
      <c r="S2183" s="7">
        <f t="shared" ref="S2183:S2184" si="1419">SUM(P2183:R2183)</f>
        <v>0</v>
      </c>
      <c r="U2183" s="3"/>
      <c r="V2183" s="8"/>
      <c r="W2183" s="9"/>
      <c r="X2183" s="10"/>
      <c r="Y2183" s="7">
        <f t="shared" si="1397"/>
        <v>0</v>
      </c>
      <c r="Z2183" s="8"/>
      <c r="AA2183" s="9"/>
      <c r="AB2183" s="10"/>
      <c r="AC2183" s="7">
        <f t="shared" si="1398"/>
        <v>0</v>
      </c>
      <c r="AD2183" s="8"/>
      <c r="AE2183" s="9"/>
      <c r="AF2183" s="10"/>
      <c r="AG2183" s="7">
        <f t="shared" si="1399"/>
        <v>0</v>
      </c>
    </row>
    <row r="2184" spans="1:34">
      <c r="A2184" s="11"/>
      <c r="B2184" s="8"/>
      <c r="C2184" s="9"/>
      <c r="D2184" s="10"/>
      <c r="E2184" s="7">
        <f t="shared" si="1394"/>
        <v>0</v>
      </c>
      <c r="F2184" s="8"/>
      <c r="G2184" s="9"/>
      <c r="H2184" s="10"/>
      <c r="I2184" s="7">
        <f t="shared" si="1395"/>
        <v>0</v>
      </c>
      <c r="K2184" s="3"/>
      <c r="L2184" s="8"/>
      <c r="M2184" s="9"/>
      <c r="N2184" s="10"/>
      <c r="O2184" s="7">
        <f t="shared" si="1418"/>
        <v>0</v>
      </c>
      <c r="P2184" s="8"/>
      <c r="Q2184" s="9"/>
      <c r="R2184" s="10"/>
      <c r="S2184" s="7">
        <f t="shared" si="1419"/>
        <v>0</v>
      </c>
      <c r="T2184" s="71"/>
      <c r="U2184" s="3"/>
      <c r="V2184" s="8"/>
      <c r="W2184" s="9"/>
      <c r="X2184" s="10"/>
      <c r="Y2184" s="7">
        <f t="shared" si="1397"/>
        <v>0</v>
      </c>
      <c r="Z2184" s="8"/>
      <c r="AA2184" s="9"/>
      <c r="AB2184" s="10"/>
      <c r="AC2184" s="7">
        <f t="shared" si="1398"/>
        <v>0</v>
      </c>
      <c r="AD2184" s="8"/>
      <c r="AE2184" s="9"/>
      <c r="AF2184" s="10"/>
      <c r="AG2184" s="7">
        <f t="shared" si="1399"/>
        <v>0</v>
      </c>
    </row>
    <row r="2185" spans="1:34">
      <c r="A2185" s="11"/>
      <c r="B2185" s="8"/>
      <c r="C2185" s="9"/>
      <c r="D2185" s="10"/>
      <c r="E2185" s="7">
        <f t="shared" si="1394"/>
        <v>0</v>
      </c>
      <c r="F2185" s="8"/>
      <c r="G2185" s="9"/>
      <c r="H2185" s="10"/>
      <c r="I2185" s="7">
        <f t="shared" si="1395"/>
        <v>0</v>
      </c>
      <c r="K2185" s="11" t="s">
        <v>1187</v>
      </c>
      <c r="L2185" s="8"/>
      <c r="M2185" s="9"/>
      <c r="N2185" s="10"/>
      <c r="O2185" s="7">
        <f t="shared" ref="O2185:O2187" si="1420">SUM(L2185:N2185)</f>
        <v>0</v>
      </c>
      <c r="P2185" s="8"/>
      <c r="Q2185" s="9"/>
      <c r="R2185" s="10"/>
      <c r="S2185" s="7">
        <f t="shared" ref="S2185:S2187" si="1421">SUM(P2185:R2185)</f>
        <v>0</v>
      </c>
      <c r="T2185" s="71" t="s">
        <v>1188</v>
      </c>
      <c r="U2185" s="3"/>
      <c r="V2185" s="8"/>
      <c r="W2185" s="9"/>
      <c r="X2185" s="10"/>
      <c r="Y2185" s="7">
        <f t="shared" si="1397"/>
        <v>0</v>
      </c>
      <c r="Z2185" s="8"/>
      <c r="AA2185" s="9"/>
      <c r="AB2185" s="10"/>
      <c r="AC2185" s="7">
        <f t="shared" si="1398"/>
        <v>0</v>
      </c>
      <c r="AD2185" s="8"/>
      <c r="AE2185" s="9"/>
      <c r="AF2185" s="10"/>
      <c r="AG2185" s="7">
        <f t="shared" si="1399"/>
        <v>0</v>
      </c>
    </row>
    <row r="2186" spans="1:34">
      <c r="A2186" s="11"/>
      <c r="B2186" s="8"/>
      <c r="C2186" s="9"/>
      <c r="D2186" s="10"/>
      <c r="E2186" s="7">
        <f t="shared" si="1394"/>
        <v>0</v>
      </c>
      <c r="F2186" s="8"/>
      <c r="G2186" s="9"/>
      <c r="H2186" s="10"/>
      <c r="I2186" s="7">
        <f t="shared" si="1395"/>
        <v>0</v>
      </c>
      <c r="K2186" s="11" t="s">
        <v>1172</v>
      </c>
      <c r="L2186" s="8"/>
      <c r="M2186" s="9"/>
      <c r="N2186" s="10"/>
      <c r="O2186" s="7">
        <f t="shared" si="1420"/>
        <v>0</v>
      </c>
      <c r="P2186" s="8"/>
      <c r="Q2186" s="9"/>
      <c r="R2186" s="10"/>
      <c r="S2186" s="7">
        <f t="shared" si="1421"/>
        <v>0</v>
      </c>
      <c r="T2186" s="71" t="s">
        <v>101</v>
      </c>
      <c r="U2186" s="11"/>
      <c r="V2186" s="8"/>
      <c r="W2186" s="9"/>
      <c r="X2186" s="10"/>
      <c r="Y2186" s="7">
        <f t="shared" si="1397"/>
        <v>0</v>
      </c>
      <c r="Z2186" s="8"/>
      <c r="AA2186" s="9"/>
      <c r="AB2186" s="10"/>
      <c r="AC2186" s="7">
        <f t="shared" si="1398"/>
        <v>0</v>
      </c>
      <c r="AD2186" s="8"/>
      <c r="AE2186" s="9"/>
      <c r="AF2186" s="10"/>
      <c r="AG2186" s="7">
        <f t="shared" si="1399"/>
        <v>0</v>
      </c>
    </row>
    <row r="2187" spans="1:34">
      <c r="A2187" s="11"/>
      <c r="B2187" s="8"/>
      <c r="C2187" s="9"/>
      <c r="D2187" s="10"/>
      <c r="E2187" s="7">
        <f t="shared" si="1394"/>
        <v>0</v>
      </c>
      <c r="F2187" s="8"/>
      <c r="G2187" s="9"/>
      <c r="H2187" s="10"/>
      <c r="I2187" s="7">
        <f t="shared" si="1395"/>
        <v>0</v>
      </c>
      <c r="K2187" s="39" t="s">
        <v>315</v>
      </c>
      <c r="L2187" s="62">
        <v>15</v>
      </c>
      <c r="M2187" s="63">
        <v>20</v>
      </c>
      <c r="N2187" s="64">
        <v>20</v>
      </c>
      <c r="O2187" s="65">
        <f t="shared" si="1420"/>
        <v>55</v>
      </c>
      <c r="P2187" s="62">
        <v>15</v>
      </c>
      <c r="Q2187" s="63">
        <v>20</v>
      </c>
      <c r="R2187" s="64">
        <v>20</v>
      </c>
      <c r="S2187" s="65">
        <f t="shared" si="1421"/>
        <v>55</v>
      </c>
      <c r="T2187" s="118" t="s">
        <v>316</v>
      </c>
      <c r="U2187" s="11"/>
      <c r="V2187" s="8"/>
      <c r="W2187" s="9"/>
      <c r="X2187" s="10"/>
      <c r="Y2187" s="7">
        <f t="shared" si="1397"/>
        <v>0</v>
      </c>
      <c r="Z2187" s="8"/>
      <c r="AA2187" s="9"/>
      <c r="AB2187" s="10"/>
      <c r="AC2187" s="7">
        <f t="shared" si="1398"/>
        <v>0</v>
      </c>
      <c r="AD2187" s="8"/>
      <c r="AE2187" s="9"/>
      <c r="AF2187" s="10"/>
      <c r="AG2187" s="7">
        <f t="shared" si="1399"/>
        <v>0</v>
      </c>
    </row>
    <row r="2188" spans="1:34">
      <c r="A2188" s="11"/>
      <c r="B2188" s="8"/>
      <c r="C2188" s="9"/>
      <c r="D2188" s="10"/>
      <c r="E2188" s="7">
        <f t="shared" si="1394"/>
        <v>0</v>
      </c>
      <c r="F2188" s="8"/>
      <c r="G2188" s="9"/>
      <c r="H2188" s="10"/>
      <c r="I2188" s="7">
        <f t="shared" si="1395"/>
        <v>0</v>
      </c>
      <c r="K2188" s="85" t="s">
        <v>1157</v>
      </c>
      <c r="L2188" s="62">
        <v>0</v>
      </c>
      <c r="M2188" s="63">
        <v>0</v>
      </c>
      <c r="N2188" s="64">
        <v>0</v>
      </c>
      <c r="O2188" s="65">
        <f t="shared" ref="O2188:O2189" si="1422">SUM(L2188:N2188)</f>
        <v>0</v>
      </c>
      <c r="P2188" s="62">
        <v>0</v>
      </c>
      <c r="Q2188" s="63">
        <v>0</v>
      </c>
      <c r="R2188" s="64">
        <v>0</v>
      </c>
      <c r="S2188" s="65">
        <f t="shared" ref="S2188:S2189" si="1423">SUM(P2188:R2188)</f>
        <v>0</v>
      </c>
      <c r="T2188" s="118"/>
      <c r="U2188" s="3"/>
      <c r="V2188" s="8"/>
      <c r="W2188" s="9"/>
      <c r="X2188" s="10"/>
      <c r="Y2188" s="7">
        <f t="shared" si="1397"/>
        <v>0</v>
      </c>
      <c r="Z2188" s="8"/>
      <c r="AA2188" s="9"/>
      <c r="AB2188" s="10"/>
      <c r="AC2188" s="7">
        <f t="shared" si="1398"/>
        <v>0</v>
      </c>
      <c r="AD2188" s="8"/>
      <c r="AE2188" s="9"/>
      <c r="AF2188" s="10"/>
      <c r="AG2188" s="7">
        <f t="shared" si="1399"/>
        <v>0</v>
      </c>
    </row>
    <row r="2189" spans="1:34" ht="14.25" thickBot="1">
      <c r="A2189" s="3"/>
      <c r="B2189" s="8"/>
      <c r="C2189" s="9"/>
      <c r="D2189" s="10"/>
      <c r="E2189" s="7">
        <f t="shared" si="1394"/>
        <v>0</v>
      </c>
      <c r="F2189" s="8"/>
      <c r="G2189" s="9"/>
      <c r="H2189" s="10"/>
      <c r="I2189" s="7">
        <f t="shared" si="1395"/>
        <v>0</v>
      </c>
      <c r="K2189" s="39" t="s">
        <v>1155</v>
      </c>
      <c r="L2189" s="62">
        <f>300-3</f>
        <v>297</v>
      </c>
      <c r="M2189" s="63">
        <f>320-3</f>
        <v>317</v>
      </c>
      <c r="N2189" s="64">
        <f>150-3</f>
        <v>147</v>
      </c>
      <c r="O2189" s="65">
        <f t="shared" si="1422"/>
        <v>761</v>
      </c>
      <c r="P2189" s="62">
        <f>300-3</f>
        <v>297</v>
      </c>
      <c r="Q2189" s="63">
        <f>320-3</f>
        <v>317</v>
      </c>
      <c r="R2189" s="64">
        <f>150-3</f>
        <v>147</v>
      </c>
      <c r="S2189" s="65">
        <f t="shared" si="1423"/>
        <v>761</v>
      </c>
      <c r="T2189" s="118" t="s">
        <v>1156</v>
      </c>
      <c r="U2189" s="21" t="s">
        <v>1166</v>
      </c>
      <c r="V2189" s="62">
        <f>20-6</f>
        <v>14</v>
      </c>
      <c r="W2189" s="63">
        <f>20-3</f>
        <v>17</v>
      </c>
      <c r="X2189" s="64">
        <f>20-3</f>
        <v>17</v>
      </c>
      <c r="Y2189" s="65">
        <f t="shared" si="1397"/>
        <v>48</v>
      </c>
      <c r="Z2189" s="62">
        <f>20-6</f>
        <v>14</v>
      </c>
      <c r="AA2189" s="63">
        <f>20-3</f>
        <v>17</v>
      </c>
      <c r="AB2189" s="64">
        <f>20-3</f>
        <v>17</v>
      </c>
      <c r="AC2189" s="65">
        <f t="shared" si="1398"/>
        <v>48</v>
      </c>
      <c r="AD2189" s="62">
        <f>20-6</f>
        <v>14</v>
      </c>
      <c r="AE2189" s="63">
        <f>20-3</f>
        <v>17</v>
      </c>
      <c r="AF2189" s="64">
        <f>20-3</f>
        <v>17</v>
      </c>
      <c r="AG2189" s="65">
        <f t="shared" si="1399"/>
        <v>48</v>
      </c>
      <c r="AH2189" s="118" t="s">
        <v>1167</v>
      </c>
    </row>
    <row r="2190" spans="1:34" ht="14.25" thickBot="1">
      <c r="A2190" s="2" t="s">
        <v>5</v>
      </c>
      <c r="B2190" s="14">
        <f>SUM(B2166:B2189)</f>
        <v>3</v>
      </c>
      <c r="C2190" s="14">
        <f>SUM(C2166:C2189)</f>
        <v>1</v>
      </c>
      <c r="D2190" s="14">
        <f>SUM(D2166:D2189)</f>
        <v>2</v>
      </c>
      <c r="E2190" s="15">
        <f t="shared" si="1394"/>
        <v>6</v>
      </c>
      <c r="F2190" s="14">
        <f>SUM(F2166:F2189)</f>
        <v>3</v>
      </c>
      <c r="G2190" s="14">
        <f>SUM(G2166:G2189)</f>
        <v>1</v>
      </c>
      <c r="H2190" s="14">
        <f>SUM(H2166:H2189)</f>
        <v>2</v>
      </c>
      <c r="I2190" s="15">
        <f t="shared" si="1395"/>
        <v>6</v>
      </c>
      <c r="K2190" s="2" t="s">
        <v>5</v>
      </c>
      <c r="L2190" s="14">
        <f>SUM(L2166:L2189)</f>
        <v>382</v>
      </c>
      <c r="M2190" s="14">
        <f t="shared" ref="M2190:S2190" si="1424">SUM(M2166:M2189)</f>
        <v>434</v>
      </c>
      <c r="N2190" s="14">
        <f t="shared" si="1424"/>
        <v>242</v>
      </c>
      <c r="O2190" s="15">
        <f t="shared" si="1424"/>
        <v>1058</v>
      </c>
      <c r="P2190" s="14">
        <f t="shared" si="1424"/>
        <v>382</v>
      </c>
      <c r="Q2190" s="14">
        <f t="shared" si="1424"/>
        <v>434</v>
      </c>
      <c r="R2190" s="14">
        <f t="shared" si="1424"/>
        <v>242</v>
      </c>
      <c r="S2190" s="15">
        <f t="shared" si="1424"/>
        <v>1058</v>
      </c>
      <c r="U2190" s="2" t="s">
        <v>5</v>
      </c>
      <c r="V2190" s="14">
        <f>SUM(V2166:V2189)</f>
        <v>19</v>
      </c>
      <c r="W2190" s="14">
        <f>SUM(W2166:W2189)</f>
        <v>20</v>
      </c>
      <c r="X2190" s="14">
        <f>SUM(X2166:X2189)</f>
        <v>20</v>
      </c>
      <c r="Y2190" s="15">
        <f t="shared" si="1397"/>
        <v>59</v>
      </c>
      <c r="Z2190" s="14">
        <f>SUM(Z2166:Z2189)</f>
        <v>19</v>
      </c>
      <c r="AA2190" s="14">
        <f>SUM(AA2166:AA2189)</f>
        <v>20</v>
      </c>
      <c r="AB2190" s="14">
        <f>SUM(AB2166:AB2189)</f>
        <v>20</v>
      </c>
      <c r="AC2190" s="15">
        <f t="shared" si="1398"/>
        <v>59</v>
      </c>
      <c r="AD2190" s="14">
        <f>SUM(AD2166:AD2189)</f>
        <v>19</v>
      </c>
      <c r="AE2190" s="14">
        <f>SUM(AE2166:AE2189)</f>
        <v>20</v>
      </c>
      <c r="AF2190" s="14">
        <f>SUM(AF2166:AF2189)</f>
        <v>20</v>
      </c>
      <c r="AG2190" s="15">
        <f t="shared" si="1399"/>
        <v>59</v>
      </c>
    </row>
    <row r="2191" spans="1:34" ht="14.25" thickBot="1">
      <c r="A2191" s="27" t="s">
        <v>6</v>
      </c>
      <c r="B2191" s="28">
        <f>B2165-B2190</f>
        <v>9</v>
      </c>
      <c r="C2191" s="28">
        <f t="shared" ref="C2191:E2191" si="1425">C2165-C2190</f>
        <v>5</v>
      </c>
      <c r="D2191" s="28">
        <f t="shared" si="1425"/>
        <v>6</v>
      </c>
      <c r="E2191" s="28">
        <f t="shared" si="1425"/>
        <v>20</v>
      </c>
      <c r="F2191" s="28">
        <f>F2165-F2190</f>
        <v>9</v>
      </c>
      <c r="G2191" s="28">
        <f t="shared" ref="G2191:I2191" si="1426">G2165-G2190</f>
        <v>5</v>
      </c>
      <c r="H2191" s="28">
        <f t="shared" si="1426"/>
        <v>6</v>
      </c>
      <c r="I2191" s="26">
        <f t="shared" si="1426"/>
        <v>20</v>
      </c>
      <c r="K2191" s="27" t="s">
        <v>6</v>
      </c>
      <c r="L2191" s="28">
        <f>L2165-L2190</f>
        <v>10</v>
      </c>
      <c r="M2191" s="28">
        <f t="shared" ref="M2191:S2191" si="1427">M2165-M2190</f>
        <v>-8</v>
      </c>
      <c r="N2191" s="28">
        <f t="shared" si="1427"/>
        <v>-4</v>
      </c>
      <c r="O2191" s="28">
        <f t="shared" si="1427"/>
        <v>-2</v>
      </c>
      <c r="P2191" s="28">
        <f t="shared" si="1427"/>
        <v>10</v>
      </c>
      <c r="Q2191" s="28">
        <f t="shared" si="1427"/>
        <v>-8</v>
      </c>
      <c r="R2191" s="28">
        <f t="shared" si="1427"/>
        <v>-4</v>
      </c>
      <c r="S2191" s="26">
        <f t="shared" si="1427"/>
        <v>-2</v>
      </c>
      <c r="T2191" s="96" t="s">
        <v>1150</v>
      </c>
      <c r="U2191" s="27" t="s">
        <v>6</v>
      </c>
      <c r="V2191" s="28">
        <f>V2165-V2190</f>
        <v>22</v>
      </c>
      <c r="W2191" s="28">
        <f t="shared" ref="W2191:Y2191" si="1428">W2165-W2190</f>
        <v>18</v>
      </c>
      <c r="X2191" s="28">
        <f t="shared" si="1428"/>
        <v>11</v>
      </c>
      <c r="Y2191" s="28">
        <f t="shared" si="1428"/>
        <v>51</v>
      </c>
      <c r="Z2191" s="28">
        <f>Z2165-Z2190</f>
        <v>22</v>
      </c>
      <c r="AA2191" s="28">
        <f t="shared" ref="AA2191:AC2191" si="1429">AA2165-AA2190</f>
        <v>18</v>
      </c>
      <c r="AB2191" s="28">
        <f t="shared" si="1429"/>
        <v>11</v>
      </c>
      <c r="AC2191" s="26">
        <f t="shared" si="1429"/>
        <v>51</v>
      </c>
      <c r="AD2191" s="28">
        <f>AD2165-AD2190</f>
        <v>22</v>
      </c>
      <c r="AE2191" s="28">
        <f t="shared" ref="AE2191:AG2191" si="1430">AE2165-AE2190</f>
        <v>17</v>
      </c>
      <c r="AF2191" s="28">
        <f t="shared" si="1430"/>
        <v>11</v>
      </c>
      <c r="AG2191" s="26">
        <f t="shared" si="1430"/>
        <v>50</v>
      </c>
    </row>
    <row r="2192" spans="1:34">
      <c r="U2192" s="144"/>
      <c r="AD2192" s="74"/>
      <c r="AE2192" s="74"/>
      <c r="AF2192" s="74"/>
      <c r="AG2192" s="180"/>
    </row>
    <row r="2194" spans="1:33" ht="26.25" thickBot="1">
      <c r="A2194" s="33" t="s">
        <v>1130</v>
      </c>
      <c r="B2194" s="34"/>
      <c r="C2194" s="34"/>
      <c r="D2194" s="34"/>
      <c r="E2194" s="34"/>
      <c r="F2194" s="35"/>
      <c r="G2194" s="35"/>
      <c r="H2194" s="35"/>
      <c r="I2194" s="35"/>
      <c r="K2194" s="33" t="s">
        <v>1129</v>
      </c>
      <c r="L2194" s="34"/>
      <c r="M2194" s="34"/>
      <c r="N2194" s="34"/>
      <c r="O2194" s="34"/>
      <c r="P2194" s="35"/>
      <c r="Q2194" s="35"/>
      <c r="R2194" s="35"/>
      <c r="S2194" s="35"/>
      <c r="U2194" s="113" t="s">
        <v>622</v>
      </c>
      <c r="V2194" s="114"/>
      <c r="W2194" s="114"/>
      <c r="X2194" s="114"/>
      <c r="Y2194" s="114"/>
      <c r="Z2194" s="115"/>
      <c r="AA2194" s="115"/>
      <c r="AB2194" s="115"/>
      <c r="AC2194" s="115"/>
      <c r="AD2194" s="116"/>
      <c r="AE2194" s="116"/>
    </row>
    <row r="2195" spans="1:33" ht="14.25" thickBot="1">
      <c r="A2195" s="1" t="s">
        <v>0</v>
      </c>
      <c r="B2195" s="182" t="s">
        <v>17</v>
      </c>
      <c r="C2195" s="182"/>
      <c r="D2195" s="182"/>
      <c r="E2195" s="183"/>
      <c r="F2195" s="182" t="s">
        <v>13</v>
      </c>
      <c r="G2195" s="182"/>
      <c r="H2195" s="182"/>
      <c r="I2195" s="183"/>
      <c r="K2195" s="1" t="s">
        <v>0</v>
      </c>
      <c r="L2195" s="181" t="s">
        <v>17</v>
      </c>
      <c r="M2195" s="182"/>
      <c r="N2195" s="182"/>
      <c r="O2195" s="133"/>
      <c r="P2195" s="181" t="s">
        <v>13</v>
      </c>
      <c r="Q2195" s="182"/>
      <c r="R2195" s="182"/>
      <c r="S2195" s="133"/>
      <c r="U2195" s="1" t="s">
        <v>0</v>
      </c>
      <c r="V2195" s="182" t="s">
        <v>17</v>
      </c>
      <c r="W2195" s="182"/>
      <c r="X2195" s="182"/>
      <c r="Y2195" s="183"/>
      <c r="Z2195" s="182" t="s">
        <v>13</v>
      </c>
      <c r="AA2195" s="182"/>
      <c r="AB2195" s="182"/>
      <c r="AC2195" s="183"/>
      <c r="AD2195" s="182" t="s">
        <v>242</v>
      </c>
      <c r="AE2195" s="182"/>
      <c r="AF2195" s="182"/>
      <c r="AG2195" s="183"/>
    </row>
    <row r="2196" spans="1:33" ht="14.25" thickBot="1">
      <c r="A2196" s="1" t="s">
        <v>1</v>
      </c>
      <c r="B2196" s="2" t="s">
        <v>8</v>
      </c>
      <c r="C2196" s="1" t="s">
        <v>9</v>
      </c>
      <c r="D2196" s="19" t="s">
        <v>10</v>
      </c>
      <c r="E2196" s="1" t="s">
        <v>2</v>
      </c>
      <c r="F2196" s="2" t="s">
        <v>8</v>
      </c>
      <c r="G2196" s="1" t="s">
        <v>9</v>
      </c>
      <c r="H2196" s="19" t="s">
        <v>10</v>
      </c>
      <c r="I2196" s="1" t="s">
        <v>2</v>
      </c>
      <c r="K2196" s="1" t="s">
        <v>1</v>
      </c>
      <c r="L2196" s="2" t="s">
        <v>8</v>
      </c>
      <c r="M2196" s="1" t="s">
        <v>9</v>
      </c>
      <c r="N2196" s="19" t="s">
        <v>10</v>
      </c>
      <c r="O2196" s="1" t="s">
        <v>2</v>
      </c>
      <c r="P2196" s="2" t="s">
        <v>8</v>
      </c>
      <c r="Q2196" s="1" t="s">
        <v>9</v>
      </c>
      <c r="R2196" s="19" t="s">
        <v>10</v>
      </c>
      <c r="S2196" s="1" t="s">
        <v>2</v>
      </c>
      <c r="U2196" s="1" t="s">
        <v>1</v>
      </c>
      <c r="V2196" s="2" t="s">
        <v>8</v>
      </c>
      <c r="W2196" s="1" t="s">
        <v>9</v>
      </c>
      <c r="X2196" s="19" t="s">
        <v>10</v>
      </c>
      <c r="Y2196" s="1" t="s">
        <v>2</v>
      </c>
      <c r="Z2196" s="2" t="s">
        <v>8</v>
      </c>
      <c r="AA2196" s="1" t="s">
        <v>9</v>
      </c>
      <c r="AB2196" s="19" t="s">
        <v>10</v>
      </c>
      <c r="AC2196" s="1" t="s">
        <v>2</v>
      </c>
      <c r="AD2196" s="2" t="s">
        <v>8</v>
      </c>
      <c r="AE2196" s="1" t="s">
        <v>9</v>
      </c>
      <c r="AF2196" s="19" t="s">
        <v>10</v>
      </c>
      <c r="AG2196" s="1" t="s">
        <v>2</v>
      </c>
    </row>
    <row r="2197" spans="1:33">
      <c r="A2197" s="21" t="s">
        <v>7</v>
      </c>
      <c r="B2197" s="18">
        <f>B2191</f>
        <v>9</v>
      </c>
      <c r="C2197" s="22">
        <f>C2191</f>
        <v>5</v>
      </c>
      <c r="D2197" s="22">
        <f>D2191</f>
        <v>6</v>
      </c>
      <c r="E2197" s="17">
        <f t="shared" ref="E2197:E2233" si="1431">SUM(B2197:D2197)</f>
        <v>20</v>
      </c>
      <c r="F2197" s="22">
        <f>F2191</f>
        <v>9</v>
      </c>
      <c r="G2197" s="22">
        <f>G2191</f>
        <v>5</v>
      </c>
      <c r="H2197" s="22">
        <f>H2191</f>
        <v>6</v>
      </c>
      <c r="I2197" s="17">
        <f t="shared" ref="I2197:I2233" si="1432">SUM(F2197:H2197)</f>
        <v>20</v>
      </c>
      <c r="K2197" s="21" t="s">
        <v>7</v>
      </c>
      <c r="L2197" s="18">
        <f>L2191</f>
        <v>10</v>
      </c>
      <c r="M2197" s="22">
        <f t="shared" ref="M2197:S2197" si="1433">M2191</f>
        <v>-8</v>
      </c>
      <c r="N2197" s="22">
        <f t="shared" si="1433"/>
        <v>-4</v>
      </c>
      <c r="O2197" s="17">
        <f t="shared" si="1433"/>
        <v>-2</v>
      </c>
      <c r="P2197" s="22">
        <f t="shared" si="1433"/>
        <v>10</v>
      </c>
      <c r="Q2197" s="22">
        <f t="shared" si="1433"/>
        <v>-8</v>
      </c>
      <c r="R2197" s="22">
        <f t="shared" si="1433"/>
        <v>-4</v>
      </c>
      <c r="S2197" s="17">
        <f t="shared" si="1433"/>
        <v>-2</v>
      </c>
      <c r="U2197" s="21" t="s">
        <v>7</v>
      </c>
      <c r="V2197" s="18">
        <f>V2191</f>
        <v>22</v>
      </c>
      <c r="W2197" s="22">
        <f>W2191</f>
        <v>18</v>
      </c>
      <c r="X2197" s="22">
        <f>X2191</f>
        <v>11</v>
      </c>
      <c r="Y2197" s="17">
        <f t="shared" ref="Y2197:Y2233" si="1434">SUM(V2197:X2197)</f>
        <v>51</v>
      </c>
      <c r="Z2197" s="22">
        <f>Z2191</f>
        <v>22</v>
      </c>
      <c r="AA2197" s="22">
        <f>AA2191</f>
        <v>18</v>
      </c>
      <c r="AB2197" s="22">
        <f>AB2191</f>
        <v>11</v>
      </c>
      <c r="AC2197" s="17">
        <f t="shared" ref="AC2197:AC2233" si="1435">SUM(Z2197:AB2197)</f>
        <v>51</v>
      </c>
      <c r="AD2197" s="22">
        <f>AD2191</f>
        <v>22</v>
      </c>
      <c r="AE2197" s="22">
        <f>AE2191</f>
        <v>17</v>
      </c>
      <c r="AF2197" s="22">
        <f>AF2191</f>
        <v>11</v>
      </c>
      <c r="AG2197" s="17">
        <f t="shared" ref="AG2197:AG2233" si="1436">SUM(AD2197:AF2197)</f>
        <v>50</v>
      </c>
    </row>
    <row r="2198" spans="1:33">
      <c r="A2198" s="5" t="s">
        <v>3</v>
      </c>
      <c r="B2198" s="16"/>
      <c r="C2198" s="11"/>
      <c r="D2198" s="16"/>
      <c r="E2198" s="4">
        <f t="shared" si="1431"/>
        <v>0</v>
      </c>
      <c r="F2198" s="16"/>
      <c r="G2198" s="11"/>
      <c r="H2198" s="16"/>
      <c r="I2198" s="4">
        <f t="shared" si="1432"/>
        <v>0</v>
      </c>
      <c r="K2198" s="5" t="s">
        <v>3</v>
      </c>
      <c r="L2198" s="16"/>
      <c r="M2198" s="11"/>
      <c r="N2198" s="16"/>
      <c r="O2198" s="4">
        <f t="shared" ref="O2198:O2207" si="1437">SUM(L2198:N2198)</f>
        <v>0</v>
      </c>
      <c r="P2198" s="16"/>
      <c r="Q2198" s="11"/>
      <c r="R2198" s="16"/>
      <c r="S2198" s="4">
        <f t="shared" ref="S2198:S2207" si="1438">SUM(P2198:R2198)</f>
        <v>0</v>
      </c>
      <c r="U2198" s="5" t="s">
        <v>3</v>
      </c>
      <c r="V2198" s="16"/>
      <c r="W2198" s="11"/>
      <c r="X2198" s="16"/>
      <c r="Y2198" s="4">
        <f t="shared" si="1434"/>
        <v>0</v>
      </c>
      <c r="Z2198" s="16"/>
      <c r="AA2198" s="11"/>
      <c r="AB2198" s="16"/>
      <c r="AC2198" s="4">
        <f t="shared" si="1435"/>
        <v>0</v>
      </c>
      <c r="AD2198" s="16"/>
      <c r="AE2198" s="11"/>
      <c r="AF2198" s="16"/>
      <c r="AG2198" s="4">
        <f t="shared" si="1436"/>
        <v>0</v>
      </c>
    </row>
    <row r="2199" spans="1:33">
      <c r="A2199" s="5" t="s">
        <v>3</v>
      </c>
      <c r="B2199" s="16"/>
      <c r="C2199" s="11"/>
      <c r="D2199" s="16"/>
      <c r="E2199" s="4">
        <f t="shared" si="1431"/>
        <v>0</v>
      </c>
      <c r="F2199" s="16"/>
      <c r="G2199" s="11"/>
      <c r="H2199" s="16"/>
      <c r="I2199" s="4">
        <f t="shared" si="1432"/>
        <v>0</v>
      </c>
      <c r="K2199" s="5" t="s">
        <v>3</v>
      </c>
      <c r="L2199" s="16">
        <v>-100</v>
      </c>
      <c r="M2199" s="11"/>
      <c r="N2199" s="16"/>
      <c r="O2199" s="4">
        <f t="shared" si="1437"/>
        <v>-100</v>
      </c>
      <c r="P2199" s="16">
        <v>-100</v>
      </c>
      <c r="Q2199" s="11"/>
      <c r="R2199" s="16"/>
      <c r="S2199" s="4">
        <f t="shared" si="1438"/>
        <v>-100</v>
      </c>
      <c r="U2199" s="5" t="s">
        <v>3</v>
      </c>
      <c r="V2199" s="32"/>
      <c r="W2199" s="31"/>
      <c r="X2199" s="32"/>
      <c r="Y2199" s="4">
        <f t="shared" si="1434"/>
        <v>0</v>
      </c>
      <c r="Z2199" s="32"/>
      <c r="AA2199" s="31"/>
      <c r="AB2199" s="32"/>
      <c r="AC2199" s="4">
        <f t="shared" si="1435"/>
        <v>0</v>
      </c>
      <c r="AD2199" s="32"/>
      <c r="AE2199" s="31"/>
      <c r="AF2199" s="32"/>
      <c r="AG2199" s="4">
        <f t="shared" si="1436"/>
        <v>0</v>
      </c>
    </row>
    <row r="2200" spans="1:33">
      <c r="A2200" s="5" t="s">
        <v>3</v>
      </c>
      <c r="B2200" s="16"/>
      <c r="C2200" s="11"/>
      <c r="D2200" s="16"/>
      <c r="E2200" s="4">
        <f t="shared" si="1431"/>
        <v>0</v>
      </c>
      <c r="F2200" s="16"/>
      <c r="G2200" s="11"/>
      <c r="H2200" s="16"/>
      <c r="I2200" s="4">
        <f t="shared" si="1432"/>
        <v>0</v>
      </c>
      <c r="K2200" s="85" t="s">
        <v>1211</v>
      </c>
      <c r="L2200" s="38">
        <v>220</v>
      </c>
      <c r="M2200" s="39">
        <v>240</v>
      </c>
      <c r="N2200" s="38">
        <v>120</v>
      </c>
      <c r="O2200" s="17">
        <f t="shared" si="1437"/>
        <v>580</v>
      </c>
      <c r="P2200" s="38">
        <v>220</v>
      </c>
      <c r="Q2200" s="39">
        <v>240</v>
      </c>
      <c r="R2200" s="38">
        <v>120</v>
      </c>
      <c r="S2200" s="17">
        <f t="shared" si="1438"/>
        <v>580</v>
      </c>
      <c r="T2200" s="95">
        <v>46204</v>
      </c>
      <c r="U2200" s="5" t="s">
        <v>3</v>
      </c>
      <c r="V2200" s="32"/>
      <c r="W2200" s="31"/>
      <c r="X2200" s="32"/>
      <c r="Y2200" s="4">
        <f t="shared" si="1434"/>
        <v>0</v>
      </c>
      <c r="Z2200" s="32"/>
      <c r="AA2200" s="31"/>
      <c r="AB2200" s="32"/>
      <c r="AC2200" s="4">
        <f t="shared" si="1435"/>
        <v>0</v>
      </c>
      <c r="AD2200" s="32"/>
      <c r="AE2200" s="31"/>
      <c r="AF2200" s="32"/>
      <c r="AG2200" s="4">
        <f t="shared" si="1436"/>
        <v>0</v>
      </c>
    </row>
    <row r="2201" spans="1:33">
      <c r="A2201" s="5" t="s">
        <v>3</v>
      </c>
      <c r="B2201" s="16"/>
      <c r="C2201" s="11"/>
      <c r="D2201" s="16"/>
      <c r="E2201" s="4">
        <f t="shared" si="1431"/>
        <v>0</v>
      </c>
      <c r="F2201" s="16"/>
      <c r="G2201" s="11"/>
      <c r="H2201" s="16"/>
      <c r="I2201" s="4">
        <f t="shared" si="1432"/>
        <v>0</v>
      </c>
      <c r="K2201" s="5" t="s">
        <v>3</v>
      </c>
      <c r="L2201" s="16"/>
      <c r="M2201" s="11"/>
      <c r="N2201" s="16"/>
      <c r="O2201" s="4">
        <f t="shared" ref="O2201" si="1439">SUM(L2201:N2201)</f>
        <v>0</v>
      </c>
      <c r="P2201" s="16"/>
      <c r="Q2201" s="11"/>
      <c r="R2201" s="16"/>
      <c r="S2201" s="4">
        <f t="shared" ref="S2201" si="1440">SUM(P2201:R2201)</f>
        <v>0</v>
      </c>
      <c r="U2201" s="5" t="s">
        <v>3</v>
      </c>
      <c r="V2201" s="32"/>
      <c r="W2201" s="31"/>
      <c r="X2201" s="32"/>
      <c r="Y2201" s="4">
        <f t="shared" ref="Y2201" si="1441">SUM(V2201:X2201)</f>
        <v>0</v>
      </c>
      <c r="Z2201" s="32"/>
      <c r="AA2201" s="31"/>
      <c r="AB2201" s="32"/>
      <c r="AC2201" s="4">
        <f t="shared" ref="AC2201" si="1442">SUM(Z2201:AB2201)</f>
        <v>0</v>
      </c>
      <c r="AD2201" s="32"/>
      <c r="AE2201" s="31"/>
      <c r="AF2201" s="32"/>
      <c r="AG2201" s="4">
        <f t="shared" ref="AG2201" si="1443">SUM(AD2201:AF2201)</f>
        <v>0</v>
      </c>
    </row>
    <row r="2202" spans="1:33">
      <c r="A2202" s="5" t="s">
        <v>3</v>
      </c>
      <c r="B2202" s="16"/>
      <c r="C2202" s="11"/>
      <c r="D2202" s="16"/>
      <c r="E2202" s="4">
        <f t="shared" si="1431"/>
        <v>0</v>
      </c>
      <c r="F2202" s="16"/>
      <c r="G2202" s="11"/>
      <c r="H2202" s="16"/>
      <c r="I2202" s="4">
        <f t="shared" si="1432"/>
        <v>0</v>
      </c>
      <c r="K2202" s="5" t="s">
        <v>3</v>
      </c>
      <c r="L2202" s="16"/>
      <c r="M2202" s="11"/>
      <c r="N2202" s="16"/>
      <c r="O2202" s="4">
        <f t="shared" si="1437"/>
        <v>0</v>
      </c>
      <c r="P2202" s="16"/>
      <c r="Q2202" s="11"/>
      <c r="R2202" s="16"/>
      <c r="S2202" s="4">
        <f t="shared" si="1438"/>
        <v>0</v>
      </c>
      <c r="U2202" s="5" t="s">
        <v>3</v>
      </c>
      <c r="V2202" s="30"/>
      <c r="W2202" s="31"/>
      <c r="X2202" s="32"/>
      <c r="Y2202" s="4">
        <f t="shared" si="1434"/>
        <v>0</v>
      </c>
      <c r="Z2202" s="30"/>
      <c r="AA2202" s="31"/>
      <c r="AB2202" s="32"/>
      <c r="AC2202" s="4">
        <f t="shared" si="1435"/>
        <v>0</v>
      </c>
      <c r="AD2202" s="30"/>
      <c r="AE2202" s="31"/>
      <c r="AF2202" s="32"/>
      <c r="AG2202" s="4">
        <f t="shared" si="1436"/>
        <v>0</v>
      </c>
    </row>
    <row r="2203" spans="1:33">
      <c r="A2203" s="5" t="s">
        <v>3</v>
      </c>
      <c r="B2203" s="16"/>
      <c r="C2203" s="11"/>
      <c r="D2203" s="16"/>
      <c r="E2203" s="4">
        <f t="shared" si="1431"/>
        <v>0</v>
      </c>
      <c r="F2203" s="16"/>
      <c r="G2203" s="11"/>
      <c r="H2203" s="16"/>
      <c r="I2203" s="4">
        <f t="shared" si="1432"/>
        <v>0</v>
      </c>
      <c r="K2203" s="5" t="s">
        <v>3</v>
      </c>
      <c r="L2203" s="16"/>
      <c r="M2203" s="11"/>
      <c r="N2203" s="16"/>
      <c r="O2203" s="4">
        <f t="shared" si="1437"/>
        <v>0</v>
      </c>
      <c r="P2203" s="16"/>
      <c r="Q2203" s="11"/>
      <c r="R2203" s="16"/>
      <c r="S2203" s="4">
        <f t="shared" si="1438"/>
        <v>0</v>
      </c>
      <c r="U2203" s="5" t="s">
        <v>3</v>
      </c>
      <c r="V2203" s="30"/>
      <c r="W2203" s="31"/>
      <c r="X2203" s="32"/>
      <c r="Y2203" s="4">
        <f t="shared" si="1434"/>
        <v>0</v>
      </c>
      <c r="Z2203" s="30"/>
      <c r="AA2203" s="31"/>
      <c r="AB2203" s="32"/>
      <c r="AC2203" s="4">
        <f t="shared" si="1435"/>
        <v>0</v>
      </c>
      <c r="AD2203" s="30"/>
      <c r="AE2203" s="31"/>
      <c r="AF2203" s="32"/>
      <c r="AG2203" s="4">
        <f t="shared" si="1436"/>
        <v>0</v>
      </c>
    </row>
    <row r="2204" spans="1:33">
      <c r="A2204" s="5" t="s">
        <v>3</v>
      </c>
      <c r="B2204" s="32"/>
      <c r="C2204" s="31"/>
      <c r="D2204" s="32"/>
      <c r="E2204" s="4">
        <f t="shared" si="1431"/>
        <v>0</v>
      </c>
      <c r="F2204" s="32"/>
      <c r="G2204" s="31"/>
      <c r="H2204" s="32"/>
      <c r="I2204" s="4">
        <f t="shared" si="1432"/>
        <v>0</v>
      </c>
      <c r="K2204" s="5" t="s">
        <v>3</v>
      </c>
      <c r="L2204" s="16"/>
      <c r="M2204" s="11"/>
      <c r="N2204" s="16"/>
      <c r="O2204" s="4">
        <f t="shared" si="1437"/>
        <v>0</v>
      </c>
      <c r="P2204" s="16"/>
      <c r="Q2204" s="11"/>
      <c r="R2204" s="16"/>
      <c r="S2204" s="4">
        <f t="shared" si="1438"/>
        <v>0</v>
      </c>
      <c r="U2204" s="5" t="s">
        <v>3</v>
      </c>
      <c r="V2204" s="30"/>
      <c r="W2204" s="31"/>
      <c r="X2204" s="32"/>
      <c r="Y2204" s="4">
        <f t="shared" si="1434"/>
        <v>0</v>
      </c>
      <c r="Z2204" s="30"/>
      <c r="AA2204" s="31"/>
      <c r="AB2204" s="32"/>
      <c r="AC2204" s="4">
        <f t="shared" si="1435"/>
        <v>0</v>
      </c>
      <c r="AD2204" s="30"/>
      <c r="AE2204" s="31"/>
      <c r="AF2204" s="32"/>
      <c r="AG2204" s="4">
        <f t="shared" si="1436"/>
        <v>0</v>
      </c>
    </row>
    <row r="2205" spans="1:33">
      <c r="A2205" s="5" t="s">
        <v>3</v>
      </c>
      <c r="B2205" s="32"/>
      <c r="C2205" s="31"/>
      <c r="D2205" s="32"/>
      <c r="E2205" s="4">
        <f t="shared" si="1431"/>
        <v>0</v>
      </c>
      <c r="F2205" s="32"/>
      <c r="G2205" s="31"/>
      <c r="H2205" s="32"/>
      <c r="I2205" s="4">
        <f t="shared" si="1432"/>
        <v>0</v>
      </c>
      <c r="K2205" s="5" t="s">
        <v>3</v>
      </c>
      <c r="L2205" s="16"/>
      <c r="M2205" s="11"/>
      <c r="N2205" s="16"/>
      <c r="O2205" s="4">
        <f t="shared" si="1437"/>
        <v>0</v>
      </c>
      <c r="P2205" s="16"/>
      <c r="Q2205" s="11"/>
      <c r="R2205" s="16"/>
      <c r="S2205" s="4">
        <f t="shared" si="1438"/>
        <v>0</v>
      </c>
      <c r="U2205" s="5" t="s">
        <v>3</v>
      </c>
      <c r="V2205" s="30"/>
      <c r="W2205" s="31"/>
      <c r="X2205" s="32"/>
      <c r="Y2205" s="4">
        <f t="shared" si="1434"/>
        <v>0</v>
      </c>
      <c r="Z2205" s="30"/>
      <c r="AA2205" s="31"/>
      <c r="AB2205" s="32"/>
      <c r="AC2205" s="4">
        <f t="shared" si="1435"/>
        <v>0</v>
      </c>
      <c r="AD2205" s="30"/>
      <c r="AE2205" s="31"/>
      <c r="AF2205" s="32"/>
      <c r="AG2205" s="4">
        <f t="shared" si="1436"/>
        <v>0</v>
      </c>
    </row>
    <row r="2206" spans="1:33">
      <c r="A2206" s="5" t="s">
        <v>3</v>
      </c>
      <c r="B2206" s="30"/>
      <c r="C2206" s="31"/>
      <c r="D2206" s="32"/>
      <c r="E2206" s="4">
        <f t="shared" si="1431"/>
        <v>0</v>
      </c>
      <c r="F2206" s="30"/>
      <c r="G2206" s="31"/>
      <c r="H2206" s="32"/>
      <c r="I2206" s="4">
        <f t="shared" si="1432"/>
        <v>0</v>
      </c>
      <c r="K2206" s="5" t="s">
        <v>3</v>
      </c>
      <c r="L2206" s="16"/>
      <c r="M2206" s="11"/>
      <c r="N2206" s="16"/>
      <c r="O2206" s="4">
        <f t="shared" si="1437"/>
        <v>0</v>
      </c>
      <c r="P2206" s="16"/>
      <c r="Q2206" s="11"/>
      <c r="R2206" s="16"/>
      <c r="S2206" s="4">
        <f t="shared" si="1438"/>
        <v>0</v>
      </c>
      <c r="U2206" s="5" t="s">
        <v>3</v>
      </c>
      <c r="V2206" s="30"/>
      <c r="W2206" s="31"/>
      <c r="X2206" s="32"/>
      <c r="Y2206" s="4">
        <f t="shared" si="1434"/>
        <v>0</v>
      </c>
      <c r="Z2206" s="30"/>
      <c r="AA2206" s="31"/>
      <c r="AB2206" s="32"/>
      <c r="AC2206" s="4">
        <f t="shared" si="1435"/>
        <v>0</v>
      </c>
      <c r="AD2206" s="30"/>
      <c r="AE2206" s="31"/>
      <c r="AF2206" s="32"/>
      <c r="AG2206" s="4">
        <f t="shared" si="1436"/>
        <v>0</v>
      </c>
    </row>
    <row r="2207" spans="1:33" ht="14.25" thickBot="1">
      <c r="A2207" s="6" t="s">
        <v>3</v>
      </c>
      <c r="B2207" s="36"/>
      <c r="C2207" s="37"/>
      <c r="D2207" s="36"/>
      <c r="E2207" s="20">
        <f t="shared" si="1431"/>
        <v>0</v>
      </c>
      <c r="F2207" s="13"/>
      <c r="G2207" s="12"/>
      <c r="H2207" s="13"/>
      <c r="I2207" s="20">
        <f t="shared" si="1432"/>
        <v>0</v>
      </c>
      <c r="K2207" s="6" t="s">
        <v>3</v>
      </c>
      <c r="L2207" s="36"/>
      <c r="M2207" s="37"/>
      <c r="N2207" s="36"/>
      <c r="O2207" s="20">
        <f t="shared" si="1437"/>
        <v>0</v>
      </c>
      <c r="P2207" s="13"/>
      <c r="Q2207" s="12"/>
      <c r="R2207" s="13"/>
      <c r="S2207" s="20">
        <f t="shared" si="1438"/>
        <v>0</v>
      </c>
      <c r="U2207" s="5" t="s">
        <v>3</v>
      </c>
      <c r="V2207" s="30"/>
      <c r="W2207" s="31"/>
      <c r="X2207" s="32"/>
      <c r="Y2207" s="4">
        <f t="shared" si="1434"/>
        <v>0</v>
      </c>
      <c r="Z2207" s="30"/>
      <c r="AA2207" s="31"/>
      <c r="AB2207" s="32"/>
      <c r="AC2207" s="4">
        <f t="shared" si="1435"/>
        <v>0</v>
      </c>
      <c r="AD2207" s="30"/>
      <c r="AE2207" s="31"/>
      <c r="AF2207" s="32"/>
      <c r="AG2207" s="4">
        <f t="shared" si="1436"/>
        <v>0</v>
      </c>
    </row>
    <row r="2208" spans="1:33" ht="14.25" thickBot="1">
      <c r="A2208" s="23" t="s">
        <v>4</v>
      </c>
      <c r="B2208" s="24">
        <f>SUM(B2197:B2207)</f>
        <v>9</v>
      </c>
      <c r="C2208" s="24">
        <f>SUM(C2197:C2207)</f>
        <v>5</v>
      </c>
      <c r="D2208" s="25">
        <f>SUM(D2197:D2207)</f>
        <v>6</v>
      </c>
      <c r="E2208" s="26">
        <f t="shared" si="1431"/>
        <v>20</v>
      </c>
      <c r="F2208" s="24">
        <f>SUM(F2197:F2207)</f>
        <v>9</v>
      </c>
      <c r="G2208" s="24">
        <f>SUM(G2197:G2207)</f>
        <v>5</v>
      </c>
      <c r="H2208" s="25">
        <f>SUM(H2197:H2207)</f>
        <v>6</v>
      </c>
      <c r="I2208" s="26">
        <f t="shared" si="1432"/>
        <v>20</v>
      </c>
      <c r="K2208" s="23" t="s">
        <v>4</v>
      </c>
      <c r="L2208" s="24">
        <f>SUM(L2197:L2207)</f>
        <v>130</v>
      </c>
      <c r="M2208" s="24">
        <f t="shared" ref="M2208:S2208" si="1444">SUM(M2197:M2207)</f>
        <v>232</v>
      </c>
      <c r="N2208" s="25">
        <f t="shared" si="1444"/>
        <v>116</v>
      </c>
      <c r="O2208" s="26">
        <f t="shared" si="1444"/>
        <v>478</v>
      </c>
      <c r="P2208" s="24">
        <f t="shared" si="1444"/>
        <v>130</v>
      </c>
      <c r="Q2208" s="24">
        <f t="shared" si="1444"/>
        <v>232</v>
      </c>
      <c r="R2208" s="25">
        <f t="shared" si="1444"/>
        <v>116</v>
      </c>
      <c r="S2208" s="26">
        <f t="shared" si="1444"/>
        <v>478</v>
      </c>
      <c r="U2208" s="23" t="s">
        <v>4</v>
      </c>
      <c r="V2208" s="24">
        <f>SUM(V2197:V2207)</f>
        <v>22</v>
      </c>
      <c r="W2208" s="24">
        <f>SUM(W2197:W2207)</f>
        <v>18</v>
      </c>
      <c r="X2208" s="25">
        <f>SUM(X2197:X2207)</f>
        <v>11</v>
      </c>
      <c r="Y2208" s="26">
        <f t="shared" si="1434"/>
        <v>51</v>
      </c>
      <c r="Z2208" s="24">
        <f>SUM(Z2197:Z2207)</f>
        <v>22</v>
      </c>
      <c r="AA2208" s="24">
        <f>SUM(AA2197:AA2207)</f>
        <v>18</v>
      </c>
      <c r="AB2208" s="25">
        <f>SUM(AB2197:AB2207)</f>
        <v>11</v>
      </c>
      <c r="AC2208" s="26">
        <f t="shared" si="1435"/>
        <v>51</v>
      </c>
      <c r="AD2208" s="24">
        <f>SUM(AD2197:AD2207)</f>
        <v>22</v>
      </c>
      <c r="AE2208" s="24">
        <f>SUM(AE2197:AE2207)</f>
        <v>17</v>
      </c>
      <c r="AF2208" s="25">
        <f>SUM(AF2197:AF2207)</f>
        <v>11</v>
      </c>
      <c r="AG2208" s="26">
        <f t="shared" si="1436"/>
        <v>50</v>
      </c>
    </row>
    <row r="2209" spans="1:33">
      <c r="A2209" s="3"/>
      <c r="B2209" s="8"/>
      <c r="C2209" s="9"/>
      <c r="D2209" s="10"/>
      <c r="E2209" s="7">
        <f t="shared" si="1431"/>
        <v>0</v>
      </c>
      <c r="F2209" s="8"/>
      <c r="G2209" s="9"/>
      <c r="H2209" s="10"/>
      <c r="I2209" s="7">
        <f t="shared" si="1432"/>
        <v>0</v>
      </c>
      <c r="K2209" s="3"/>
      <c r="L2209" s="8"/>
      <c r="M2209" s="9"/>
      <c r="N2209" s="10"/>
      <c r="O2209" s="7">
        <f t="shared" ref="O2209:O2223" si="1445">SUM(L2209:N2209)</f>
        <v>0</v>
      </c>
      <c r="P2209" s="8"/>
      <c r="Q2209" s="9"/>
      <c r="R2209" s="10"/>
      <c r="S2209" s="7">
        <f t="shared" ref="S2209:S2223" si="1446">SUM(P2209:R2209)</f>
        <v>0</v>
      </c>
      <c r="U2209" s="40"/>
      <c r="V2209" s="8"/>
      <c r="W2209" s="9"/>
      <c r="X2209" s="10"/>
      <c r="Y2209" s="4">
        <f t="shared" si="1434"/>
        <v>0</v>
      </c>
      <c r="Z2209" s="8"/>
      <c r="AA2209" s="9"/>
      <c r="AB2209" s="10"/>
      <c r="AC2209" s="4">
        <f t="shared" si="1435"/>
        <v>0</v>
      </c>
      <c r="AD2209" s="8"/>
      <c r="AE2209" s="9"/>
      <c r="AF2209" s="10"/>
      <c r="AG2209" s="4">
        <f t="shared" si="1436"/>
        <v>0</v>
      </c>
    </row>
    <row r="2210" spans="1:33">
      <c r="A2210" s="3"/>
      <c r="B2210" s="8"/>
      <c r="C2210" s="9"/>
      <c r="D2210" s="10"/>
      <c r="E2210" s="7">
        <f t="shared" si="1431"/>
        <v>0</v>
      </c>
      <c r="F2210" s="8"/>
      <c r="G2210" s="9"/>
      <c r="H2210" s="10"/>
      <c r="I2210" s="7">
        <f t="shared" si="1432"/>
        <v>0</v>
      </c>
      <c r="K2210" s="3"/>
      <c r="L2210" s="8"/>
      <c r="M2210" s="9"/>
      <c r="N2210" s="10"/>
      <c r="O2210" s="7">
        <f t="shared" si="1445"/>
        <v>0</v>
      </c>
      <c r="P2210" s="8"/>
      <c r="Q2210" s="9"/>
      <c r="R2210" s="10"/>
      <c r="S2210" s="7">
        <f t="shared" si="1446"/>
        <v>0</v>
      </c>
      <c r="U2210" s="40"/>
      <c r="V2210" s="8"/>
      <c r="W2210" s="9"/>
      <c r="X2210" s="10"/>
      <c r="Y2210" s="4">
        <f t="shared" si="1434"/>
        <v>0</v>
      </c>
      <c r="Z2210" s="8"/>
      <c r="AA2210" s="9"/>
      <c r="AB2210" s="10"/>
      <c r="AC2210" s="4">
        <f t="shared" si="1435"/>
        <v>0</v>
      </c>
      <c r="AD2210" s="8"/>
      <c r="AE2210" s="9"/>
      <c r="AF2210" s="10"/>
      <c r="AG2210" s="4">
        <f t="shared" si="1436"/>
        <v>0</v>
      </c>
    </row>
    <row r="2211" spans="1:33">
      <c r="A2211" s="3"/>
      <c r="B2211" s="8"/>
      <c r="C2211" s="9"/>
      <c r="D2211" s="10"/>
      <c r="E2211" s="7">
        <f t="shared" si="1431"/>
        <v>0</v>
      </c>
      <c r="F2211" s="8"/>
      <c r="G2211" s="9"/>
      <c r="H2211" s="10"/>
      <c r="I2211" s="7">
        <f t="shared" si="1432"/>
        <v>0</v>
      </c>
      <c r="K2211" s="3"/>
      <c r="L2211" s="8"/>
      <c r="M2211" s="9"/>
      <c r="N2211" s="10"/>
      <c r="O2211" s="7">
        <f t="shared" si="1445"/>
        <v>0</v>
      </c>
      <c r="P2211" s="8"/>
      <c r="Q2211" s="9"/>
      <c r="R2211" s="10"/>
      <c r="S2211" s="7">
        <f t="shared" si="1446"/>
        <v>0</v>
      </c>
      <c r="U2211" s="40"/>
      <c r="V2211" s="8"/>
      <c r="W2211" s="9"/>
      <c r="X2211" s="10"/>
      <c r="Y2211" s="7">
        <f t="shared" si="1434"/>
        <v>0</v>
      </c>
      <c r="Z2211" s="8"/>
      <c r="AA2211" s="9"/>
      <c r="AB2211" s="10"/>
      <c r="AC2211" s="7">
        <f t="shared" si="1435"/>
        <v>0</v>
      </c>
      <c r="AD2211" s="8"/>
      <c r="AE2211" s="9"/>
      <c r="AF2211" s="10"/>
      <c r="AG2211" s="7">
        <f t="shared" si="1436"/>
        <v>0</v>
      </c>
    </row>
    <row r="2212" spans="1:33">
      <c r="A2212" s="3"/>
      <c r="B2212" s="8"/>
      <c r="C2212" s="9"/>
      <c r="D2212" s="10"/>
      <c r="E2212" s="7">
        <f t="shared" si="1431"/>
        <v>0</v>
      </c>
      <c r="F2212" s="8"/>
      <c r="G2212" s="9"/>
      <c r="H2212" s="10"/>
      <c r="I2212" s="7">
        <f t="shared" si="1432"/>
        <v>0</v>
      </c>
      <c r="K2212" s="3"/>
      <c r="L2212" s="8"/>
      <c r="M2212" s="9"/>
      <c r="N2212" s="10"/>
      <c r="O2212" s="7">
        <f t="shared" si="1445"/>
        <v>0</v>
      </c>
      <c r="P2212" s="8"/>
      <c r="Q2212" s="9"/>
      <c r="R2212" s="10"/>
      <c r="S2212" s="7">
        <f t="shared" si="1446"/>
        <v>0</v>
      </c>
      <c r="U2212" s="40"/>
      <c r="V2212" s="8"/>
      <c r="W2212" s="9"/>
      <c r="X2212" s="10"/>
      <c r="Y2212" s="4">
        <f t="shared" si="1434"/>
        <v>0</v>
      </c>
      <c r="Z2212" s="8"/>
      <c r="AA2212" s="9"/>
      <c r="AB2212" s="10"/>
      <c r="AC2212" s="4">
        <f t="shared" si="1435"/>
        <v>0</v>
      </c>
      <c r="AD2212" s="8"/>
      <c r="AE2212" s="9"/>
      <c r="AF2212" s="10"/>
      <c r="AG2212" s="4">
        <f t="shared" si="1436"/>
        <v>0</v>
      </c>
    </row>
    <row r="2213" spans="1:33">
      <c r="A2213" s="3"/>
      <c r="B2213" s="8"/>
      <c r="C2213" s="9"/>
      <c r="D2213" s="10"/>
      <c r="E2213" s="7">
        <f t="shared" si="1431"/>
        <v>0</v>
      </c>
      <c r="F2213" s="8"/>
      <c r="G2213" s="9"/>
      <c r="H2213" s="10"/>
      <c r="I2213" s="7">
        <f t="shared" si="1432"/>
        <v>0</v>
      </c>
      <c r="K2213" s="3"/>
      <c r="L2213" s="8"/>
      <c r="M2213" s="9"/>
      <c r="N2213" s="10"/>
      <c r="O2213" s="7">
        <f t="shared" si="1445"/>
        <v>0</v>
      </c>
      <c r="P2213" s="8"/>
      <c r="Q2213" s="9"/>
      <c r="R2213" s="10"/>
      <c r="S2213" s="7">
        <f t="shared" si="1446"/>
        <v>0</v>
      </c>
      <c r="U2213" s="3"/>
      <c r="V2213" s="8"/>
      <c r="W2213" s="9"/>
      <c r="X2213" s="10"/>
      <c r="Y2213" s="4">
        <f t="shared" si="1434"/>
        <v>0</v>
      </c>
      <c r="Z2213" s="8"/>
      <c r="AA2213" s="9"/>
      <c r="AB2213" s="10"/>
      <c r="AC2213" s="4">
        <f t="shared" si="1435"/>
        <v>0</v>
      </c>
      <c r="AD2213" s="8"/>
      <c r="AE2213" s="9"/>
      <c r="AF2213" s="10"/>
      <c r="AG2213" s="4">
        <f t="shared" si="1436"/>
        <v>0</v>
      </c>
    </row>
    <row r="2214" spans="1:33">
      <c r="A2214" s="3"/>
      <c r="B2214" s="8"/>
      <c r="C2214" s="9"/>
      <c r="D2214" s="10"/>
      <c r="E2214" s="7">
        <f t="shared" si="1431"/>
        <v>0</v>
      </c>
      <c r="F2214" s="8"/>
      <c r="G2214" s="9"/>
      <c r="H2214" s="10"/>
      <c r="I2214" s="7">
        <f t="shared" si="1432"/>
        <v>0</v>
      </c>
      <c r="K2214" s="3"/>
      <c r="L2214" s="8"/>
      <c r="M2214" s="9"/>
      <c r="N2214" s="10"/>
      <c r="O2214" s="7">
        <f t="shared" si="1445"/>
        <v>0</v>
      </c>
      <c r="P2214" s="8"/>
      <c r="Q2214" s="9"/>
      <c r="R2214" s="10"/>
      <c r="S2214" s="7">
        <f t="shared" si="1446"/>
        <v>0</v>
      </c>
      <c r="U2214" s="3"/>
      <c r="V2214" s="8"/>
      <c r="W2214" s="9"/>
      <c r="X2214" s="10"/>
      <c r="Y2214" s="7">
        <f t="shared" si="1434"/>
        <v>0</v>
      </c>
      <c r="Z2214" s="8"/>
      <c r="AA2214" s="9"/>
      <c r="AB2214" s="10"/>
      <c r="AC2214" s="7">
        <f t="shared" si="1435"/>
        <v>0</v>
      </c>
      <c r="AD2214" s="8"/>
      <c r="AE2214" s="9"/>
      <c r="AF2214" s="10"/>
      <c r="AG2214" s="7">
        <f t="shared" si="1436"/>
        <v>0</v>
      </c>
    </row>
    <row r="2215" spans="1:33">
      <c r="A2215" s="3"/>
      <c r="B2215" s="8"/>
      <c r="C2215" s="9"/>
      <c r="D2215" s="10"/>
      <c r="E2215" s="7">
        <f t="shared" si="1431"/>
        <v>0</v>
      </c>
      <c r="F2215" s="8"/>
      <c r="G2215" s="9"/>
      <c r="H2215" s="10"/>
      <c r="I2215" s="7">
        <f t="shared" si="1432"/>
        <v>0</v>
      </c>
      <c r="K2215" s="3"/>
      <c r="L2215" s="8"/>
      <c r="M2215" s="9"/>
      <c r="N2215" s="10"/>
      <c r="O2215" s="7">
        <f t="shared" si="1445"/>
        <v>0</v>
      </c>
      <c r="P2215" s="8"/>
      <c r="Q2215" s="9"/>
      <c r="R2215" s="10"/>
      <c r="S2215" s="7">
        <f t="shared" si="1446"/>
        <v>0</v>
      </c>
      <c r="U2215" s="3"/>
      <c r="V2215" s="8"/>
      <c r="W2215" s="9"/>
      <c r="X2215" s="10"/>
      <c r="Y2215" s="7">
        <f t="shared" si="1434"/>
        <v>0</v>
      </c>
      <c r="Z2215" s="8"/>
      <c r="AA2215" s="9"/>
      <c r="AB2215" s="10"/>
      <c r="AC2215" s="7">
        <f t="shared" si="1435"/>
        <v>0</v>
      </c>
      <c r="AD2215" s="8"/>
      <c r="AE2215" s="9"/>
      <c r="AF2215" s="10"/>
      <c r="AG2215" s="7">
        <f t="shared" si="1436"/>
        <v>0</v>
      </c>
    </row>
    <row r="2216" spans="1:33">
      <c r="A2216" s="3"/>
      <c r="B2216" s="8"/>
      <c r="C2216" s="9"/>
      <c r="D2216" s="10"/>
      <c r="E2216" s="7">
        <f t="shared" si="1431"/>
        <v>0</v>
      </c>
      <c r="F2216" s="8"/>
      <c r="G2216" s="9"/>
      <c r="H2216" s="10"/>
      <c r="I2216" s="7">
        <f t="shared" si="1432"/>
        <v>0</v>
      </c>
      <c r="K2216" s="3"/>
      <c r="L2216" s="8"/>
      <c r="M2216" s="9"/>
      <c r="N2216" s="10"/>
      <c r="O2216" s="7">
        <f t="shared" si="1445"/>
        <v>0</v>
      </c>
      <c r="P2216" s="8"/>
      <c r="Q2216" s="9"/>
      <c r="R2216" s="10"/>
      <c r="S2216" s="7">
        <f t="shared" si="1446"/>
        <v>0</v>
      </c>
      <c r="U2216" s="3"/>
      <c r="V2216" s="8"/>
      <c r="W2216" s="9"/>
      <c r="X2216" s="10"/>
      <c r="Y2216" s="7">
        <f t="shared" si="1434"/>
        <v>0</v>
      </c>
      <c r="Z2216" s="8"/>
      <c r="AA2216" s="9"/>
      <c r="AB2216" s="10"/>
      <c r="AC2216" s="7">
        <f t="shared" si="1435"/>
        <v>0</v>
      </c>
      <c r="AD2216" s="8"/>
      <c r="AE2216" s="9"/>
      <c r="AF2216" s="10"/>
      <c r="AG2216" s="7">
        <f t="shared" si="1436"/>
        <v>0</v>
      </c>
    </row>
    <row r="2217" spans="1:33">
      <c r="A2217" s="3"/>
      <c r="B2217" s="8"/>
      <c r="C2217" s="9"/>
      <c r="D2217" s="10"/>
      <c r="E2217" s="7">
        <f t="shared" si="1431"/>
        <v>0</v>
      </c>
      <c r="F2217" s="8"/>
      <c r="G2217" s="9"/>
      <c r="H2217" s="10"/>
      <c r="I2217" s="7">
        <f t="shared" si="1432"/>
        <v>0</v>
      </c>
      <c r="K2217" s="3"/>
      <c r="L2217" s="8"/>
      <c r="M2217" s="9"/>
      <c r="N2217" s="10"/>
      <c r="O2217" s="7">
        <f t="shared" si="1445"/>
        <v>0</v>
      </c>
      <c r="P2217" s="8"/>
      <c r="Q2217" s="9"/>
      <c r="R2217" s="10"/>
      <c r="S2217" s="7">
        <f t="shared" si="1446"/>
        <v>0</v>
      </c>
      <c r="U2217" s="3"/>
      <c r="V2217" s="8"/>
      <c r="W2217" s="9"/>
      <c r="X2217" s="10"/>
      <c r="Y2217" s="7">
        <f t="shared" si="1434"/>
        <v>0</v>
      </c>
      <c r="Z2217" s="8"/>
      <c r="AA2217" s="9"/>
      <c r="AB2217" s="10"/>
      <c r="AC2217" s="7">
        <f t="shared" si="1435"/>
        <v>0</v>
      </c>
      <c r="AD2217" s="8"/>
      <c r="AE2217" s="9"/>
      <c r="AF2217" s="10"/>
      <c r="AG2217" s="7">
        <f t="shared" si="1436"/>
        <v>0</v>
      </c>
    </row>
    <row r="2218" spans="1:33">
      <c r="A2218" s="3"/>
      <c r="B2218" s="8"/>
      <c r="C2218" s="9"/>
      <c r="D2218" s="10"/>
      <c r="E2218" s="7">
        <f t="shared" si="1431"/>
        <v>0</v>
      </c>
      <c r="F2218" s="8"/>
      <c r="G2218" s="9"/>
      <c r="H2218" s="10"/>
      <c r="I2218" s="7">
        <f t="shared" si="1432"/>
        <v>0</v>
      </c>
      <c r="K2218" s="3"/>
      <c r="L2218" s="8"/>
      <c r="M2218" s="9"/>
      <c r="N2218" s="10"/>
      <c r="O2218" s="7">
        <f t="shared" si="1445"/>
        <v>0</v>
      </c>
      <c r="P2218" s="8"/>
      <c r="Q2218" s="9"/>
      <c r="R2218" s="10"/>
      <c r="S2218" s="7">
        <f t="shared" si="1446"/>
        <v>0</v>
      </c>
      <c r="U2218" s="3"/>
      <c r="V2218" s="8"/>
      <c r="W2218" s="9"/>
      <c r="X2218" s="10"/>
      <c r="Y2218" s="7">
        <f t="shared" si="1434"/>
        <v>0</v>
      </c>
      <c r="Z2218" s="8"/>
      <c r="AA2218" s="9"/>
      <c r="AB2218" s="10"/>
      <c r="AC2218" s="7">
        <f t="shared" si="1435"/>
        <v>0</v>
      </c>
      <c r="AD2218" s="8"/>
      <c r="AE2218" s="9"/>
      <c r="AF2218" s="10"/>
      <c r="AG2218" s="7">
        <f t="shared" si="1436"/>
        <v>0</v>
      </c>
    </row>
    <row r="2219" spans="1:33">
      <c r="A2219" s="3"/>
      <c r="B2219" s="8"/>
      <c r="C2219" s="9"/>
      <c r="D2219" s="10"/>
      <c r="E2219" s="7">
        <f t="shared" si="1431"/>
        <v>0</v>
      </c>
      <c r="F2219" s="8"/>
      <c r="G2219" s="9"/>
      <c r="H2219" s="10"/>
      <c r="I2219" s="7">
        <f t="shared" si="1432"/>
        <v>0</v>
      </c>
      <c r="K2219" s="3"/>
      <c r="L2219" s="8"/>
      <c r="M2219" s="9"/>
      <c r="N2219" s="10"/>
      <c r="O2219" s="7">
        <f t="shared" si="1445"/>
        <v>0</v>
      </c>
      <c r="P2219" s="8"/>
      <c r="Q2219" s="9"/>
      <c r="R2219" s="10"/>
      <c r="S2219" s="7">
        <f t="shared" si="1446"/>
        <v>0</v>
      </c>
      <c r="U2219" s="3"/>
      <c r="V2219" s="30"/>
      <c r="W2219" s="9"/>
      <c r="X2219" s="10"/>
      <c r="Y2219" s="7">
        <f t="shared" si="1434"/>
        <v>0</v>
      </c>
      <c r="Z2219" s="8"/>
      <c r="AA2219" s="9"/>
      <c r="AB2219" s="10"/>
      <c r="AC2219" s="7">
        <f t="shared" si="1435"/>
        <v>0</v>
      </c>
      <c r="AD2219" s="8"/>
      <c r="AE2219" s="9"/>
      <c r="AF2219" s="10"/>
      <c r="AG2219" s="7">
        <f t="shared" si="1436"/>
        <v>0</v>
      </c>
    </row>
    <row r="2220" spans="1:33">
      <c r="A2220" s="3"/>
      <c r="B2220" s="8"/>
      <c r="C2220" s="9"/>
      <c r="D2220" s="10"/>
      <c r="E2220" s="7">
        <f t="shared" si="1431"/>
        <v>0</v>
      </c>
      <c r="F2220" s="8"/>
      <c r="G2220" s="9"/>
      <c r="H2220" s="10"/>
      <c r="I2220" s="7">
        <f t="shared" si="1432"/>
        <v>0</v>
      </c>
      <c r="K2220" s="3"/>
      <c r="L2220" s="8"/>
      <c r="M2220" s="9"/>
      <c r="N2220" s="10"/>
      <c r="O2220" s="7">
        <f t="shared" si="1445"/>
        <v>0</v>
      </c>
      <c r="P2220" s="8"/>
      <c r="Q2220" s="9"/>
      <c r="R2220" s="10"/>
      <c r="S2220" s="7">
        <f t="shared" si="1446"/>
        <v>0</v>
      </c>
      <c r="U2220" s="3"/>
      <c r="V2220" s="8"/>
      <c r="W2220" s="9"/>
      <c r="X2220" s="10"/>
      <c r="Y2220" s="7">
        <f t="shared" si="1434"/>
        <v>0</v>
      </c>
      <c r="Z2220" s="8"/>
      <c r="AA2220" s="9"/>
      <c r="AB2220" s="10"/>
      <c r="AC2220" s="7">
        <f t="shared" si="1435"/>
        <v>0</v>
      </c>
      <c r="AD2220" s="8"/>
      <c r="AE2220" s="9"/>
      <c r="AF2220" s="10"/>
      <c r="AG2220" s="7">
        <f t="shared" si="1436"/>
        <v>0</v>
      </c>
    </row>
    <row r="2221" spans="1:33">
      <c r="A2221" s="3"/>
      <c r="B2221" s="8"/>
      <c r="C2221" s="9"/>
      <c r="D2221" s="10"/>
      <c r="E2221" s="7">
        <f t="shared" si="1431"/>
        <v>0</v>
      </c>
      <c r="F2221" s="8"/>
      <c r="G2221" s="9"/>
      <c r="H2221" s="10"/>
      <c r="I2221" s="7">
        <f t="shared" si="1432"/>
        <v>0</v>
      </c>
      <c r="K2221" s="3"/>
      <c r="L2221" s="8"/>
      <c r="M2221" s="9"/>
      <c r="N2221" s="10"/>
      <c r="O2221" s="7">
        <f t="shared" si="1445"/>
        <v>0</v>
      </c>
      <c r="P2221" s="8"/>
      <c r="Q2221" s="9"/>
      <c r="R2221" s="10"/>
      <c r="S2221" s="7">
        <f t="shared" si="1446"/>
        <v>0</v>
      </c>
      <c r="U2221" s="3"/>
      <c r="V2221" s="8"/>
      <c r="W2221" s="9"/>
      <c r="X2221" s="10"/>
      <c r="Y2221" s="7">
        <f t="shared" si="1434"/>
        <v>0</v>
      </c>
      <c r="Z2221" s="8"/>
      <c r="AA2221" s="9"/>
      <c r="AB2221" s="10"/>
      <c r="AC2221" s="7">
        <f t="shared" si="1435"/>
        <v>0</v>
      </c>
      <c r="AD2221" s="8"/>
      <c r="AE2221" s="9"/>
      <c r="AF2221" s="10"/>
      <c r="AG2221" s="7">
        <f t="shared" si="1436"/>
        <v>0</v>
      </c>
    </row>
    <row r="2222" spans="1:33">
      <c r="A2222" s="3"/>
      <c r="B2222" s="8"/>
      <c r="C2222" s="9"/>
      <c r="D2222" s="10"/>
      <c r="E2222" s="7">
        <f t="shared" si="1431"/>
        <v>0</v>
      </c>
      <c r="F2222" s="8"/>
      <c r="G2222" s="9"/>
      <c r="H2222" s="10"/>
      <c r="I2222" s="7">
        <f t="shared" si="1432"/>
        <v>0</v>
      </c>
      <c r="K2222" s="40"/>
      <c r="L2222" s="8"/>
      <c r="M2222" s="9"/>
      <c r="N2222" s="10"/>
      <c r="O2222" s="7">
        <f t="shared" si="1445"/>
        <v>0</v>
      </c>
      <c r="P2222" s="8"/>
      <c r="Q2222" s="9"/>
      <c r="R2222" s="10"/>
      <c r="S2222" s="7">
        <f t="shared" si="1446"/>
        <v>0</v>
      </c>
      <c r="U2222" s="3"/>
      <c r="V2222" s="8"/>
      <c r="W2222" s="9"/>
      <c r="X2222" s="10"/>
      <c r="Y2222" s="7">
        <f t="shared" si="1434"/>
        <v>0</v>
      </c>
      <c r="Z2222" s="8"/>
      <c r="AA2222" s="9"/>
      <c r="AB2222" s="10"/>
      <c r="AC2222" s="7">
        <f t="shared" si="1435"/>
        <v>0</v>
      </c>
      <c r="AD2222" s="8"/>
      <c r="AE2222" s="9"/>
      <c r="AF2222" s="10"/>
      <c r="AG2222" s="7">
        <f t="shared" si="1436"/>
        <v>0</v>
      </c>
    </row>
    <row r="2223" spans="1:33">
      <c r="A2223" s="3"/>
      <c r="B2223" s="8"/>
      <c r="C2223" s="9"/>
      <c r="D2223" s="10"/>
      <c r="E2223" s="7">
        <f t="shared" si="1431"/>
        <v>0</v>
      </c>
      <c r="F2223" s="8"/>
      <c r="G2223" s="9"/>
      <c r="H2223" s="10"/>
      <c r="I2223" s="7">
        <f t="shared" si="1432"/>
        <v>0</v>
      </c>
      <c r="K2223" s="3"/>
      <c r="L2223" s="8"/>
      <c r="M2223" s="9"/>
      <c r="N2223" s="10"/>
      <c r="O2223" s="7">
        <f t="shared" si="1445"/>
        <v>0</v>
      </c>
      <c r="P2223" s="8"/>
      <c r="Q2223" s="9"/>
      <c r="R2223" s="10"/>
      <c r="S2223" s="7">
        <f t="shared" si="1446"/>
        <v>0</v>
      </c>
      <c r="U2223" s="3"/>
      <c r="V2223" s="8"/>
      <c r="W2223" s="9"/>
      <c r="X2223" s="10"/>
      <c r="Y2223" s="7">
        <f t="shared" si="1434"/>
        <v>0</v>
      </c>
      <c r="Z2223" s="8"/>
      <c r="AA2223" s="9"/>
      <c r="AB2223" s="10"/>
      <c r="AC2223" s="7">
        <f t="shared" si="1435"/>
        <v>0</v>
      </c>
      <c r="AD2223" s="8"/>
      <c r="AE2223" s="9"/>
      <c r="AF2223" s="10"/>
      <c r="AG2223" s="7">
        <f t="shared" si="1436"/>
        <v>0</v>
      </c>
    </row>
    <row r="2224" spans="1:33">
      <c r="A2224" s="3"/>
      <c r="B2224" s="8"/>
      <c r="C2224" s="9"/>
      <c r="D2224" s="10"/>
      <c r="E2224" s="7">
        <f t="shared" si="1431"/>
        <v>0</v>
      </c>
      <c r="F2224" s="8"/>
      <c r="G2224" s="9"/>
      <c r="H2224" s="10"/>
      <c r="I2224" s="7">
        <f t="shared" si="1432"/>
        <v>0</v>
      </c>
      <c r="K2224" s="3"/>
      <c r="L2224" s="8"/>
      <c r="M2224" s="9"/>
      <c r="N2224" s="10"/>
      <c r="O2224" s="7">
        <f t="shared" ref="O2224:O2231" si="1447">SUM(L2224:N2224)</f>
        <v>0</v>
      </c>
      <c r="P2224" s="8"/>
      <c r="Q2224" s="9"/>
      <c r="R2224" s="10"/>
      <c r="S2224" s="7">
        <f t="shared" ref="S2224:S2231" si="1448">SUM(P2224:R2224)</f>
        <v>0</v>
      </c>
      <c r="U2224" s="3"/>
      <c r="V2224" s="8"/>
      <c r="W2224" s="9"/>
      <c r="X2224" s="10"/>
      <c r="Y2224" s="7">
        <f t="shared" si="1434"/>
        <v>0</v>
      </c>
      <c r="Z2224" s="8"/>
      <c r="AA2224" s="9"/>
      <c r="AB2224" s="10"/>
      <c r="AC2224" s="7">
        <f t="shared" si="1435"/>
        <v>0</v>
      </c>
      <c r="AD2224" s="8"/>
      <c r="AE2224" s="9"/>
      <c r="AF2224" s="10"/>
      <c r="AG2224" s="7">
        <f t="shared" si="1436"/>
        <v>0</v>
      </c>
    </row>
    <row r="2225" spans="1:34">
      <c r="A2225" s="3"/>
      <c r="B2225" s="8"/>
      <c r="C2225" s="9"/>
      <c r="D2225" s="10"/>
      <c r="E2225" s="7">
        <f t="shared" si="1431"/>
        <v>0</v>
      </c>
      <c r="F2225" s="8"/>
      <c r="G2225" s="9"/>
      <c r="H2225" s="10"/>
      <c r="I2225" s="7">
        <f t="shared" si="1432"/>
        <v>0</v>
      </c>
      <c r="K2225" s="3"/>
      <c r="L2225" s="8"/>
      <c r="M2225" s="9"/>
      <c r="N2225" s="10"/>
      <c r="O2225" s="7">
        <f t="shared" si="1447"/>
        <v>0</v>
      </c>
      <c r="P2225" s="8"/>
      <c r="Q2225" s="9"/>
      <c r="R2225" s="10"/>
      <c r="S2225" s="7">
        <f t="shared" si="1448"/>
        <v>0</v>
      </c>
      <c r="U2225" s="3"/>
      <c r="V2225" s="8"/>
      <c r="W2225" s="9"/>
      <c r="X2225" s="10"/>
      <c r="Y2225" s="7">
        <f t="shared" si="1434"/>
        <v>0</v>
      </c>
      <c r="Z2225" s="8"/>
      <c r="AA2225" s="9"/>
      <c r="AB2225" s="10"/>
      <c r="AC2225" s="7">
        <f t="shared" si="1435"/>
        <v>0</v>
      </c>
      <c r="AD2225" s="8"/>
      <c r="AE2225" s="9"/>
      <c r="AF2225" s="10"/>
      <c r="AG2225" s="7">
        <f t="shared" si="1436"/>
        <v>0</v>
      </c>
    </row>
    <row r="2226" spans="1:34">
      <c r="A2226" s="3"/>
      <c r="B2226" s="8"/>
      <c r="C2226" s="9"/>
      <c r="D2226" s="10"/>
      <c r="E2226" s="7">
        <f t="shared" si="1431"/>
        <v>0</v>
      </c>
      <c r="F2226" s="8"/>
      <c r="G2226" s="9"/>
      <c r="H2226" s="10"/>
      <c r="I2226" s="7">
        <f t="shared" si="1432"/>
        <v>0</v>
      </c>
      <c r="K2226" s="3"/>
      <c r="L2226" s="8"/>
      <c r="M2226" s="9"/>
      <c r="N2226" s="10"/>
      <c r="O2226" s="7">
        <f t="shared" si="1447"/>
        <v>0</v>
      </c>
      <c r="P2226" s="8"/>
      <c r="Q2226" s="9"/>
      <c r="R2226" s="10"/>
      <c r="S2226" s="7">
        <f t="shared" si="1448"/>
        <v>0</v>
      </c>
      <c r="U2226" s="3"/>
      <c r="V2226" s="8"/>
      <c r="W2226" s="9"/>
      <c r="X2226" s="10"/>
      <c r="Y2226" s="7">
        <f t="shared" si="1434"/>
        <v>0</v>
      </c>
      <c r="Z2226" s="8"/>
      <c r="AA2226" s="9"/>
      <c r="AB2226" s="10"/>
      <c r="AC2226" s="7">
        <f t="shared" si="1435"/>
        <v>0</v>
      </c>
      <c r="AD2226" s="8"/>
      <c r="AE2226" s="9"/>
      <c r="AF2226" s="10"/>
      <c r="AG2226" s="7">
        <f t="shared" si="1436"/>
        <v>0</v>
      </c>
    </row>
    <row r="2227" spans="1:34">
      <c r="A2227" s="11"/>
      <c r="B2227" s="8"/>
      <c r="C2227" s="9"/>
      <c r="D2227" s="10"/>
      <c r="E2227" s="7">
        <f t="shared" si="1431"/>
        <v>0</v>
      </c>
      <c r="F2227" s="8"/>
      <c r="G2227" s="9"/>
      <c r="H2227" s="10"/>
      <c r="I2227" s="7">
        <f t="shared" si="1432"/>
        <v>0</v>
      </c>
      <c r="K2227" s="21" t="s">
        <v>1168</v>
      </c>
      <c r="L2227" s="175">
        <v>-50</v>
      </c>
      <c r="M2227" s="176">
        <v>-40</v>
      </c>
      <c r="N2227" s="177">
        <v>-40</v>
      </c>
      <c r="O2227" s="178">
        <f t="shared" si="1447"/>
        <v>-130</v>
      </c>
      <c r="P2227" s="175">
        <v>-50</v>
      </c>
      <c r="Q2227" s="176">
        <v>-40</v>
      </c>
      <c r="R2227" s="177">
        <v>-40</v>
      </c>
      <c r="S2227" s="178">
        <f t="shared" si="1448"/>
        <v>-130</v>
      </c>
      <c r="T2227" s="118"/>
      <c r="U2227" s="3"/>
      <c r="V2227" s="8"/>
      <c r="W2227" s="9"/>
      <c r="X2227" s="10"/>
      <c r="Y2227" s="7">
        <f t="shared" si="1434"/>
        <v>0</v>
      </c>
      <c r="Z2227" s="8"/>
      <c r="AA2227" s="9"/>
      <c r="AB2227" s="10"/>
      <c r="AC2227" s="7">
        <f t="shared" si="1435"/>
        <v>0</v>
      </c>
      <c r="AD2227" s="8"/>
      <c r="AE2227" s="9"/>
      <c r="AF2227" s="10"/>
      <c r="AG2227" s="7">
        <f t="shared" si="1436"/>
        <v>0</v>
      </c>
    </row>
    <row r="2228" spans="1:34">
      <c r="A2228" s="11"/>
      <c r="B2228" s="8"/>
      <c r="C2228" s="9"/>
      <c r="D2228" s="10"/>
      <c r="E2228" s="7">
        <f t="shared" si="1431"/>
        <v>0</v>
      </c>
      <c r="F2228" s="8"/>
      <c r="G2228" s="9"/>
      <c r="H2228" s="10"/>
      <c r="I2228" s="7">
        <f t="shared" si="1432"/>
        <v>0</v>
      </c>
      <c r="K2228" s="22" t="s">
        <v>1163</v>
      </c>
      <c r="L2228" s="62">
        <v>130</v>
      </c>
      <c r="M2228" s="63">
        <v>130</v>
      </c>
      <c r="N2228" s="64">
        <v>110</v>
      </c>
      <c r="O2228" s="65">
        <f t="shared" si="1447"/>
        <v>370</v>
      </c>
      <c r="P2228" s="62">
        <v>130</v>
      </c>
      <c r="Q2228" s="63">
        <v>130</v>
      </c>
      <c r="R2228" s="64">
        <v>110</v>
      </c>
      <c r="S2228" s="65">
        <f t="shared" si="1448"/>
        <v>370</v>
      </c>
      <c r="T2228" s="118" t="s">
        <v>1170</v>
      </c>
      <c r="U2228" s="3"/>
      <c r="V2228" s="8"/>
      <c r="W2228" s="9"/>
      <c r="X2228" s="10"/>
      <c r="Y2228" s="7">
        <f t="shared" si="1434"/>
        <v>0</v>
      </c>
      <c r="Z2228" s="8"/>
      <c r="AA2228" s="9"/>
      <c r="AB2228" s="10"/>
      <c r="AC2228" s="7">
        <f t="shared" si="1435"/>
        <v>0</v>
      </c>
      <c r="AD2228" s="8"/>
      <c r="AE2228" s="9"/>
      <c r="AF2228" s="10"/>
      <c r="AG2228" s="7">
        <f t="shared" si="1436"/>
        <v>0</v>
      </c>
    </row>
    <row r="2229" spans="1:34">
      <c r="A2229" s="11"/>
      <c r="B2229" s="8"/>
      <c r="C2229" s="9"/>
      <c r="D2229" s="10"/>
      <c r="E2229" s="7">
        <f t="shared" si="1431"/>
        <v>0</v>
      </c>
      <c r="F2229" s="8"/>
      <c r="G2229" s="9"/>
      <c r="H2229" s="10"/>
      <c r="I2229" s="7">
        <f t="shared" si="1432"/>
        <v>0</v>
      </c>
      <c r="K2229" s="39" t="s">
        <v>1207</v>
      </c>
      <c r="L2229" s="62">
        <f>23-23</f>
        <v>0</v>
      </c>
      <c r="M2229" s="63">
        <f>33-30</f>
        <v>3</v>
      </c>
      <c r="N2229" s="64">
        <f>23-20</f>
        <v>3</v>
      </c>
      <c r="O2229" s="65">
        <f t="shared" si="1447"/>
        <v>6</v>
      </c>
      <c r="P2229" s="62">
        <f>23-23</f>
        <v>0</v>
      </c>
      <c r="Q2229" s="63">
        <f>33-30</f>
        <v>3</v>
      </c>
      <c r="R2229" s="64">
        <f>23-20</f>
        <v>3</v>
      </c>
      <c r="S2229" s="65">
        <f t="shared" si="1448"/>
        <v>6</v>
      </c>
      <c r="T2229" s="118" t="s">
        <v>1175</v>
      </c>
      <c r="U2229" s="11"/>
      <c r="V2229" s="8"/>
      <c r="W2229" s="9"/>
      <c r="X2229" s="10"/>
      <c r="Y2229" s="7">
        <f t="shared" si="1434"/>
        <v>0</v>
      </c>
      <c r="Z2229" s="8"/>
      <c r="AA2229" s="9"/>
      <c r="AB2229" s="10"/>
      <c r="AC2229" s="7">
        <f t="shared" si="1435"/>
        <v>0</v>
      </c>
      <c r="AD2229" s="8"/>
      <c r="AE2229" s="9"/>
      <c r="AF2229" s="10"/>
      <c r="AG2229" s="7">
        <f t="shared" si="1436"/>
        <v>0</v>
      </c>
    </row>
    <row r="2230" spans="1:34">
      <c r="A2230" s="11"/>
      <c r="B2230" s="8"/>
      <c r="C2230" s="9"/>
      <c r="D2230" s="10"/>
      <c r="E2230" s="7">
        <f t="shared" si="1431"/>
        <v>0</v>
      </c>
      <c r="F2230" s="8"/>
      <c r="G2230" s="9"/>
      <c r="H2230" s="10"/>
      <c r="I2230" s="7">
        <f t="shared" si="1432"/>
        <v>0</v>
      </c>
      <c r="K2230" s="39" t="s">
        <v>1200</v>
      </c>
      <c r="L2230" s="62">
        <v>10</v>
      </c>
      <c r="M2230" s="63">
        <v>15</v>
      </c>
      <c r="N2230" s="64">
        <v>10</v>
      </c>
      <c r="O2230" s="65">
        <f t="shared" si="1447"/>
        <v>35</v>
      </c>
      <c r="P2230" s="62">
        <v>10</v>
      </c>
      <c r="Q2230" s="63">
        <v>15</v>
      </c>
      <c r="R2230" s="64">
        <v>10</v>
      </c>
      <c r="S2230" s="65">
        <f t="shared" si="1448"/>
        <v>35</v>
      </c>
      <c r="T2230" s="118" t="s">
        <v>1201</v>
      </c>
      <c r="U2230" s="11"/>
      <c r="V2230" s="8"/>
      <c r="W2230" s="9"/>
      <c r="X2230" s="10"/>
      <c r="Y2230" s="7">
        <f t="shared" si="1434"/>
        <v>0</v>
      </c>
      <c r="Z2230" s="8"/>
      <c r="AA2230" s="9"/>
      <c r="AB2230" s="10"/>
      <c r="AC2230" s="7">
        <f t="shared" si="1435"/>
        <v>0</v>
      </c>
      <c r="AD2230" s="8"/>
      <c r="AE2230" s="9"/>
      <c r="AF2230" s="10"/>
      <c r="AG2230" s="7">
        <f t="shared" si="1436"/>
        <v>0</v>
      </c>
    </row>
    <row r="2231" spans="1:34">
      <c r="A2231" s="11"/>
      <c r="B2231" s="8"/>
      <c r="C2231" s="9"/>
      <c r="D2231" s="10"/>
      <c r="E2231" s="7">
        <f t="shared" si="1431"/>
        <v>0</v>
      </c>
      <c r="F2231" s="8"/>
      <c r="G2231" s="9"/>
      <c r="H2231" s="10"/>
      <c r="I2231" s="7">
        <f t="shared" si="1432"/>
        <v>0</v>
      </c>
      <c r="K2231" s="39" t="s">
        <v>1205</v>
      </c>
      <c r="L2231" s="62">
        <v>15</v>
      </c>
      <c r="M2231" s="63">
        <v>20</v>
      </c>
      <c r="N2231" s="64">
        <v>20</v>
      </c>
      <c r="O2231" s="65">
        <f t="shared" si="1447"/>
        <v>55</v>
      </c>
      <c r="P2231" s="62">
        <v>15</v>
      </c>
      <c r="Q2231" s="63">
        <v>20</v>
      </c>
      <c r="R2231" s="64">
        <v>20</v>
      </c>
      <c r="S2231" s="65">
        <f t="shared" si="1448"/>
        <v>55</v>
      </c>
      <c r="T2231" s="118" t="s">
        <v>1068</v>
      </c>
      <c r="U2231" s="3"/>
      <c r="V2231" s="8"/>
      <c r="W2231" s="9"/>
      <c r="X2231" s="10"/>
      <c r="Y2231" s="7">
        <f t="shared" si="1434"/>
        <v>0</v>
      </c>
      <c r="Z2231" s="8"/>
      <c r="AA2231" s="9"/>
      <c r="AB2231" s="10"/>
      <c r="AC2231" s="7">
        <f t="shared" si="1435"/>
        <v>0</v>
      </c>
      <c r="AD2231" s="8"/>
      <c r="AE2231" s="9"/>
      <c r="AF2231" s="10"/>
      <c r="AG2231" s="7">
        <f t="shared" si="1436"/>
        <v>0</v>
      </c>
    </row>
    <row r="2232" spans="1:34" ht="14.25" thickBot="1">
      <c r="A2232" s="21" t="s">
        <v>1174</v>
      </c>
      <c r="B2232" s="175">
        <v>6</v>
      </c>
      <c r="C2232" s="176">
        <v>3</v>
      </c>
      <c r="D2232" s="177">
        <v>3</v>
      </c>
      <c r="E2232" s="178">
        <f t="shared" si="1431"/>
        <v>12</v>
      </c>
      <c r="F2232" s="175">
        <v>6</v>
      </c>
      <c r="G2232" s="176">
        <v>3</v>
      </c>
      <c r="H2232" s="177">
        <v>3</v>
      </c>
      <c r="I2232" s="178">
        <f t="shared" si="1432"/>
        <v>12</v>
      </c>
      <c r="J2232" s="112">
        <v>46175</v>
      </c>
      <c r="K2232" s="39" t="s">
        <v>1215</v>
      </c>
      <c r="L2232" s="62">
        <v>10</v>
      </c>
      <c r="M2232" s="63">
        <v>15</v>
      </c>
      <c r="N2232" s="64">
        <v>10</v>
      </c>
      <c r="O2232" s="65">
        <f t="shared" ref="O2232" si="1449">SUM(L2232:N2232)</f>
        <v>35</v>
      </c>
      <c r="P2232" s="62">
        <v>10</v>
      </c>
      <c r="Q2232" s="63">
        <v>15</v>
      </c>
      <c r="R2232" s="64">
        <v>10</v>
      </c>
      <c r="S2232" s="65">
        <f t="shared" ref="S2232" si="1450">SUM(P2232:R2232)</f>
        <v>35</v>
      </c>
      <c r="T2232" s="118" t="s">
        <v>1216</v>
      </c>
      <c r="U2232" s="21" t="s">
        <v>1185</v>
      </c>
      <c r="V2232" s="62">
        <v>20</v>
      </c>
      <c r="W2232" s="63">
        <v>18</v>
      </c>
      <c r="X2232" s="64">
        <v>10</v>
      </c>
      <c r="Y2232" s="65">
        <f t="shared" si="1434"/>
        <v>48</v>
      </c>
      <c r="Z2232" s="62">
        <v>20</v>
      </c>
      <c r="AA2232" s="63">
        <v>18</v>
      </c>
      <c r="AB2232" s="64">
        <v>10</v>
      </c>
      <c r="AC2232" s="65">
        <f t="shared" si="1435"/>
        <v>48</v>
      </c>
      <c r="AD2232" s="62">
        <v>20</v>
      </c>
      <c r="AE2232" s="63">
        <v>18</v>
      </c>
      <c r="AF2232" s="64">
        <v>10</v>
      </c>
      <c r="AG2232" s="65">
        <f t="shared" si="1436"/>
        <v>48</v>
      </c>
      <c r="AH2232" s="118" t="s">
        <v>309</v>
      </c>
    </row>
    <row r="2233" spans="1:34" ht="14.25" thickBot="1">
      <c r="A2233" s="2" t="s">
        <v>5</v>
      </c>
      <c r="B2233" s="14">
        <f>SUM(B2209:B2232)</f>
        <v>6</v>
      </c>
      <c r="C2233" s="14">
        <f>SUM(C2209:C2232)</f>
        <v>3</v>
      </c>
      <c r="D2233" s="14">
        <f>SUM(D2209:D2232)</f>
        <v>3</v>
      </c>
      <c r="E2233" s="15">
        <f t="shared" si="1431"/>
        <v>12</v>
      </c>
      <c r="F2233" s="14">
        <f>SUM(F2209:F2232)</f>
        <v>6</v>
      </c>
      <c r="G2233" s="14">
        <f>SUM(G2209:G2232)</f>
        <v>3</v>
      </c>
      <c r="H2233" s="14">
        <f>SUM(H2209:H2232)</f>
        <v>3</v>
      </c>
      <c r="I2233" s="15">
        <f t="shared" si="1432"/>
        <v>12</v>
      </c>
      <c r="K2233" s="2" t="s">
        <v>5</v>
      </c>
      <c r="L2233" s="14">
        <f>SUM(L2209:L2232)</f>
        <v>115</v>
      </c>
      <c r="M2233" s="14">
        <f t="shared" ref="M2233:S2233" si="1451">SUM(M2209:M2232)</f>
        <v>143</v>
      </c>
      <c r="N2233" s="14">
        <f t="shared" si="1451"/>
        <v>113</v>
      </c>
      <c r="O2233" s="15">
        <f t="shared" si="1451"/>
        <v>371</v>
      </c>
      <c r="P2233" s="14">
        <f t="shared" si="1451"/>
        <v>115</v>
      </c>
      <c r="Q2233" s="14">
        <f t="shared" si="1451"/>
        <v>143</v>
      </c>
      <c r="R2233" s="14">
        <f t="shared" si="1451"/>
        <v>113</v>
      </c>
      <c r="S2233" s="15">
        <f t="shared" si="1451"/>
        <v>371</v>
      </c>
      <c r="U2233" s="2" t="s">
        <v>5</v>
      </c>
      <c r="V2233" s="14">
        <f>SUM(V2209:V2232)</f>
        <v>20</v>
      </c>
      <c r="W2233" s="14">
        <f>SUM(W2209:W2232)</f>
        <v>18</v>
      </c>
      <c r="X2233" s="14">
        <f>SUM(X2209:X2232)</f>
        <v>10</v>
      </c>
      <c r="Y2233" s="15">
        <f t="shared" si="1434"/>
        <v>48</v>
      </c>
      <c r="Z2233" s="14">
        <f>SUM(Z2209:Z2232)</f>
        <v>20</v>
      </c>
      <c r="AA2233" s="14">
        <f>SUM(AA2209:AA2232)</f>
        <v>18</v>
      </c>
      <c r="AB2233" s="14">
        <f>SUM(AB2209:AB2232)</f>
        <v>10</v>
      </c>
      <c r="AC2233" s="15">
        <f t="shared" si="1435"/>
        <v>48</v>
      </c>
      <c r="AD2233" s="14">
        <f>SUM(AD2209:AD2232)</f>
        <v>20</v>
      </c>
      <c r="AE2233" s="14">
        <f>SUM(AE2209:AE2232)</f>
        <v>18</v>
      </c>
      <c r="AF2233" s="14">
        <f>SUM(AF2209:AF2232)</f>
        <v>10</v>
      </c>
      <c r="AG2233" s="15">
        <f t="shared" si="1436"/>
        <v>48</v>
      </c>
    </row>
    <row r="2234" spans="1:34" ht="14.25" thickBot="1">
      <c r="A2234" s="27" t="s">
        <v>6</v>
      </c>
      <c r="B2234" s="28">
        <f>B2208-B2233</f>
        <v>3</v>
      </c>
      <c r="C2234" s="28">
        <f t="shared" ref="C2234:E2234" si="1452">C2208-C2233</f>
        <v>2</v>
      </c>
      <c r="D2234" s="28">
        <f t="shared" si="1452"/>
        <v>3</v>
      </c>
      <c r="E2234" s="28">
        <f t="shared" si="1452"/>
        <v>8</v>
      </c>
      <c r="F2234" s="28">
        <f>F2208-F2233</f>
        <v>3</v>
      </c>
      <c r="G2234" s="28">
        <f t="shared" ref="G2234:I2234" si="1453">G2208-G2233</f>
        <v>2</v>
      </c>
      <c r="H2234" s="28">
        <f t="shared" si="1453"/>
        <v>3</v>
      </c>
      <c r="I2234" s="26">
        <f t="shared" si="1453"/>
        <v>8</v>
      </c>
      <c r="K2234" s="27" t="s">
        <v>6</v>
      </c>
      <c r="L2234" s="28">
        <f>L2208-L2233</f>
        <v>15</v>
      </c>
      <c r="M2234" s="28">
        <f t="shared" ref="M2234:S2234" si="1454">M2208-M2233</f>
        <v>89</v>
      </c>
      <c r="N2234" s="28">
        <f t="shared" si="1454"/>
        <v>3</v>
      </c>
      <c r="O2234" s="28">
        <f t="shared" si="1454"/>
        <v>107</v>
      </c>
      <c r="P2234" s="28">
        <f t="shared" si="1454"/>
        <v>15</v>
      </c>
      <c r="Q2234" s="28">
        <f t="shared" si="1454"/>
        <v>89</v>
      </c>
      <c r="R2234" s="28">
        <f t="shared" si="1454"/>
        <v>3</v>
      </c>
      <c r="S2234" s="26">
        <f t="shared" si="1454"/>
        <v>107</v>
      </c>
      <c r="U2234" s="27" t="s">
        <v>6</v>
      </c>
      <c r="V2234" s="28">
        <f>V2208-V2233</f>
        <v>2</v>
      </c>
      <c r="W2234" s="28">
        <f t="shared" ref="W2234:Y2234" si="1455">W2208-W2233</f>
        <v>0</v>
      </c>
      <c r="X2234" s="28">
        <f t="shared" si="1455"/>
        <v>1</v>
      </c>
      <c r="Y2234" s="28">
        <f t="shared" si="1455"/>
        <v>3</v>
      </c>
      <c r="Z2234" s="28">
        <f>Z2208-Z2233</f>
        <v>2</v>
      </c>
      <c r="AA2234" s="28">
        <f t="shared" ref="AA2234:AC2234" si="1456">AA2208-AA2233</f>
        <v>0</v>
      </c>
      <c r="AB2234" s="28">
        <f t="shared" si="1456"/>
        <v>1</v>
      </c>
      <c r="AC2234" s="26">
        <f t="shared" si="1456"/>
        <v>3</v>
      </c>
      <c r="AD2234" s="28">
        <f>AD2208-AD2233</f>
        <v>2</v>
      </c>
      <c r="AE2234" s="28">
        <f t="shared" ref="AE2234:AG2234" si="1457">AE2208-AE2233</f>
        <v>-1</v>
      </c>
      <c r="AF2234" s="28">
        <f t="shared" si="1457"/>
        <v>1</v>
      </c>
      <c r="AG2234" s="26">
        <f t="shared" si="1457"/>
        <v>2</v>
      </c>
    </row>
    <row r="2235" spans="1:34">
      <c r="U2235" s="144"/>
      <c r="AD2235" s="74"/>
      <c r="AE2235" s="74"/>
      <c r="AF2235" s="74"/>
      <c r="AG2235" s="180"/>
    </row>
  </sheetData>
  <mergeCells count="326">
    <mergeCell ref="V2109:Y2109"/>
    <mergeCell ref="Z2109:AC2109"/>
    <mergeCell ref="AD2109:AG2109"/>
    <mergeCell ref="V2152:Y2152"/>
    <mergeCell ref="Z2152:AC2152"/>
    <mergeCell ref="AD2152:AG2152"/>
    <mergeCell ref="V2195:Y2195"/>
    <mergeCell ref="Z2195:AC2195"/>
    <mergeCell ref="AD2195:AG2195"/>
    <mergeCell ref="L2109:N2109"/>
    <mergeCell ref="P2109:R2109"/>
    <mergeCell ref="L2152:N2152"/>
    <mergeCell ref="P2152:R2152"/>
    <mergeCell ref="L2195:N2195"/>
    <mergeCell ref="P2195:R2195"/>
    <mergeCell ref="B2109:E2109"/>
    <mergeCell ref="F2109:I2109"/>
    <mergeCell ref="B2152:E2152"/>
    <mergeCell ref="F2152:I2152"/>
    <mergeCell ref="B2195:E2195"/>
    <mergeCell ref="F2195:I2195"/>
    <mergeCell ref="V2023:Y2023"/>
    <mergeCell ref="Z2023:AC2023"/>
    <mergeCell ref="AD2023:AG2023"/>
    <mergeCell ref="V2066:Y2066"/>
    <mergeCell ref="Z2066:AC2066"/>
    <mergeCell ref="AD2066:AG2066"/>
    <mergeCell ref="B1894:E1894"/>
    <mergeCell ref="F1894:I1894"/>
    <mergeCell ref="L1894:N1894"/>
    <mergeCell ref="P1894:R1894"/>
    <mergeCell ref="V1894:Y1894"/>
    <mergeCell ref="Z1894:AC1894"/>
    <mergeCell ref="AD1894:AG1894"/>
    <mergeCell ref="B1937:E1937"/>
    <mergeCell ref="F1937:I1937"/>
    <mergeCell ref="L1937:N1937"/>
    <mergeCell ref="P1937:R1937"/>
    <mergeCell ref="V1937:Y1937"/>
    <mergeCell ref="Z1937:AC1937"/>
    <mergeCell ref="AD1937:AG1937"/>
    <mergeCell ref="V1980:Y1980"/>
    <mergeCell ref="Z1980:AC1980"/>
    <mergeCell ref="AD1980:AG1980"/>
    <mergeCell ref="L2023:N2023"/>
    <mergeCell ref="B1851:E1851"/>
    <mergeCell ref="F1851:I1851"/>
    <mergeCell ref="L1851:N1851"/>
    <mergeCell ref="P1851:R1851"/>
    <mergeCell ref="V1851:Y1851"/>
    <mergeCell ref="Z1851:AC1851"/>
    <mergeCell ref="AD1851:AG1851"/>
    <mergeCell ref="B1765:E1765"/>
    <mergeCell ref="F1765:I1765"/>
    <mergeCell ref="L1765:N1765"/>
    <mergeCell ref="P1765:R1765"/>
    <mergeCell ref="V1765:Y1765"/>
    <mergeCell ref="Z1765:AC1765"/>
    <mergeCell ref="AD1765:AG1765"/>
    <mergeCell ref="B1722:E1722"/>
    <mergeCell ref="F1722:I1722"/>
    <mergeCell ref="V1722:Y1722"/>
    <mergeCell ref="Z1722:AC1722"/>
    <mergeCell ref="AD1722:AG1722"/>
    <mergeCell ref="B1636:E1636"/>
    <mergeCell ref="F1636:I1636"/>
    <mergeCell ref="V1636:Y1636"/>
    <mergeCell ref="Z1636:AC1636"/>
    <mergeCell ref="AD1636:AG1636"/>
    <mergeCell ref="B1679:E1679"/>
    <mergeCell ref="F1679:I1679"/>
    <mergeCell ref="V1679:Y1679"/>
    <mergeCell ref="Z1679:AC1679"/>
    <mergeCell ref="AD1679:AG1679"/>
    <mergeCell ref="B1421:E1421"/>
    <mergeCell ref="F1421:I1421"/>
    <mergeCell ref="L1421:O1421"/>
    <mergeCell ref="Z1421:AC1421"/>
    <mergeCell ref="AD1421:AG1421"/>
    <mergeCell ref="B1593:E1593"/>
    <mergeCell ref="F1593:I1593"/>
    <mergeCell ref="V1593:Y1593"/>
    <mergeCell ref="Z1593:AC1593"/>
    <mergeCell ref="AD1593:AG1593"/>
    <mergeCell ref="F1507:I1507"/>
    <mergeCell ref="L1507:O1507"/>
    <mergeCell ref="P1507:S1507"/>
    <mergeCell ref="V1507:Y1507"/>
    <mergeCell ref="Z1507:AC1507"/>
    <mergeCell ref="AD1507:AG1507"/>
    <mergeCell ref="B1507:E1507"/>
    <mergeCell ref="V1550:Y1550"/>
    <mergeCell ref="Z1550:AC1550"/>
    <mergeCell ref="AD1550:AG1550"/>
    <mergeCell ref="B1550:E1550"/>
    <mergeCell ref="F1550:I1550"/>
    <mergeCell ref="L1464:O1464"/>
    <mergeCell ref="P1464:S1464"/>
    <mergeCell ref="P1335:S1335"/>
    <mergeCell ref="V1292:Y1292"/>
    <mergeCell ref="Z1292:AC1292"/>
    <mergeCell ref="AD1292:AG1292"/>
    <mergeCell ref="V1335:Y1335"/>
    <mergeCell ref="Z1335:AC1335"/>
    <mergeCell ref="AD1335:AG1335"/>
    <mergeCell ref="V1421:Y1421"/>
    <mergeCell ref="V1464:Y1464"/>
    <mergeCell ref="B733:E733"/>
    <mergeCell ref="F733:I733"/>
    <mergeCell ref="L733:O733"/>
    <mergeCell ref="P733:S733"/>
    <mergeCell ref="AN604:AQ604"/>
    <mergeCell ref="B604:E604"/>
    <mergeCell ref="F604:I604"/>
    <mergeCell ref="L604:O604"/>
    <mergeCell ref="P604:S604"/>
    <mergeCell ref="AJ604:AM604"/>
    <mergeCell ref="V604:Y604"/>
    <mergeCell ref="Z604:AC604"/>
    <mergeCell ref="AD604:AG604"/>
    <mergeCell ref="AD690:AG690"/>
    <mergeCell ref="V733:Y733"/>
    <mergeCell ref="Z733:AC733"/>
    <mergeCell ref="AD733:AG733"/>
    <mergeCell ref="P647:S647"/>
    <mergeCell ref="AD647:AG647"/>
    <mergeCell ref="B647:E647"/>
    <mergeCell ref="F647:I647"/>
    <mergeCell ref="L647:O647"/>
    <mergeCell ref="Z647:AC647"/>
    <mergeCell ref="Z690:AC690"/>
    <mergeCell ref="B2:E2"/>
    <mergeCell ref="F2:I2"/>
    <mergeCell ref="B88:E88"/>
    <mergeCell ref="F88:I88"/>
    <mergeCell ref="AN131:AQ131"/>
    <mergeCell ref="B131:E131"/>
    <mergeCell ref="F131:I131"/>
    <mergeCell ref="AJ131:AM131"/>
    <mergeCell ref="B45:E45"/>
    <mergeCell ref="F45:I45"/>
    <mergeCell ref="B174:E174"/>
    <mergeCell ref="F174:I174"/>
    <mergeCell ref="AJ174:AM174"/>
    <mergeCell ref="AN174:AQ174"/>
    <mergeCell ref="AN346:AQ346"/>
    <mergeCell ref="B346:E346"/>
    <mergeCell ref="F346:I346"/>
    <mergeCell ref="L346:O346"/>
    <mergeCell ref="P346:S346"/>
    <mergeCell ref="AJ346:AM346"/>
    <mergeCell ref="AN303:AQ303"/>
    <mergeCell ref="L303:O303"/>
    <mergeCell ref="P303:S303"/>
    <mergeCell ref="B303:E303"/>
    <mergeCell ref="F303:I303"/>
    <mergeCell ref="AJ303:AM303"/>
    <mergeCell ref="B260:E260"/>
    <mergeCell ref="F260:I260"/>
    <mergeCell ref="AJ260:AM260"/>
    <mergeCell ref="AN260:AQ260"/>
    <mergeCell ref="AN217:AQ217"/>
    <mergeCell ref="AN518:AQ518"/>
    <mergeCell ref="B518:E518"/>
    <mergeCell ref="F518:I518"/>
    <mergeCell ref="L518:O518"/>
    <mergeCell ref="B217:E217"/>
    <mergeCell ref="F217:I217"/>
    <mergeCell ref="P432:S432"/>
    <mergeCell ref="V647:Y647"/>
    <mergeCell ref="B690:E690"/>
    <mergeCell ref="F690:I690"/>
    <mergeCell ref="AJ518:AM518"/>
    <mergeCell ref="AN475:AQ475"/>
    <mergeCell ref="B475:E475"/>
    <mergeCell ref="F475:I475"/>
    <mergeCell ref="L475:O475"/>
    <mergeCell ref="P475:S475"/>
    <mergeCell ref="AJ475:AM475"/>
    <mergeCell ref="AN561:AQ561"/>
    <mergeCell ref="B561:E561"/>
    <mergeCell ref="F561:I561"/>
    <mergeCell ref="L561:O561"/>
    <mergeCell ref="P561:S561"/>
    <mergeCell ref="AJ561:AM561"/>
    <mergeCell ref="AJ217:AM217"/>
    <mergeCell ref="AJ432:AM432"/>
    <mergeCell ref="AN432:AQ432"/>
    <mergeCell ref="B432:E432"/>
    <mergeCell ref="F432:I432"/>
    <mergeCell ref="AN389:AQ389"/>
    <mergeCell ref="B389:E389"/>
    <mergeCell ref="F389:I389"/>
    <mergeCell ref="L389:O389"/>
    <mergeCell ref="P389:S389"/>
    <mergeCell ref="AJ389:AM389"/>
    <mergeCell ref="L432:O432"/>
    <mergeCell ref="L690:O690"/>
    <mergeCell ref="P690:S690"/>
    <mergeCell ref="V690:Y690"/>
    <mergeCell ref="P518:S518"/>
    <mergeCell ref="Z905:AC905"/>
    <mergeCell ref="AD905:AG905"/>
    <mergeCell ref="P862:S862"/>
    <mergeCell ref="V862:Y862"/>
    <mergeCell ref="Z862:AC862"/>
    <mergeCell ref="AD862:AG862"/>
    <mergeCell ref="Z776:AC776"/>
    <mergeCell ref="AD776:AG776"/>
    <mergeCell ref="Z819:AC819"/>
    <mergeCell ref="B776:E776"/>
    <mergeCell ref="F776:I776"/>
    <mergeCell ref="L776:O776"/>
    <mergeCell ref="P776:S776"/>
    <mergeCell ref="V776:Y776"/>
    <mergeCell ref="AD819:AG819"/>
    <mergeCell ref="B862:E862"/>
    <mergeCell ref="F862:I862"/>
    <mergeCell ref="L862:O862"/>
    <mergeCell ref="P948:S948"/>
    <mergeCell ref="V948:Y948"/>
    <mergeCell ref="B905:E905"/>
    <mergeCell ref="F905:I905"/>
    <mergeCell ref="L905:O905"/>
    <mergeCell ref="P905:S905"/>
    <mergeCell ref="V819:Y819"/>
    <mergeCell ref="P819:S819"/>
    <mergeCell ref="L819:O819"/>
    <mergeCell ref="F819:I819"/>
    <mergeCell ref="B819:E819"/>
    <mergeCell ref="V905:Y905"/>
    <mergeCell ref="Z948:AC948"/>
    <mergeCell ref="AD948:AG948"/>
    <mergeCell ref="V991:Y991"/>
    <mergeCell ref="Z1034:AC1034"/>
    <mergeCell ref="L1034:O1034"/>
    <mergeCell ref="P1034:S1034"/>
    <mergeCell ref="P1163:S1163"/>
    <mergeCell ref="V1163:Y1163"/>
    <mergeCell ref="B948:E948"/>
    <mergeCell ref="F948:I948"/>
    <mergeCell ref="L948:O948"/>
    <mergeCell ref="AD1120:AG1120"/>
    <mergeCell ref="B991:E991"/>
    <mergeCell ref="F991:I991"/>
    <mergeCell ref="B1034:E1034"/>
    <mergeCell ref="F1077:I1077"/>
    <mergeCell ref="B1077:E1077"/>
    <mergeCell ref="B1120:E1120"/>
    <mergeCell ref="F1120:I1120"/>
    <mergeCell ref="F1034:I1034"/>
    <mergeCell ref="L1077:O1077"/>
    <mergeCell ref="P1077:S1077"/>
    <mergeCell ref="V1077:Y1077"/>
    <mergeCell ref="V1034:Y1034"/>
    <mergeCell ref="K1161:N1161"/>
    <mergeCell ref="L1120:O1120"/>
    <mergeCell ref="P1120:S1120"/>
    <mergeCell ref="V1120:Y1120"/>
    <mergeCell ref="Z1120:AC1120"/>
    <mergeCell ref="P991:S991"/>
    <mergeCell ref="AD1034:AG1034"/>
    <mergeCell ref="Z991:AC991"/>
    <mergeCell ref="AD991:AG991"/>
    <mergeCell ref="Z1077:AC1077"/>
    <mergeCell ref="AD1077:AG1077"/>
    <mergeCell ref="L991:O991"/>
    <mergeCell ref="AD1163:AG1163"/>
    <mergeCell ref="B1292:E1292"/>
    <mergeCell ref="F1292:I1292"/>
    <mergeCell ref="B1335:E1335"/>
    <mergeCell ref="F1335:I1335"/>
    <mergeCell ref="L1249:O1249"/>
    <mergeCell ref="B1206:E1206"/>
    <mergeCell ref="F1206:I1206"/>
    <mergeCell ref="L1206:O1206"/>
    <mergeCell ref="P1206:S1206"/>
    <mergeCell ref="B1163:E1163"/>
    <mergeCell ref="V1206:Y1206"/>
    <mergeCell ref="Z1206:AC1206"/>
    <mergeCell ref="AD1206:AG1206"/>
    <mergeCell ref="Z1163:AC1163"/>
    <mergeCell ref="F1163:I1163"/>
    <mergeCell ref="L1163:O1163"/>
    <mergeCell ref="V1249:Y1249"/>
    <mergeCell ref="Z1249:AC1249"/>
    <mergeCell ref="AD1249:AG1249"/>
    <mergeCell ref="P1249:S1249"/>
    <mergeCell ref="L1292:O1292"/>
    <mergeCell ref="P1292:S1292"/>
    <mergeCell ref="L1335:O1335"/>
    <mergeCell ref="B1249:E1249"/>
    <mergeCell ref="F1249:I1249"/>
    <mergeCell ref="B1378:E1378"/>
    <mergeCell ref="F1378:I1378"/>
    <mergeCell ref="L1378:O1378"/>
    <mergeCell ref="P1378:S1378"/>
    <mergeCell ref="AD1378:AG1378"/>
    <mergeCell ref="Z1378:AC1378"/>
    <mergeCell ref="B1808:E1808"/>
    <mergeCell ref="F1808:I1808"/>
    <mergeCell ref="L1808:N1808"/>
    <mergeCell ref="P1808:R1808"/>
    <mergeCell ref="V1808:Y1808"/>
    <mergeCell ref="Z1808:AC1808"/>
    <mergeCell ref="AD1808:AG1808"/>
    <mergeCell ref="A1806:AG1806"/>
    <mergeCell ref="P1421:S1421"/>
    <mergeCell ref="B1462:K1462"/>
    <mergeCell ref="U1462:AD1462"/>
    <mergeCell ref="V1378:Y1378"/>
    <mergeCell ref="B1464:E1464"/>
    <mergeCell ref="F1464:I1464"/>
    <mergeCell ref="Z1464:AC1464"/>
    <mergeCell ref="AD1464:AG1464"/>
    <mergeCell ref="P2023:R2023"/>
    <mergeCell ref="L2066:N2066"/>
    <mergeCell ref="P2066:R2066"/>
    <mergeCell ref="B2023:E2023"/>
    <mergeCell ref="F2023:I2023"/>
    <mergeCell ref="B2066:E2066"/>
    <mergeCell ref="F2066:I2066"/>
    <mergeCell ref="B1980:E1980"/>
    <mergeCell ref="F1980:I1980"/>
    <mergeCell ref="L1980:N1980"/>
    <mergeCell ref="P1980:R1980"/>
  </mergeCells>
  <phoneticPr fontId="7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綿ジャガードブラキャミ２色　３色組</vt:lpstr>
      <vt:lpstr>Sheet3</vt:lpstr>
      <vt:lpstr>Sheet1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2026-06-18T09:39:12Z</dcterms:modified>
</cp:coreProperties>
</file>