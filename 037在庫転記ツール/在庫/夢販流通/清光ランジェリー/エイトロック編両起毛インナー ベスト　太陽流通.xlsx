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A2EB1565-0B0C-4788-9D80-175E36330B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ベス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81" i="1" l="1"/>
  <c r="J781" i="1"/>
  <c r="K781" i="1"/>
  <c r="H781" i="1"/>
  <c r="I780" i="1"/>
  <c r="J780" i="1"/>
  <c r="K780" i="1"/>
  <c r="H780" i="1"/>
  <c r="K820" i="1"/>
  <c r="K819" i="1"/>
  <c r="K821" i="1"/>
  <c r="K818" i="1"/>
  <c r="K817" i="1"/>
  <c r="K816" i="1"/>
  <c r="K815" i="1"/>
  <c r="K745" i="1"/>
  <c r="K746" i="1"/>
  <c r="K747" i="1"/>
  <c r="C786" i="1"/>
  <c r="E787" i="1"/>
  <c r="K787" i="1"/>
  <c r="E788" i="1"/>
  <c r="K788" i="1"/>
  <c r="E789" i="1"/>
  <c r="K789" i="1"/>
  <c r="E790" i="1"/>
  <c r="K790" i="1"/>
  <c r="E791" i="1"/>
  <c r="K791" i="1"/>
  <c r="E792" i="1"/>
  <c r="K792" i="1"/>
  <c r="E793" i="1"/>
  <c r="K793" i="1"/>
  <c r="E794" i="1"/>
  <c r="K794" i="1"/>
  <c r="E795" i="1"/>
  <c r="K795" i="1"/>
  <c r="E796" i="1"/>
  <c r="K796" i="1"/>
  <c r="C797" i="1"/>
  <c r="E798" i="1"/>
  <c r="K798" i="1"/>
  <c r="E799" i="1"/>
  <c r="K799" i="1"/>
  <c r="E800" i="1"/>
  <c r="K800" i="1"/>
  <c r="E801" i="1"/>
  <c r="K801" i="1"/>
  <c r="E802" i="1"/>
  <c r="K802" i="1"/>
  <c r="E803" i="1"/>
  <c r="K803" i="1"/>
  <c r="E804" i="1"/>
  <c r="K804" i="1"/>
  <c r="E805" i="1"/>
  <c r="K805" i="1"/>
  <c r="E806" i="1"/>
  <c r="K806" i="1"/>
  <c r="E807" i="1"/>
  <c r="K807" i="1"/>
  <c r="E808" i="1"/>
  <c r="K808" i="1"/>
  <c r="E809" i="1"/>
  <c r="K809" i="1"/>
  <c r="E810" i="1"/>
  <c r="K810" i="1"/>
  <c r="E811" i="1"/>
  <c r="K811" i="1"/>
  <c r="E812" i="1"/>
  <c r="K812" i="1"/>
  <c r="E813" i="1"/>
  <c r="K813" i="1"/>
  <c r="E814" i="1"/>
  <c r="K814" i="1"/>
  <c r="E815" i="1"/>
  <c r="E816" i="1"/>
  <c r="E817" i="1"/>
  <c r="E818" i="1"/>
  <c r="E819" i="1"/>
  <c r="E820" i="1"/>
  <c r="E821" i="1"/>
  <c r="B822" i="1"/>
  <c r="C822" i="1"/>
  <c r="D822" i="1"/>
  <c r="H822" i="1"/>
  <c r="I822" i="1"/>
  <c r="J822" i="1"/>
  <c r="C823" i="1"/>
  <c r="K825" i="1"/>
  <c r="H826" i="1"/>
  <c r="I826" i="1"/>
  <c r="J826" i="1"/>
  <c r="K826" i="1"/>
  <c r="E704" i="1"/>
  <c r="K775" i="1"/>
  <c r="K776" i="1"/>
  <c r="K778" i="1" s="1"/>
  <c r="K777" i="1"/>
  <c r="K754" i="1"/>
  <c r="K755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43" i="1"/>
  <c r="E744" i="1"/>
  <c r="J778" i="1"/>
  <c r="I778" i="1"/>
  <c r="H778" i="1"/>
  <c r="D778" i="1"/>
  <c r="C778" i="1"/>
  <c r="B778" i="1"/>
  <c r="E777" i="1"/>
  <c r="E776" i="1"/>
  <c r="E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J753" i="1"/>
  <c r="I753" i="1"/>
  <c r="I779" i="1" s="1"/>
  <c r="I786" i="1" s="1"/>
  <c r="I797" i="1" s="1"/>
  <c r="H753" i="1"/>
  <c r="K752" i="1"/>
  <c r="E752" i="1"/>
  <c r="K751" i="1"/>
  <c r="E751" i="1"/>
  <c r="K750" i="1"/>
  <c r="E750" i="1"/>
  <c r="K749" i="1"/>
  <c r="E749" i="1"/>
  <c r="K748" i="1"/>
  <c r="E748" i="1"/>
  <c r="E747" i="1"/>
  <c r="E746" i="1"/>
  <c r="E745" i="1"/>
  <c r="K744" i="1"/>
  <c r="K743" i="1"/>
  <c r="K742" i="1"/>
  <c r="J742" i="1"/>
  <c r="I742" i="1"/>
  <c r="H742" i="1"/>
  <c r="K698" i="1"/>
  <c r="K654" i="1"/>
  <c r="K610" i="1"/>
  <c r="K731" i="1"/>
  <c r="K702" i="1"/>
  <c r="K703" i="1"/>
  <c r="K681" i="1"/>
  <c r="K682" i="1"/>
  <c r="K683" i="1"/>
  <c r="K725" i="1"/>
  <c r="K726" i="1"/>
  <c r="K727" i="1"/>
  <c r="K728" i="1"/>
  <c r="K729" i="1"/>
  <c r="K730" i="1"/>
  <c r="K733" i="1"/>
  <c r="K732" i="1"/>
  <c r="J734" i="1"/>
  <c r="I734" i="1"/>
  <c r="H734" i="1"/>
  <c r="D734" i="1"/>
  <c r="C734" i="1"/>
  <c r="B734" i="1"/>
  <c r="E733" i="1"/>
  <c r="E732" i="1"/>
  <c r="E731" i="1"/>
  <c r="E730" i="1"/>
  <c r="E729" i="1"/>
  <c r="E728" i="1"/>
  <c r="E727" i="1"/>
  <c r="E726" i="1"/>
  <c r="E725" i="1"/>
  <c r="K724" i="1"/>
  <c r="E724" i="1"/>
  <c r="K723" i="1"/>
  <c r="E723" i="1"/>
  <c r="K722" i="1"/>
  <c r="E722" i="1"/>
  <c r="K721" i="1"/>
  <c r="E721" i="1"/>
  <c r="K720" i="1"/>
  <c r="E720" i="1"/>
  <c r="K719" i="1"/>
  <c r="E719" i="1"/>
  <c r="K718" i="1"/>
  <c r="E718" i="1"/>
  <c r="K717" i="1"/>
  <c r="E717" i="1"/>
  <c r="K716" i="1"/>
  <c r="E716" i="1"/>
  <c r="K715" i="1"/>
  <c r="E715" i="1"/>
  <c r="K714" i="1"/>
  <c r="E714" i="1"/>
  <c r="K713" i="1"/>
  <c r="E713" i="1"/>
  <c r="K712" i="1"/>
  <c r="E712" i="1"/>
  <c r="K711" i="1"/>
  <c r="E711" i="1"/>
  <c r="K710" i="1"/>
  <c r="E710" i="1"/>
  <c r="K708" i="1"/>
  <c r="E708" i="1"/>
  <c r="K707" i="1"/>
  <c r="E707" i="1"/>
  <c r="K706" i="1"/>
  <c r="E706" i="1"/>
  <c r="K705" i="1"/>
  <c r="E705" i="1"/>
  <c r="K704" i="1"/>
  <c r="E703" i="1"/>
  <c r="E702" i="1"/>
  <c r="K701" i="1"/>
  <c r="E701" i="1"/>
  <c r="K700" i="1"/>
  <c r="E700" i="1"/>
  <c r="K699" i="1"/>
  <c r="E699" i="1"/>
  <c r="K685" i="1"/>
  <c r="K686" i="1"/>
  <c r="K687" i="1"/>
  <c r="K688" i="1"/>
  <c r="K689" i="1"/>
  <c r="K613" i="1"/>
  <c r="K658" i="1"/>
  <c r="K640" i="1"/>
  <c r="K641" i="1"/>
  <c r="K642" i="1"/>
  <c r="K643" i="1"/>
  <c r="K645" i="1"/>
  <c r="K644" i="1"/>
  <c r="K600" i="1"/>
  <c r="K657" i="1"/>
  <c r="E666" i="1"/>
  <c r="K684" i="1"/>
  <c r="D690" i="1"/>
  <c r="C690" i="1"/>
  <c r="B690" i="1"/>
  <c r="E689" i="1"/>
  <c r="E688" i="1"/>
  <c r="J690" i="1"/>
  <c r="I690" i="1"/>
  <c r="E687" i="1"/>
  <c r="E686" i="1"/>
  <c r="E685" i="1"/>
  <c r="E684" i="1"/>
  <c r="E683" i="1"/>
  <c r="E682" i="1"/>
  <c r="E681" i="1"/>
  <c r="K680" i="1"/>
  <c r="E680" i="1"/>
  <c r="K679" i="1"/>
  <c r="E679" i="1"/>
  <c r="K678" i="1"/>
  <c r="E678" i="1"/>
  <c r="K677" i="1"/>
  <c r="E677" i="1"/>
  <c r="K676" i="1"/>
  <c r="E676" i="1"/>
  <c r="K675" i="1"/>
  <c r="E675" i="1"/>
  <c r="K674" i="1"/>
  <c r="E674" i="1"/>
  <c r="K673" i="1"/>
  <c r="E673" i="1"/>
  <c r="K672" i="1"/>
  <c r="E672" i="1"/>
  <c r="K671" i="1"/>
  <c r="E671" i="1"/>
  <c r="K670" i="1"/>
  <c r="E670" i="1"/>
  <c r="K669" i="1"/>
  <c r="E669" i="1"/>
  <c r="K668" i="1"/>
  <c r="E668" i="1"/>
  <c r="K667" i="1"/>
  <c r="E667" i="1"/>
  <c r="K666" i="1"/>
  <c r="K664" i="1"/>
  <c r="E664" i="1"/>
  <c r="K663" i="1"/>
  <c r="E663" i="1"/>
  <c r="K662" i="1"/>
  <c r="E662" i="1"/>
  <c r="K661" i="1"/>
  <c r="E661" i="1"/>
  <c r="K660" i="1"/>
  <c r="E660" i="1"/>
  <c r="K659" i="1"/>
  <c r="E659" i="1"/>
  <c r="E658" i="1"/>
  <c r="E657" i="1"/>
  <c r="K656" i="1"/>
  <c r="E656" i="1"/>
  <c r="K655" i="1"/>
  <c r="E655" i="1"/>
  <c r="K599" i="1"/>
  <c r="K598" i="1"/>
  <c r="K597" i="1"/>
  <c r="K596" i="1"/>
  <c r="K639" i="1"/>
  <c r="K584" i="1"/>
  <c r="E599" i="1"/>
  <c r="K578" i="1"/>
  <c r="K537" i="1"/>
  <c r="K554" i="1"/>
  <c r="K555" i="1"/>
  <c r="K556" i="1"/>
  <c r="K526" i="1"/>
  <c r="D646" i="1"/>
  <c r="C646" i="1"/>
  <c r="B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0" i="1"/>
  <c r="E619" i="1"/>
  <c r="E618" i="1"/>
  <c r="E617" i="1"/>
  <c r="E616" i="1"/>
  <c r="E615" i="1"/>
  <c r="E614" i="1"/>
  <c r="E613" i="1"/>
  <c r="E612" i="1"/>
  <c r="E611" i="1"/>
  <c r="K593" i="1"/>
  <c r="K594" i="1"/>
  <c r="K595" i="1"/>
  <c r="K622" i="1"/>
  <c r="K637" i="1"/>
  <c r="K638" i="1"/>
  <c r="J646" i="1"/>
  <c r="I646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0" i="1"/>
  <c r="K619" i="1"/>
  <c r="K618" i="1"/>
  <c r="K617" i="1"/>
  <c r="K616" i="1"/>
  <c r="K615" i="1"/>
  <c r="K614" i="1"/>
  <c r="K612" i="1"/>
  <c r="K611" i="1"/>
  <c r="E526" i="1"/>
  <c r="K535" i="1"/>
  <c r="E536" i="1"/>
  <c r="K601" i="1"/>
  <c r="K553" i="1"/>
  <c r="K550" i="1"/>
  <c r="K534" i="1"/>
  <c r="E535" i="1"/>
  <c r="K822" i="1" l="1"/>
  <c r="I823" i="1"/>
  <c r="E822" i="1"/>
  <c r="E778" i="1"/>
  <c r="K753" i="1"/>
  <c r="K779" i="1" s="1"/>
  <c r="K786" i="1" s="1"/>
  <c r="K797" i="1" s="1"/>
  <c r="H779" i="1"/>
  <c r="H786" i="1" s="1"/>
  <c r="H797" i="1" s="1"/>
  <c r="H823" i="1" s="1"/>
  <c r="J779" i="1"/>
  <c r="J786" i="1" s="1"/>
  <c r="J797" i="1" s="1"/>
  <c r="J823" i="1" s="1"/>
  <c r="E734" i="1"/>
  <c r="E690" i="1"/>
  <c r="K734" i="1"/>
  <c r="K690" i="1"/>
  <c r="K709" i="1" s="1"/>
  <c r="H690" i="1"/>
  <c r="E646" i="1"/>
  <c r="K646" i="1"/>
  <c r="K665" i="1" s="1"/>
  <c r="H646" i="1"/>
  <c r="K480" i="1"/>
  <c r="K481" i="1"/>
  <c r="K482" i="1"/>
  <c r="K483" i="1"/>
  <c r="K505" i="1"/>
  <c r="K506" i="1"/>
  <c r="K507" i="1"/>
  <c r="K508" i="1"/>
  <c r="K509" i="1"/>
  <c r="K510" i="1"/>
  <c r="K511" i="1"/>
  <c r="K512" i="1"/>
  <c r="K513" i="1"/>
  <c r="J558" i="1"/>
  <c r="I558" i="1"/>
  <c r="H558" i="1"/>
  <c r="K557" i="1"/>
  <c r="K552" i="1"/>
  <c r="K551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6" i="1"/>
  <c r="K532" i="1"/>
  <c r="K531" i="1"/>
  <c r="K530" i="1"/>
  <c r="K529" i="1"/>
  <c r="K528" i="1"/>
  <c r="K527" i="1"/>
  <c r="K525" i="1"/>
  <c r="K524" i="1"/>
  <c r="K523" i="1"/>
  <c r="J602" i="1"/>
  <c r="I602" i="1"/>
  <c r="H602" i="1"/>
  <c r="D602" i="1"/>
  <c r="C602" i="1"/>
  <c r="B602" i="1"/>
  <c r="E601" i="1"/>
  <c r="E600" i="1"/>
  <c r="E598" i="1"/>
  <c r="E597" i="1"/>
  <c r="E596" i="1"/>
  <c r="E595" i="1"/>
  <c r="E594" i="1"/>
  <c r="E593" i="1"/>
  <c r="K592" i="1"/>
  <c r="E592" i="1"/>
  <c r="K591" i="1"/>
  <c r="E591" i="1"/>
  <c r="K590" i="1"/>
  <c r="E590" i="1"/>
  <c r="K589" i="1"/>
  <c r="E589" i="1"/>
  <c r="K588" i="1"/>
  <c r="E588" i="1"/>
  <c r="K587" i="1"/>
  <c r="E587" i="1"/>
  <c r="K586" i="1"/>
  <c r="E586" i="1"/>
  <c r="K585" i="1"/>
  <c r="E585" i="1"/>
  <c r="E584" i="1"/>
  <c r="K583" i="1"/>
  <c r="E583" i="1"/>
  <c r="K582" i="1"/>
  <c r="E582" i="1"/>
  <c r="K581" i="1"/>
  <c r="E581" i="1"/>
  <c r="K580" i="1"/>
  <c r="E580" i="1"/>
  <c r="K579" i="1"/>
  <c r="E579" i="1"/>
  <c r="E578" i="1"/>
  <c r="K576" i="1"/>
  <c r="E576" i="1"/>
  <c r="K575" i="1"/>
  <c r="E575" i="1"/>
  <c r="K574" i="1"/>
  <c r="E574" i="1"/>
  <c r="K573" i="1"/>
  <c r="E573" i="1"/>
  <c r="K572" i="1"/>
  <c r="E572" i="1"/>
  <c r="K571" i="1"/>
  <c r="E571" i="1"/>
  <c r="K570" i="1"/>
  <c r="E570" i="1"/>
  <c r="K569" i="1"/>
  <c r="E569" i="1"/>
  <c r="K568" i="1"/>
  <c r="E568" i="1"/>
  <c r="K567" i="1"/>
  <c r="E567" i="1"/>
  <c r="E523" i="1"/>
  <c r="E524" i="1"/>
  <c r="E534" i="1"/>
  <c r="D558" i="1"/>
  <c r="C558" i="1"/>
  <c r="B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2" i="1"/>
  <c r="E531" i="1"/>
  <c r="E530" i="1"/>
  <c r="E529" i="1"/>
  <c r="E528" i="1"/>
  <c r="E527" i="1"/>
  <c r="E525" i="1"/>
  <c r="J255" i="1"/>
  <c r="I255" i="1"/>
  <c r="H255" i="1"/>
  <c r="J298" i="1"/>
  <c r="I298" i="1"/>
  <c r="H298" i="1"/>
  <c r="J341" i="1"/>
  <c r="I341" i="1"/>
  <c r="H341" i="1"/>
  <c r="J384" i="1"/>
  <c r="I384" i="1"/>
  <c r="H384" i="1"/>
  <c r="J427" i="1"/>
  <c r="I427" i="1"/>
  <c r="H427" i="1"/>
  <c r="J470" i="1"/>
  <c r="I470" i="1"/>
  <c r="H470" i="1"/>
  <c r="I514" i="1"/>
  <c r="J514" i="1"/>
  <c r="H514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K490" i="1"/>
  <c r="K491" i="1"/>
  <c r="K492" i="1"/>
  <c r="K493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479" i="1"/>
  <c r="E480" i="1"/>
  <c r="E481" i="1"/>
  <c r="E482" i="1"/>
  <c r="E483" i="1"/>
  <c r="E484" i="1"/>
  <c r="E485" i="1"/>
  <c r="E486" i="1"/>
  <c r="D514" i="1"/>
  <c r="C514" i="1"/>
  <c r="B514" i="1"/>
  <c r="E513" i="1"/>
  <c r="E512" i="1"/>
  <c r="E511" i="1"/>
  <c r="K504" i="1"/>
  <c r="K503" i="1"/>
  <c r="K502" i="1"/>
  <c r="K501" i="1"/>
  <c r="K500" i="1"/>
  <c r="K499" i="1"/>
  <c r="K498" i="1"/>
  <c r="K497" i="1"/>
  <c r="K496" i="1"/>
  <c r="K495" i="1"/>
  <c r="K494" i="1"/>
  <c r="K488" i="1"/>
  <c r="E488" i="1"/>
  <c r="K487" i="1"/>
  <c r="E487" i="1"/>
  <c r="K486" i="1"/>
  <c r="K485" i="1"/>
  <c r="K484" i="1"/>
  <c r="K479" i="1"/>
  <c r="K421" i="1"/>
  <c r="K422" i="1"/>
  <c r="K423" i="1"/>
  <c r="K424" i="1"/>
  <c r="K425" i="1"/>
  <c r="K467" i="1"/>
  <c r="K468" i="1"/>
  <c r="K469" i="1"/>
  <c r="K464" i="1"/>
  <c r="K465" i="1"/>
  <c r="K466" i="1"/>
  <c r="K446" i="1"/>
  <c r="K447" i="1"/>
  <c r="K448" i="1"/>
  <c r="K449" i="1"/>
  <c r="K450" i="1"/>
  <c r="K451" i="1"/>
  <c r="K452" i="1"/>
  <c r="K453" i="1"/>
  <c r="K454" i="1"/>
  <c r="K455" i="1"/>
  <c r="E435" i="1"/>
  <c r="E436" i="1"/>
  <c r="E437" i="1"/>
  <c r="E438" i="1"/>
  <c r="E439" i="1"/>
  <c r="E440" i="1"/>
  <c r="E441" i="1"/>
  <c r="D470" i="1"/>
  <c r="C470" i="1"/>
  <c r="B470" i="1"/>
  <c r="E469" i="1"/>
  <c r="K463" i="1"/>
  <c r="K462" i="1"/>
  <c r="K461" i="1"/>
  <c r="K460" i="1"/>
  <c r="K459" i="1"/>
  <c r="K458" i="1"/>
  <c r="K457" i="1"/>
  <c r="K456" i="1"/>
  <c r="E452" i="1"/>
  <c r="E451" i="1"/>
  <c r="E450" i="1"/>
  <c r="E449" i="1"/>
  <c r="E448" i="1"/>
  <c r="E447" i="1"/>
  <c r="E446" i="1"/>
  <c r="K444" i="1"/>
  <c r="E444" i="1"/>
  <c r="K443" i="1"/>
  <c r="E443" i="1"/>
  <c r="K442" i="1"/>
  <c r="E442" i="1"/>
  <c r="K441" i="1"/>
  <c r="K440" i="1"/>
  <c r="K439" i="1"/>
  <c r="K438" i="1"/>
  <c r="K437" i="1"/>
  <c r="K436" i="1"/>
  <c r="K435" i="1"/>
  <c r="E414" i="1"/>
  <c r="E413" i="1"/>
  <c r="E403" i="1"/>
  <c r="E404" i="1"/>
  <c r="E405" i="1"/>
  <c r="E406" i="1"/>
  <c r="E407" i="1"/>
  <c r="E408" i="1"/>
  <c r="E409" i="1"/>
  <c r="E410" i="1"/>
  <c r="E411" i="1"/>
  <c r="E412" i="1"/>
  <c r="E415" i="1"/>
  <c r="E416" i="1"/>
  <c r="E417" i="1"/>
  <c r="E418" i="1"/>
  <c r="E419" i="1"/>
  <c r="E420" i="1"/>
  <c r="E421" i="1"/>
  <c r="E422" i="1"/>
  <c r="E423" i="1"/>
  <c r="E424" i="1"/>
  <c r="E392" i="1"/>
  <c r="E393" i="1"/>
  <c r="E394" i="1"/>
  <c r="E395" i="1"/>
  <c r="E396" i="1"/>
  <c r="K403" i="1"/>
  <c r="K404" i="1"/>
  <c r="K405" i="1"/>
  <c r="K406" i="1"/>
  <c r="K407" i="1"/>
  <c r="K408" i="1"/>
  <c r="K379" i="1"/>
  <c r="K380" i="1"/>
  <c r="K381" i="1"/>
  <c r="K382" i="1"/>
  <c r="K383" i="1"/>
  <c r="D427" i="1"/>
  <c r="C427" i="1"/>
  <c r="B427" i="1"/>
  <c r="K426" i="1"/>
  <c r="E426" i="1"/>
  <c r="E425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1" i="1"/>
  <c r="E401" i="1"/>
  <c r="K400" i="1"/>
  <c r="E400" i="1"/>
  <c r="K399" i="1"/>
  <c r="E399" i="1"/>
  <c r="K398" i="1"/>
  <c r="E398" i="1"/>
  <c r="K397" i="1"/>
  <c r="E397" i="1"/>
  <c r="K396" i="1"/>
  <c r="K395" i="1"/>
  <c r="K394" i="1"/>
  <c r="K393" i="1"/>
  <c r="K392" i="1"/>
  <c r="K340" i="1"/>
  <c r="K337" i="1"/>
  <c r="K336" i="1"/>
  <c r="K360" i="1"/>
  <c r="K361" i="1"/>
  <c r="K362" i="1"/>
  <c r="E360" i="1"/>
  <c r="E361" i="1"/>
  <c r="E362" i="1"/>
  <c r="E363" i="1"/>
  <c r="E364" i="1"/>
  <c r="E365" i="1"/>
  <c r="E366" i="1"/>
  <c r="E367" i="1"/>
  <c r="E368" i="1"/>
  <c r="E369" i="1"/>
  <c r="E349" i="1"/>
  <c r="E350" i="1"/>
  <c r="E351" i="1"/>
  <c r="E352" i="1"/>
  <c r="D384" i="1"/>
  <c r="C384" i="1"/>
  <c r="B384" i="1"/>
  <c r="E383" i="1"/>
  <c r="E382" i="1"/>
  <c r="E381" i="1"/>
  <c r="E380" i="1"/>
  <c r="E379" i="1"/>
  <c r="K378" i="1"/>
  <c r="E378" i="1"/>
  <c r="K377" i="1"/>
  <c r="E377" i="1"/>
  <c r="K376" i="1"/>
  <c r="E376" i="1"/>
  <c r="K375" i="1"/>
  <c r="E375" i="1"/>
  <c r="K374" i="1"/>
  <c r="E374" i="1"/>
  <c r="K373" i="1"/>
  <c r="E373" i="1"/>
  <c r="K372" i="1"/>
  <c r="E372" i="1"/>
  <c r="K371" i="1"/>
  <c r="E371" i="1"/>
  <c r="K370" i="1"/>
  <c r="E370" i="1"/>
  <c r="K369" i="1"/>
  <c r="K368" i="1"/>
  <c r="K367" i="1"/>
  <c r="K366" i="1"/>
  <c r="K365" i="1"/>
  <c r="K364" i="1"/>
  <c r="K363" i="1"/>
  <c r="K358" i="1"/>
  <c r="E358" i="1"/>
  <c r="K357" i="1"/>
  <c r="E357" i="1"/>
  <c r="K356" i="1"/>
  <c r="E356" i="1"/>
  <c r="K355" i="1"/>
  <c r="E355" i="1"/>
  <c r="K354" i="1"/>
  <c r="E354" i="1"/>
  <c r="K353" i="1"/>
  <c r="E353" i="1"/>
  <c r="K352" i="1"/>
  <c r="K351" i="1"/>
  <c r="K350" i="1"/>
  <c r="K349" i="1"/>
  <c r="K317" i="1"/>
  <c r="E306" i="1"/>
  <c r="K293" i="1"/>
  <c r="K294" i="1"/>
  <c r="K295" i="1"/>
  <c r="K296" i="1"/>
  <c r="K297" i="1"/>
  <c r="K339" i="1"/>
  <c r="K338" i="1"/>
  <c r="K325" i="1"/>
  <c r="K326" i="1"/>
  <c r="K327" i="1"/>
  <c r="K328" i="1"/>
  <c r="K329" i="1"/>
  <c r="K330" i="1"/>
  <c r="K331" i="1"/>
  <c r="K332" i="1"/>
  <c r="K333" i="1"/>
  <c r="K334" i="1"/>
  <c r="K335" i="1"/>
  <c r="K318" i="1"/>
  <c r="K319" i="1"/>
  <c r="K320" i="1"/>
  <c r="K321" i="1"/>
  <c r="K322" i="1"/>
  <c r="K323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K306" i="1"/>
  <c r="E307" i="1"/>
  <c r="K307" i="1"/>
  <c r="E308" i="1"/>
  <c r="K308" i="1"/>
  <c r="E309" i="1"/>
  <c r="K309" i="1"/>
  <c r="E310" i="1"/>
  <c r="K310" i="1"/>
  <c r="E311" i="1"/>
  <c r="K311" i="1"/>
  <c r="D341" i="1"/>
  <c r="C341" i="1"/>
  <c r="B341" i="1"/>
  <c r="E340" i="1"/>
  <c r="E339" i="1"/>
  <c r="E338" i="1"/>
  <c r="E337" i="1"/>
  <c r="E336" i="1"/>
  <c r="E335" i="1"/>
  <c r="E334" i="1"/>
  <c r="K324" i="1"/>
  <c r="K315" i="1"/>
  <c r="E315" i="1"/>
  <c r="K314" i="1"/>
  <c r="E314" i="1"/>
  <c r="K313" i="1"/>
  <c r="E313" i="1"/>
  <c r="K312" i="1"/>
  <c r="E312" i="1"/>
  <c r="K292" i="1"/>
  <c r="K291" i="1"/>
  <c r="K290" i="1"/>
  <c r="K287" i="1"/>
  <c r="K288" i="1"/>
  <c r="K289" i="1"/>
  <c r="E223" i="1"/>
  <c r="K823" i="1" l="1"/>
  <c r="I824" i="1" s="1"/>
  <c r="K735" i="1"/>
  <c r="K691" i="1"/>
  <c r="H560" i="1"/>
  <c r="K384" i="1"/>
  <c r="K341" i="1"/>
  <c r="K427" i="1"/>
  <c r="K470" i="1"/>
  <c r="E602" i="1"/>
  <c r="E558" i="1"/>
  <c r="K602" i="1"/>
  <c r="K621" i="1" s="1"/>
  <c r="K647" i="1" s="1"/>
  <c r="K558" i="1"/>
  <c r="K514" i="1"/>
  <c r="I560" i="1"/>
  <c r="I429" i="1"/>
  <c r="J560" i="1"/>
  <c r="H429" i="1"/>
  <c r="J429" i="1"/>
  <c r="E514" i="1"/>
  <c r="E470" i="1"/>
  <c r="E427" i="1"/>
  <c r="E384" i="1"/>
  <c r="E341" i="1"/>
  <c r="E263" i="1"/>
  <c r="E264" i="1"/>
  <c r="E265" i="1"/>
  <c r="K274" i="1"/>
  <c r="K275" i="1"/>
  <c r="K276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H824" i="1" l="1"/>
  <c r="K824" i="1"/>
  <c r="J824" i="1"/>
  <c r="D298" i="1"/>
  <c r="C298" i="1"/>
  <c r="B298" i="1"/>
  <c r="E297" i="1"/>
  <c r="E296" i="1"/>
  <c r="E295" i="1"/>
  <c r="E294" i="1"/>
  <c r="E293" i="1"/>
  <c r="E292" i="1"/>
  <c r="E291" i="1"/>
  <c r="E290" i="1"/>
  <c r="E289" i="1"/>
  <c r="E288" i="1"/>
  <c r="E287" i="1"/>
  <c r="K286" i="1"/>
  <c r="K285" i="1"/>
  <c r="K284" i="1"/>
  <c r="K283" i="1"/>
  <c r="K282" i="1"/>
  <c r="K281" i="1"/>
  <c r="K280" i="1"/>
  <c r="K279" i="1"/>
  <c r="K278" i="1"/>
  <c r="K277" i="1"/>
  <c r="K272" i="1"/>
  <c r="E272" i="1"/>
  <c r="K271" i="1"/>
  <c r="E271" i="1"/>
  <c r="K270" i="1"/>
  <c r="E270" i="1"/>
  <c r="K269" i="1"/>
  <c r="E269" i="1"/>
  <c r="K268" i="1"/>
  <c r="E268" i="1"/>
  <c r="K267" i="1"/>
  <c r="E267" i="1"/>
  <c r="K266" i="1"/>
  <c r="E266" i="1"/>
  <c r="K265" i="1"/>
  <c r="K264" i="1"/>
  <c r="K263" i="1"/>
  <c r="E183" i="1"/>
  <c r="E231" i="1"/>
  <c r="K251" i="1"/>
  <c r="K252" i="1"/>
  <c r="K253" i="1"/>
  <c r="K254" i="1"/>
  <c r="K231" i="1"/>
  <c r="K232" i="1"/>
  <c r="K233" i="1"/>
  <c r="K234" i="1"/>
  <c r="K235" i="1"/>
  <c r="E220" i="1"/>
  <c r="E221" i="1"/>
  <c r="E222" i="1"/>
  <c r="E224" i="1"/>
  <c r="D255" i="1"/>
  <c r="C255" i="1"/>
  <c r="B255" i="1"/>
  <c r="E254" i="1"/>
  <c r="E253" i="1"/>
  <c r="E252" i="1"/>
  <c r="E251" i="1"/>
  <c r="K250" i="1"/>
  <c r="E250" i="1"/>
  <c r="K249" i="1"/>
  <c r="E249" i="1"/>
  <c r="K248" i="1"/>
  <c r="E248" i="1"/>
  <c r="K247" i="1"/>
  <c r="E247" i="1"/>
  <c r="K246" i="1"/>
  <c r="E246" i="1"/>
  <c r="K245" i="1"/>
  <c r="E245" i="1"/>
  <c r="K244" i="1"/>
  <c r="E244" i="1"/>
  <c r="K243" i="1"/>
  <c r="E243" i="1"/>
  <c r="K242" i="1"/>
  <c r="E242" i="1"/>
  <c r="K241" i="1"/>
  <c r="E241" i="1"/>
  <c r="K240" i="1"/>
  <c r="E240" i="1"/>
  <c r="K239" i="1"/>
  <c r="E239" i="1"/>
  <c r="K238" i="1"/>
  <c r="E238" i="1"/>
  <c r="K237" i="1"/>
  <c r="E237" i="1"/>
  <c r="K236" i="1"/>
  <c r="E236" i="1"/>
  <c r="E235" i="1"/>
  <c r="E234" i="1"/>
  <c r="E233" i="1"/>
  <c r="E232" i="1"/>
  <c r="K229" i="1"/>
  <c r="E229" i="1"/>
  <c r="K228" i="1"/>
  <c r="E228" i="1"/>
  <c r="K227" i="1"/>
  <c r="E227" i="1"/>
  <c r="K226" i="1"/>
  <c r="E226" i="1"/>
  <c r="K225" i="1"/>
  <c r="E225" i="1"/>
  <c r="K224" i="1"/>
  <c r="K223" i="1"/>
  <c r="K222" i="1"/>
  <c r="K221" i="1"/>
  <c r="K220" i="1"/>
  <c r="I212" i="1"/>
  <c r="J212" i="1"/>
  <c r="K163" i="1"/>
  <c r="K164" i="1"/>
  <c r="K165" i="1"/>
  <c r="K167" i="1"/>
  <c r="K166" i="1"/>
  <c r="K168" i="1"/>
  <c r="K211" i="1"/>
  <c r="K210" i="1"/>
  <c r="K188" i="1"/>
  <c r="K189" i="1"/>
  <c r="K190" i="1"/>
  <c r="K191" i="1"/>
  <c r="K192" i="1"/>
  <c r="K193" i="1"/>
  <c r="K194" i="1"/>
  <c r="K195" i="1"/>
  <c r="K206" i="1"/>
  <c r="K207" i="1"/>
  <c r="K208" i="1"/>
  <c r="E177" i="1"/>
  <c r="E178" i="1"/>
  <c r="E179" i="1"/>
  <c r="E180" i="1"/>
  <c r="E181" i="1"/>
  <c r="E182" i="1"/>
  <c r="E184" i="1"/>
  <c r="D212" i="1"/>
  <c r="C212" i="1"/>
  <c r="B212" i="1"/>
  <c r="E211" i="1"/>
  <c r="E210" i="1"/>
  <c r="E209" i="1"/>
  <c r="E208" i="1"/>
  <c r="E207" i="1"/>
  <c r="E206" i="1"/>
  <c r="K205" i="1"/>
  <c r="E205" i="1"/>
  <c r="K204" i="1"/>
  <c r="E204" i="1"/>
  <c r="K203" i="1"/>
  <c r="E203" i="1"/>
  <c r="K202" i="1"/>
  <c r="E202" i="1"/>
  <c r="K201" i="1"/>
  <c r="E201" i="1"/>
  <c r="K200" i="1"/>
  <c r="E200" i="1"/>
  <c r="K199" i="1"/>
  <c r="E199" i="1"/>
  <c r="K198" i="1"/>
  <c r="E198" i="1"/>
  <c r="K197" i="1"/>
  <c r="E197" i="1"/>
  <c r="K196" i="1"/>
  <c r="E196" i="1"/>
  <c r="E195" i="1"/>
  <c r="E194" i="1"/>
  <c r="E193" i="1"/>
  <c r="E192" i="1"/>
  <c r="E191" i="1"/>
  <c r="E190" i="1"/>
  <c r="E189" i="1"/>
  <c r="E188" i="1"/>
  <c r="K186" i="1"/>
  <c r="E186" i="1"/>
  <c r="K185" i="1"/>
  <c r="E185" i="1"/>
  <c r="K184" i="1"/>
  <c r="K183" i="1"/>
  <c r="K182" i="1"/>
  <c r="K181" i="1"/>
  <c r="K180" i="1"/>
  <c r="K179" i="1"/>
  <c r="K178" i="1"/>
  <c r="K177" i="1"/>
  <c r="K107" i="1"/>
  <c r="E95" i="1"/>
  <c r="K298" i="1" l="1"/>
  <c r="K560" i="1" s="1"/>
  <c r="K255" i="1"/>
  <c r="E298" i="1"/>
  <c r="E255" i="1"/>
  <c r="K209" i="1"/>
  <c r="E212" i="1"/>
  <c r="H212" i="1"/>
  <c r="K212" i="1" s="1"/>
  <c r="K124" i="1"/>
  <c r="K125" i="1"/>
  <c r="K429" i="1" l="1"/>
  <c r="K561" i="1"/>
  <c r="H561" i="1"/>
  <c r="I561" i="1"/>
  <c r="J561" i="1"/>
  <c r="E81" i="1"/>
  <c r="E80" i="1"/>
  <c r="E79" i="1"/>
  <c r="E78" i="1"/>
  <c r="E77" i="1"/>
  <c r="E104" i="1"/>
  <c r="K102" i="1" l="1"/>
  <c r="E57" i="1" l="1"/>
  <c r="K93" i="1" l="1"/>
  <c r="K53" i="1"/>
  <c r="K136" i="1" l="1"/>
  <c r="J169" i="1"/>
  <c r="I169" i="1"/>
  <c r="H169" i="1"/>
  <c r="D169" i="1"/>
  <c r="C169" i="1"/>
  <c r="B169" i="1"/>
  <c r="E168" i="1"/>
  <c r="E167" i="1"/>
  <c r="E166" i="1"/>
  <c r="E165" i="1"/>
  <c r="E164" i="1"/>
  <c r="E163" i="1"/>
  <c r="K162" i="1"/>
  <c r="E162" i="1"/>
  <c r="K161" i="1"/>
  <c r="E161" i="1"/>
  <c r="K160" i="1"/>
  <c r="E160" i="1"/>
  <c r="K159" i="1"/>
  <c r="E159" i="1"/>
  <c r="K158" i="1"/>
  <c r="E158" i="1"/>
  <c r="K157" i="1"/>
  <c r="E157" i="1"/>
  <c r="K156" i="1"/>
  <c r="E156" i="1"/>
  <c r="K155" i="1"/>
  <c r="E155" i="1"/>
  <c r="K154" i="1"/>
  <c r="E154" i="1"/>
  <c r="K153" i="1"/>
  <c r="E153" i="1"/>
  <c r="K152" i="1"/>
  <c r="E152" i="1"/>
  <c r="K151" i="1"/>
  <c r="E151" i="1"/>
  <c r="K150" i="1"/>
  <c r="E150" i="1"/>
  <c r="K149" i="1"/>
  <c r="E149" i="1"/>
  <c r="K148" i="1"/>
  <c r="E148" i="1"/>
  <c r="K147" i="1"/>
  <c r="E147" i="1"/>
  <c r="K146" i="1"/>
  <c r="E146" i="1"/>
  <c r="K145" i="1"/>
  <c r="E145" i="1"/>
  <c r="K143" i="1"/>
  <c r="E143" i="1"/>
  <c r="K142" i="1"/>
  <c r="E142" i="1"/>
  <c r="K141" i="1"/>
  <c r="E141" i="1"/>
  <c r="K140" i="1"/>
  <c r="E140" i="1"/>
  <c r="K139" i="1"/>
  <c r="E139" i="1"/>
  <c r="K138" i="1"/>
  <c r="E138" i="1"/>
  <c r="K137" i="1"/>
  <c r="E137" i="1"/>
  <c r="E136" i="1"/>
  <c r="K135" i="1"/>
  <c r="E135" i="1"/>
  <c r="K134" i="1"/>
  <c r="E134" i="1"/>
  <c r="E169" i="1" l="1"/>
  <c r="K169" i="1"/>
  <c r="K123" i="1" l="1"/>
  <c r="E19" i="1"/>
  <c r="E20" i="1"/>
  <c r="E21" i="1"/>
  <c r="E22" i="1"/>
  <c r="E23" i="1"/>
  <c r="E5" i="1"/>
  <c r="E48" i="1"/>
  <c r="K17" i="1"/>
  <c r="K59" i="1"/>
  <c r="E63" i="1"/>
  <c r="E62" i="1"/>
  <c r="E61" i="1"/>
  <c r="E60" i="1"/>
  <c r="E59" i="1"/>
  <c r="K80" i="1" l="1"/>
  <c r="E17" i="1" l="1"/>
  <c r="E16" i="1"/>
  <c r="K5" i="1" l="1"/>
  <c r="K8" i="1"/>
  <c r="K39" i="1" l="1"/>
  <c r="K82" i="1"/>
  <c r="K6" i="1"/>
  <c r="K7" i="1"/>
  <c r="K50" i="1"/>
  <c r="J126" i="1"/>
  <c r="I126" i="1"/>
  <c r="H126" i="1"/>
  <c r="D126" i="1"/>
  <c r="C126" i="1"/>
  <c r="B126" i="1"/>
  <c r="E125" i="1"/>
  <c r="E124" i="1"/>
  <c r="E123" i="1"/>
  <c r="K122" i="1"/>
  <c r="E122" i="1"/>
  <c r="K121" i="1"/>
  <c r="E121" i="1"/>
  <c r="K120" i="1"/>
  <c r="E120" i="1"/>
  <c r="K119" i="1"/>
  <c r="E119" i="1"/>
  <c r="K118" i="1"/>
  <c r="E118" i="1"/>
  <c r="K117" i="1"/>
  <c r="E117" i="1"/>
  <c r="K116" i="1"/>
  <c r="E116" i="1"/>
  <c r="K115" i="1"/>
  <c r="E115" i="1"/>
  <c r="K114" i="1"/>
  <c r="E114" i="1"/>
  <c r="K113" i="1"/>
  <c r="E113" i="1"/>
  <c r="K112" i="1"/>
  <c r="E112" i="1"/>
  <c r="K111" i="1"/>
  <c r="E111" i="1"/>
  <c r="K110" i="1"/>
  <c r="E110" i="1"/>
  <c r="K109" i="1"/>
  <c r="E109" i="1"/>
  <c r="K108" i="1"/>
  <c r="E108" i="1"/>
  <c r="E107" i="1"/>
  <c r="K106" i="1"/>
  <c r="E106" i="1"/>
  <c r="K105" i="1"/>
  <c r="E105" i="1"/>
  <c r="K104" i="1"/>
  <c r="K103" i="1"/>
  <c r="E103" i="1"/>
  <c r="E102" i="1"/>
  <c r="K100" i="1"/>
  <c r="E100" i="1"/>
  <c r="K99" i="1"/>
  <c r="E99" i="1"/>
  <c r="K98" i="1"/>
  <c r="E98" i="1"/>
  <c r="K97" i="1"/>
  <c r="E97" i="1"/>
  <c r="K96" i="1"/>
  <c r="E96" i="1"/>
  <c r="K95" i="1"/>
  <c r="K94" i="1"/>
  <c r="E94" i="1"/>
  <c r="E93" i="1"/>
  <c r="K92" i="1"/>
  <c r="E92" i="1"/>
  <c r="K91" i="1"/>
  <c r="E91" i="1"/>
  <c r="E126" i="1" l="1"/>
  <c r="K126" i="1"/>
  <c r="K30" i="1"/>
  <c r="K29" i="1"/>
  <c r="K28" i="1"/>
  <c r="K27" i="1"/>
  <c r="E6" i="1"/>
  <c r="E7" i="1"/>
  <c r="E8" i="1"/>
  <c r="K16" i="1"/>
  <c r="E18" i="1"/>
  <c r="K18" i="1"/>
  <c r="K19" i="1"/>
  <c r="K20" i="1"/>
  <c r="K21" i="1"/>
  <c r="K22" i="1"/>
  <c r="K23" i="1"/>
  <c r="E24" i="1"/>
  <c r="K24" i="1"/>
  <c r="E25" i="1"/>
  <c r="K25" i="1"/>
  <c r="E26" i="1"/>
  <c r="K26" i="1"/>
  <c r="E27" i="1"/>
  <c r="E28" i="1"/>
  <c r="E29" i="1"/>
  <c r="E30" i="1"/>
  <c r="E31" i="1"/>
  <c r="K31" i="1"/>
  <c r="E32" i="1"/>
  <c r="K32" i="1"/>
  <c r="E33" i="1"/>
  <c r="K33" i="1"/>
  <c r="E35" i="1"/>
  <c r="K35" i="1"/>
  <c r="E36" i="1"/>
  <c r="K36" i="1"/>
  <c r="E37" i="1"/>
  <c r="K37" i="1"/>
  <c r="E38" i="1"/>
  <c r="K38" i="1"/>
  <c r="E39" i="1"/>
  <c r="K48" i="1"/>
  <c r="E49" i="1"/>
  <c r="K49" i="1"/>
  <c r="E50" i="1"/>
  <c r="E51" i="1"/>
  <c r="K51" i="1"/>
  <c r="E52" i="1"/>
  <c r="K52" i="1"/>
  <c r="E53" i="1"/>
  <c r="E54" i="1"/>
  <c r="K54" i="1"/>
  <c r="E55" i="1"/>
  <c r="K55" i="1"/>
  <c r="K60" i="1"/>
  <c r="K61" i="1"/>
  <c r="K62" i="1"/>
  <c r="K63" i="1"/>
  <c r="E64" i="1"/>
  <c r="K64" i="1"/>
  <c r="E65" i="1"/>
  <c r="K65" i="1"/>
  <c r="E66" i="1"/>
  <c r="K66" i="1"/>
  <c r="E67" i="1"/>
  <c r="K67" i="1"/>
  <c r="E68" i="1"/>
  <c r="K68" i="1"/>
  <c r="E69" i="1"/>
  <c r="K69" i="1"/>
  <c r="E70" i="1"/>
  <c r="K70" i="1"/>
  <c r="E71" i="1"/>
  <c r="K71" i="1"/>
  <c r="E72" i="1"/>
  <c r="K72" i="1"/>
  <c r="E73" i="1"/>
  <c r="K73" i="1"/>
  <c r="E74" i="1"/>
  <c r="K74" i="1"/>
  <c r="E75" i="1"/>
  <c r="K75" i="1"/>
  <c r="E76" i="1"/>
  <c r="K76" i="1"/>
  <c r="K78" i="1"/>
  <c r="K79" i="1"/>
  <c r="K81" i="1"/>
  <c r="E82" i="1"/>
  <c r="K4" i="1" l="1"/>
  <c r="J83" i="1"/>
  <c r="I83" i="1"/>
  <c r="H83" i="1"/>
  <c r="K77" i="1"/>
  <c r="K57" i="1"/>
  <c r="K56" i="1"/>
  <c r="D83" i="1"/>
  <c r="C83" i="1"/>
  <c r="B83" i="1"/>
  <c r="E56" i="1"/>
  <c r="K83" i="1" l="1"/>
  <c r="E83" i="1"/>
  <c r="J40" i="1" l="1"/>
  <c r="J257" i="1" s="1"/>
  <c r="I40" i="1"/>
  <c r="I257" i="1" s="1"/>
  <c r="H40" i="1"/>
  <c r="H257" i="1" s="1"/>
  <c r="K257" i="1" s="1"/>
  <c r="K34" i="1"/>
  <c r="K14" i="1"/>
  <c r="K13" i="1"/>
  <c r="K12" i="1"/>
  <c r="K11" i="1"/>
  <c r="K10" i="1"/>
  <c r="K9" i="1"/>
  <c r="J15" i="1"/>
  <c r="I15" i="1"/>
  <c r="H15" i="1"/>
  <c r="J41" i="1" l="1"/>
  <c r="J47" i="1" s="1"/>
  <c r="J58" i="1" s="1"/>
  <c r="J84" i="1" s="1"/>
  <c r="J90" i="1" s="1"/>
  <c r="J101" i="1" s="1"/>
  <c r="J127" i="1" s="1"/>
  <c r="J133" i="1" s="1"/>
  <c r="J144" i="1" s="1"/>
  <c r="J170" i="1" s="1"/>
  <c r="J176" i="1" s="1"/>
  <c r="J187" i="1" s="1"/>
  <c r="J213" i="1" s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K40" i="1"/>
  <c r="H41" i="1"/>
  <c r="H47" i="1" s="1"/>
  <c r="K15" i="1"/>
  <c r="J219" i="1" l="1"/>
  <c r="J230" i="1" s="1"/>
  <c r="J256" i="1" s="1"/>
  <c r="J262" i="1" s="1"/>
  <c r="J273" i="1" s="1"/>
  <c r="J299" i="1" s="1"/>
  <c r="J305" i="1" s="1"/>
  <c r="H58" i="1"/>
  <c r="K47" i="1"/>
  <c r="K41" i="1"/>
  <c r="D40" i="1"/>
  <c r="C40" i="1"/>
  <c r="B40" i="1"/>
  <c r="E34" i="1"/>
  <c r="E14" i="1"/>
  <c r="E13" i="1"/>
  <c r="E12" i="1"/>
  <c r="E11" i="1"/>
  <c r="E10" i="1"/>
  <c r="E9" i="1"/>
  <c r="J316" i="1" l="1"/>
  <c r="J342" i="1" s="1"/>
  <c r="I273" i="1"/>
  <c r="K58" i="1"/>
  <c r="K84" i="1" s="1"/>
  <c r="H84" i="1"/>
  <c r="H90" i="1" s="1"/>
  <c r="E40" i="1"/>
  <c r="J348" i="1" l="1"/>
  <c r="J359" i="1" s="1"/>
  <c r="J385" i="1" s="1"/>
  <c r="J391" i="1" s="1"/>
  <c r="J402" i="1" s="1"/>
  <c r="J428" i="1" s="1"/>
  <c r="J434" i="1" s="1"/>
  <c r="J445" i="1" s="1"/>
  <c r="J471" i="1" s="1"/>
  <c r="J478" i="1" s="1"/>
  <c r="J489" i="1" s="1"/>
  <c r="J515" i="1" s="1"/>
  <c r="J522" i="1" s="1"/>
  <c r="J533" i="1" s="1"/>
  <c r="J559" i="1" s="1"/>
  <c r="I299" i="1"/>
  <c r="I305" i="1" s="1"/>
  <c r="H101" i="1"/>
  <c r="K90" i="1"/>
  <c r="D15" i="1"/>
  <c r="D41" i="1" s="1"/>
  <c r="D47" i="1" s="1"/>
  <c r="D58" i="1" s="1"/>
  <c r="D84" i="1" s="1"/>
  <c r="D90" i="1" s="1"/>
  <c r="D101" i="1" s="1"/>
  <c r="D127" i="1" s="1"/>
  <c r="C15" i="1"/>
  <c r="C41" i="1" s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J566" i="1" l="1"/>
  <c r="J577" i="1" s="1"/>
  <c r="J603" i="1" s="1"/>
  <c r="J610" i="1" s="1"/>
  <c r="J621" i="1" s="1"/>
  <c r="J647" i="1" s="1"/>
  <c r="J654" i="1" s="1"/>
  <c r="J665" i="1" s="1"/>
  <c r="J691" i="1" s="1"/>
  <c r="J698" i="1" s="1"/>
  <c r="J709" i="1" s="1"/>
  <c r="J735" i="1" s="1"/>
  <c r="I316" i="1"/>
  <c r="I342" i="1" s="1"/>
  <c r="C230" i="1"/>
  <c r="D133" i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8" i="1" s="1"/>
  <c r="D489" i="1" s="1"/>
  <c r="D515" i="1" s="1"/>
  <c r="D522" i="1" s="1"/>
  <c r="D533" i="1" s="1"/>
  <c r="D559" i="1" s="1"/>
  <c r="D566" i="1" s="1"/>
  <c r="D577" i="1" s="1"/>
  <c r="D603" i="1" s="1"/>
  <c r="D610" i="1" s="1"/>
  <c r="D621" i="1" s="1"/>
  <c r="D647" i="1" s="1"/>
  <c r="D654" i="1" s="1"/>
  <c r="D665" i="1" s="1"/>
  <c r="D691" i="1" s="1"/>
  <c r="D698" i="1" s="1"/>
  <c r="D709" i="1" s="1"/>
  <c r="D735" i="1" s="1"/>
  <c r="D742" i="1" s="1"/>
  <c r="H127" i="1"/>
  <c r="H133" i="1" s="1"/>
  <c r="K101" i="1"/>
  <c r="K127" i="1" s="1"/>
  <c r="E4" i="1"/>
  <c r="B15" i="1"/>
  <c r="D753" i="1" l="1"/>
  <c r="I348" i="1"/>
  <c r="I359" i="1" s="1"/>
  <c r="I385" i="1" s="1"/>
  <c r="I391" i="1" s="1"/>
  <c r="I402" i="1" s="1"/>
  <c r="I428" i="1" s="1"/>
  <c r="I434" i="1" s="1"/>
  <c r="I445" i="1" s="1"/>
  <c r="I471" i="1" s="1"/>
  <c r="I478" i="1" s="1"/>
  <c r="I489" i="1" s="1"/>
  <c r="I515" i="1" s="1"/>
  <c r="I522" i="1" s="1"/>
  <c r="I533" i="1" s="1"/>
  <c r="I559" i="1" s="1"/>
  <c r="C256" i="1"/>
  <c r="C262" i="1" s="1"/>
  <c r="K133" i="1"/>
  <c r="H144" i="1"/>
  <c r="B41" i="1"/>
  <c r="E15" i="1"/>
  <c r="E41" i="1" s="1"/>
  <c r="D779" i="1" l="1"/>
  <c r="D786" i="1" s="1"/>
  <c r="D797" i="1" s="1"/>
  <c r="D823" i="1" s="1"/>
  <c r="I566" i="1"/>
  <c r="I577" i="1" s="1"/>
  <c r="I603" i="1" s="1"/>
  <c r="I610" i="1" s="1"/>
  <c r="I621" i="1" s="1"/>
  <c r="I647" i="1" s="1"/>
  <c r="I654" i="1" s="1"/>
  <c r="I665" i="1" s="1"/>
  <c r="I691" i="1" s="1"/>
  <c r="I698" i="1" s="1"/>
  <c r="I709" i="1" s="1"/>
  <c r="I735" i="1" s="1"/>
  <c r="C273" i="1"/>
  <c r="K144" i="1"/>
  <c r="K170" i="1" s="1"/>
  <c r="H170" i="1"/>
  <c r="H176" i="1" s="1"/>
  <c r="B47" i="1"/>
  <c r="B58" i="1" s="1"/>
  <c r="B84" i="1" s="1"/>
  <c r="B90" i="1" s="1"/>
  <c r="C299" i="1" l="1"/>
  <c r="C305" i="1" s="1"/>
  <c r="C316" i="1" s="1"/>
  <c r="C342" i="1" s="1"/>
  <c r="C348" i="1" s="1"/>
  <c r="C359" i="1" s="1"/>
  <c r="C385" i="1" s="1"/>
  <c r="C391" i="1" s="1"/>
  <c r="H187" i="1"/>
  <c r="K176" i="1"/>
  <c r="B101" i="1"/>
  <c r="E90" i="1"/>
  <c r="E47" i="1"/>
  <c r="E58" i="1"/>
  <c r="E84" i="1" s="1"/>
  <c r="C402" i="1" l="1"/>
  <c r="K187" i="1"/>
  <c r="K213" i="1" s="1"/>
  <c r="K219" i="1" s="1"/>
  <c r="K230" i="1" s="1"/>
  <c r="K256" i="1" s="1"/>
  <c r="K262" i="1" s="1"/>
  <c r="H213" i="1"/>
  <c r="H219" i="1" s="1"/>
  <c r="H230" i="1" s="1"/>
  <c r="H256" i="1" s="1"/>
  <c r="H262" i="1" s="1"/>
  <c r="B127" i="1"/>
  <c r="B133" i="1" s="1"/>
  <c r="E101" i="1"/>
  <c r="E127" i="1" s="1"/>
  <c r="C428" i="1" l="1"/>
  <c r="C434" i="1" s="1"/>
  <c r="C445" i="1" s="1"/>
  <c r="C471" i="1" s="1"/>
  <c r="C478" i="1" s="1"/>
  <c r="C489" i="1" s="1"/>
  <c r="C515" i="1" s="1"/>
  <c r="C522" i="1" s="1"/>
  <c r="C533" i="1" s="1"/>
  <c r="C559" i="1" s="1"/>
  <c r="C566" i="1" s="1"/>
  <c r="C577" i="1" s="1"/>
  <c r="C603" i="1" s="1"/>
  <c r="C610" i="1" s="1"/>
  <c r="C621" i="1" s="1"/>
  <c r="C647" i="1" s="1"/>
  <c r="C654" i="1" s="1"/>
  <c r="B144" i="1"/>
  <c r="E133" i="1"/>
  <c r="C665" i="1" l="1"/>
  <c r="H273" i="1"/>
  <c r="B170" i="1"/>
  <c r="B176" i="1" s="1"/>
  <c r="E144" i="1"/>
  <c r="E170" i="1" s="1"/>
  <c r="C691" i="1" l="1"/>
  <c r="C698" i="1" s="1"/>
  <c r="C709" i="1" s="1"/>
  <c r="C735" i="1" s="1"/>
  <c r="C742" i="1" s="1"/>
  <c r="C753" i="1" s="1"/>
  <c r="C779" i="1" s="1"/>
  <c r="K273" i="1"/>
  <c r="H299" i="1"/>
  <c r="H305" i="1" s="1"/>
  <c r="B187" i="1"/>
  <c r="E176" i="1"/>
  <c r="K299" i="1" l="1"/>
  <c r="K305" i="1" s="1"/>
  <c r="H316" i="1"/>
  <c r="B213" i="1"/>
  <c r="B219" i="1" s="1"/>
  <c r="E187" i="1"/>
  <c r="E213" i="1" s="1"/>
  <c r="H342" i="1" l="1"/>
  <c r="H348" i="1" s="1"/>
  <c r="K316" i="1"/>
  <c r="B230" i="1"/>
  <c r="E219" i="1"/>
  <c r="H359" i="1" l="1"/>
  <c r="K342" i="1"/>
  <c r="K348" i="1" s="1"/>
  <c r="B256" i="1"/>
  <c r="B262" i="1" s="1"/>
  <c r="E230" i="1"/>
  <c r="E256" i="1" s="1"/>
  <c r="K359" i="1" l="1"/>
  <c r="H385" i="1"/>
  <c r="H391" i="1" s="1"/>
  <c r="B273" i="1"/>
  <c r="E262" i="1"/>
  <c r="K385" i="1" l="1"/>
  <c r="K391" i="1" s="1"/>
  <c r="H402" i="1"/>
  <c r="B299" i="1"/>
  <c r="B305" i="1" s="1"/>
  <c r="E273" i="1"/>
  <c r="E299" i="1" s="1"/>
  <c r="K402" i="1" l="1"/>
  <c r="H428" i="1"/>
  <c r="H434" i="1" s="1"/>
  <c r="B316" i="1"/>
  <c r="E305" i="1"/>
  <c r="H445" i="1" l="1"/>
  <c r="K428" i="1"/>
  <c r="K434" i="1" s="1"/>
  <c r="B342" i="1"/>
  <c r="B348" i="1" s="1"/>
  <c r="E316" i="1"/>
  <c r="E342" i="1" s="1"/>
  <c r="H471" i="1" l="1"/>
  <c r="K445" i="1"/>
  <c r="E348" i="1"/>
  <c r="B359" i="1"/>
  <c r="H478" i="1" l="1"/>
  <c r="H489" i="1" s="1"/>
  <c r="K471" i="1"/>
  <c r="K478" i="1" s="1"/>
  <c r="K489" i="1" s="1"/>
  <c r="E359" i="1"/>
  <c r="E385" i="1" s="1"/>
  <c r="B385" i="1"/>
  <c r="B391" i="1" s="1"/>
  <c r="H515" i="1" l="1"/>
  <c r="H522" i="1" s="1"/>
  <c r="H533" i="1" s="1"/>
  <c r="H559" i="1" s="1"/>
  <c r="K515" i="1"/>
  <c r="K522" i="1" s="1"/>
  <c r="K533" i="1" s="1"/>
  <c r="K559" i="1" s="1"/>
  <c r="B402" i="1"/>
  <c r="E391" i="1"/>
  <c r="K566" i="1" l="1"/>
  <c r="K577" i="1" s="1"/>
  <c r="K603" i="1" s="1"/>
  <c r="K562" i="1"/>
  <c r="J562" i="1"/>
  <c r="I562" i="1"/>
  <c r="H566" i="1"/>
  <c r="H577" i="1" s="1"/>
  <c r="H603" i="1" s="1"/>
  <c r="H610" i="1" s="1"/>
  <c r="H621" i="1" s="1"/>
  <c r="H647" i="1" s="1"/>
  <c r="H654" i="1" s="1"/>
  <c r="H665" i="1" s="1"/>
  <c r="H691" i="1" s="1"/>
  <c r="H698" i="1" s="1"/>
  <c r="H709" i="1" s="1"/>
  <c r="H735" i="1" s="1"/>
  <c r="H562" i="1"/>
  <c r="B428" i="1"/>
  <c r="B434" i="1" s="1"/>
  <c r="E402" i="1"/>
  <c r="E428" i="1" s="1"/>
  <c r="B445" i="1" l="1"/>
  <c r="E434" i="1"/>
  <c r="E445" i="1" l="1"/>
  <c r="E471" i="1" s="1"/>
  <c r="B471" i="1"/>
  <c r="B478" i="1" s="1"/>
  <c r="E478" i="1" l="1"/>
  <c r="B489" i="1"/>
  <c r="E489" i="1" l="1"/>
  <c r="E515" i="1" s="1"/>
  <c r="B515" i="1"/>
  <c r="B522" i="1" s="1"/>
  <c r="E522" i="1" l="1"/>
  <c r="B533" i="1"/>
  <c r="B559" i="1" l="1"/>
  <c r="B566" i="1" s="1"/>
  <c r="E533" i="1"/>
  <c r="E559" i="1" s="1"/>
  <c r="E566" i="1" l="1"/>
  <c r="B577" i="1"/>
  <c r="B603" i="1" l="1"/>
  <c r="B610" i="1" s="1"/>
  <c r="E577" i="1"/>
  <c r="E603" i="1" s="1"/>
  <c r="B621" i="1" l="1"/>
  <c r="E610" i="1"/>
  <c r="B647" i="1" l="1"/>
  <c r="B654" i="1" s="1"/>
  <c r="E621" i="1"/>
  <c r="E647" i="1" s="1"/>
  <c r="B665" i="1" l="1"/>
  <c r="E654" i="1"/>
  <c r="B691" i="1" l="1"/>
  <c r="B698" i="1" s="1"/>
  <c r="E665" i="1"/>
  <c r="E691" i="1" s="1"/>
  <c r="E698" i="1" l="1"/>
  <c r="B709" i="1"/>
  <c r="E709" i="1" l="1"/>
  <c r="E735" i="1" s="1"/>
  <c r="B735" i="1"/>
  <c r="B742" i="1" s="1"/>
  <c r="B753" i="1" l="1"/>
  <c r="E742" i="1"/>
  <c r="B779" i="1" l="1"/>
  <c r="B786" i="1" s="1"/>
  <c r="E753" i="1"/>
  <c r="E779" i="1" s="1"/>
  <c r="E786" i="1" l="1"/>
  <c r="B797" i="1"/>
  <c r="E797" i="1" l="1"/>
  <c r="E823" i="1" s="1"/>
  <c r="B823" i="1"/>
</calcChain>
</file>

<file path=xl/sharedStrings.xml><?xml version="1.0" encoding="utf-8"?>
<sst xmlns="http://schemas.openxmlformats.org/spreadsheetml/2006/main" count="1429" uniqueCount="378">
  <si>
    <t>カラー</t>
  </si>
  <si>
    <t>サイズ</t>
  </si>
  <si>
    <t>計</t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</si>
  <si>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</si>
  <si>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</si>
  <si>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</si>
  <si>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</si>
  <si>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</si>
  <si>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</si>
  <si>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</si>
  <si>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t>2色組</t>
    <rPh sb="1" eb="3">
      <t>ショクグミ</t>
    </rPh>
    <phoneticPr fontId="7"/>
  </si>
  <si>
    <t>追加</t>
    <rPh sb="0" eb="2">
      <t>ツイカ</t>
    </rPh>
    <phoneticPr fontId="7"/>
  </si>
  <si>
    <t>追加3-1</t>
    <rPh sb="0" eb="2">
      <t>ツイカ</t>
    </rPh>
    <phoneticPr fontId="7"/>
  </si>
  <si>
    <t>追加3-2</t>
    <rPh sb="0" eb="2">
      <t>ツイカ</t>
    </rPh>
    <phoneticPr fontId="7"/>
  </si>
  <si>
    <t>追加3-3</t>
    <rPh sb="0" eb="2">
      <t>ツイカ</t>
    </rPh>
    <phoneticPr fontId="7"/>
  </si>
  <si>
    <t>全国通販2312号（11月1日発信）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</si>
  <si>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コープさっぽろ9-1ｗ（不透明袋）</t>
    <rPh sb="12" eb="16">
      <t>フトウメイフクロ</t>
    </rPh>
    <phoneticPr fontId="7"/>
  </si>
  <si>
    <t>9/1、5</t>
    <phoneticPr fontId="7"/>
  </si>
  <si>
    <t>先取り</t>
    <rPh sb="0" eb="2">
      <t>サキド</t>
    </rPh>
    <phoneticPr fontId="7"/>
  </si>
  <si>
    <t>コープさっぽろ9-1ｗ（不透明袋）差分予測</t>
    <rPh sb="12" eb="16">
      <t>フトウメイフクロ</t>
    </rPh>
    <rPh sb="17" eb="21">
      <t>サブンヨソク</t>
    </rPh>
    <phoneticPr fontId="7"/>
  </si>
  <si>
    <t>10/27～1/31</t>
    <phoneticPr fontId="7"/>
  </si>
  <si>
    <t>コープさっぽろ9-1ｗ（不透明袋）①</t>
    <rPh sb="12" eb="16">
      <t>フトウメイフクロ</t>
    </rPh>
    <phoneticPr fontId="7"/>
  </si>
  <si>
    <t>2023/9/1済伝</t>
    <rPh sb="8" eb="9">
      <t>スミ</t>
    </rPh>
    <rPh sb="9" eb="10">
      <t>デン</t>
    </rPh>
    <phoneticPr fontId="7"/>
  </si>
  <si>
    <t>＜No.8211　エイトロック編両起毛インナー　ベスト　2色組＞夢販在庫</t>
    <rPh sb="15" eb="16">
      <t>ア</t>
    </rPh>
    <rPh sb="16" eb="19">
      <t>リョウキモウ</t>
    </rPh>
    <rPh sb="29" eb="31">
      <t>ショクグミ</t>
    </rPh>
    <rPh sb="32" eb="33">
      <t>ユメ</t>
    </rPh>
    <rPh sb="33" eb="34">
      <t>ハン</t>
    </rPh>
    <rPh sb="34" eb="36">
      <t>ザイコ</t>
    </rPh>
    <phoneticPr fontId="3"/>
  </si>
  <si>
    <t>コープさっぽろ9-1ｗ（不透明袋）②</t>
    <rPh sb="12" eb="16">
      <t>フトウメイフクロ</t>
    </rPh>
    <phoneticPr fontId="7"/>
  </si>
  <si>
    <t>＜No.8211　エイトロック編両起毛インナー　ベスト2色組1P@605 2P\3990＞太陽在庫</t>
    <rPh sb="15" eb="16">
      <t>ア</t>
    </rPh>
    <rPh sb="16" eb="19">
      <t>リョウキモウ</t>
    </rPh>
    <rPh sb="28" eb="30">
      <t>ショクグミ</t>
    </rPh>
    <rPh sb="45" eb="47">
      <t>タイヨウ</t>
    </rPh>
    <rPh sb="47" eb="49">
      <t>ザイコ</t>
    </rPh>
    <phoneticPr fontId="3"/>
  </si>
  <si>
    <t>夢販</t>
    <rPh sb="0" eb="2">
      <t>ユメハン</t>
    </rPh>
    <phoneticPr fontId="7"/>
  </si>
  <si>
    <t>JOD特別版1008</t>
    <rPh sb="3" eb="6">
      <t>トクベツバン</t>
    </rPh>
    <phoneticPr fontId="7"/>
  </si>
  <si>
    <t>10/7～</t>
    <phoneticPr fontId="7"/>
  </si>
  <si>
    <t>ロイヤルステージ12月号</t>
    <rPh sb="10" eb="12">
      <t>ガツゴウ</t>
    </rPh>
    <phoneticPr fontId="7"/>
  </si>
  <si>
    <t>12/3～</t>
    <phoneticPr fontId="7"/>
  </si>
  <si>
    <t>全国通販チラシ9336号</t>
    <rPh sb="0" eb="4">
      <t>ゼンコクツウハン</t>
    </rPh>
    <rPh sb="11" eb="12">
      <t>ゴウ</t>
    </rPh>
    <phoneticPr fontId="7"/>
  </si>
  <si>
    <t>1/4～3/31</t>
    <phoneticPr fontId="7"/>
  </si>
  <si>
    <t>2023/9/11済伝</t>
    <rPh sb="9" eb="10">
      <t>スミ</t>
    </rPh>
    <rPh sb="10" eb="11">
      <t>デン</t>
    </rPh>
    <phoneticPr fontId="7"/>
  </si>
  <si>
    <t>　</t>
    <phoneticPr fontId="7"/>
  </si>
  <si>
    <t>全国通販納前検品用</t>
    <rPh sb="0" eb="6">
      <t>ゼンコクツウハンノウマエ</t>
    </rPh>
    <rPh sb="6" eb="8">
      <t>ケンピン</t>
    </rPh>
    <rPh sb="8" eb="9">
      <t>ヨウ</t>
    </rPh>
    <phoneticPr fontId="7"/>
  </si>
  <si>
    <t>ネット</t>
    <phoneticPr fontId="7"/>
  </si>
  <si>
    <t>全国通販2312号（11月1日発信）①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</si>
  <si>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JODアクセス7097</t>
    <phoneticPr fontId="7"/>
  </si>
  <si>
    <t>11/15～</t>
    <phoneticPr fontId="7"/>
  </si>
  <si>
    <t>2023/10/10伝済</t>
    <rPh sb="10" eb="12">
      <t>デンスミ</t>
    </rPh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</si>
  <si>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</si>
  <si>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</si>
  <si>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</si>
  <si>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</si>
  <si>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</si>
  <si>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</si>
  <si>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</si>
  <si>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はぴねすくらぶsample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</si>
  <si>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</si>
  <si>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</si>
  <si>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</si>
  <si>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</si>
  <si>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JOD⑫</t>
    <phoneticPr fontId="7"/>
  </si>
  <si>
    <t>2023/11/1伝済</t>
    <rPh sb="9" eb="10">
      <t>デン</t>
    </rPh>
    <rPh sb="10" eb="11">
      <t>スミ</t>
    </rPh>
    <phoneticPr fontId="7"/>
  </si>
  <si>
    <t>JOD特別版1206</t>
    <rPh sb="3" eb="6">
      <t>トクベツバン</t>
    </rPh>
    <phoneticPr fontId="7"/>
  </si>
  <si>
    <t>12/5～</t>
    <phoneticPr fontId="7"/>
  </si>
  <si>
    <t>全国通販2312号（11月1日発信）②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</si>
  <si>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全国通販2312号（11月1日発信）③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</si>
  <si>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はぴねすくらぶ2月号</t>
    <rPh sb="8" eb="10">
      <t>ガツゴウ</t>
    </rPh>
    <phoneticPr fontId="7"/>
  </si>
  <si>
    <t>2/13～</t>
    <phoneticPr fontId="7"/>
  </si>
  <si>
    <t>JOD⑬</t>
    <phoneticPr fontId="7"/>
  </si>
  <si>
    <t>全国通販2312号（11月1日発信）④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</si>
  <si>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JOD⑭</t>
    <phoneticPr fontId="7"/>
  </si>
  <si>
    <t>全国通販2312号（11月1日発信）⑤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</si>
  <si>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JODアクセス7098</t>
    <phoneticPr fontId="7"/>
  </si>
  <si>
    <t>1/15～</t>
    <phoneticPr fontId="7"/>
  </si>
  <si>
    <t>JOD⑮</t>
    <phoneticPr fontId="7"/>
  </si>
  <si>
    <t>JOD⑯</t>
    <phoneticPr fontId="7"/>
  </si>
  <si>
    <t>全国通販納前検品用返却</t>
    <rPh sb="0" eb="6">
      <t>ゼンコクツウハンノウマエ</t>
    </rPh>
    <rPh sb="6" eb="8">
      <t>ケンピン</t>
    </rPh>
    <rPh sb="8" eb="9">
      <t>ヨウ</t>
    </rPh>
    <rPh sb="9" eb="11">
      <t>ヘンキャク</t>
    </rPh>
    <phoneticPr fontId="7"/>
  </si>
  <si>
    <t>JOD⑰</t>
    <phoneticPr fontId="7"/>
  </si>
  <si>
    <t>JOD⑱</t>
    <phoneticPr fontId="7"/>
  </si>
  <si>
    <t>全国通販2312号（11月1日発信）⑥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</si>
  <si>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JOD⑲</t>
    <phoneticPr fontId="7"/>
  </si>
  <si>
    <t>JOD⑳</t>
    <phoneticPr fontId="7"/>
  </si>
  <si>
    <t>JOD㉑</t>
    <phoneticPr fontId="7"/>
  </si>
  <si>
    <t>ロイヤルステージ12月号①</t>
    <rPh sb="10" eb="12">
      <t>ガツゴウ</t>
    </rPh>
    <phoneticPr fontId="7"/>
  </si>
  <si>
    <t>夢販</t>
    <rPh sb="0" eb="2">
      <t>ユメハン</t>
    </rPh>
    <phoneticPr fontId="7"/>
  </si>
  <si>
    <t>JOD㉒</t>
    <phoneticPr fontId="7"/>
  </si>
  <si>
    <t>JOD㉓</t>
    <phoneticPr fontId="7"/>
  </si>
  <si>
    <t>JOD㉔</t>
    <phoneticPr fontId="7"/>
  </si>
  <si>
    <t>JOD特別版0202</t>
    <rPh sb="3" eb="6">
      <t>トクベツバン</t>
    </rPh>
    <phoneticPr fontId="7"/>
  </si>
  <si>
    <t>2/1～</t>
    <phoneticPr fontId="7"/>
  </si>
  <si>
    <t>JOD㉕</t>
    <phoneticPr fontId="7"/>
  </si>
  <si>
    <t>JOD㉖</t>
    <phoneticPr fontId="7"/>
  </si>
  <si>
    <t>JOD㉗</t>
    <phoneticPr fontId="7"/>
  </si>
  <si>
    <t>JOD㉘</t>
    <phoneticPr fontId="7"/>
  </si>
  <si>
    <t>ロイヤルステージ12月号②</t>
    <rPh sb="10" eb="12">
      <t>ガツゴウ</t>
    </rPh>
    <phoneticPr fontId="7"/>
  </si>
  <si>
    <t>JOD㉙</t>
    <phoneticPr fontId="7"/>
  </si>
  <si>
    <t>ネット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</si>
  <si>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</si>
  <si>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</si>
  <si>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</si>
  <si>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</si>
  <si>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JODアクセス7099</t>
    <phoneticPr fontId="7"/>
  </si>
  <si>
    <t>2/19～</t>
    <phoneticPr fontId="7"/>
  </si>
  <si>
    <t>JOD特別版0225</t>
    <rPh sb="3" eb="6">
      <t>トクベツバン</t>
    </rPh>
    <phoneticPr fontId="7"/>
  </si>
  <si>
    <t>2/24～</t>
    <phoneticPr fontId="7"/>
  </si>
  <si>
    <t>JOD㉞</t>
    <phoneticPr fontId="7"/>
  </si>
  <si>
    <t>ロイヤルステージ12月号③</t>
    <rPh sb="10" eb="12">
      <t>ガツゴウ</t>
    </rPh>
    <phoneticPr fontId="7"/>
  </si>
  <si>
    <t>JOD㉟</t>
    <phoneticPr fontId="7"/>
  </si>
  <si>
    <t>JOD㊱</t>
    <phoneticPr fontId="7"/>
  </si>
  <si>
    <t>JOD㊲</t>
    <phoneticPr fontId="7"/>
  </si>
  <si>
    <t>夢販</t>
    <rPh sb="0" eb="2">
      <t>ユメハン</t>
    </rPh>
    <phoneticPr fontId="7"/>
  </si>
  <si>
    <t>JOD㊳</t>
    <phoneticPr fontId="7"/>
  </si>
  <si>
    <t>ネット</t>
    <phoneticPr fontId="7"/>
  </si>
  <si>
    <t>ロイヤル返品</t>
    <rPh sb="4" eb="6">
      <t>ヘンピン</t>
    </rPh>
    <phoneticPr fontId="7"/>
  </si>
  <si>
    <t>JOD返品</t>
    <rPh sb="3" eb="5">
      <t>ヘンピン</t>
    </rPh>
    <phoneticPr fontId="7"/>
  </si>
  <si>
    <t>JOD㊴</t>
    <phoneticPr fontId="7"/>
  </si>
  <si>
    <t>JOD㊵</t>
    <phoneticPr fontId="7"/>
  </si>
  <si>
    <t>JOD㊶</t>
    <phoneticPr fontId="7"/>
  </si>
  <si>
    <t>ロイヤルステージ返品</t>
    <rPh sb="8" eb="10">
      <t>ヘンピン</t>
    </rPh>
    <phoneticPr fontId="7"/>
  </si>
  <si>
    <t>JOD㊷</t>
    <phoneticPr fontId="7"/>
  </si>
  <si>
    <t>JOD㊸</t>
    <phoneticPr fontId="7"/>
  </si>
  <si>
    <t>JOD㊹</t>
    <phoneticPr fontId="7"/>
  </si>
  <si>
    <t>はぴねすくらぶ2月号①</t>
    <rPh sb="8" eb="10">
      <t>ガツゴウ</t>
    </rPh>
    <phoneticPr fontId="7"/>
  </si>
  <si>
    <t>JOD㊺</t>
    <phoneticPr fontId="7"/>
  </si>
  <si>
    <t>JOD㊻</t>
    <phoneticPr fontId="7"/>
  </si>
  <si>
    <t>JOD㊼</t>
    <phoneticPr fontId="7"/>
  </si>
  <si>
    <t>JOD㊽</t>
    <phoneticPr fontId="7"/>
  </si>
  <si>
    <t>JOD㊾</t>
    <phoneticPr fontId="7"/>
  </si>
  <si>
    <t>JOD㊿</t>
    <phoneticPr fontId="7"/>
  </si>
  <si>
    <t>JOD51</t>
    <phoneticPr fontId="7"/>
  </si>
  <si>
    <t>はぴねすくらぶ2月号②</t>
    <rPh sb="8" eb="10">
      <t>ガツゴウ</t>
    </rPh>
    <phoneticPr fontId="7"/>
  </si>
  <si>
    <t>JOD52</t>
    <phoneticPr fontId="7"/>
  </si>
  <si>
    <t>はぴねすくらぶ2月号③</t>
    <rPh sb="8" eb="10">
      <t>ガツゴウ</t>
    </rPh>
    <phoneticPr fontId="7"/>
  </si>
  <si>
    <t>JOD53</t>
    <phoneticPr fontId="7"/>
  </si>
  <si>
    <t>JOD54</t>
  </si>
  <si>
    <t>JOD55</t>
    <phoneticPr fontId="7"/>
  </si>
  <si>
    <t>ロイヤルステージ12月号④</t>
    <rPh sb="10" eb="12">
      <t>ガツゴウ</t>
    </rPh>
    <phoneticPr fontId="7"/>
  </si>
  <si>
    <t>JOD56</t>
    <phoneticPr fontId="7"/>
  </si>
  <si>
    <t>JOD57</t>
  </si>
  <si>
    <t>夢販</t>
    <rPh sb="0" eb="2">
      <t>ユメハン</t>
    </rPh>
    <phoneticPr fontId="7"/>
  </si>
  <si>
    <t>はぴねすくらぶ2月号④</t>
    <rPh sb="8" eb="10">
      <t>ガツゴウ</t>
    </rPh>
    <phoneticPr fontId="7"/>
  </si>
  <si>
    <t>JOD58</t>
    <phoneticPr fontId="7"/>
  </si>
  <si>
    <t>JOD59</t>
  </si>
  <si>
    <t>JOD60</t>
  </si>
  <si>
    <t>JOD61</t>
  </si>
  <si>
    <t>はぴねすくらぶ2月号⑤</t>
    <rPh sb="8" eb="10">
      <t>ガツゴウ</t>
    </rPh>
    <phoneticPr fontId="7"/>
  </si>
  <si>
    <t>ネット</t>
    <phoneticPr fontId="7"/>
  </si>
  <si>
    <t>JOD62</t>
    <phoneticPr fontId="7"/>
  </si>
  <si>
    <t>JOD63</t>
  </si>
  <si>
    <t>JOD64</t>
  </si>
  <si>
    <t>JOD65</t>
  </si>
  <si>
    <t>はぴねすくらぶ2月号⑥</t>
    <rPh sb="8" eb="10">
      <t>ガツゴウ</t>
    </rPh>
    <phoneticPr fontId="7"/>
  </si>
  <si>
    <t>JOD66</t>
    <phoneticPr fontId="7"/>
  </si>
  <si>
    <t>はぴねすくらぶ2月号⑦</t>
    <rPh sb="8" eb="10">
      <t>ガツゴウ</t>
    </rPh>
    <phoneticPr fontId="7"/>
  </si>
  <si>
    <t>JOD67</t>
    <phoneticPr fontId="7"/>
  </si>
  <si>
    <t>はぴねすくらぶ2月号⑧</t>
    <rPh sb="8" eb="10">
      <t>ガツゴウ</t>
    </rPh>
    <phoneticPr fontId="7"/>
  </si>
  <si>
    <t>JOD68</t>
    <phoneticPr fontId="7"/>
  </si>
  <si>
    <t>JOD69</t>
  </si>
  <si>
    <t>JOD70</t>
  </si>
  <si>
    <t>はぴねすくらぶ2月号⑨</t>
    <rPh sb="8" eb="10">
      <t>ガツゴウ</t>
    </rPh>
    <phoneticPr fontId="7"/>
  </si>
  <si>
    <t>JOD71</t>
    <phoneticPr fontId="7"/>
  </si>
  <si>
    <t>JOD72</t>
    <phoneticPr fontId="7"/>
  </si>
  <si>
    <t>はぴねすくらぶ2月号⑩</t>
    <rPh sb="8" eb="10">
      <t>ガツゴウ</t>
    </rPh>
    <phoneticPr fontId="7"/>
  </si>
  <si>
    <t>夢販</t>
    <rPh sb="0" eb="2">
      <t>ユメハン</t>
    </rPh>
    <phoneticPr fontId="7"/>
  </si>
  <si>
    <t>JOD73</t>
    <phoneticPr fontId="7"/>
  </si>
  <si>
    <t>JOD74</t>
  </si>
  <si>
    <t>JOD75</t>
  </si>
  <si>
    <t>JOD76</t>
  </si>
  <si>
    <t>はぴねすくらぶ2月号⑪</t>
    <rPh sb="8" eb="10">
      <t>ガツゴウ</t>
    </rPh>
    <phoneticPr fontId="7"/>
  </si>
  <si>
    <t>JOD77</t>
  </si>
  <si>
    <t>はぴねすくらぶ2月号⑫</t>
    <rPh sb="8" eb="10">
      <t>ガツゴウ</t>
    </rPh>
    <phoneticPr fontId="7"/>
  </si>
  <si>
    <t>JOD78</t>
    <phoneticPr fontId="7"/>
  </si>
  <si>
    <t>はぴねすくらぶ2月号⑬</t>
    <rPh sb="8" eb="10">
      <t>ガツゴウ</t>
    </rPh>
    <phoneticPr fontId="7"/>
  </si>
  <si>
    <t>２０２４年９月～</t>
    <rPh sb="4" eb="5">
      <t>ネン</t>
    </rPh>
    <rPh sb="6" eb="7">
      <t>ガツ</t>
    </rPh>
    <phoneticPr fontId="7"/>
  </si>
  <si>
    <t>2023年9月～2024年3月実績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phoneticPr fontId="7"/>
  </si>
  <si>
    <t>JOD79</t>
    <phoneticPr fontId="7"/>
  </si>
  <si>
    <t>はぴねすくらぶ2月号⑭</t>
    <rPh sb="8" eb="10">
      <t>ガツゴウ</t>
    </rPh>
    <phoneticPr fontId="7"/>
  </si>
  <si>
    <t>JOD80</t>
    <phoneticPr fontId="7"/>
  </si>
  <si>
    <t>JOD81</t>
  </si>
  <si>
    <t>はぴねすくらぶsample返却</t>
    <rPh sb="13" eb="15">
      <t>ヘンキャク</t>
    </rPh>
    <phoneticPr fontId="7"/>
  </si>
  <si>
    <t>はぴねす返品</t>
    <rPh sb="4" eb="6">
      <t>ヘンピン</t>
    </rPh>
    <phoneticPr fontId="7"/>
  </si>
  <si>
    <t>ことせ2422（ﾊﾙﾒｸ･ｱﾙﾌｧ）</t>
    <phoneticPr fontId="7"/>
  </si>
  <si>
    <t>9/30～12/31</t>
    <phoneticPr fontId="7"/>
  </si>
  <si>
    <t>JOD82</t>
  </si>
  <si>
    <t>JOD特別版0914</t>
    <rPh sb="3" eb="6">
      <t>トクベツバン</t>
    </rPh>
    <phoneticPr fontId="7"/>
  </si>
  <si>
    <t>9/13～</t>
    <phoneticPr fontId="7"/>
  </si>
  <si>
    <t>JODルリネ7004</t>
    <phoneticPr fontId="7"/>
  </si>
  <si>
    <t>10/1～</t>
    <phoneticPr fontId="7"/>
  </si>
  <si>
    <t>10/8～</t>
    <phoneticPr fontId="7"/>
  </si>
  <si>
    <t>在庫確認</t>
    <rPh sb="0" eb="4">
      <t>ザイコカクニン</t>
    </rPh>
    <phoneticPr fontId="7"/>
  </si>
  <si>
    <t>ハルメク・アルファ①</t>
    <phoneticPr fontId="7"/>
  </si>
  <si>
    <t>はぴねすくらぶ12月号2色組</t>
    <rPh sb="9" eb="11">
      <t>ガツゴウ</t>
    </rPh>
    <rPh sb="12" eb="14">
      <t>ショククミ</t>
    </rPh>
    <phoneticPr fontId="7"/>
  </si>
  <si>
    <t>12/2～</t>
    <phoneticPr fontId="7"/>
  </si>
  <si>
    <t>ことせ2442（ﾊﾙﾒｸ･ｱﾙﾌｧ）</t>
    <phoneticPr fontId="7"/>
  </si>
  <si>
    <t>11/22～2/28</t>
    <phoneticPr fontId="7"/>
  </si>
  <si>
    <t>夢販</t>
    <rPh sb="0" eb="2">
      <t>ユメハン</t>
    </rPh>
    <phoneticPr fontId="7"/>
  </si>
  <si>
    <t>JOD①</t>
    <phoneticPr fontId="7"/>
  </si>
  <si>
    <t>JOD特別版1107</t>
    <rPh sb="3" eb="6">
      <t>トクベツバン</t>
    </rPh>
    <phoneticPr fontId="7"/>
  </si>
  <si>
    <t>11/6～</t>
    <phoneticPr fontId="7"/>
  </si>
  <si>
    <t>JODアクセス7005</t>
    <phoneticPr fontId="7"/>
  </si>
  <si>
    <t>サクラマチsample</t>
    <phoneticPr fontId="7"/>
  </si>
  <si>
    <t>2024/11/6数伝</t>
    <rPh sb="9" eb="11">
      <t>スウデン</t>
    </rPh>
    <phoneticPr fontId="7"/>
  </si>
  <si>
    <t>2色組　　　　　　　　　　　　　.＠625</t>
    <rPh sb="1" eb="3">
      <t>ショクグミ</t>
    </rPh>
    <phoneticPr fontId="7"/>
  </si>
  <si>
    <t>夢販</t>
    <rPh sb="0" eb="2">
      <t>ユメハン</t>
    </rPh>
    <phoneticPr fontId="7"/>
  </si>
  <si>
    <t>ネット</t>
    <phoneticPr fontId="7"/>
  </si>
  <si>
    <t>1/15～29</t>
    <phoneticPr fontId="7"/>
  </si>
  <si>
    <t>JOD特別版1225</t>
    <rPh sb="3" eb="6">
      <t>トクベツバン</t>
    </rPh>
    <phoneticPr fontId="7"/>
  </si>
  <si>
    <t>12/24～</t>
    <phoneticPr fontId="7"/>
  </si>
  <si>
    <t>はぴねすくらぶ12月号2色組①</t>
    <rPh sb="9" eb="11">
      <t>ガツゴウ</t>
    </rPh>
    <rPh sb="12" eb="14">
      <t>ショククミ</t>
    </rPh>
    <phoneticPr fontId="7"/>
  </si>
  <si>
    <t>JODアクセス7006</t>
    <phoneticPr fontId="7"/>
  </si>
  <si>
    <t>ハルメク・アルファ②</t>
    <phoneticPr fontId="7"/>
  </si>
  <si>
    <t>JOD特別号9520</t>
    <rPh sb="3" eb="6">
      <t>トクベツゴウ</t>
    </rPh>
    <phoneticPr fontId="7"/>
  </si>
  <si>
    <t>1/29～</t>
    <phoneticPr fontId="7"/>
  </si>
  <si>
    <t>ハルメク・アルファ③</t>
    <phoneticPr fontId="7"/>
  </si>
  <si>
    <t>ユーコープ１月５回（不透明袋）【限定】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</si>
  <si>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夢販</t>
    <rPh sb="0" eb="2">
      <t>ユメハン</t>
    </rPh>
    <phoneticPr fontId="7"/>
  </si>
  <si>
    <t>ハルメク・アルファ④</t>
    <phoneticPr fontId="7"/>
  </si>
  <si>
    <t>はぴねすくらぶ12月号2色組②</t>
    <rPh sb="9" eb="11">
      <t>ガツゴウ</t>
    </rPh>
    <rPh sb="12" eb="14">
      <t>ショククミ</t>
    </rPh>
    <phoneticPr fontId="7"/>
  </si>
  <si>
    <t>ハルメク・アルファ⑤</t>
    <phoneticPr fontId="7"/>
  </si>
  <si>
    <t>はぴねすくらぶ12月号2色組③</t>
    <rPh sb="9" eb="11">
      <t>ガツゴウ</t>
    </rPh>
    <rPh sb="12" eb="14">
      <t>ショククミ</t>
    </rPh>
    <phoneticPr fontId="7"/>
  </si>
  <si>
    <t>夢販</t>
    <rPh sb="0" eb="2">
      <t>ユメハン</t>
    </rPh>
    <phoneticPr fontId="7"/>
  </si>
  <si>
    <t>JOD特別版0202</t>
    <rPh sb="3" eb="5">
      <t>トクベツ</t>
    </rPh>
    <rPh sb="5" eb="6">
      <t>バン</t>
    </rPh>
    <phoneticPr fontId="7"/>
  </si>
  <si>
    <t>はぴねすくらぶ12月号2色組④</t>
    <rPh sb="9" eb="11">
      <t>ガツゴウ</t>
    </rPh>
    <rPh sb="12" eb="14">
      <t>ショククミ</t>
    </rPh>
    <phoneticPr fontId="7"/>
  </si>
  <si>
    <t>JOD52</t>
  </si>
  <si>
    <t>JOD53</t>
  </si>
  <si>
    <t>はぴねすくらぶ12月号2色組⑤</t>
    <rPh sb="9" eb="11">
      <t>ガツゴウ</t>
    </rPh>
    <rPh sb="12" eb="14">
      <t>ショククミ</t>
    </rPh>
    <phoneticPr fontId="7"/>
  </si>
  <si>
    <t>JOD54</t>
    <phoneticPr fontId="7"/>
  </si>
  <si>
    <t>JOD56</t>
  </si>
  <si>
    <t>はぴねすくらぶ12月号2色組⑥</t>
    <rPh sb="9" eb="11">
      <t>ガツゴウ</t>
    </rPh>
    <rPh sb="12" eb="14">
      <t>ショククミ</t>
    </rPh>
    <phoneticPr fontId="7"/>
  </si>
  <si>
    <t>JOD57</t>
    <phoneticPr fontId="7"/>
  </si>
  <si>
    <t>JOD58</t>
  </si>
  <si>
    <t>JOD59</t>
    <phoneticPr fontId="7"/>
  </si>
  <si>
    <t>夢販</t>
    <rPh sb="0" eb="2">
      <t>ユメハン</t>
    </rPh>
    <phoneticPr fontId="7"/>
  </si>
  <si>
    <t>JOD特別版0226</t>
    <rPh sb="3" eb="6">
      <t>トクベツバン</t>
    </rPh>
    <phoneticPr fontId="7"/>
  </si>
  <si>
    <t>JODアクセス7007</t>
    <phoneticPr fontId="7"/>
  </si>
  <si>
    <t>2/25～</t>
    <phoneticPr fontId="7"/>
  </si>
  <si>
    <t>はぴねすくらぶ12月号2色組⑦</t>
    <rPh sb="9" eb="11">
      <t>ガツゴウ</t>
    </rPh>
    <rPh sb="12" eb="14">
      <t>ショククミ</t>
    </rPh>
    <phoneticPr fontId="7"/>
  </si>
  <si>
    <t>JOD62</t>
    <phoneticPr fontId="7"/>
  </si>
  <si>
    <t>ユーコープ１月５回（不透明袋）【限定】①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</si>
  <si>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はぴねすくらぶ12月号2色組⑧</t>
    <rPh sb="9" eb="11">
      <t>ガツゴウ</t>
    </rPh>
    <rPh sb="12" eb="14">
      <t>ショククミ</t>
    </rPh>
    <phoneticPr fontId="7"/>
  </si>
  <si>
    <t>JOD65</t>
    <phoneticPr fontId="7"/>
  </si>
  <si>
    <t>JOD66</t>
  </si>
  <si>
    <t>ユーコープ１月５回（不透明袋）【限定】②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</si>
  <si>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ユーコープ１月５回（不透明袋）【限定】③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</si>
  <si>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はぴねすくらぶ12月号2色組⑨</t>
    <rPh sb="9" eb="11">
      <t>ガツゴウ</t>
    </rPh>
    <rPh sb="12" eb="14">
      <t>ショククミ</t>
    </rPh>
    <phoneticPr fontId="7"/>
  </si>
  <si>
    <t>JOD67</t>
    <phoneticPr fontId="7"/>
  </si>
  <si>
    <t>JOD68</t>
  </si>
  <si>
    <t>ネット</t>
    <phoneticPr fontId="7"/>
  </si>
  <si>
    <t>JOD70</t>
    <phoneticPr fontId="7"/>
  </si>
  <si>
    <t>JOD71</t>
  </si>
  <si>
    <t>JOD72</t>
    <phoneticPr fontId="7"/>
  </si>
  <si>
    <t>JOD73</t>
  </si>
  <si>
    <t>はぴねすくらぶ12月号2色組⑩</t>
    <rPh sb="9" eb="11">
      <t>ガツゴウ</t>
    </rPh>
    <rPh sb="12" eb="14">
      <t>ショククミ</t>
    </rPh>
    <phoneticPr fontId="7"/>
  </si>
  <si>
    <t>JOD77</t>
    <phoneticPr fontId="7"/>
  </si>
  <si>
    <t>JOD78</t>
    <phoneticPr fontId="7"/>
  </si>
  <si>
    <t>JOD79</t>
  </si>
  <si>
    <t>夢販</t>
    <rPh sb="0" eb="2">
      <t>ユメハン</t>
    </rPh>
    <phoneticPr fontId="7"/>
  </si>
  <si>
    <t>JOD80</t>
  </si>
  <si>
    <t>サクラマチ返品</t>
    <rPh sb="5" eb="7">
      <t>ヘンピン</t>
    </rPh>
    <phoneticPr fontId="7"/>
  </si>
  <si>
    <t>JOD83</t>
    <phoneticPr fontId="7"/>
  </si>
  <si>
    <t>JOD84</t>
  </si>
  <si>
    <t>JOD85</t>
  </si>
  <si>
    <t>JOD86</t>
  </si>
  <si>
    <t>JOD87</t>
  </si>
  <si>
    <t>JOD88</t>
  </si>
  <si>
    <t>JOD89</t>
  </si>
  <si>
    <t>ハルメクアルファ返品</t>
    <rPh sb="8" eb="10">
      <t>ヘンピン</t>
    </rPh>
    <phoneticPr fontId="7"/>
  </si>
  <si>
    <t>JOD90</t>
  </si>
  <si>
    <t>JOD91</t>
    <phoneticPr fontId="7"/>
  </si>
  <si>
    <t>JOD92</t>
  </si>
  <si>
    <t>JOD93</t>
  </si>
  <si>
    <t>はぴねすくらぶ12月号2色組⑪</t>
    <rPh sb="9" eb="11">
      <t>ガツゴウ</t>
    </rPh>
    <rPh sb="12" eb="14">
      <t>ショククミ</t>
    </rPh>
    <phoneticPr fontId="7"/>
  </si>
  <si>
    <t>JOD94</t>
    <phoneticPr fontId="7"/>
  </si>
  <si>
    <t>２０２５年AW～</t>
    <rPh sb="4" eb="5">
      <t>ネン</t>
    </rPh>
    <phoneticPr fontId="7"/>
  </si>
  <si>
    <t>JOD95</t>
  </si>
  <si>
    <t>JOD96</t>
  </si>
  <si>
    <t>JOD97</t>
  </si>
  <si>
    <t>ニッセン25初冬アトランダム撮影sample</t>
    <rPh sb="14" eb="16">
      <t>サツエイ</t>
    </rPh>
    <phoneticPr fontId="7"/>
  </si>
  <si>
    <t>ニッセン25初冬号アトランダム</t>
    <rPh sb="6" eb="9">
      <t>ショトウゴウ</t>
    </rPh>
    <phoneticPr fontId="7"/>
  </si>
  <si>
    <t>8/中旬～2/末</t>
    <rPh sb="2" eb="4">
      <t>チュウジュン</t>
    </rPh>
    <rPh sb="7" eb="8">
      <t>マツ</t>
    </rPh>
    <phoneticPr fontId="7"/>
  </si>
  <si>
    <t>ＩＥＩ10月号sample</t>
    <rPh sb="5" eb="7">
      <t>ガツゴウ</t>
    </rPh>
    <phoneticPr fontId="7"/>
  </si>
  <si>
    <t>2色組　　　　　　　　　　　　　.＠625*2 \1250</t>
    <rPh sb="1" eb="3">
      <t>ショクグミ</t>
    </rPh>
    <phoneticPr fontId="7"/>
  </si>
  <si>
    <t>はぴねすくらぶ返品</t>
    <rPh sb="7" eb="9">
      <t>ヘンピン</t>
    </rPh>
    <phoneticPr fontId="7"/>
  </si>
  <si>
    <t>IEI使ってヨカッタ10月号</t>
    <rPh sb="3" eb="4">
      <t>ツカ</t>
    </rPh>
    <rPh sb="12" eb="14">
      <t>ガツゴウ</t>
    </rPh>
    <phoneticPr fontId="7"/>
  </si>
  <si>
    <t>10/6～2/28</t>
    <phoneticPr fontId="7"/>
  </si>
  <si>
    <t>JODアクセス7012</t>
    <phoneticPr fontId="7"/>
  </si>
  <si>
    <t>←ここまで式確認2025/8/28</t>
    <rPh sb="0" eb="8">
      <t>&lt;-ココマデシキカクニン</t>
    </rPh>
    <phoneticPr fontId="7"/>
  </si>
  <si>
    <t>なごみ11月号DM</t>
    <rPh sb="5" eb="7">
      <t>ガツゴウ</t>
    </rPh>
    <phoneticPr fontId="7"/>
  </si>
  <si>
    <t>11/1～1/10</t>
    <phoneticPr fontId="7"/>
  </si>
  <si>
    <t>ニッセン25初冬号アトランダム①</t>
    <rPh sb="6" eb="9">
      <t>ショトウゴウ</t>
    </rPh>
    <phoneticPr fontId="7"/>
  </si>
  <si>
    <t>２０２４年実績</t>
    <rPh sb="4" eb="5">
      <t>ネン</t>
    </rPh>
    <rPh sb="5" eb="7">
      <t>ジッセキ</t>
    </rPh>
    <phoneticPr fontId="7"/>
  </si>
  <si>
    <t>在庫構成比</t>
    <rPh sb="0" eb="2">
      <t>ザイコ</t>
    </rPh>
    <rPh sb="2" eb="5">
      <t>コウセイヒ</t>
    </rPh>
    <phoneticPr fontId="7"/>
  </si>
  <si>
    <t>実績構成比</t>
    <rPh sb="0" eb="2">
      <t>ジッセキ</t>
    </rPh>
    <rPh sb="2" eb="5">
      <t>コウセイヒ</t>
    </rPh>
    <phoneticPr fontId="7"/>
  </si>
  <si>
    <t>JOD　２０２４年実績</t>
    <rPh sb="8" eb="9">
      <t>ネン</t>
    </rPh>
    <rPh sb="9" eb="11">
      <t>ジッセキ</t>
    </rPh>
    <phoneticPr fontId="7"/>
  </si>
  <si>
    <t>追加2-1</t>
    <rPh sb="0" eb="2">
      <t>ツイカ</t>
    </rPh>
    <phoneticPr fontId="7"/>
  </si>
  <si>
    <t>追加2-2</t>
    <rPh sb="0" eb="2">
      <t>ツイカ</t>
    </rPh>
    <phoneticPr fontId="7"/>
  </si>
  <si>
    <t>夢販</t>
    <rPh sb="0" eb="2">
      <t>ユメハン</t>
    </rPh>
    <phoneticPr fontId="7"/>
  </si>
  <si>
    <t>JOD特別号R9813</t>
    <rPh sb="3" eb="6">
      <t>トクベツゴウ</t>
    </rPh>
    <phoneticPr fontId="7"/>
  </si>
  <si>
    <t>JOD特別版1019</t>
    <rPh sb="3" eb="6">
      <t>トクベツバン</t>
    </rPh>
    <phoneticPr fontId="7"/>
  </si>
  <si>
    <t>9/30～</t>
    <phoneticPr fontId="7"/>
  </si>
  <si>
    <t>10/18～</t>
    <phoneticPr fontId="7"/>
  </si>
  <si>
    <t>なごみ11月号DM検品用sample</t>
    <rPh sb="5" eb="6">
      <t>ガツ</t>
    </rPh>
    <rPh sb="6" eb="7">
      <t>ゴウ</t>
    </rPh>
    <rPh sb="9" eb="12">
      <t>ケンピンヨウ</t>
    </rPh>
    <phoneticPr fontId="7"/>
  </si>
  <si>
    <t>なごみ11月号DM①</t>
    <rPh sb="5" eb="7">
      <t>ガツゴウ</t>
    </rPh>
    <phoneticPr fontId="7"/>
  </si>
  <si>
    <t>IEI使ってヨカッタ10月号①</t>
    <rPh sb="3" eb="4">
      <t>ツカ</t>
    </rPh>
    <rPh sb="12" eb="14">
      <t>ガツゴウ</t>
    </rPh>
    <phoneticPr fontId="7"/>
  </si>
  <si>
    <t>JOD</t>
    <phoneticPr fontId="7"/>
  </si>
  <si>
    <t>JOD特別版1107</t>
    <rPh sb="3" eb="5">
      <t>トクベツ</t>
    </rPh>
    <rPh sb="5" eb="6">
      <t>バン</t>
    </rPh>
    <phoneticPr fontId="7"/>
  </si>
  <si>
    <t>JODアクセス7013</t>
    <phoneticPr fontId="7"/>
  </si>
  <si>
    <t>はぴねすくらぶ12月号</t>
    <rPh sb="9" eb="11">
      <t>ガツゴウ</t>
    </rPh>
    <phoneticPr fontId="7"/>
  </si>
  <si>
    <t>12/1～</t>
    <phoneticPr fontId="7"/>
  </si>
  <si>
    <t>丸藤sample</t>
    <rPh sb="0" eb="2">
      <t>マルフジ</t>
    </rPh>
    <phoneticPr fontId="7"/>
  </si>
  <si>
    <t>ＩＥＩ10月号sample返却</t>
    <rPh sb="5" eb="7">
      <t>ガツゴウ</t>
    </rPh>
    <rPh sb="13" eb="15">
      <t>ヘンキャク</t>
    </rPh>
    <phoneticPr fontId="7"/>
  </si>
  <si>
    <t>IEI交換</t>
    <rPh sb="3" eb="5">
      <t>コウカン</t>
    </rPh>
    <phoneticPr fontId="7"/>
  </si>
  <si>
    <t>グリーンコープ1月44号差分予測</t>
    <rPh sb="8" eb="9">
      <t>ガツ</t>
    </rPh>
    <rPh sb="11" eb="12">
      <t>ゴウ</t>
    </rPh>
    <rPh sb="12" eb="16">
      <t>サブンヨソク</t>
    </rPh>
    <phoneticPr fontId="7"/>
  </si>
  <si>
    <t>グリーンコープ1月44号(不透明袋・未開封シール)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</si>
  <si>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はぴねすくらぶ12月号差分予測</t>
    <rPh sb="9" eb="11">
      <t>ガツゴウ</t>
    </rPh>
    <rPh sb="11" eb="15">
      <t>サブンヨソク</t>
    </rPh>
    <phoneticPr fontId="7"/>
  </si>
  <si>
    <t>IEI使ってヨカッタ10月号②</t>
    <rPh sb="3" eb="4">
      <t>ツカ</t>
    </rPh>
    <rPh sb="12" eb="14">
      <t>ガツゴウ</t>
    </rPh>
    <phoneticPr fontId="7"/>
  </si>
  <si>
    <t>JOD特別版1205</t>
    <rPh sb="3" eb="5">
      <t>トクベツ</t>
    </rPh>
    <rPh sb="5" eb="6">
      <t>バン</t>
    </rPh>
    <phoneticPr fontId="7"/>
  </si>
  <si>
    <t>12/4～</t>
    <phoneticPr fontId="7"/>
  </si>
  <si>
    <t>IEI交換</t>
    <rPh sb="3" eb="5">
      <t>コウカン</t>
    </rPh>
    <phoneticPr fontId="7"/>
  </si>
  <si>
    <t>ニッセン25初冬号アトランダム②</t>
    <rPh sb="6" eb="9">
      <t>ショトウゴウ</t>
    </rPh>
    <phoneticPr fontId="7"/>
  </si>
  <si>
    <t>夢販</t>
    <rPh sb="0" eb="2">
      <t>ユメハン</t>
    </rPh>
    <phoneticPr fontId="7"/>
  </si>
  <si>
    <t>なごみ11月号DM②</t>
    <rPh sb="5" eb="7">
      <t>ガツゴウ</t>
    </rPh>
    <phoneticPr fontId="7"/>
  </si>
  <si>
    <t>11/10数伝</t>
    <rPh sb="5" eb="6">
      <t>スウ</t>
    </rPh>
    <rPh sb="6" eb="7">
      <t>デン</t>
    </rPh>
    <phoneticPr fontId="7"/>
  </si>
  <si>
    <t>IEI交換</t>
    <rPh sb="3" eb="5">
      <t>コウカン</t>
    </rPh>
    <phoneticPr fontId="7"/>
  </si>
  <si>
    <t>IEI使ってヨカッタ10月号③</t>
    <rPh sb="3" eb="4">
      <t>ツカ</t>
    </rPh>
    <rPh sb="12" eb="14">
      <t>ガツゴウ</t>
    </rPh>
    <phoneticPr fontId="7"/>
  </si>
  <si>
    <t>ニッセン25初冬号アトランダム③</t>
    <rPh sb="6" eb="9">
      <t>ショトウゴウ</t>
    </rPh>
    <phoneticPr fontId="7"/>
  </si>
  <si>
    <t>なごみ11月号DM③</t>
    <rPh sb="5" eb="7">
      <t>ガツゴウ</t>
    </rPh>
    <phoneticPr fontId="7"/>
  </si>
  <si>
    <t>JODアクセス7014</t>
    <phoneticPr fontId="7"/>
  </si>
  <si>
    <t>1/14～</t>
    <phoneticPr fontId="7"/>
  </si>
  <si>
    <t>ユーコープ2月3回（不透明袋）</t>
    <rPh sb="6" eb="7">
      <t>ガツ</t>
    </rPh>
    <rPh sb="8" eb="9">
      <t>カイ</t>
    </rPh>
    <rPh sb="10" eb="14">
      <t>フトウメイフクロ</t>
    </rPh>
    <phoneticPr fontId="7"/>
  </si>
  <si>
    <t>点1/6、アバウト1/13、本1/15、19</t>
    <rPh sb="0" eb="1">
      <t>テン</t>
    </rPh>
    <rPh sb="14" eb="15">
      <t>ホン</t>
    </rPh>
    <phoneticPr fontId="7"/>
  </si>
  <si>
    <t>ユーコープ2月3回（不透明袋）差分予測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7"/>
  </si>
  <si>
    <t>2/4～2/18</t>
    <phoneticPr fontId="7"/>
  </si>
  <si>
    <t>はぴねすくらぶ12月号①</t>
    <rPh sb="9" eb="10">
      <t>ガツ</t>
    </rPh>
    <rPh sb="10" eb="11">
      <t>ゴウ</t>
    </rPh>
    <phoneticPr fontId="7"/>
  </si>
  <si>
    <t>JODエレソア1226</t>
    <phoneticPr fontId="7"/>
  </si>
  <si>
    <t>夢販</t>
    <rPh sb="0" eb="2">
      <t>ユメハン</t>
    </rPh>
    <phoneticPr fontId="7"/>
  </si>
  <si>
    <t>はぴねすくらぶ12月号②</t>
    <rPh sb="9" eb="10">
      <t>ガツ</t>
    </rPh>
    <rPh sb="10" eb="11">
      <t>ゴウ</t>
    </rPh>
    <phoneticPr fontId="7"/>
  </si>
  <si>
    <t>IEI返品</t>
    <rPh sb="3" eb="5">
      <t>ヘンピン</t>
    </rPh>
    <phoneticPr fontId="7"/>
  </si>
  <si>
    <t>グリーンコープ1月44号(不透明袋・未開封シール)①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</si>
  <si>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はぴねすくらぶ12月号③</t>
    <rPh sb="9" eb="10">
      <t>ガツ</t>
    </rPh>
    <rPh sb="10" eb="11">
      <t>ゴウ</t>
    </rPh>
    <phoneticPr fontId="7"/>
  </si>
  <si>
    <t>JOD</t>
  </si>
  <si>
    <t>ニッセン25初冬号アトランダム④</t>
    <rPh sb="6" eb="9">
      <t>ショトウゴウ</t>
    </rPh>
    <phoneticPr fontId="7"/>
  </si>
  <si>
    <t>はぴねすくらぶ12月号④</t>
    <rPh sb="9" eb="10">
      <t>ガツ</t>
    </rPh>
    <rPh sb="10" eb="11">
      <t>ゴウ</t>
    </rPh>
    <phoneticPr fontId="7"/>
  </si>
  <si>
    <t>はぴねすくらぶ12月号⑤</t>
    <rPh sb="9" eb="10">
      <t>ガツ</t>
    </rPh>
    <rPh sb="10" eb="11">
      <t>ゴウ</t>
    </rPh>
    <phoneticPr fontId="7"/>
  </si>
  <si>
    <t>ゆめはん</t>
    <phoneticPr fontId="7"/>
  </si>
  <si>
    <t>グリーンコープ1月44号(不透明袋・未開封シール)②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</si>
  <si>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グリーンコープ1月44号(不透明袋・未開封シール)③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</si>
  <si>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＜No.8211　エイトロック編両起毛インナー　ベスト2色組1P@625 2P\3990＞太陽在庫</t>
    <rPh sb="15" eb="16">
      <t>ア</t>
    </rPh>
    <rPh sb="16" eb="19">
      <t>リョウキモウ</t>
    </rPh>
    <rPh sb="28" eb="30">
      <t>ショクグミ</t>
    </rPh>
    <rPh sb="45" eb="47">
      <t>タイヨウ</t>
    </rPh>
    <rPh sb="47" eb="49">
      <t>ザイコ</t>
    </rPh>
    <phoneticPr fontId="3"/>
  </si>
  <si>
    <t>2026/1/19数伝</t>
    <rPh sb="9" eb="10">
      <t>スウ</t>
    </rPh>
    <rPh sb="10" eb="11">
      <t>デン</t>
    </rPh>
    <phoneticPr fontId="7"/>
  </si>
  <si>
    <t>はぴねすくらぶ12月号⑥</t>
    <rPh sb="9" eb="10">
      <t>ガツ</t>
    </rPh>
    <rPh sb="10" eb="11">
      <t>ゴウ</t>
    </rPh>
    <phoneticPr fontId="7"/>
  </si>
  <si>
    <t>ニッセン25初冬号アトランダム⑤</t>
    <rPh sb="6" eb="9">
      <t>ショトウゴウ</t>
    </rPh>
    <phoneticPr fontId="7"/>
  </si>
  <si>
    <t>ユーコープ2月3回（不透明袋）①</t>
    <rPh sb="6" eb="7">
      <t>ガツ</t>
    </rPh>
    <rPh sb="8" eb="9">
      <t>カイ</t>
    </rPh>
    <rPh sb="10" eb="14">
      <t>フトウメイフクロ</t>
    </rPh>
    <phoneticPr fontId="7"/>
  </si>
  <si>
    <t>なごみ返品</t>
    <rPh sb="3" eb="5">
      <t>ヘンピン</t>
    </rPh>
    <phoneticPr fontId="7"/>
  </si>
  <si>
    <t>はぴねすくらぶ12月号⑦</t>
    <rPh sb="9" eb="10">
      <t>ガツ</t>
    </rPh>
    <rPh sb="10" eb="11">
      <t>ゴウ</t>
    </rPh>
    <phoneticPr fontId="7"/>
  </si>
  <si>
    <t>ユーコープ2月3回（不透明袋）②</t>
    <rPh sb="6" eb="7">
      <t>ガツ</t>
    </rPh>
    <rPh sb="8" eb="9">
      <t>カイ</t>
    </rPh>
    <rPh sb="10" eb="14">
      <t>フトウメイフクロ</t>
    </rPh>
    <phoneticPr fontId="7"/>
  </si>
  <si>
    <t>はぴねすくらぶ12月号⑧</t>
    <rPh sb="9" eb="10">
      <t>ガツ</t>
    </rPh>
    <rPh sb="10" eb="11">
      <t>ゴウ</t>
    </rPh>
    <phoneticPr fontId="7"/>
  </si>
  <si>
    <t>IEI交換</t>
    <rPh sb="3" eb="5">
      <t>コウカン</t>
    </rPh>
    <phoneticPr fontId="7"/>
  </si>
  <si>
    <t>はぴねすくらぶ12月号⑨</t>
    <rPh sb="9" eb="10">
      <t>ガツ</t>
    </rPh>
    <rPh sb="10" eb="11">
      <t>ゴウ</t>
    </rPh>
    <phoneticPr fontId="7"/>
  </si>
  <si>
    <t>はぴねすくらぶ12月号⑩</t>
    <rPh sb="9" eb="10">
      <t>ガツ</t>
    </rPh>
    <rPh sb="10" eb="11">
      <t>ゴウ</t>
    </rPh>
    <phoneticPr fontId="7"/>
  </si>
  <si>
    <t>JOD</t>
    <phoneticPr fontId="7"/>
  </si>
  <si>
    <t>ゆめはん</t>
    <phoneticPr fontId="7"/>
  </si>
  <si>
    <t>はぴねすくらぶ12月号⑪</t>
    <rPh sb="9" eb="10">
      <t>ガツ</t>
    </rPh>
    <rPh sb="10" eb="11">
      <t>ゴウ</t>
    </rPh>
    <phoneticPr fontId="7"/>
  </si>
  <si>
    <t>→ここまで在庫確認済3/2</t>
    <rPh sb="5" eb="10">
      <t>ザイコカクニンスミ</t>
    </rPh>
    <phoneticPr fontId="7"/>
  </si>
  <si>
    <t>はぴねすくらぶ12月号⑫</t>
    <rPh sb="9" eb="10">
      <t>ガツ</t>
    </rPh>
    <rPh sb="10" eb="11">
      <t>ゴウ</t>
    </rPh>
    <phoneticPr fontId="7"/>
  </si>
  <si>
    <t>ニッセン25初冬アトランダム撮影sample返却</t>
    <rPh sb="14" eb="16">
      <t>サツエイ</t>
    </rPh>
    <rPh sb="22" eb="24">
      <t>ヘンキャク</t>
    </rPh>
    <phoneticPr fontId="7"/>
  </si>
  <si>
    <t>２０２６年AW～</t>
    <rPh sb="4" eb="5">
      <t>ネン</t>
    </rPh>
    <phoneticPr fontId="7"/>
  </si>
  <si>
    <t>追加  2-1????????????</t>
    <rPh sb="0" eb="2">
      <t>ツイカ</t>
    </rPh>
    <phoneticPr fontId="7"/>
  </si>
  <si>
    <t>追加  2-2????????????</t>
    <rPh sb="0" eb="2">
      <t>ツイカ</t>
    </rPh>
    <phoneticPr fontId="7"/>
  </si>
  <si>
    <t>10/1???????</t>
    <phoneticPr fontId="7"/>
  </si>
  <si>
    <t>12/1???????</t>
    <phoneticPr fontId="7"/>
  </si>
  <si>
    <t>丸藤返品</t>
    <rPh sb="0" eb="4">
      <t>マルフジヘンピン</t>
    </rPh>
    <phoneticPr fontId="7"/>
  </si>
  <si>
    <t>はぴねす</t>
    <phoneticPr fontId="7"/>
  </si>
  <si>
    <t>はぴねすくらぶ12月号⑬</t>
    <rPh sb="9" eb="10">
      <t>ガツ</t>
    </rPh>
    <rPh sb="10" eb="11">
      <t>ゴウ</t>
    </rPh>
    <phoneticPr fontId="7"/>
  </si>
  <si>
    <t>2025年44号実績</t>
    <rPh sb="4" eb="5">
      <t>ネン</t>
    </rPh>
    <rPh sb="7" eb="8">
      <t>ゴウ</t>
    </rPh>
    <rPh sb="8" eb="10">
      <t>ジッセキ</t>
    </rPh>
    <phoneticPr fontId="7"/>
  </si>
  <si>
    <t>2025年12月号実績</t>
    <rPh sb="4" eb="5">
      <t>ネン</t>
    </rPh>
    <rPh sb="7" eb="8">
      <t>ガツ</t>
    </rPh>
    <rPh sb="8" eb="9">
      <t>ゴウ</t>
    </rPh>
    <rPh sb="9" eb="11">
      <t>ジッセキ</t>
    </rPh>
    <phoneticPr fontId="7"/>
  </si>
  <si>
    <t>2025年9回実績</t>
    <rPh sb="6" eb="7">
      <t>カイ</t>
    </rPh>
    <rPh sb="7" eb="9">
      <t>ジッセキ</t>
    </rPh>
    <phoneticPr fontId="7"/>
  </si>
  <si>
    <t>なごみ</t>
    <phoneticPr fontId="7"/>
  </si>
  <si>
    <t>2025年11月号実績</t>
    <rPh sb="4" eb="5">
      <t>ネン</t>
    </rPh>
    <rPh sb="7" eb="8">
      <t>ガツ</t>
    </rPh>
    <rPh sb="8" eb="9">
      <t>ゴウ</t>
    </rPh>
    <rPh sb="9" eb="11">
      <t>ジッセキ</t>
    </rPh>
    <phoneticPr fontId="7"/>
  </si>
  <si>
    <t>グリーンコープ　</t>
    <phoneticPr fontId="7"/>
  </si>
  <si>
    <t>ユーコープ10月3回　</t>
    <rPh sb="7" eb="8">
      <t>ガツ</t>
    </rPh>
    <rPh sb="9" eb="10">
      <t>カイ</t>
    </rPh>
    <phoneticPr fontId="7"/>
  </si>
  <si>
    <t>決定</t>
    <rPh sb="0" eb="2">
      <t>ケッテイ</t>
    </rPh>
    <phoneticPr fontId="7"/>
  </si>
  <si>
    <t>ユーコープ12月3回　</t>
    <rPh sb="7" eb="8">
      <t>ガツ</t>
    </rPh>
    <rPh sb="9" eb="10">
      <t>カイ</t>
    </rPh>
    <phoneticPr fontId="7"/>
  </si>
  <si>
    <t>ユーコープ1月4回　</t>
    <rPh sb="6" eb="7">
      <t>ガツ</t>
    </rPh>
    <rPh sb="8" eb="9">
      <t>カイ</t>
    </rPh>
    <phoneticPr fontId="7"/>
  </si>
  <si>
    <t>提案中</t>
    <rPh sb="0" eb="3">
      <t>テイアンチュウ</t>
    </rPh>
    <phoneticPr fontId="7"/>
  </si>
  <si>
    <t>２０２４年～２０２６年　実績</t>
    <rPh sb="4" eb="5">
      <t>ネン</t>
    </rPh>
    <rPh sb="10" eb="11">
      <t>ネン</t>
    </rPh>
    <rPh sb="12" eb="14">
      <t>ジッセキ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</si>
</sst>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2" borderId="12" xfId="2" applyFill="1" applyBorder="1"/>
    <xf numFmtId="0" fontId="5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8" fillId="0" borderId="0" xfId="0" applyFont="1">
      <alignment vertical="center"/>
    </xf>
    <xf numFmtId="0" fontId="9" fillId="3" borderId="0" xfId="2" applyFont="1" applyFill="1"/>
    <xf numFmtId="0" fontId="9" fillId="4" borderId="0" xfId="2" applyFont="1" applyFill="1"/>
    <xf numFmtId="0" fontId="10" fillId="3" borderId="0" xfId="2" applyFont="1" applyFill="1"/>
    <xf numFmtId="0" fontId="10" fillId="4" borderId="0" xfId="2" applyFont="1" applyFill="1"/>
    <xf numFmtId="176" fontId="0" fillId="0" borderId="0" xfId="0" applyNumberFormat="1">
      <alignment vertical="center"/>
    </xf>
    <xf numFmtId="0" fontId="4" fillId="0" borderId="1" xfId="2" applyFont="1" applyBorder="1" applyAlignment="1">
      <alignment horizontal="center" vertical="center" shrinkToFit="1"/>
    </xf>
    <xf numFmtId="0" fontId="2" fillId="0" borderId="4" xfId="2" applyBorder="1" applyAlignment="1">
      <alignment horizontal="center" vertical="center" shrinkToFit="1"/>
    </xf>
    <xf numFmtId="0" fontId="6" fillId="0" borderId="1" xfId="2" applyFont="1" applyBorder="1" applyAlignment="1">
      <alignment horizontal="center" vertical="center" shrinkToFit="1"/>
    </xf>
    <xf numFmtId="0" fontId="4" fillId="0" borderId="2" xfId="2" applyFont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shrinkToFit="1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2" fillId="0" borderId="8" xfId="2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shrinkToFit="1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9" xfId="2" applyBorder="1" applyAlignment="1">
      <alignment horizont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6" fillId="0" borderId="0" xfId="2" applyFont="1"/>
    <xf numFmtId="176" fontId="16" fillId="0" borderId="0" xfId="0" applyNumberFormat="1" applyFont="1">
      <alignment vertical="center"/>
    </xf>
    <xf numFmtId="177" fontId="0" fillId="0" borderId="0" xfId="0" applyNumberFormat="1" applyAlignment="1">
      <alignment horizontal="left" vertical="center"/>
    </xf>
    <xf numFmtId="0" fontId="6" fillId="0" borderId="12" xfId="2" applyFont="1" applyBorder="1" applyAlignment="1">
      <alignment horizontal="center" vertical="center" shrinkToFit="1"/>
    </xf>
    <xf numFmtId="176" fontId="15" fillId="0" borderId="0" xfId="0" applyNumberFormat="1" applyFont="1">
      <alignment vertical="center"/>
    </xf>
    <xf numFmtId="0" fontId="5" fillId="0" borderId="12" xfId="2" applyFont="1" applyBorder="1" applyAlignment="1">
      <alignment horizontal="center" vertical="center" shrinkToFit="1"/>
    </xf>
    <xf numFmtId="0" fontId="2" fillId="2" borderId="9" xfId="2" applyFill="1" applyBorder="1"/>
    <xf numFmtId="0" fontId="2" fillId="0" borderId="13" xfId="2" applyBorder="1"/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13" xfId="2" applyBorder="1" applyAlignment="1">
      <alignment horizontal="left" vertical="center" shrinkToFit="1"/>
    </xf>
    <xf numFmtId="56" fontId="0" fillId="0" borderId="0" xfId="0" applyNumberFormat="1" applyAlignment="1">
      <alignment horizontal="left" vertical="center"/>
    </xf>
    <xf numFmtId="0" fontId="17" fillId="0" borderId="4" xfId="2" applyFont="1" applyBorder="1" applyAlignment="1">
      <alignment horizontal="center" vertical="center" shrinkToFit="1"/>
    </xf>
    <xf numFmtId="0" fontId="17" fillId="0" borderId="9" xfId="2" applyFont="1" applyBorder="1"/>
    <xf numFmtId="0" fontId="17" fillId="0" borderId="5" xfId="2" applyFont="1" applyBorder="1"/>
    <xf numFmtId="0" fontId="17" fillId="0" borderId="6" xfId="2" applyFont="1" applyBorder="1"/>
    <xf numFmtId="0" fontId="17" fillId="2" borderId="5" xfId="2" applyFont="1" applyFill="1" applyBorder="1"/>
    <xf numFmtId="0" fontId="1" fillId="0" borderId="0" xfId="0" applyFont="1" applyAlignment="1">
      <alignment horizontal="left" vertical="center"/>
    </xf>
    <xf numFmtId="56" fontId="1" fillId="0" borderId="0" xfId="0" applyNumberFormat="1" applyFont="1" applyAlignment="1">
      <alignment horizontal="left" vertical="center"/>
    </xf>
    <xf numFmtId="0" fontId="17" fillId="0" borderId="4" xfId="2" applyFont="1" applyBorder="1" applyAlignment="1">
      <alignment horizontal="center" vertical="center"/>
    </xf>
    <xf numFmtId="0" fontId="17" fillId="2" borderId="4" xfId="2" applyFont="1" applyFill="1" applyBorder="1"/>
    <xf numFmtId="56" fontId="1" fillId="0" borderId="0" xfId="0" applyNumberFormat="1" applyFont="1">
      <alignment vertical="center"/>
    </xf>
    <xf numFmtId="0" fontId="17" fillId="0" borderId="6" xfId="2" applyFont="1" applyBorder="1" applyAlignment="1">
      <alignment horizontal="center"/>
    </xf>
    <xf numFmtId="0" fontId="17" fillId="0" borderId="5" xfId="2" applyFont="1" applyBorder="1" applyAlignment="1">
      <alignment horizontal="center"/>
    </xf>
    <xf numFmtId="0" fontId="17" fillId="0" borderId="1" xfId="2" applyFont="1" applyBorder="1" applyAlignment="1">
      <alignment horizontal="center" vertical="center" shrinkToFit="1"/>
    </xf>
    <xf numFmtId="0" fontId="17" fillId="0" borderId="1" xfId="2" applyFont="1" applyBorder="1"/>
    <xf numFmtId="0" fontId="17" fillId="0" borderId="2" xfId="2" applyFont="1" applyBorder="1"/>
    <xf numFmtId="0" fontId="17" fillId="2" borderId="1" xfId="2" applyFont="1" applyFill="1" applyBorder="1"/>
    <xf numFmtId="56" fontId="8" fillId="0" borderId="0" xfId="0" applyNumberFormat="1" applyFont="1" applyAlignment="1">
      <alignment horizontal="right" vertical="center"/>
    </xf>
    <xf numFmtId="56" fontId="11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5" fillId="0" borderId="0" xfId="2" applyFont="1" applyAlignment="1">
      <alignment horizontal="right" vertical="center" shrinkToFit="1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6"/>
  <sheetViews>
    <sheetView tabSelected="1" topLeftCell="A749" zoomScaleNormal="100" workbookViewId="0">
      <selection activeCell="N805" sqref="N805"/>
    </sheetView>
  </sheetViews>
  <sheetFormatPr defaultRowHeight="13.5" x14ac:dyDescent="0.15"/>
  <cols>
    <col min="1" max="1" width="35.875" customWidth="1"/>
    <col min="2" max="4" width="9.375" customWidth="1"/>
    <col min="5" max="5" width="7.75" customWidth="1"/>
    <col min="6" max="6" width="10.625" customWidth="1"/>
    <col min="7" max="7" width="41.75" customWidth="1"/>
    <col min="8" max="11" width="12.625" customWidth="1"/>
    <col min="12" max="12" width="15.625" style="65" customWidth="1"/>
  </cols>
  <sheetData>
    <row r="1" spans="1:13" ht="24.75" customHeight="1" thickBot="1" x14ac:dyDescent="0.25">
      <c r="A1" s="30" t="s">
        <v>23</v>
      </c>
      <c r="B1" s="28"/>
      <c r="C1" s="28"/>
      <c r="D1" s="28"/>
      <c r="E1" s="28"/>
      <c r="G1" s="31" t="s">
        <v>25</v>
      </c>
      <c r="H1" s="29"/>
      <c r="I1" s="29"/>
      <c r="J1" s="29"/>
      <c r="K1" s="29"/>
    </row>
    <row r="2" spans="1:13" ht="14.25" thickBot="1" x14ac:dyDescent="0.2">
      <c r="A2" s="1" t="s">
        <v>0</v>
      </c>
      <c r="B2" s="91" t="s">
        <v>10</v>
      </c>
      <c r="C2" s="91"/>
      <c r="D2" s="91"/>
      <c r="E2" s="92"/>
      <c r="G2" s="1" t="s">
        <v>0</v>
      </c>
      <c r="H2" s="91" t="s">
        <v>10</v>
      </c>
      <c r="I2" s="91"/>
      <c r="J2" s="91"/>
      <c r="K2" s="92"/>
    </row>
    <row r="3" spans="1:13" ht="14.25" thickBot="1" x14ac:dyDescent="0.2">
      <c r="A3" s="1" t="s">
        <v>1</v>
      </c>
      <c r="B3" s="2" t="s">
        <v>6</v>
      </c>
      <c r="C3" s="1" t="s">
        <v>7</v>
      </c>
      <c r="D3" s="17" t="s">
        <v>8</v>
      </c>
      <c r="E3" s="1" t="s">
        <v>2</v>
      </c>
      <c r="G3" s="1" t="s">
        <v>1</v>
      </c>
      <c r="H3" s="2" t="s">
        <v>6</v>
      </c>
      <c r="I3" s="1" t="s">
        <v>7</v>
      </c>
      <c r="J3" s="17" t="s">
        <v>8</v>
      </c>
      <c r="K3" s="1" t="s">
        <v>2</v>
      </c>
    </row>
    <row r="4" spans="1:13" s="27" customFormat="1" x14ac:dyDescent="0.15">
      <c r="A4" s="42" t="s">
        <v>9</v>
      </c>
      <c r="B4" s="41">
        <v>20</v>
      </c>
      <c r="C4" s="3">
        <v>20</v>
      </c>
      <c r="D4" s="3">
        <v>20</v>
      </c>
      <c r="E4" s="4">
        <f t="shared" ref="E4:E40" si="0">SUM(B4:D4)</f>
        <v>60</v>
      </c>
      <c r="F4" s="39">
        <v>45170</v>
      </c>
      <c r="G4" s="3" t="s">
        <v>18</v>
      </c>
      <c r="H4" s="41">
        <v>20</v>
      </c>
      <c r="I4" s="3">
        <v>20</v>
      </c>
      <c r="J4" s="3">
        <v>20</v>
      </c>
      <c r="K4" s="4">
        <f t="shared" ref="K4:K5" si="1">SUM(H4:J4)</f>
        <v>60</v>
      </c>
      <c r="L4" s="66" t="s">
        <v>22</v>
      </c>
      <c r="M4" s="39"/>
    </row>
    <row r="5" spans="1:13" s="27" customFormat="1" x14ac:dyDescent="0.15">
      <c r="A5" s="3" t="s">
        <v>11</v>
      </c>
      <c r="B5" s="14"/>
      <c r="C5" s="9"/>
      <c r="D5" s="14"/>
      <c r="E5" s="4">
        <f t="shared" si="0"/>
        <v>0</v>
      </c>
      <c r="F5" s="39"/>
      <c r="G5" s="3" t="s">
        <v>11</v>
      </c>
      <c r="H5" s="14"/>
      <c r="I5" s="9"/>
      <c r="J5" s="14"/>
      <c r="K5" s="4">
        <f t="shared" si="1"/>
        <v>0</v>
      </c>
      <c r="L5" s="67"/>
    </row>
    <row r="6" spans="1:13" s="27" customFormat="1" x14ac:dyDescent="0.15">
      <c r="A6" s="3" t="s">
        <v>11</v>
      </c>
      <c r="B6" s="14"/>
      <c r="C6" s="9"/>
      <c r="D6" s="14"/>
      <c r="E6" s="4">
        <f t="shared" ref="E6:E8" si="2">SUM(B6:D6)</f>
        <v>0</v>
      </c>
      <c r="F6" s="39"/>
      <c r="G6" s="3" t="s">
        <v>11</v>
      </c>
      <c r="H6" s="14"/>
      <c r="I6" s="9"/>
      <c r="J6" s="14"/>
      <c r="K6" s="4">
        <f t="shared" ref="K6:K7" si="3">SUM(H6:J6)</f>
        <v>0</v>
      </c>
      <c r="L6" s="67"/>
    </row>
    <row r="7" spans="1:13" s="27" customFormat="1" x14ac:dyDescent="0.15">
      <c r="A7" s="3" t="s">
        <v>11</v>
      </c>
      <c r="B7" s="14"/>
      <c r="C7" s="9"/>
      <c r="D7" s="14"/>
      <c r="E7" s="4">
        <f t="shared" si="2"/>
        <v>0</v>
      </c>
      <c r="F7" s="39"/>
      <c r="G7" s="3" t="s">
        <v>11</v>
      </c>
      <c r="H7" s="14"/>
      <c r="I7" s="9"/>
      <c r="J7" s="14"/>
      <c r="K7" s="4">
        <f t="shared" si="3"/>
        <v>0</v>
      </c>
      <c r="L7" s="67"/>
    </row>
    <row r="8" spans="1:13" s="27" customFormat="1" x14ac:dyDescent="0.15">
      <c r="A8" s="3" t="s">
        <v>11</v>
      </c>
      <c r="B8" s="14"/>
      <c r="C8" s="9"/>
      <c r="D8" s="14"/>
      <c r="E8" s="4">
        <f t="shared" si="2"/>
        <v>0</v>
      </c>
      <c r="F8" s="39"/>
      <c r="G8" s="3" t="s">
        <v>12</v>
      </c>
      <c r="H8" s="41">
        <v>180</v>
      </c>
      <c r="I8" s="3">
        <v>180</v>
      </c>
      <c r="J8" s="3">
        <v>80</v>
      </c>
      <c r="K8" s="4">
        <f t="shared" ref="K8" si="4">SUM(H8:J8)</f>
        <v>440</v>
      </c>
      <c r="L8" s="66" t="s">
        <v>33</v>
      </c>
      <c r="M8" s="39"/>
    </row>
    <row r="9" spans="1:13" s="27" customFormat="1" x14ac:dyDescent="0.15">
      <c r="A9" s="3" t="s">
        <v>11</v>
      </c>
      <c r="B9" s="14"/>
      <c r="C9" s="9"/>
      <c r="D9" s="14"/>
      <c r="E9" s="4">
        <f t="shared" si="0"/>
        <v>0</v>
      </c>
      <c r="F9" s="39"/>
      <c r="G9" s="3" t="s">
        <v>11</v>
      </c>
      <c r="H9" s="14"/>
      <c r="I9" s="9"/>
      <c r="J9" s="14"/>
      <c r="K9" s="4">
        <f t="shared" ref="K9:K40" si="5">SUM(H9:J9)</f>
        <v>0</v>
      </c>
      <c r="L9" s="67"/>
    </row>
    <row r="10" spans="1:13" s="27" customFormat="1" x14ac:dyDescent="0.15">
      <c r="A10" s="3" t="s">
        <v>11</v>
      </c>
      <c r="B10" s="14"/>
      <c r="C10" s="9"/>
      <c r="D10" s="14"/>
      <c r="E10" s="4">
        <f t="shared" si="0"/>
        <v>0</v>
      </c>
      <c r="G10" s="3" t="s">
        <v>11</v>
      </c>
      <c r="H10" s="14"/>
      <c r="I10" s="9"/>
      <c r="J10" s="14"/>
      <c r="K10" s="4">
        <f t="shared" si="5"/>
        <v>0</v>
      </c>
      <c r="L10" s="67"/>
    </row>
    <row r="11" spans="1:13" s="27" customFormat="1" x14ac:dyDescent="0.15">
      <c r="A11" s="3" t="s">
        <v>11</v>
      </c>
      <c r="B11" s="8"/>
      <c r="C11" s="7"/>
      <c r="D11" s="8"/>
      <c r="E11" s="4">
        <f t="shared" si="0"/>
        <v>0</v>
      </c>
      <c r="G11" s="3" t="s">
        <v>11</v>
      </c>
      <c r="H11" s="8"/>
      <c r="I11" s="7"/>
      <c r="J11" s="8"/>
      <c r="K11" s="4">
        <f t="shared" si="5"/>
        <v>0</v>
      </c>
      <c r="L11" s="67"/>
    </row>
    <row r="12" spans="1:13" s="27" customFormat="1" x14ac:dyDescent="0.15">
      <c r="A12" s="3" t="s">
        <v>11</v>
      </c>
      <c r="B12" s="8"/>
      <c r="C12" s="7"/>
      <c r="D12" s="8"/>
      <c r="E12" s="4">
        <f t="shared" si="0"/>
        <v>0</v>
      </c>
      <c r="G12" s="3" t="s">
        <v>11</v>
      </c>
      <c r="H12" s="8"/>
      <c r="I12" s="7"/>
      <c r="J12" s="8"/>
      <c r="K12" s="4">
        <f t="shared" si="5"/>
        <v>0</v>
      </c>
      <c r="L12" s="67"/>
    </row>
    <row r="13" spans="1:13" s="27" customFormat="1" x14ac:dyDescent="0.15">
      <c r="A13" s="3" t="s">
        <v>11</v>
      </c>
      <c r="B13" s="8"/>
      <c r="C13" s="7"/>
      <c r="D13" s="8"/>
      <c r="E13" s="4">
        <f t="shared" si="0"/>
        <v>0</v>
      </c>
      <c r="G13" s="3" t="s">
        <v>11</v>
      </c>
      <c r="H13" s="8"/>
      <c r="I13" s="7"/>
      <c r="J13" s="8"/>
      <c r="K13" s="4">
        <f t="shared" si="5"/>
        <v>0</v>
      </c>
      <c r="L13" s="67"/>
    </row>
    <row r="14" spans="1:13" s="27" customFormat="1" ht="14.25" thickBot="1" x14ac:dyDescent="0.2">
      <c r="A14" s="3" t="s">
        <v>11</v>
      </c>
      <c r="B14" s="11"/>
      <c r="C14" s="10"/>
      <c r="D14" s="11"/>
      <c r="E14" s="18">
        <f t="shared" si="0"/>
        <v>0</v>
      </c>
      <c r="G14" s="3" t="s">
        <v>11</v>
      </c>
      <c r="H14" s="11"/>
      <c r="I14" s="10"/>
      <c r="J14" s="11"/>
      <c r="K14" s="18">
        <f t="shared" si="5"/>
        <v>0</v>
      </c>
      <c r="L14" s="67"/>
    </row>
    <row r="15" spans="1:13" ht="14.25" thickBot="1" x14ac:dyDescent="0.2">
      <c r="A15" s="21" t="s">
        <v>3</v>
      </c>
      <c r="B15" s="22">
        <f>SUM(B4:B14)</f>
        <v>20</v>
      </c>
      <c r="C15" s="22">
        <f>SUM(C4:C14)</f>
        <v>20</v>
      </c>
      <c r="D15" s="23">
        <f>SUM(D4:D14)</f>
        <v>20</v>
      </c>
      <c r="E15" s="24">
        <f t="shared" si="0"/>
        <v>60</v>
      </c>
      <c r="G15" s="21" t="s">
        <v>3</v>
      </c>
      <c r="H15" s="22">
        <f>SUM(H4:H14)</f>
        <v>200</v>
      </c>
      <c r="I15" s="22">
        <f>SUM(I4:I14)</f>
        <v>200</v>
      </c>
      <c r="J15" s="23">
        <f>SUM(J4:J14)</f>
        <v>100</v>
      </c>
      <c r="K15" s="24">
        <f t="shared" si="5"/>
        <v>500</v>
      </c>
    </row>
    <row r="16" spans="1:13" s="27" customFormat="1" x14ac:dyDescent="0.15">
      <c r="A16" s="34" t="s">
        <v>21</v>
      </c>
      <c r="B16" s="6">
        <v>8</v>
      </c>
      <c r="C16" s="7">
        <v>8</v>
      </c>
      <c r="D16" s="8">
        <v>3</v>
      </c>
      <c r="E16" s="5">
        <f t="shared" si="0"/>
        <v>19</v>
      </c>
      <c r="F16" s="39">
        <v>45171</v>
      </c>
      <c r="G16" s="34" t="s">
        <v>26</v>
      </c>
      <c r="H16" s="6">
        <v>20</v>
      </c>
      <c r="I16" s="7">
        <v>20</v>
      </c>
      <c r="J16" s="8">
        <v>20</v>
      </c>
      <c r="K16" s="5">
        <f t="shared" ref="K16:K33" si="6">SUM(H16:J16)</f>
        <v>60</v>
      </c>
      <c r="L16" s="66">
        <v>45170</v>
      </c>
    </row>
    <row r="17" spans="1:13" s="27" customFormat="1" x14ac:dyDescent="0.15">
      <c r="A17" s="34" t="s">
        <v>24</v>
      </c>
      <c r="B17" s="6"/>
      <c r="C17" s="7">
        <v>1</v>
      </c>
      <c r="D17" s="8">
        <v>3</v>
      </c>
      <c r="E17" s="5">
        <f t="shared" si="0"/>
        <v>4</v>
      </c>
      <c r="F17" s="39">
        <v>45174</v>
      </c>
      <c r="G17" s="34"/>
      <c r="H17" s="6"/>
      <c r="I17" s="7"/>
      <c r="J17" s="8"/>
      <c r="K17" s="5">
        <f t="shared" ref="K17" si="7">SUM(H17:J17)</f>
        <v>0</v>
      </c>
      <c r="L17" s="67"/>
    </row>
    <row r="18" spans="1:13" s="27" customFormat="1" x14ac:dyDescent="0.15">
      <c r="A18" s="3" t="s">
        <v>35</v>
      </c>
      <c r="B18" s="6">
        <v>1</v>
      </c>
      <c r="C18" s="7">
        <v>1</v>
      </c>
      <c r="D18" s="8">
        <v>1</v>
      </c>
      <c r="E18" s="5">
        <f t="shared" ref="E18:E33" si="8">SUM(B18:D18)</f>
        <v>3</v>
      </c>
      <c r="F18" s="39">
        <v>45198</v>
      </c>
      <c r="G18" s="34"/>
      <c r="H18" s="6"/>
      <c r="I18" s="7"/>
      <c r="J18" s="8"/>
      <c r="K18" s="5">
        <f t="shared" si="6"/>
        <v>0</v>
      </c>
      <c r="L18" s="67"/>
    </row>
    <row r="19" spans="1:13" s="27" customFormat="1" x14ac:dyDescent="0.15">
      <c r="A19" s="3"/>
      <c r="B19" s="6"/>
      <c r="C19" s="7"/>
      <c r="D19" s="8"/>
      <c r="E19" s="5">
        <f t="shared" ref="E19:E23" si="9">SUM(B19:D19)</f>
        <v>0</v>
      </c>
      <c r="F19" s="39"/>
      <c r="G19" s="34"/>
      <c r="H19" s="6"/>
      <c r="I19" s="7"/>
      <c r="J19" s="8"/>
      <c r="K19" s="5">
        <f t="shared" si="6"/>
        <v>0</v>
      </c>
      <c r="L19" s="67"/>
    </row>
    <row r="20" spans="1:13" s="27" customFormat="1" x14ac:dyDescent="0.15">
      <c r="A20" s="3"/>
      <c r="B20" s="6"/>
      <c r="C20" s="7"/>
      <c r="D20" s="8"/>
      <c r="E20" s="5">
        <f t="shared" si="9"/>
        <v>0</v>
      </c>
      <c r="F20" s="39"/>
      <c r="G20" s="34"/>
      <c r="H20" s="6"/>
      <c r="I20" s="7"/>
      <c r="J20" s="8"/>
      <c r="K20" s="5">
        <f t="shared" si="6"/>
        <v>0</v>
      </c>
      <c r="L20" s="67"/>
      <c r="M20" s="27" t="s">
        <v>34</v>
      </c>
    </row>
    <row r="21" spans="1:13" s="27" customFormat="1" x14ac:dyDescent="0.15">
      <c r="A21" s="3"/>
      <c r="B21" s="6"/>
      <c r="C21" s="7"/>
      <c r="D21" s="8"/>
      <c r="E21" s="5">
        <f t="shared" si="9"/>
        <v>0</v>
      </c>
      <c r="F21" s="39"/>
      <c r="G21" s="34"/>
      <c r="H21" s="6"/>
      <c r="I21" s="7"/>
      <c r="J21" s="8"/>
      <c r="K21" s="5">
        <f t="shared" si="6"/>
        <v>0</v>
      </c>
      <c r="L21" s="67"/>
    </row>
    <row r="22" spans="1:13" s="27" customFormat="1" x14ac:dyDescent="0.15">
      <c r="A22" s="3"/>
      <c r="B22" s="6"/>
      <c r="C22" s="7"/>
      <c r="D22" s="8"/>
      <c r="E22" s="5">
        <f t="shared" si="9"/>
        <v>0</v>
      </c>
      <c r="F22" s="39"/>
      <c r="G22" s="34"/>
      <c r="H22" s="6"/>
      <c r="I22" s="7"/>
      <c r="J22" s="8"/>
      <c r="K22" s="5">
        <f t="shared" si="6"/>
        <v>0</v>
      </c>
      <c r="L22" s="67"/>
    </row>
    <row r="23" spans="1:13" s="27" customFormat="1" x14ac:dyDescent="0.15">
      <c r="A23" s="3"/>
      <c r="B23" s="6"/>
      <c r="C23" s="7"/>
      <c r="D23" s="8"/>
      <c r="E23" s="5">
        <f t="shared" si="9"/>
        <v>0</v>
      </c>
      <c r="F23" s="39"/>
      <c r="G23" s="34"/>
      <c r="H23" s="6"/>
      <c r="I23" s="7"/>
      <c r="J23" s="8"/>
      <c r="K23" s="5">
        <f t="shared" si="6"/>
        <v>0</v>
      </c>
      <c r="L23" s="67"/>
    </row>
    <row r="24" spans="1:13" s="27" customFormat="1" x14ac:dyDescent="0.15">
      <c r="A24" s="3"/>
      <c r="B24" s="6"/>
      <c r="C24" s="7"/>
      <c r="D24" s="8"/>
      <c r="E24" s="5">
        <f t="shared" si="8"/>
        <v>0</v>
      </c>
      <c r="F24" s="39"/>
      <c r="G24" s="34"/>
      <c r="H24" s="6"/>
      <c r="I24" s="7"/>
      <c r="J24" s="8"/>
      <c r="K24" s="5">
        <f t="shared" si="6"/>
        <v>0</v>
      </c>
      <c r="L24" s="67"/>
    </row>
    <row r="25" spans="1:13" s="27" customFormat="1" x14ac:dyDescent="0.15">
      <c r="A25" s="3"/>
      <c r="B25" s="6"/>
      <c r="C25" s="7"/>
      <c r="D25" s="8"/>
      <c r="E25" s="5">
        <f t="shared" si="8"/>
        <v>0</v>
      </c>
      <c r="F25" s="39"/>
      <c r="G25" s="34"/>
      <c r="H25" s="6"/>
      <c r="I25" s="7"/>
      <c r="J25" s="8"/>
      <c r="K25" s="5">
        <f t="shared" si="6"/>
        <v>0</v>
      </c>
      <c r="L25" s="67"/>
    </row>
    <row r="26" spans="1:13" s="27" customFormat="1" x14ac:dyDescent="0.15">
      <c r="A26" s="3"/>
      <c r="B26" s="6"/>
      <c r="C26" s="7"/>
      <c r="D26" s="8"/>
      <c r="E26" s="5">
        <f t="shared" si="8"/>
        <v>0</v>
      </c>
      <c r="F26" s="39"/>
      <c r="G26" s="34"/>
      <c r="H26" s="6"/>
      <c r="I26" s="7"/>
      <c r="J26" s="8"/>
      <c r="K26" s="5">
        <f t="shared" si="6"/>
        <v>0</v>
      </c>
      <c r="L26" s="67"/>
    </row>
    <row r="27" spans="1:13" s="27" customFormat="1" x14ac:dyDescent="0.15">
      <c r="A27" s="3"/>
      <c r="B27" s="6"/>
      <c r="C27" s="7"/>
      <c r="D27" s="8"/>
      <c r="E27" s="5">
        <f t="shared" si="8"/>
        <v>0</v>
      </c>
      <c r="F27" s="39"/>
      <c r="G27" s="34"/>
      <c r="H27" s="6"/>
      <c r="I27" s="7"/>
      <c r="J27" s="8"/>
      <c r="K27" s="5">
        <f t="shared" si="6"/>
        <v>0</v>
      </c>
      <c r="L27" s="67"/>
    </row>
    <row r="28" spans="1:13" s="27" customFormat="1" x14ac:dyDescent="0.15">
      <c r="A28" s="3"/>
      <c r="B28" s="6"/>
      <c r="C28" s="7"/>
      <c r="D28" s="8"/>
      <c r="E28" s="5">
        <f t="shared" si="8"/>
        <v>0</v>
      </c>
      <c r="F28" s="39"/>
      <c r="G28" s="34"/>
      <c r="H28" s="6"/>
      <c r="I28" s="7"/>
      <c r="J28" s="8"/>
      <c r="K28" s="5">
        <f t="shared" si="6"/>
        <v>0</v>
      </c>
      <c r="L28" s="67"/>
    </row>
    <row r="29" spans="1:13" s="27" customFormat="1" x14ac:dyDescent="0.15">
      <c r="A29" s="3"/>
      <c r="B29" s="6"/>
      <c r="C29" s="7"/>
      <c r="D29" s="8"/>
      <c r="E29" s="5">
        <f t="shared" si="8"/>
        <v>0</v>
      </c>
      <c r="F29" s="39"/>
      <c r="G29" s="34"/>
      <c r="H29" s="6"/>
      <c r="I29" s="7"/>
      <c r="J29" s="8"/>
      <c r="K29" s="5">
        <f t="shared" si="6"/>
        <v>0</v>
      </c>
      <c r="L29" s="67"/>
    </row>
    <row r="30" spans="1:13" s="27" customFormat="1" x14ac:dyDescent="0.15">
      <c r="A30" s="3"/>
      <c r="B30" s="6"/>
      <c r="C30" s="7"/>
      <c r="D30" s="8"/>
      <c r="E30" s="5">
        <f t="shared" si="8"/>
        <v>0</v>
      </c>
      <c r="F30" s="39"/>
      <c r="G30" s="34"/>
      <c r="H30" s="6"/>
      <c r="I30" s="7"/>
      <c r="J30" s="8"/>
      <c r="K30" s="5">
        <f t="shared" si="6"/>
        <v>0</v>
      </c>
      <c r="L30" s="67"/>
    </row>
    <row r="31" spans="1:13" s="27" customFormat="1" x14ac:dyDescent="0.15">
      <c r="A31" s="3"/>
      <c r="B31" s="6"/>
      <c r="C31" s="7"/>
      <c r="D31" s="8"/>
      <c r="E31" s="5">
        <f t="shared" si="8"/>
        <v>0</v>
      </c>
      <c r="F31" s="39"/>
      <c r="G31" s="34"/>
      <c r="H31" s="6"/>
      <c r="I31" s="7"/>
      <c r="J31" s="8"/>
      <c r="K31" s="5">
        <f t="shared" si="6"/>
        <v>0</v>
      </c>
      <c r="L31" s="67"/>
    </row>
    <row r="32" spans="1:13" s="27" customFormat="1" x14ac:dyDescent="0.15">
      <c r="A32" s="3"/>
      <c r="B32" s="6"/>
      <c r="C32" s="7"/>
      <c r="D32" s="8"/>
      <c r="E32" s="5">
        <f t="shared" si="8"/>
        <v>0</v>
      </c>
      <c r="F32" s="39"/>
      <c r="G32" s="34"/>
      <c r="H32" s="6"/>
      <c r="I32" s="7"/>
      <c r="J32" s="8"/>
      <c r="K32" s="5">
        <f t="shared" si="6"/>
        <v>0</v>
      </c>
      <c r="L32" s="67"/>
    </row>
    <row r="33" spans="1:12" s="27" customFormat="1" x14ac:dyDescent="0.15">
      <c r="A33" s="3"/>
      <c r="B33" s="6"/>
      <c r="C33" s="7"/>
      <c r="D33" s="8"/>
      <c r="E33" s="5">
        <f t="shared" si="8"/>
        <v>0</v>
      </c>
      <c r="F33" s="39"/>
      <c r="G33" s="34"/>
      <c r="H33" s="6"/>
      <c r="I33" s="7"/>
      <c r="J33" s="8"/>
      <c r="K33" s="5">
        <f t="shared" si="6"/>
        <v>0</v>
      </c>
      <c r="L33" s="67"/>
    </row>
    <row r="34" spans="1:12" s="27" customFormat="1" x14ac:dyDescent="0.15">
      <c r="A34" s="3"/>
      <c r="B34" s="6"/>
      <c r="C34" s="7"/>
      <c r="D34" s="8"/>
      <c r="E34" s="5">
        <f t="shared" si="0"/>
        <v>0</v>
      </c>
      <c r="F34" s="39"/>
      <c r="G34" s="34"/>
      <c r="H34" s="6"/>
      <c r="I34" s="7"/>
      <c r="J34" s="8"/>
      <c r="K34" s="5">
        <f t="shared" si="5"/>
        <v>0</v>
      </c>
      <c r="L34" s="67"/>
    </row>
    <row r="35" spans="1:12" s="27" customFormat="1" x14ac:dyDescent="0.15">
      <c r="A35" s="3"/>
      <c r="B35" s="6"/>
      <c r="C35" s="7"/>
      <c r="D35" s="8"/>
      <c r="E35" s="5">
        <f t="shared" ref="E35:E39" si="10">SUM(B35:D35)</f>
        <v>0</v>
      </c>
      <c r="F35" s="39"/>
      <c r="G35" s="34"/>
      <c r="H35" s="6"/>
      <c r="I35" s="7"/>
      <c r="J35" s="8"/>
      <c r="K35" s="5">
        <f t="shared" ref="K35:K38" si="11">SUM(H35:J35)</f>
        <v>0</v>
      </c>
      <c r="L35" s="67"/>
    </row>
    <row r="36" spans="1:12" s="27" customFormat="1" x14ac:dyDescent="0.15">
      <c r="A36" s="3"/>
      <c r="B36" s="6"/>
      <c r="C36" s="7"/>
      <c r="D36" s="8"/>
      <c r="E36" s="5">
        <f t="shared" si="10"/>
        <v>0</v>
      </c>
      <c r="F36" s="39"/>
      <c r="G36" s="34"/>
      <c r="H36" s="6"/>
      <c r="I36" s="7"/>
      <c r="J36" s="8"/>
      <c r="K36" s="5">
        <f t="shared" si="11"/>
        <v>0</v>
      </c>
      <c r="L36" s="67"/>
    </row>
    <row r="37" spans="1:12" s="27" customFormat="1" x14ac:dyDescent="0.15">
      <c r="A37" s="3"/>
      <c r="B37" s="6"/>
      <c r="C37" s="7"/>
      <c r="D37" s="8"/>
      <c r="E37" s="5">
        <f t="shared" si="10"/>
        <v>0</v>
      </c>
      <c r="F37" s="39"/>
      <c r="G37" s="34"/>
      <c r="H37" s="6"/>
      <c r="I37" s="7"/>
      <c r="J37" s="8"/>
      <c r="K37" s="5">
        <f t="shared" si="11"/>
        <v>0</v>
      </c>
      <c r="L37" s="67"/>
    </row>
    <row r="38" spans="1:12" s="27" customFormat="1" x14ac:dyDescent="0.15">
      <c r="A38" s="3"/>
      <c r="B38" s="6"/>
      <c r="C38" s="7"/>
      <c r="D38" s="8"/>
      <c r="E38" s="5">
        <f t="shared" si="10"/>
        <v>0</v>
      </c>
      <c r="F38" s="39"/>
      <c r="G38" s="43" t="s">
        <v>19</v>
      </c>
      <c r="H38" s="44">
        <v>0</v>
      </c>
      <c r="I38" s="45">
        <v>0</v>
      </c>
      <c r="J38" s="46">
        <v>0</v>
      </c>
      <c r="K38" s="47">
        <f t="shared" si="11"/>
        <v>0</v>
      </c>
      <c r="L38" s="68"/>
    </row>
    <row r="39" spans="1:12" s="27" customFormat="1" ht="14.25" thickBot="1" x14ac:dyDescent="0.2">
      <c r="A39" s="3"/>
      <c r="B39" s="6"/>
      <c r="C39" s="7"/>
      <c r="D39" s="8"/>
      <c r="E39" s="5">
        <f t="shared" si="10"/>
        <v>0</v>
      </c>
      <c r="F39" s="39"/>
      <c r="G39" s="34" t="s">
        <v>16</v>
      </c>
      <c r="H39" s="6"/>
      <c r="I39" s="7"/>
      <c r="J39" s="8"/>
      <c r="K39" s="5">
        <f t="shared" ref="K39" si="12">SUM(H39:J39)</f>
        <v>0</v>
      </c>
      <c r="L39" s="67" t="s">
        <v>17</v>
      </c>
    </row>
    <row r="40" spans="1:12" ht="14.25" thickBot="1" x14ac:dyDescent="0.2">
      <c r="A40" s="2" t="s">
        <v>4</v>
      </c>
      <c r="B40" s="12">
        <f>SUM(B16:B39)</f>
        <v>9</v>
      </c>
      <c r="C40" s="12">
        <f>SUM(C16:C39)</f>
        <v>10</v>
      </c>
      <c r="D40" s="12">
        <f>SUM(D16:D39)</f>
        <v>7</v>
      </c>
      <c r="E40" s="13">
        <f t="shared" si="0"/>
        <v>26</v>
      </c>
      <c r="G40" s="36" t="s">
        <v>4</v>
      </c>
      <c r="H40" s="12">
        <f>SUM(H16:H39)</f>
        <v>20</v>
      </c>
      <c r="I40" s="12">
        <f>SUM(I16:I39)</f>
        <v>20</v>
      </c>
      <c r="J40" s="12">
        <f>SUM(J16:J39)</f>
        <v>20</v>
      </c>
      <c r="K40" s="13">
        <f t="shared" si="5"/>
        <v>60</v>
      </c>
    </row>
    <row r="41" spans="1:12" ht="14.25" thickBot="1" x14ac:dyDescent="0.2">
      <c r="A41" s="25" t="s">
        <v>5</v>
      </c>
      <c r="B41" s="26">
        <f>B15-B40</f>
        <v>11</v>
      </c>
      <c r="C41" s="26">
        <f t="shared" ref="C41:E41" si="13">C15-C40</f>
        <v>10</v>
      </c>
      <c r="D41" s="26">
        <f t="shared" si="13"/>
        <v>13</v>
      </c>
      <c r="E41" s="24">
        <f t="shared" si="13"/>
        <v>34</v>
      </c>
      <c r="G41" s="37" t="s">
        <v>5</v>
      </c>
      <c r="H41" s="26">
        <f>H15-H40</f>
        <v>180</v>
      </c>
      <c r="I41" s="26">
        <f t="shared" ref="I41:K41" si="14">I15-I40</f>
        <v>180</v>
      </c>
      <c r="J41" s="26">
        <f t="shared" si="14"/>
        <v>80</v>
      </c>
      <c r="K41" s="24">
        <f t="shared" si="14"/>
        <v>440</v>
      </c>
    </row>
    <row r="42" spans="1:12" x14ac:dyDescent="0.15">
      <c r="H42" s="32"/>
      <c r="I42" s="32"/>
      <c r="J42" s="32"/>
    </row>
    <row r="44" spans="1:12" ht="21.75" thickBot="1" x14ac:dyDescent="0.25">
      <c r="A44" s="30" t="s">
        <v>23</v>
      </c>
      <c r="B44" s="28"/>
      <c r="C44" s="28"/>
      <c r="D44" s="28"/>
      <c r="E44" s="28"/>
      <c r="G44" s="31" t="s">
        <v>25</v>
      </c>
      <c r="H44" s="29"/>
      <c r="I44" s="29"/>
      <c r="J44" s="29"/>
      <c r="K44" s="29"/>
    </row>
    <row r="45" spans="1:12" ht="14.25" thickBot="1" x14ac:dyDescent="0.2">
      <c r="A45" s="1" t="s">
        <v>0</v>
      </c>
      <c r="B45" s="91" t="s">
        <v>10</v>
      </c>
      <c r="C45" s="91"/>
      <c r="D45" s="91"/>
      <c r="E45" s="92"/>
      <c r="G45" s="1" t="s">
        <v>0</v>
      </c>
      <c r="H45" s="91" t="s">
        <v>10</v>
      </c>
      <c r="I45" s="91"/>
      <c r="J45" s="91"/>
      <c r="K45" s="92"/>
    </row>
    <row r="46" spans="1:12" ht="14.25" thickBot="1" x14ac:dyDescent="0.2">
      <c r="A46" s="1" t="s">
        <v>1</v>
      </c>
      <c r="B46" s="2" t="s">
        <v>6</v>
      </c>
      <c r="C46" s="1" t="s">
        <v>7</v>
      </c>
      <c r="D46" s="17" t="s">
        <v>8</v>
      </c>
      <c r="E46" s="1" t="s">
        <v>2</v>
      </c>
      <c r="G46" s="33" t="s">
        <v>1</v>
      </c>
      <c r="H46" s="2" t="s">
        <v>6</v>
      </c>
      <c r="I46" s="1" t="s">
        <v>7</v>
      </c>
      <c r="J46" s="17" t="s">
        <v>8</v>
      </c>
      <c r="K46" s="1" t="s">
        <v>2</v>
      </c>
    </row>
    <row r="47" spans="1:12" x14ac:dyDescent="0.15">
      <c r="A47" s="19" t="s">
        <v>5</v>
      </c>
      <c r="B47" s="16">
        <f>B41</f>
        <v>11</v>
      </c>
      <c r="C47" s="20">
        <f>C41</f>
        <v>10</v>
      </c>
      <c r="D47" s="20">
        <f>D41</f>
        <v>13</v>
      </c>
      <c r="E47" s="15">
        <f t="shared" ref="E47:E48" si="15">SUM(B47:D47)</f>
        <v>34</v>
      </c>
      <c r="G47" s="38" t="s">
        <v>5</v>
      </c>
      <c r="H47" s="16">
        <f>H41</f>
        <v>180</v>
      </c>
      <c r="I47" s="20">
        <f t="shared" ref="I47:J47" si="16">I41</f>
        <v>180</v>
      </c>
      <c r="J47" s="20">
        <f t="shared" si="16"/>
        <v>80</v>
      </c>
      <c r="K47" s="15">
        <f t="shared" ref="K47:K55" si="17">SUM(H47:J47)</f>
        <v>440</v>
      </c>
    </row>
    <row r="48" spans="1:12" x14ac:dyDescent="0.15">
      <c r="A48" s="3" t="s">
        <v>11</v>
      </c>
      <c r="B48" s="14">
        <v>5</v>
      </c>
      <c r="C48" s="9">
        <v>5</v>
      </c>
      <c r="D48" s="14">
        <v>5</v>
      </c>
      <c r="E48" s="4">
        <f t="shared" si="15"/>
        <v>15</v>
      </c>
      <c r="F48" s="39">
        <v>45217</v>
      </c>
      <c r="G48" s="34" t="s">
        <v>11</v>
      </c>
      <c r="H48" s="8"/>
      <c r="I48" s="7"/>
      <c r="J48" s="8"/>
      <c r="K48" s="4">
        <f t="shared" si="17"/>
        <v>0</v>
      </c>
    </row>
    <row r="49" spans="1:13" x14ac:dyDescent="0.15">
      <c r="A49" s="3" t="s">
        <v>11</v>
      </c>
      <c r="B49" s="48">
        <v>10</v>
      </c>
      <c r="C49" s="49">
        <v>5</v>
      </c>
      <c r="D49" s="48">
        <v>10</v>
      </c>
      <c r="E49" s="4">
        <f t="shared" ref="E49:E55" si="18">SUM(B49:D49)</f>
        <v>25</v>
      </c>
      <c r="F49" s="39">
        <v>45217</v>
      </c>
      <c r="G49" s="34" t="s">
        <v>11</v>
      </c>
      <c r="H49" s="8"/>
      <c r="I49" s="7"/>
      <c r="J49" s="8"/>
      <c r="K49" s="4">
        <f t="shared" si="17"/>
        <v>0</v>
      </c>
    </row>
    <row r="50" spans="1:13" x14ac:dyDescent="0.15">
      <c r="A50" s="3" t="s">
        <v>11</v>
      </c>
      <c r="B50" s="48">
        <v>20</v>
      </c>
      <c r="C50" s="49">
        <v>20</v>
      </c>
      <c r="D50" s="48">
        <v>15</v>
      </c>
      <c r="E50" s="4">
        <f t="shared" si="18"/>
        <v>55</v>
      </c>
      <c r="F50" s="39">
        <v>45225</v>
      </c>
      <c r="G50" s="3" t="s">
        <v>13</v>
      </c>
      <c r="H50" s="14">
        <v>200</v>
      </c>
      <c r="I50" s="9">
        <v>200</v>
      </c>
      <c r="J50" s="14">
        <v>100</v>
      </c>
      <c r="K50" s="4">
        <f t="shared" si="17"/>
        <v>500</v>
      </c>
      <c r="L50" s="66" t="s">
        <v>40</v>
      </c>
    </row>
    <row r="51" spans="1:13" x14ac:dyDescent="0.15">
      <c r="A51" s="3" t="s">
        <v>11</v>
      </c>
      <c r="B51" s="48">
        <v>10</v>
      </c>
      <c r="C51" s="49">
        <v>10</v>
      </c>
      <c r="D51" s="48"/>
      <c r="E51" s="4">
        <f t="shared" si="18"/>
        <v>20</v>
      </c>
      <c r="F51" s="39">
        <v>45232</v>
      </c>
      <c r="G51" s="34" t="s">
        <v>11</v>
      </c>
      <c r="H51" s="8"/>
      <c r="I51" s="7"/>
      <c r="J51" s="8"/>
      <c r="K51" s="4">
        <f t="shared" si="17"/>
        <v>0</v>
      </c>
    </row>
    <row r="52" spans="1:13" x14ac:dyDescent="0.15">
      <c r="A52" s="3" t="s">
        <v>11</v>
      </c>
      <c r="B52" s="48">
        <v>6</v>
      </c>
      <c r="C52" s="49">
        <v>5</v>
      </c>
      <c r="D52" s="48">
        <v>5</v>
      </c>
      <c r="E52" s="4">
        <f t="shared" si="18"/>
        <v>16</v>
      </c>
      <c r="F52" s="39">
        <v>45243</v>
      </c>
      <c r="G52" s="34" t="s">
        <v>11</v>
      </c>
      <c r="H52" s="8"/>
      <c r="I52" s="7"/>
      <c r="J52" s="8"/>
      <c r="K52" s="4">
        <f t="shared" si="17"/>
        <v>0</v>
      </c>
    </row>
    <row r="53" spans="1:13" x14ac:dyDescent="0.15">
      <c r="A53" s="3" t="s">
        <v>11</v>
      </c>
      <c r="B53" s="48"/>
      <c r="C53" s="49">
        <v>10</v>
      </c>
      <c r="D53" s="48"/>
      <c r="E53" s="4">
        <f t="shared" si="18"/>
        <v>10</v>
      </c>
      <c r="F53" s="39">
        <v>45250</v>
      </c>
      <c r="G53" s="3" t="s">
        <v>14</v>
      </c>
      <c r="H53" s="14">
        <v>230</v>
      </c>
      <c r="I53" s="9">
        <v>150</v>
      </c>
      <c r="J53" s="14">
        <v>120</v>
      </c>
      <c r="K53" s="4">
        <f t="shared" ref="K53" si="19">SUM(H53:J53)</f>
        <v>500</v>
      </c>
      <c r="L53" s="66" t="s">
        <v>54</v>
      </c>
    </row>
    <row r="54" spans="1:13" x14ac:dyDescent="0.15">
      <c r="A54" s="3" t="s">
        <v>11</v>
      </c>
      <c r="B54" s="48">
        <v>5</v>
      </c>
      <c r="C54" s="49"/>
      <c r="D54" s="48">
        <v>5</v>
      </c>
      <c r="E54" s="4">
        <f t="shared" si="18"/>
        <v>10</v>
      </c>
      <c r="F54" s="39">
        <v>45252</v>
      </c>
      <c r="G54" s="34" t="s">
        <v>11</v>
      </c>
      <c r="H54" s="8"/>
      <c r="I54" s="7"/>
      <c r="J54" s="8"/>
      <c r="K54" s="4">
        <f t="shared" si="17"/>
        <v>0</v>
      </c>
    </row>
    <row r="55" spans="1:13" x14ac:dyDescent="0.15">
      <c r="A55" s="3" t="s">
        <v>11</v>
      </c>
      <c r="B55" s="48">
        <v>10</v>
      </c>
      <c r="C55" s="49"/>
      <c r="D55" s="48"/>
      <c r="E55" s="4">
        <f t="shared" si="18"/>
        <v>10</v>
      </c>
      <c r="F55" s="39">
        <v>45258</v>
      </c>
      <c r="G55" s="34" t="s">
        <v>11</v>
      </c>
      <c r="H55" s="8"/>
      <c r="I55" s="7"/>
      <c r="J55" s="8"/>
      <c r="K55" s="4">
        <f t="shared" si="17"/>
        <v>0</v>
      </c>
    </row>
    <row r="56" spans="1:13" x14ac:dyDescent="0.15">
      <c r="A56" s="3" t="s">
        <v>11</v>
      </c>
      <c r="B56" s="48">
        <v>10</v>
      </c>
      <c r="C56" s="49">
        <v>5</v>
      </c>
      <c r="D56" s="48">
        <v>5</v>
      </c>
      <c r="E56" s="4">
        <f t="shared" ref="E56:E83" si="20">SUM(B56:D56)</f>
        <v>20</v>
      </c>
      <c r="F56" s="39">
        <v>45260</v>
      </c>
      <c r="G56" s="34" t="s">
        <v>11</v>
      </c>
      <c r="H56" s="8"/>
      <c r="I56" s="7"/>
      <c r="J56" s="8"/>
      <c r="K56" s="4">
        <f t="shared" ref="K56:K83" si="21">SUM(H56:J56)</f>
        <v>0</v>
      </c>
    </row>
    <row r="57" spans="1:13" ht="14.25" thickBot="1" x14ac:dyDescent="0.2">
      <c r="A57" s="3" t="s">
        <v>69</v>
      </c>
      <c r="B57" s="50">
        <v>1</v>
      </c>
      <c r="C57" s="49">
        <v>1</v>
      </c>
      <c r="D57" s="48">
        <v>1</v>
      </c>
      <c r="E57" s="5">
        <f t="shared" si="20"/>
        <v>3</v>
      </c>
      <c r="F57" s="39">
        <v>45258</v>
      </c>
      <c r="G57" s="34" t="s">
        <v>11</v>
      </c>
      <c r="H57" s="11"/>
      <c r="I57" s="10"/>
      <c r="J57" s="11"/>
      <c r="K57" s="18">
        <f t="shared" si="21"/>
        <v>0</v>
      </c>
    </row>
    <row r="58" spans="1:13" ht="14.25" thickBot="1" x14ac:dyDescent="0.2">
      <c r="A58" s="21" t="s">
        <v>3</v>
      </c>
      <c r="B58" s="22">
        <f>SUM(B47:B57)</f>
        <v>88</v>
      </c>
      <c r="C58" s="22">
        <f>SUM(C47:C57)</f>
        <v>71</v>
      </c>
      <c r="D58" s="23">
        <f>SUM(D47:D57)</f>
        <v>59</v>
      </c>
      <c r="E58" s="24">
        <f t="shared" si="20"/>
        <v>218</v>
      </c>
      <c r="G58" s="35" t="s">
        <v>3</v>
      </c>
      <c r="H58" s="22">
        <f>SUM(H47:H57)</f>
        <v>610</v>
      </c>
      <c r="I58" s="22">
        <f>SUM(I47:I57)</f>
        <v>530</v>
      </c>
      <c r="J58" s="23">
        <f>SUM(J47:J57)</f>
        <v>300</v>
      </c>
      <c r="K58" s="24">
        <f t="shared" si="21"/>
        <v>1440</v>
      </c>
    </row>
    <row r="59" spans="1:13" x14ac:dyDescent="0.15">
      <c r="A59" s="3" t="s">
        <v>36</v>
      </c>
      <c r="B59" s="6"/>
      <c r="C59" s="7">
        <v>1</v>
      </c>
      <c r="D59" s="8">
        <v>1</v>
      </c>
      <c r="E59" s="5">
        <f t="shared" si="20"/>
        <v>2</v>
      </c>
      <c r="F59" s="39">
        <v>45205</v>
      </c>
      <c r="G59" s="34" t="s">
        <v>26</v>
      </c>
      <c r="H59" s="6">
        <v>5</v>
      </c>
      <c r="I59" s="7">
        <v>5</v>
      </c>
      <c r="J59" s="8">
        <v>5</v>
      </c>
      <c r="K59" s="5">
        <f t="shared" si="21"/>
        <v>15</v>
      </c>
      <c r="L59" s="66">
        <v>45217</v>
      </c>
      <c r="M59" s="27"/>
    </row>
    <row r="60" spans="1:13" x14ac:dyDescent="0.15">
      <c r="A60" s="34" t="s">
        <v>37</v>
      </c>
      <c r="B60" s="6">
        <v>5</v>
      </c>
      <c r="C60" s="7">
        <v>5</v>
      </c>
      <c r="D60" s="8">
        <v>5</v>
      </c>
      <c r="E60" s="5">
        <f t="shared" si="20"/>
        <v>15</v>
      </c>
      <c r="F60" s="39">
        <v>45218</v>
      </c>
      <c r="G60" s="34" t="s">
        <v>26</v>
      </c>
      <c r="H60" s="6">
        <v>10</v>
      </c>
      <c r="I60" s="7">
        <v>5</v>
      </c>
      <c r="J60" s="8">
        <v>10</v>
      </c>
      <c r="K60" s="5">
        <f t="shared" ref="K60:K76" si="22">SUM(H60:J60)</f>
        <v>25</v>
      </c>
      <c r="L60" s="66">
        <v>45217</v>
      </c>
    </row>
    <row r="61" spans="1:13" x14ac:dyDescent="0.15">
      <c r="A61" s="3" t="s">
        <v>41</v>
      </c>
      <c r="B61" s="6"/>
      <c r="C61" s="7"/>
      <c r="D61" s="8">
        <v>1</v>
      </c>
      <c r="E61" s="5">
        <f t="shared" si="20"/>
        <v>1</v>
      </c>
      <c r="F61" s="39">
        <v>45212</v>
      </c>
      <c r="G61" s="34" t="s">
        <v>26</v>
      </c>
      <c r="H61" s="6">
        <v>20</v>
      </c>
      <c r="I61" s="7">
        <v>20</v>
      </c>
      <c r="J61" s="8">
        <v>15</v>
      </c>
      <c r="K61" s="5">
        <f t="shared" si="22"/>
        <v>55</v>
      </c>
      <c r="L61" s="66">
        <v>45225</v>
      </c>
    </row>
    <row r="62" spans="1:13" x14ac:dyDescent="0.15">
      <c r="A62" s="3" t="s">
        <v>42</v>
      </c>
      <c r="B62" s="6">
        <v>1</v>
      </c>
      <c r="C62" s="7"/>
      <c r="D62" s="8">
        <v>1</v>
      </c>
      <c r="E62" s="5">
        <f t="shared" si="20"/>
        <v>2</v>
      </c>
      <c r="F62" s="39">
        <v>45215</v>
      </c>
      <c r="G62" s="34" t="s">
        <v>26</v>
      </c>
      <c r="H62" s="6">
        <v>10</v>
      </c>
      <c r="I62" s="7">
        <v>10</v>
      </c>
      <c r="J62" s="8"/>
      <c r="K62" s="5">
        <f t="shared" si="22"/>
        <v>20</v>
      </c>
      <c r="L62" s="66">
        <v>45232</v>
      </c>
    </row>
    <row r="63" spans="1:13" x14ac:dyDescent="0.15">
      <c r="A63" s="3" t="s">
        <v>43</v>
      </c>
      <c r="B63" s="6">
        <v>4</v>
      </c>
      <c r="C63" s="7">
        <v>3</v>
      </c>
      <c r="D63" s="8">
        <v>3</v>
      </c>
      <c r="E63" s="5">
        <f t="shared" si="20"/>
        <v>10</v>
      </c>
      <c r="F63" s="39">
        <v>45216</v>
      </c>
      <c r="G63" s="34" t="s">
        <v>26</v>
      </c>
      <c r="H63" s="6">
        <v>6</v>
      </c>
      <c r="I63" s="7">
        <v>5</v>
      </c>
      <c r="J63" s="8">
        <v>5</v>
      </c>
      <c r="K63" s="5">
        <f t="shared" si="22"/>
        <v>16</v>
      </c>
      <c r="L63" s="66">
        <v>45243</v>
      </c>
    </row>
    <row r="64" spans="1:13" x14ac:dyDescent="0.15">
      <c r="A64" s="3" t="s">
        <v>44</v>
      </c>
      <c r="B64" s="6">
        <v>4</v>
      </c>
      <c r="C64" s="7"/>
      <c r="D64" s="8">
        <v>5</v>
      </c>
      <c r="E64" s="5">
        <f t="shared" ref="E64:E81" si="23">SUM(B64:D64)</f>
        <v>9</v>
      </c>
      <c r="F64" s="39">
        <v>45217</v>
      </c>
      <c r="G64" s="34" t="s">
        <v>58</v>
      </c>
      <c r="H64" s="6">
        <v>5</v>
      </c>
      <c r="I64" s="7">
        <v>5</v>
      </c>
      <c r="J64" s="8"/>
      <c r="K64" s="5">
        <f t="shared" si="22"/>
        <v>10</v>
      </c>
      <c r="L64" s="66">
        <v>45245</v>
      </c>
      <c r="M64" s="27"/>
    </row>
    <row r="65" spans="1:12" x14ac:dyDescent="0.15">
      <c r="A65" s="3" t="s">
        <v>45</v>
      </c>
      <c r="B65" s="6">
        <v>5</v>
      </c>
      <c r="C65" s="7"/>
      <c r="D65" s="8">
        <v>7</v>
      </c>
      <c r="E65" s="5">
        <f t="shared" si="23"/>
        <v>12</v>
      </c>
      <c r="F65" s="39">
        <v>45218</v>
      </c>
      <c r="G65" s="34" t="s">
        <v>62</v>
      </c>
      <c r="H65" s="6">
        <v>5</v>
      </c>
      <c r="I65" s="7">
        <v>10</v>
      </c>
      <c r="J65" s="8"/>
      <c r="K65" s="5">
        <f t="shared" si="22"/>
        <v>15</v>
      </c>
      <c r="L65" s="66">
        <v>45252</v>
      </c>
    </row>
    <row r="66" spans="1:12" x14ac:dyDescent="0.15">
      <c r="A66" s="3" t="s">
        <v>46</v>
      </c>
      <c r="B66" s="6">
        <v>2</v>
      </c>
      <c r="C66" s="7">
        <v>7</v>
      </c>
      <c r="D66" s="8"/>
      <c r="E66" s="5">
        <f t="shared" si="23"/>
        <v>9</v>
      </c>
      <c r="F66" s="39">
        <v>45219</v>
      </c>
      <c r="G66" s="34" t="s">
        <v>26</v>
      </c>
      <c r="H66" s="6"/>
      <c r="I66" s="7">
        <v>10</v>
      </c>
      <c r="J66" s="8"/>
      <c r="K66" s="5">
        <f t="shared" si="22"/>
        <v>10</v>
      </c>
      <c r="L66" s="66">
        <v>45250</v>
      </c>
    </row>
    <row r="67" spans="1:12" x14ac:dyDescent="0.15">
      <c r="A67" s="3" t="s">
        <v>47</v>
      </c>
      <c r="B67" s="6">
        <v>3</v>
      </c>
      <c r="C67" s="7"/>
      <c r="D67" s="8">
        <v>2</v>
      </c>
      <c r="E67" s="5">
        <f t="shared" si="23"/>
        <v>5</v>
      </c>
      <c r="F67" s="39">
        <v>45222</v>
      </c>
      <c r="G67" s="34" t="s">
        <v>26</v>
      </c>
      <c r="H67" s="6">
        <v>5</v>
      </c>
      <c r="I67" s="7"/>
      <c r="J67" s="8">
        <v>5</v>
      </c>
      <c r="K67" s="5">
        <f t="shared" si="22"/>
        <v>10</v>
      </c>
      <c r="L67" s="66">
        <v>45252</v>
      </c>
    </row>
    <row r="68" spans="1:12" x14ac:dyDescent="0.15">
      <c r="A68" s="3" t="s">
        <v>48</v>
      </c>
      <c r="B68" s="6"/>
      <c r="C68" s="7">
        <v>1</v>
      </c>
      <c r="D68" s="8"/>
      <c r="E68" s="5">
        <f t="shared" si="23"/>
        <v>1</v>
      </c>
      <c r="F68" s="40">
        <v>45222</v>
      </c>
      <c r="G68" s="34" t="s">
        <v>26</v>
      </c>
      <c r="H68" s="6">
        <v>10</v>
      </c>
      <c r="I68" s="7"/>
      <c r="J68" s="8"/>
      <c r="K68" s="5">
        <f t="shared" si="22"/>
        <v>10</v>
      </c>
      <c r="L68" s="66">
        <v>45258</v>
      </c>
    </row>
    <row r="69" spans="1:12" x14ac:dyDescent="0.15">
      <c r="A69" s="3" t="s">
        <v>49</v>
      </c>
      <c r="B69" s="6">
        <v>1</v>
      </c>
      <c r="C69" s="7">
        <v>3</v>
      </c>
      <c r="D69" s="8"/>
      <c r="E69" s="5">
        <f t="shared" si="23"/>
        <v>4</v>
      </c>
      <c r="F69" s="39">
        <v>45223</v>
      </c>
      <c r="G69" s="34" t="s">
        <v>26</v>
      </c>
      <c r="H69" s="6">
        <v>10</v>
      </c>
      <c r="I69" s="7">
        <v>5</v>
      </c>
      <c r="J69" s="8">
        <v>5</v>
      </c>
      <c r="K69" s="5">
        <f t="shared" si="22"/>
        <v>20</v>
      </c>
      <c r="L69" s="66">
        <v>45260</v>
      </c>
    </row>
    <row r="70" spans="1:12" x14ac:dyDescent="0.15">
      <c r="A70" s="3" t="s">
        <v>50</v>
      </c>
      <c r="B70" s="6">
        <v>10</v>
      </c>
      <c r="C70" s="7">
        <v>6</v>
      </c>
      <c r="D70" s="8"/>
      <c r="E70" s="5">
        <f t="shared" si="23"/>
        <v>16</v>
      </c>
      <c r="F70" s="39">
        <v>45226</v>
      </c>
      <c r="G70" s="34"/>
      <c r="H70" s="6"/>
      <c r="I70" s="7"/>
      <c r="J70" s="8"/>
      <c r="K70" s="5">
        <f t="shared" si="22"/>
        <v>0</v>
      </c>
    </row>
    <row r="71" spans="1:12" x14ac:dyDescent="0.15">
      <c r="A71" s="3" t="s">
        <v>51</v>
      </c>
      <c r="B71" s="6"/>
      <c r="C71" s="7">
        <v>2</v>
      </c>
      <c r="D71" s="8"/>
      <c r="E71" s="5">
        <f t="shared" si="23"/>
        <v>2</v>
      </c>
      <c r="F71" s="39">
        <v>45229</v>
      </c>
      <c r="G71" s="34"/>
      <c r="H71" s="6"/>
      <c r="I71" s="7"/>
      <c r="J71" s="8"/>
      <c r="K71" s="5">
        <f t="shared" si="22"/>
        <v>0</v>
      </c>
    </row>
    <row r="72" spans="1:12" x14ac:dyDescent="0.15">
      <c r="A72" s="3" t="s">
        <v>52</v>
      </c>
      <c r="B72" s="6"/>
      <c r="C72" s="7">
        <v>1</v>
      </c>
      <c r="D72" s="8">
        <v>1</v>
      </c>
      <c r="E72" s="5">
        <f t="shared" si="23"/>
        <v>2</v>
      </c>
      <c r="F72" s="39">
        <v>45230</v>
      </c>
      <c r="G72" s="34"/>
      <c r="H72" s="6"/>
      <c r="I72" s="7"/>
      <c r="J72" s="8"/>
      <c r="K72" s="5">
        <f t="shared" si="22"/>
        <v>0</v>
      </c>
    </row>
    <row r="73" spans="1:12" x14ac:dyDescent="0.15">
      <c r="A73" s="3" t="s">
        <v>53</v>
      </c>
      <c r="B73" s="6"/>
      <c r="C73" s="7">
        <v>2</v>
      </c>
      <c r="D73" s="8"/>
      <c r="E73" s="5">
        <f t="shared" si="23"/>
        <v>2</v>
      </c>
      <c r="F73" s="39">
        <v>45231</v>
      </c>
      <c r="G73" s="34"/>
      <c r="H73" s="6"/>
      <c r="I73" s="7"/>
      <c r="J73" s="8"/>
      <c r="K73" s="5">
        <f t="shared" si="22"/>
        <v>0</v>
      </c>
    </row>
    <row r="74" spans="1:12" x14ac:dyDescent="0.15">
      <c r="A74" s="34" t="s">
        <v>57</v>
      </c>
      <c r="B74" s="6">
        <v>10</v>
      </c>
      <c r="C74" s="7">
        <v>5</v>
      </c>
      <c r="D74" s="8">
        <v>10</v>
      </c>
      <c r="E74" s="5">
        <f t="shared" si="23"/>
        <v>25</v>
      </c>
      <c r="F74" s="39">
        <v>45243</v>
      </c>
      <c r="G74" s="34"/>
      <c r="H74" s="6"/>
      <c r="I74" s="7"/>
      <c r="J74" s="8"/>
      <c r="K74" s="5">
        <f t="shared" si="22"/>
        <v>0</v>
      </c>
    </row>
    <row r="75" spans="1:12" x14ac:dyDescent="0.15">
      <c r="A75" s="3" t="s">
        <v>61</v>
      </c>
      <c r="B75" s="6">
        <v>4</v>
      </c>
      <c r="C75" s="7">
        <v>3</v>
      </c>
      <c r="D75" s="8">
        <v>2</v>
      </c>
      <c r="E75" s="5">
        <f t="shared" si="23"/>
        <v>9</v>
      </c>
      <c r="F75" s="39">
        <v>45250</v>
      </c>
      <c r="G75" s="34"/>
      <c r="H75" s="6"/>
      <c r="I75" s="7"/>
      <c r="J75" s="8"/>
      <c r="K75" s="5">
        <f t="shared" si="22"/>
        <v>0</v>
      </c>
    </row>
    <row r="76" spans="1:12" x14ac:dyDescent="0.15">
      <c r="A76" s="3" t="s">
        <v>63</v>
      </c>
      <c r="B76" s="6">
        <v>4</v>
      </c>
      <c r="C76" s="7"/>
      <c r="D76" s="8"/>
      <c r="E76" s="5">
        <f t="shared" si="23"/>
        <v>4</v>
      </c>
      <c r="F76" s="39">
        <v>45257</v>
      </c>
      <c r="G76" s="34"/>
      <c r="H76" s="6"/>
      <c r="I76" s="7"/>
      <c r="J76" s="8"/>
      <c r="K76" s="5">
        <f t="shared" si="22"/>
        <v>0</v>
      </c>
    </row>
    <row r="77" spans="1:12" x14ac:dyDescent="0.15">
      <c r="A77" s="3" t="s">
        <v>67</v>
      </c>
      <c r="B77" s="6">
        <v>6</v>
      </c>
      <c r="C77" s="7">
        <v>9</v>
      </c>
      <c r="D77" s="8">
        <v>4</v>
      </c>
      <c r="E77" s="5">
        <f t="shared" si="23"/>
        <v>19</v>
      </c>
      <c r="F77" s="39">
        <v>45258</v>
      </c>
      <c r="G77" s="34"/>
      <c r="H77" s="6"/>
      <c r="I77" s="7"/>
      <c r="J77" s="8"/>
      <c r="K77" s="5">
        <f t="shared" si="21"/>
        <v>0</v>
      </c>
    </row>
    <row r="78" spans="1:12" x14ac:dyDescent="0.15">
      <c r="A78" s="3" t="s">
        <v>36</v>
      </c>
      <c r="B78" s="6"/>
      <c r="C78" s="7"/>
      <c r="D78" s="8">
        <v>1</v>
      </c>
      <c r="E78" s="5">
        <f t="shared" si="23"/>
        <v>1</v>
      </c>
      <c r="F78" s="40">
        <v>45257</v>
      </c>
      <c r="G78" s="34"/>
      <c r="H78" s="6"/>
      <c r="I78" s="7"/>
      <c r="J78" s="8"/>
      <c r="K78" s="5">
        <f t="shared" ref="K78:K82" si="24">SUM(H78:J78)</f>
        <v>0</v>
      </c>
    </row>
    <row r="79" spans="1:12" x14ac:dyDescent="0.15">
      <c r="A79" s="3" t="s">
        <v>68</v>
      </c>
      <c r="B79" s="6">
        <v>3</v>
      </c>
      <c r="C79" s="7"/>
      <c r="D79" s="8"/>
      <c r="E79" s="5">
        <f t="shared" si="23"/>
        <v>3</v>
      </c>
      <c r="F79" s="39">
        <v>45260</v>
      </c>
      <c r="G79" s="34"/>
      <c r="H79" s="6"/>
      <c r="I79" s="7"/>
      <c r="J79" s="8"/>
      <c r="K79" s="5">
        <f t="shared" si="24"/>
        <v>0</v>
      </c>
      <c r="L79" s="67"/>
    </row>
    <row r="80" spans="1:12" x14ac:dyDescent="0.15">
      <c r="A80" s="3" t="s">
        <v>70</v>
      </c>
      <c r="B80" s="6"/>
      <c r="C80" s="7"/>
      <c r="D80" s="8">
        <v>1</v>
      </c>
      <c r="E80" s="5">
        <f t="shared" si="23"/>
        <v>1</v>
      </c>
      <c r="F80" s="39">
        <v>45261</v>
      </c>
      <c r="G80" s="34" t="s">
        <v>38</v>
      </c>
      <c r="H80" s="6"/>
      <c r="I80" s="7"/>
      <c r="J80" s="8"/>
      <c r="K80" s="5">
        <f t="shared" ref="K80" si="25">SUM(H80:J80)</f>
        <v>0</v>
      </c>
      <c r="L80" s="67" t="s">
        <v>39</v>
      </c>
    </row>
    <row r="81" spans="1:12" x14ac:dyDescent="0.15">
      <c r="A81" s="3" t="s">
        <v>36</v>
      </c>
      <c r="B81" s="6"/>
      <c r="C81" s="7"/>
      <c r="D81" s="8">
        <v>1</v>
      </c>
      <c r="E81" s="5">
        <f t="shared" si="23"/>
        <v>1</v>
      </c>
      <c r="F81" s="40">
        <v>45259</v>
      </c>
      <c r="G81" s="34" t="s">
        <v>27</v>
      </c>
      <c r="H81" s="6"/>
      <c r="I81" s="7"/>
      <c r="J81" s="8"/>
      <c r="K81" s="5">
        <f t="shared" si="24"/>
        <v>0</v>
      </c>
      <c r="L81" s="67" t="s">
        <v>28</v>
      </c>
    </row>
    <row r="82" spans="1:12" ht="14.25" thickBot="1" x14ac:dyDescent="0.2">
      <c r="A82" s="3"/>
      <c r="B82" s="6"/>
      <c r="C82" s="7"/>
      <c r="D82" s="8"/>
      <c r="E82" s="5">
        <f t="shared" ref="E82" si="26">SUM(B82:D82)</f>
        <v>0</v>
      </c>
      <c r="F82" s="40"/>
      <c r="G82" s="34" t="s">
        <v>15</v>
      </c>
      <c r="H82" s="6"/>
      <c r="I82" s="7"/>
      <c r="J82" s="8"/>
      <c r="K82" s="5">
        <f t="shared" si="24"/>
        <v>0</v>
      </c>
      <c r="L82" s="67" t="s">
        <v>20</v>
      </c>
    </row>
    <row r="83" spans="1:12" ht="14.25" thickBot="1" x14ac:dyDescent="0.2">
      <c r="A83" s="2" t="s">
        <v>4</v>
      </c>
      <c r="B83" s="12">
        <f>SUM(B59:B82)</f>
        <v>62</v>
      </c>
      <c r="C83" s="12">
        <f>SUM(C59:C82)</f>
        <v>48</v>
      </c>
      <c r="D83" s="12">
        <f>SUM(D59:D82)</f>
        <v>45</v>
      </c>
      <c r="E83" s="13">
        <f t="shared" si="20"/>
        <v>155</v>
      </c>
      <c r="G83" s="36" t="s">
        <v>4</v>
      </c>
      <c r="H83" s="12">
        <f>SUM(H59:H82)</f>
        <v>86</v>
      </c>
      <c r="I83" s="12">
        <f>SUM(I59:I82)</f>
        <v>75</v>
      </c>
      <c r="J83" s="12">
        <f>SUM(J59:J82)</f>
        <v>45</v>
      </c>
      <c r="K83" s="13">
        <f t="shared" si="21"/>
        <v>206</v>
      </c>
    </row>
    <row r="84" spans="1:12" ht="14.25" thickBot="1" x14ac:dyDescent="0.2">
      <c r="A84" s="25" t="s">
        <v>5</v>
      </c>
      <c r="B84" s="26">
        <f>B58-B83</f>
        <v>26</v>
      </c>
      <c r="C84" s="26">
        <f t="shared" ref="C84:E84" si="27">C58-C83</f>
        <v>23</v>
      </c>
      <c r="D84" s="26">
        <f t="shared" si="27"/>
        <v>14</v>
      </c>
      <c r="E84" s="24">
        <f t="shared" si="27"/>
        <v>63</v>
      </c>
      <c r="G84" s="37" t="s">
        <v>5</v>
      </c>
      <c r="H84" s="26">
        <f>H58-H83</f>
        <v>524</v>
      </c>
      <c r="I84" s="26">
        <f t="shared" ref="I84:K84" si="28">I58-I83</f>
        <v>455</v>
      </c>
      <c r="J84" s="26">
        <f t="shared" si="28"/>
        <v>255</v>
      </c>
      <c r="K84" s="24">
        <f t="shared" si="28"/>
        <v>1234</v>
      </c>
    </row>
    <row r="87" spans="1:12" ht="21.75" thickBot="1" x14ac:dyDescent="0.25">
      <c r="A87" s="30" t="s">
        <v>23</v>
      </c>
      <c r="B87" s="28"/>
      <c r="C87" s="28"/>
      <c r="D87" s="28"/>
      <c r="E87" s="28"/>
      <c r="G87" s="31" t="s">
        <v>25</v>
      </c>
      <c r="H87" s="29"/>
      <c r="I87" s="29"/>
      <c r="J87" s="29"/>
      <c r="K87" s="29"/>
    </row>
    <row r="88" spans="1:12" ht="14.25" thickBot="1" x14ac:dyDescent="0.2">
      <c r="A88" s="1" t="s">
        <v>0</v>
      </c>
      <c r="B88" s="91" t="s">
        <v>10</v>
      </c>
      <c r="C88" s="91"/>
      <c r="D88" s="91"/>
      <c r="E88" s="92"/>
      <c r="G88" s="1" t="s">
        <v>0</v>
      </c>
      <c r="H88" s="91" t="s">
        <v>10</v>
      </c>
      <c r="I88" s="91"/>
      <c r="J88" s="91"/>
      <c r="K88" s="92"/>
    </row>
    <row r="89" spans="1:12" ht="14.25" thickBot="1" x14ac:dyDescent="0.2">
      <c r="A89" s="1" t="s">
        <v>1</v>
      </c>
      <c r="B89" s="2" t="s">
        <v>6</v>
      </c>
      <c r="C89" s="1" t="s">
        <v>7</v>
      </c>
      <c r="D89" s="17" t="s">
        <v>8</v>
      </c>
      <c r="E89" s="1" t="s">
        <v>2</v>
      </c>
      <c r="G89" s="33" t="s">
        <v>1</v>
      </c>
      <c r="H89" s="2" t="s">
        <v>6</v>
      </c>
      <c r="I89" s="1" t="s">
        <v>7</v>
      </c>
      <c r="J89" s="17" t="s">
        <v>8</v>
      </c>
      <c r="K89" s="1" t="s">
        <v>2</v>
      </c>
    </row>
    <row r="90" spans="1:12" x14ac:dyDescent="0.15">
      <c r="A90" s="19" t="s">
        <v>5</v>
      </c>
      <c r="B90" s="16">
        <f>B84</f>
        <v>26</v>
      </c>
      <c r="C90" s="20">
        <f>C84</f>
        <v>23</v>
      </c>
      <c r="D90" s="20">
        <f>D84</f>
        <v>14</v>
      </c>
      <c r="E90" s="15">
        <f t="shared" ref="E90:E126" si="29">SUM(B90:D90)</f>
        <v>63</v>
      </c>
      <c r="G90" s="38" t="s">
        <v>5</v>
      </c>
      <c r="H90" s="16">
        <f>H84</f>
        <v>524</v>
      </c>
      <c r="I90" s="20">
        <f t="shared" ref="I90:J90" si="30">I84</f>
        <v>455</v>
      </c>
      <c r="J90" s="20">
        <f t="shared" si="30"/>
        <v>255</v>
      </c>
      <c r="K90" s="15">
        <f t="shared" ref="K90:K126" si="31">SUM(H90:J90)</f>
        <v>1234</v>
      </c>
    </row>
    <row r="91" spans="1:12" x14ac:dyDescent="0.15">
      <c r="A91" s="3" t="s">
        <v>11</v>
      </c>
      <c r="B91" s="48">
        <v>5</v>
      </c>
      <c r="C91" s="49">
        <v>10</v>
      </c>
      <c r="D91" s="48">
        <v>15</v>
      </c>
      <c r="E91" s="4">
        <f t="shared" si="29"/>
        <v>30</v>
      </c>
      <c r="F91" s="39">
        <v>45271</v>
      </c>
      <c r="G91" s="34" t="s">
        <v>11</v>
      </c>
      <c r="H91" s="8"/>
      <c r="I91" s="7"/>
      <c r="J91" s="8"/>
      <c r="K91" s="4">
        <f t="shared" si="31"/>
        <v>0</v>
      </c>
    </row>
    <row r="92" spans="1:12" x14ac:dyDescent="0.15">
      <c r="A92" s="3" t="s">
        <v>11</v>
      </c>
      <c r="B92" s="48">
        <v>15</v>
      </c>
      <c r="C92" s="49">
        <v>10</v>
      </c>
      <c r="D92" s="48">
        <v>5</v>
      </c>
      <c r="E92" s="4">
        <f t="shared" si="29"/>
        <v>30</v>
      </c>
      <c r="F92" s="39">
        <v>45279</v>
      </c>
      <c r="G92" s="34" t="s">
        <v>11</v>
      </c>
      <c r="H92" s="8"/>
      <c r="I92" s="7"/>
      <c r="J92" s="8"/>
      <c r="K92" s="4">
        <f t="shared" si="31"/>
        <v>0</v>
      </c>
    </row>
    <row r="93" spans="1:12" x14ac:dyDescent="0.15">
      <c r="A93" s="3" t="s">
        <v>11</v>
      </c>
      <c r="B93" s="48">
        <v>5</v>
      </c>
      <c r="C93" s="49">
        <v>5</v>
      </c>
      <c r="D93" s="48">
        <v>5</v>
      </c>
      <c r="E93" s="4">
        <f t="shared" si="29"/>
        <v>15</v>
      </c>
      <c r="F93" s="39">
        <v>45281</v>
      </c>
      <c r="G93" s="34" t="s">
        <v>11</v>
      </c>
      <c r="H93" s="8"/>
      <c r="I93" s="7"/>
      <c r="J93" s="8"/>
      <c r="K93" s="4">
        <f t="shared" ref="K93" si="32">SUM(H93:J93)</f>
        <v>0</v>
      </c>
    </row>
    <row r="94" spans="1:12" x14ac:dyDescent="0.15">
      <c r="A94" s="3" t="s">
        <v>11</v>
      </c>
      <c r="B94" s="48">
        <v>5</v>
      </c>
      <c r="C94" s="49">
        <v>5</v>
      </c>
      <c r="D94" s="48">
        <v>5</v>
      </c>
      <c r="E94" s="4">
        <f t="shared" si="29"/>
        <v>15</v>
      </c>
      <c r="F94" s="39">
        <v>45286</v>
      </c>
      <c r="G94" s="34" t="s">
        <v>11</v>
      </c>
      <c r="H94" s="8"/>
      <c r="I94" s="7"/>
      <c r="J94" s="8"/>
      <c r="K94" s="4">
        <f t="shared" si="31"/>
        <v>0</v>
      </c>
    </row>
    <row r="95" spans="1:12" x14ac:dyDescent="0.15">
      <c r="A95" s="3" t="s">
        <v>11</v>
      </c>
      <c r="B95" s="48">
        <v>5</v>
      </c>
      <c r="C95" s="49">
        <v>5</v>
      </c>
      <c r="D95" s="48">
        <v>5</v>
      </c>
      <c r="E95" s="4">
        <f t="shared" ref="E95" si="33">SUM(B95:D95)</f>
        <v>15</v>
      </c>
      <c r="F95" s="39">
        <v>45300</v>
      </c>
      <c r="G95" s="34" t="s">
        <v>11</v>
      </c>
      <c r="H95" s="8"/>
      <c r="I95" s="7"/>
      <c r="J95" s="8"/>
      <c r="K95" s="4">
        <f t="shared" si="31"/>
        <v>0</v>
      </c>
    </row>
    <row r="96" spans="1:12" x14ac:dyDescent="0.15">
      <c r="A96" s="3" t="s">
        <v>11</v>
      </c>
      <c r="B96" s="48"/>
      <c r="C96" s="49">
        <v>5</v>
      </c>
      <c r="D96" s="48">
        <v>5</v>
      </c>
      <c r="E96" s="4">
        <f t="shared" si="29"/>
        <v>10</v>
      </c>
      <c r="F96" s="39">
        <v>45303</v>
      </c>
      <c r="G96" s="34" t="s">
        <v>11</v>
      </c>
      <c r="H96" s="8"/>
      <c r="I96" s="7"/>
      <c r="J96" s="8"/>
      <c r="K96" s="4">
        <f t="shared" si="31"/>
        <v>0</v>
      </c>
    </row>
    <row r="97" spans="1:14" x14ac:dyDescent="0.15">
      <c r="A97" s="3" t="s">
        <v>106</v>
      </c>
      <c r="B97" s="48"/>
      <c r="C97" s="49"/>
      <c r="D97" s="48">
        <v>1</v>
      </c>
      <c r="E97" s="4">
        <f t="shared" si="29"/>
        <v>1</v>
      </c>
      <c r="F97" s="40">
        <v>45302</v>
      </c>
      <c r="G97" s="34" t="s">
        <v>11</v>
      </c>
      <c r="H97" s="8"/>
      <c r="I97" s="7"/>
      <c r="J97" s="8"/>
      <c r="K97" s="4">
        <f t="shared" si="31"/>
        <v>0</v>
      </c>
    </row>
    <row r="98" spans="1:14" x14ac:dyDescent="0.15">
      <c r="A98" s="3" t="s">
        <v>11</v>
      </c>
      <c r="B98" s="48"/>
      <c r="C98" s="49"/>
      <c r="D98" s="48"/>
      <c r="E98" s="4">
        <f t="shared" si="29"/>
        <v>0</v>
      </c>
      <c r="G98" s="34" t="s">
        <v>11</v>
      </c>
      <c r="H98" s="8"/>
      <c r="I98" s="7"/>
      <c r="J98" s="8"/>
      <c r="K98" s="4">
        <f t="shared" si="31"/>
        <v>0</v>
      </c>
    </row>
    <row r="99" spans="1:14" x14ac:dyDescent="0.15">
      <c r="A99" s="3" t="s">
        <v>11</v>
      </c>
      <c r="B99" s="48"/>
      <c r="C99" s="49"/>
      <c r="D99" s="48"/>
      <c r="E99" s="4">
        <f t="shared" si="29"/>
        <v>0</v>
      </c>
      <c r="G99" s="34" t="s">
        <v>11</v>
      </c>
      <c r="H99" s="8"/>
      <c r="I99" s="7"/>
      <c r="J99" s="8"/>
      <c r="K99" s="4">
        <f t="shared" si="31"/>
        <v>0</v>
      </c>
    </row>
    <row r="100" spans="1:14" ht="14.25" thickBot="1" x14ac:dyDescent="0.2">
      <c r="A100" s="3" t="s">
        <v>11</v>
      </c>
      <c r="B100" s="51"/>
      <c r="C100" s="52"/>
      <c r="D100" s="51"/>
      <c r="E100" s="18">
        <f t="shared" si="29"/>
        <v>0</v>
      </c>
      <c r="G100" s="34" t="s">
        <v>11</v>
      </c>
      <c r="H100" s="11"/>
      <c r="I100" s="10"/>
      <c r="J100" s="11"/>
      <c r="K100" s="18">
        <f t="shared" si="31"/>
        <v>0</v>
      </c>
    </row>
    <row r="101" spans="1:14" ht="14.25" thickBot="1" x14ac:dyDescent="0.2">
      <c r="A101" s="21" t="s">
        <v>3</v>
      </c>
      <c r="B101" s="22">
        <f>SUM(B90:B100)</f>
        <v>61</v>
      </c>
      <c r="C101" s="22">
        <f>SUM(C90:C100)</f>
        <v>63</v>
      </c>
      <c r="D101" s="23">
        <f>SUM(D90:D100)</f>
        <v>55</v>
      </c>
      <c r="E101" s="24">
        <f t="shared" si="29"/>
        <v>179</v>
      </c>
      <c r="G101" s="35" t="s">
        <v>3</v>
      </c>
      <c r="H101" s="22">
        <f>SUM(H90:H100)</f>
        <v>524</v>
      </c>
      <c r="I101" s="22">
        <f>SUM(I90:I100)</f>
        <v>455</v>
      </c>
      <c r="J101" s="23">
        <f>SUM(J90:J100)</f>
        <v>255</v>
      </c>
      <c r="K101" s="24">
        <f t="shared" si="31"/>
        <v>1234</v>
      </c>
    </row>
    <row r="102" spans="1:14" x14ac:dyDescent="0.15">
      <c r="A102" s="3" t="s">
        <v>71</v>
      </c>
      <c r="B102" s="6"/>
      <c r="C102" s="7"/>
      <c r="D102" s="8">
        <v>1</v>
      </c>
      <c r="E102" s="5">
        <f t="shared" si="29"/>
        <v>1</v>
      </c>
      <c r="F102" s="39">
        <v>45264</v>
      </c>
      <c r="G102" s="34" t="s">
        <v>72</v>
      </c>
      <c r="H102" s="6">
        <v>25</v>
      </c>
      <c r="I102" s="7">
        <v>25</v>
      </c>
      <c r="J102" s="8"/>
      <c r="K102" s="5">
        <f t="shared" ref="K102" si="34">SUM(H102:J102)</f>
        <v>50</v>
      </c>
      <c r="L102" s="66">
        <v>45267</v>
      </c>
      <c r="M102" s="27"/>
      <c r="N102" s="27"/>
    </row>
    <row r="103" spans="1:14" x14ac:dyDescent="0.15">
      <c r="A103" s="3" t="s">
        <v>73</v>
      </c>
      <c r="B103" s="6">
        <v>3</v>
      </c>
      <c r="C103" s="7"/>
      <c r="D103" s="8">
        <v>2</v>
      </c>
      <c r="E103" s="5">
        <f t="shared" si="29"/>
        <v>5</v>
      </c>
      <c r="F103" s="39">
        <v>45264</v>
      </c>
      <c r="G103" s="34" t="s">
        <v>77</v>
      </c>
      <c r="H103" s="6">
        <v>5</v>
      </c>
      <c r="I103" s="7">
        <v>10</v>
      </c>
      <c r="J103" s="8">
        <v>15</v>
      </c>
      <c r="K103" s="5">
        <f t="shared" si="31"/>
        <v>30</v>
      </c>
      <c r="L103" s="66">
        <v>45271</v>
      </c>
      <c r="M103" s="27"/>
      <c r="N103" s="27"/>
    </row>
    <row r="104" spans="1:14" x14ac:dyDescent="0.15">
      <c r="A104" s="34" t="s">
        <v>64</v>
      </c>
      <c r="B104" s="6">
        <v>5</v>
      </c>
      <c r="C104" s="7">
        <v>5</v>
      </c>
      <c r="D104" s="8"/>
      <c r="E104" s="5">
        <f t="shared" ref="E104" si="35">SUM(B104:D104)</f>
        <v>10</v>
      </c>
      <c r="F104" s="39">
        <v>45264</v>
      </c>
      <c r="G104" s="34" t="s">
        <v>26</v>
      </c>
      <c r="H104" s="6">
        <v>15</v>
      </c>
      <c r="I104" s="7">
        <v>10</v>
      </c>
      <c r="J104" s="8">
        <v>5</v>
      </c>
      <c r="K104" s="5">
        <f t="shared" si="31"/>
        <v>30</v>
      </c>
      <c r="L104" s="66">
        <v>45279</v>
      </c>
      <c r="M104" s="27"/>
    </row>
    <row r="105" spans="1:14" x14ac:dyDescent="0.15">
      <c r="A105" s="3" t="s">
        <v>74</v>
      </c>
      <c r="B105" s="6"/>
      <c r="C105" s="7">
        <v>1</v>
      </c>
      <c r="D105" s="8">
        <v>4</v>
      </c>
      <c r="E105" s="5">
        <f t="shared" si="29"/>
        <v>5</v>
      </c>
      <c r="F105" s="39">
        <v>45267</v>
      </c>
      <c r="G105" s="34" t="s">
        <v>26</v>
      </c>
      <c r="H105" s="6">
        <v>5</v>
      </c>
      <c r="I105" s="7">
        <v>5</v>
      </c>
      <c r="J105" s="8">
        <v>5</v>
      </c>
      <c r="K105" s="5">
        <f t="shared" si="31"/>
        <v>15</v>
      </c>
      <c r="L105" s="66">
        <v>45281</v>
      </c>
      <c r="M105" s="27"/>
    </row>
    <row r="106" spans="1:14" x14ac:dyDescent="0.15">
      <c r="A106" s="3" t="s">
        <v>75</v>
      </c>
      <c r="B106" s="6">
        <v>1</v>
      </c>
      <c r="C106" s="7">
        <v>1</v>
      </c>
      <c r="D106" s="8"/>
      <c r="E106" s="5">
        <f t="shared" si="29"/>
        <v>2</v>
      </c>
      <c r="F106" s="39">
        <v>45268</v>
      </c>
      <c r="G106" s="34" t="s">
        <v>26</v>
      </c>
      <c r="H106" s="6">
        <v>5</v>
      </c>
      <c r="I106" s="7">
        <v>5</v>
      </c>
      <c r="J106" s="8">
        <v>5</v>
      </c>
      <c r="K106" s="5">
        <f t="shared" si="31"/>
        <v>15</v>
      </c>
      <c r="L106" s="66">
        <v>45286</v>
      </c>
      <c r="M106" s="27"/>
    </row>
    <row r="107" spans="1:14" x14ac:dyDescent="0.15">
      <c r="A107" s="34" t="s">
        <v>76</v>
      </c>
      <c r="B107" s="6">
        <v>5</v>
      </c>
      <c r="C107" s="7">
        <v>7</v>
      </c>
      <c r="D107" s="8">
        <v>5</v>
      </c>
      <c r="E107" s="5">
        <f t="shared" si="29"/>
        <v>17</v>
      </c>
      <c r="F107" s="39">
        <v>45271</v>
      </c>
      <c r="G107" s="34" t="s">
        <v>26</v>
      </c>
      <c r="H107" s="6">
        <v>5</v>
      </c>
      <c r="I107" s="7">
        <v>5</v>
      </c>
      <c r="J107" s="8">
        <v>5</v>
      </c>
      <c r="K107" s="5">
        <f t="shared" ref="K107" si="36">SUM(H107:J107)</f>
        <v>15</v>
      </c>
      <c r="L107" s="66">
        <v>45300</v>
      </c>
      <c r="M107" s="27"/>
    </row>
    <row r="108" spans="1:14" x14ac:dyDescent="0.15">
      <c r="A108" s="3" t="s">
        <v>78</v>
      </c>
      <c r="B108" s="6"/>
      <c r="C108" s="7">
        <v>1</v>
      </c>
      <c r="D108" s="8">
        <v>1</v>
      </c>
      <c r="E108" s="5">
        <f t="shared" si="29"/>
        <v>2</v>
      </c>
      <c r="F108" s="39">
        <v>45271</v>
      </c>
      <c r="G108" s="34" t="s">
        <v>26</v>
      </c>
      <c r="H108" s="6"/>
      <c r="I108" s="7">
        <v>5</v>
      </c>
      <c r="J108" s="8">
        <v>5</v>
      </c>
      <c r="K108" s="5">
        <f t="shared" si="31"/>
        <v>10</v>
      </c>
      <c r="L108" s="66">
        <v>45303</v>
      </c>
    </row>
    <row r="109" spans="1:14" x14ac:dyDescent="0.15">
      <c r="A109" s="3" t="s">
        <v>79</v>
      </c>
      <c r="B109" s="6">
        <v>1</v>
      </c>
      <c r="C109" s="7"/>
      <c r="D109" s="8">
        <v>3</v>
      </c>
      <c r="E109" s="5">
        <f t="shared" si="29"/>
        <v>4</v>
      </c>
      <c r="F109" s="39">
        <v>45274</v>
      </c>
      <c r="G109" s="34"/>
      <c r="H109" s="6"/>
      <c r="I109" s="7"/>
      <c r="J109" s="8"/>
      <c r="K109" s="5">
        <f t="shared" si="31"/>
        <v>0</v>
      </c>
    </row>
    <row r="110" spans="1:14" x14ac:dyDescent="0.15">
      <c r="A110" s="3" t="s">
        <v>80</v>
      </c>
      <c r="B110" s="6">
        <v>6</v>
      </c>
      <c r="C110" s="7">
        <v>1</v>
      </c>
      <c r="D110" s="8"/>
      <c r="E110" s="5">
        <f t="shared" si="29"/>
        <v>7</v>
      </c>
      <c r="F110" s="39">
        <v>45275</v>
      </c>
      <c r="G110" s="34"/>
      <c r="H110" s="6"/>
      <c r="I110" s="7"/>
      <c r="J110" s="8"/>
      <c r="K110" s="5">
        <f t="shared" si="31"/>
        <v>0</v>
      </c>
    </row>
    <row r="111" spans="1:14" x14ac:dyDescent="0.15">
      <c r="A111" s="3" t="s">
        <v>83</v>
      </c>
      <c r="B111" s="6">
        <v>4</v>
      </c>
      <c r="C111" s="7">
        <v>8</v>
      </c>
      <c r="D111" s="8">
        <v>1</v>
      </c>
      <c r="E111" s="5">
        <f t="shared" si="29"/>
        <v>13</v>
      </c>
      <c r="F111" s="39">
        <v>45275</v>
      </c>
      <c r="G111" s="34"/>
      <c r="H111" s="6"/>
      <c r="I111" s="7"/>
      <c r="J111" s="8"/>
      <c r="K111" s="5">
        <f t="shared" si="31"/>
        <v>0</v>
      </c>
    </row>
    <row r="112" spans="1:14" x14ac:dyDescent="0.15">
      <c r="A112" s="3" t="s">
        <v>84</v>
      </c>
      <c r="B112" s="6">
        <v>3</v>
      </c>
      <c r="C112" s="7"/>
      <c r="D112" s="8"/>
      <c r="E112" s="5">
        <f t="shared" si="29"/>
        <v>3</v>
      </c>
      <c r="F112" s="39">
        <v>45278</v>
      </c>
      <c r="G112" s="34"/>
      <c r="H112" s="6"/>
      <c r="I112" s="7"/>
      <c r="J112" s="8"/>
      <c r="K112" s="5">
        <f t="shared" si="31"/>
        <v>0</v>
      </c>
    </row>
    <row r="113" spans="1:12" x14ac:dyDescent="0.15">
      <c r="A113" s="3" t="s">
        <v>85</v>
      </c>
      <c r="B113" s="6"/>
      <c r="C113" s="7">
        <v>5</v>
      </c>
      <c r="D113" s="8">
        <v>10</v>
      </c>
      <c r="E113" s="5">
        <f t="shared" si="29"/>
        <v>15</v>
      </c>
      <c r="F113" s="39">
        <v>45280</v>
      </c>
      <c r="G113" s="34"/>
      <c r="H113" s="6"/>
      <c r="I113" s="7"/>
      <c r="J113" s="8"/>
      <c r="K113" s="5">
        <f t="shared" si="31"/>
        <v>0</v>
      </c>
    </row>
    <row r="114" spans="1:12" x14ac:dyDescent="0.15">
      <c r="A114" s="3" t="s">
        <v>86</v>
      </c>
      <c r="B114" s="6">
        <v>5</v>
      </c>
      <c r="C114" s="7">
        <v>6</v>
      </c>
      <c r="D114" s="8">
        <v>2</v>
      </c>
      <c r="E114" s="5">
        <f t="shared" si="29"/>
        <v>13</v>
      </c>
      <c r="F114" s="39">
        <v>45281</v>
      </c>
      <c r="G114" s="34"/>
      <c r="H114" s="6"/>
      <c r="I114" s="7"/>
      <c r="J114" s="8"/>
      <c r="K114" s="5">
        <f t="shared" si="31"/>
        <v>0</v>
      </c>
    </row>
    <row r="115" spans="1:12" x14ac:dyDescent="0.15">
      <c r="A115" s="34" t="s">
        <v>87</v>
      </c>
      <c r="B115" s="6">
        <v>2</v>
      </c>
      <c r="C115" s="7"/>
      <c r="D115" s="8"/>
      <c r="E115" s="5">
        <f t="shared" si="29"/>
        <v>2</v>
      </c>
      <c r="F115" s="39">
        <v>45281</v>
      </c>
      <c r="G115" s="34"/>
      <c r="H115" s="6"/>
      <c r="I115" s="7"/>
      <c r="J115" s="8"/>
      <c r="K115" s="5">
        <f t="shared" si="31"/>
        <v>0</v>
      </c>
    </row>
    <row r="116" spans="1:12" x14ac:dyDescent="0.15">
      <c r="A116" s="3" t="s">
        <v>88</v>
      </c>
      <c r="B116" s="6">
        <v>2</v>
      </c>
      <c r="C116" s="7"/>
      <c r="D116" s="8">
        <v>1</v>
      </c>
      <c r="E116" s="5">
        <f t="shared" si="29"/>
        <v>3</v>
      </c>
      <c r="F116" s="39">
        <v>45282</v>
      </c>
      <c r="G116" s="34"/>
      <c r="H116" s="6"/>
      <c r="I116" s="7"/>
      <c r="J116" s="8"/>
      <c r="K116" s="5">
        <f t="shared" si="31"/>
        <v>0</v>
      </c>
    </row>
    <row r="117" spans="1:12" x14ac:dyDescent="0.15">
      <c r="A117" s="3" t="s">
        <v>89</v>
      </c>
      <c r="B117" s="6">
        <v>1</v>
      </c>
      <c r="C117" s="7"/>
      <c r="D117" s="8">
        <v>1</v>
      </c>
      <c r="E117" s="5">
        <f t="shared" si="29"/>
        <v>2</v>
      </c>
      <c r="F117" s="40">
        <v>45281</v>
      </c>
      <c r="G117" s="34"/>
      <c r="H117" s="6"/>
      <c r="I117" s="7"/>
      <c r="J117" s="8"/>
      <c r="K117" s="5">
        <f t="shared" si="31"/>
        <v>0</v>
      </c>
    </row>
    <row r="118" spans="1:12" x14ac:dyDescent="0.15">
      <c r="A118" s="3" t="s">
        <v>90</v>
      </c>
      <c r="B118" s="6">
        <v>5</v>
      </c>
      <c r="C118" s="7">
        <v>2</v>
      </c>
      <c r="D118" s="8">
        <v>1</v>
      </c>
      <c r="E118" s="5">
        <f t="shared" si="29"/>
        <v>8</v>
      </c>
      <c r="F118" s="39">
        <v>45287</v>
      </c>
      <c r="G118" s="34"/>
      <c r="H118" s="6"/>
      <c r="I118" s="7"/>
      <c r="J118" s="8"/>
      <c r="K118" s="5">
        <f t="shared" si="31"/>
        <v>0</v>
      </c>
    </row>
    <row r="119" spans="1:12" x14ac:dyDescent="0.15">
      <c r="A119" s="3" t="s">
        <v>36</v>
      </c>
      <c r="B119" s="6">
        <v>1</v>
      </c>
      <c r="C119" s="7"/>
      <c r="D119" s="8"/>
      <c r="E119" s="5">
        <f t="shared" si="29"/>
        <v>1</v>
      </c>
      <c r="F119" s="40">
        <v>45285</v>
      </c>
      <c r="G119" s="34"/>
      <c r="H119" s="6"/>
      <c r="I119" s="7"/>
      <c r="J119" s="8"/>
      <c r="K119" s="5">
        <f t="shared" si="31"/>
        <v>0</v>
      </c>
    </row>
    <row r="120" spans="1:12" x14ac:dyDescent="0.15">
      <c r="A120" s="3" t="s">
        <v>91</v>
      </c>
      <c r="B120" s="6">
        <v>2</v>
      </c>
      <c r="C120" s="7">
        <v>1</v>
      </c>
      <c r="D120" s="8">
        <v>2</v>
      </c>
      <c r="E120" s="5">
        <f t="shared" si="29"/>
        <v>5</v>
      </c>
      <c r="F120" s="39">
        <v>45288</v>
      </c>
      <c r="G120" s="34"/>
      <c r="H120" s="6"/>
      <c r="I120" s="7"/>
      <c r="J120" s="8"/>
      <c r="K120" s="5">
        <f t="shared" si="31"/>
        <v>0</v>
      </c>
    </row>
    <row r="121" spans="1:12" x14ac:dyDescent="0.15">
      <c r="A121" s="3" t="s">
        <v>92</v>
      </c>
      <c r="B121" s="6"/>
      <c r="C121" s="7">
        <v>2</v>
      </c>
      <c r="D121" s="8"/>
      <c r="E121" s="5">
        <f t="shared" si="29"/>
        <v>2</v>
      </c>
      <c r="F121" s="39">
        <v>45288</v>
      </c>
      <c r="G121" s="34"/>
      <c r="H121" s="6"/>
      <c r="I121" s="7"/>
      <c r="J121" s="8"/>
      <c r="K121" s="5">
        <f t="shared" si="31"/>
        <v>0</v>
      </c>
    </row>
    <row r="122" spans="1:12" x14ac:dyDescent="0.15">
      <c r="A122" s="3" t="s">
        <v>93</v>
      </c>
      <c r="B122" s="6"/>
      <c r="C122" s="7">
        <v>4</v>
      </c>
      <c r="D122" s="8">
        <v>3</v>
      </c>
      <c r="E122" s="5">
        <f t="shared" si="29"/>
        <v>7</v>
      </c>
      <c r="F122" s="39">
        <v>44931</v>
      </c>
      <c r="G122" s="34"/>
      <c r="H122" s="6"/>
      <c r="I122" s="7"/>
      <c r="J122" s="8"/>
      <c r="K122" s="5">
        <f t="shared" si="31"/>
        <v>0</v>
      </c>
    </row>
    <row r="123" spans="1:12" x14ac:dyDescent="0.15">
      <c r="A123" s="3" t="s">
        <v>98</v>
      </c>
      <c r="B123" s="6"/>
      <c r="C123" s="7"/>
      <c r="D123" s="8">
        <v>1</v>
      </c>
      <c r="E123" s="5">
        <f t="shared" si="29"/>
        <v>1</v>
      </c>
      <c r="F123" s="39">
        <v>45302</v>
      </c>
      <c r="G123" s="34"/>
      <c r="H123" s="6"/>
      <c r="I123" s="7"/>
      <c r="J123" s="8"/>
      <c r="K123" s="5">
        <f t="shared" si="31"/>
        <v>0</v>
      </c>
      <c r="L123" s="67"/>
    </row>
    <row r="124" spans="1:12" x14ac:dyDescent="0.15">
      <c r="A124" s="34" t="s">
        <v>99</v>
      </c>
      <c r="B124" s="6">
        <v>1</v>
      </c>
      <c r="C124" s="7">
        <v>1</v>
      </c>
      <c r="D124" s="8">
        <v>1</v>
      </c>
      <c r="E124" s="5">
        <f t="shared" si="29"/>
        <v>3</v>
      </c>
      <c r="F124" s="39">
        <v>45302</v>
      </c>
      <c r="G124" s="34" t="s">
        <v>55</v>
      </c>
      <c r="H124" s="6"/>
      <c r="I124" s="7"/>
      <c r="J124" s="8"/>
      <c r="K124" s="5">
        <f t="shared" ref="K124" si="37">SUM(H124:J124)</f>
        <v>0</v>
      </c>
      <c r="L124" s="67" t="s">
        <v>56</v>
      </c>
    </row>
    <row r="125" spans="1:12" ht="14.25" thickBot="1" x14ac:dyDescent="0.2">
      <c r="A125" s="3" t="s">
        <v>100</v>
      </c>
      <c r="B125" s="6"/>
      <c r="C125" s="7"/>
      <c r="D125" s="8">
        <v>5</v>
      </c>
      <c r="E125" s="5">
        <f t="shared" si="29"/>
        <v>5</v>
      </c>
      <c r="F125" s="39">
        <v>45303</v>
      </c>
      <c r="G125" s="34" t="s">
        <v>29</v>
      </c>
      <c r="H125" s="6"/>
      <c r="I125" s="7"/>
      <c r="J125" s="8"/>
      <c r="K125" s="5">
        <f t="shared" si="31"/>
        <v>0</v>
      </c>
      <c r="L125" s="67" t="s">
        <v>30</v>
      </c>
    </row>
    <row r="126" spans="1:12" ht="14.25" thickBot="1" x14ac:dyDescent="0.2">
      <c r="A126" s="2" t="s">
        <v>4</v>
      </c>
      <c r="B126" s="12">
        <f>SUM(B102:B125)</f>
        <v>47</v>
      </c>
      <c r="C126" s="12">
        <f>SUM(C102:C125)</f>
        <v>45</v>
      </c>
      <c r="D126" s="12">
        <f>SUM(D102:D125)</f>
        <v>44</v>
      </c>
      <c r="E126" s="13">
        <f t="shared" si="29"/>
        <v>136</v>
      </c>
      <c r="G126" s="36" t="s">
        <v>4</v>
      </c>
      <c r="H126" s="12">
        <f>SUM(H102:H125)</f>
        <v>60</v>
      </c>
      <c r="I126" s="12">
        <f>SUM(I102:I125)</f>
        <v>65</v>
      </c>
      <c r="J126" s="12">
        <f>SUM(J102:J125)</f>
        <v>40</v>
      </c>
      <c r="K126" s="13">
        <f t="shared" si="31"/>
        <v>165</v>
      </c>
    </row>
    <row r="127" spans="1:12" ht="14.25" thickBot="1" x14ac:dyDescent="0.2">
      <c r="A127" s="25" t="s">
        <v>5</v>
      </c>
      <c r="B127" s="26">
        <f>B101-B126</f>
        <v>14</v>
      </c>
      <c r="C127" s="26">
        <f t="shared" ref="C127:E127" si="38">C101-C126</f>
        <v>18</v>
      </c>
      <c r="D127" s="26">
        <f t="shared" si="38"/>
        <v>11</v>
      </c>
      <c r="E127" s="24">
        <f t="shared" si="38"/>
        <v>43</v>
      </c>
      <c r="G127" s="37" t="s">
        <v>5</v>
      </c>
      <c r="H127" s="26">
        <f>H101-H126</f>
        <v>464</v>
      </c>
      <c r="I127" s="26">
        <f t="shared" ref="I127:K127" si="39">I101-I126</f>
        <v>390</v>
      </c>
      <c r="J127" s="26">
        <f t="shared" si="39"/>
        <v>215</v>
      </c>
      <c r="K127" s="24">
        <f t="shared" si="39"/>
        <v>1069</v>
      </c>
    </row>
    <row r="130" spans="1:11" ht="21.75" thickBot="1" x14ac:dyDescent="0.25">
      <c r="A130" s="30" t="s">
        <v>23</v>
      </c>
      <c r="B130" s="28"/>
      <c r="C130" s="28"/>
      <c r="D130" s="28"/>
      <c r="E130" s="28"/>
      <c r="G130" s="31" t="s">
        <v>25</v>
      </c>
      <c r="H130" s="29"/>
      <c r="I130" s="29"/>
      <c r="J130" s="29"/>
      <c r="K130" s="29"/>
    </row>
    <row r="131" spans="1:11" ht="14.25" thickBot="1" x14ac:dyDescent="0.2">
      <c r="A131" s="1" t="s">
        <v>0</v>
      </c>
      <c r="B131" s="91" t="s">
        <v>10</v>
      </c>
      <c r="C131" s="91"/>
      <c r="D131" s="91"/>
      <c r="E131" s="92"/>
      <c r="G131" s="1" t="s">
        <v>0</v>
      </c>
      <c r="H131" s="91" t="s">
        <v>10</v>
      </c>
      <c r="I131" s="91"/>
      <c r="J131" s="91"/>
      <c r="K131" s="92"/>
    </row>
    <row r="132" spans="1:11" ht="14.25" thickBot="1" x14ac:dyDescent="0.2">
      <c r="A132" s="1" t="s">
        <v>1</v>
      </c>
      <c r="B132" s="2" t="s">
        <v>6</v>
      </c>
      <c r="C132" s="1" t="s">
        <v>7</v>
      </c>
      <c r="D132" s="17" t="s">
        <v>8</v>
      </c>
      <c r="E132" s="1" t="s">
        <v>2</v>
      </c>
      <c r="G132" s="33" t="s">
        <v>1</v>
      </c>
      <c r="H132" s="2" t="s">
        <v>6</v>
      </c>
      <c r="I132" s="1" t="s">
        <v>7</v>
      </c>
      <c r="J132" s="17" t="s">
        <v>8</v>
      </c>
      <c r="K132" s="1" t="s">
        <v>2</v>
      </c>
    </row>
    <row r="133" spans="1:11" x14ac:dyDescent="0.15">
      <c r="A133" s="19" t="s">
        <v>5</v>
      </c>
      <c r="B133" s="16">
        <f>B127</f>
        <v>14</v>
      </c>
      <c r="C133" s="20">
        <f>C127</f>
        <v>18</v>
      </c>
      <c r="D133" s="20">
        <f>D127</f>
        <v>11</v>
      </c>
      <c r="E133" s="15">
        <f t="shared" ref="E133:E169" si="40">SUM(B133:D133)</f>
        <v>43</v>
      </c>
      <c r="G133" s="38" t="s">
        <v>5</v>
      </c>
      <c r="H133" s="16">
        <f>H127</f>
        <v>464</v>
      </c>
      <c r="I133" s="20">
        <f t="shared" ref="I133:J133" si="41">I127</f>
        <v>390</v>
      </c>
      <c r="J133" s="20">
        <f t="shared" si="41"/>
        <v>215</v>
      </c>
      <c r="K133" s="15">
        <f t="shared" ref="K133:K169" si="42">SUM(H133:J133)</f>
        <v>1069</v>
      </c>
    </row>
    <row r="134" spans="1:11" x14ac:dyDescent="0.15">
      <c r="A134" s="3" t="s">
        <v>11</v>
      </c>
      <c r="B134" s="8"/>
      <c r="C134" s="7"/>
      <c r="D134" s="8">
        <v>5</v>
      </c>
      <c r="E134" s="4">
        <f t="shared" si="40"/>
        <v>5</v>
      </c>
      <c r="F134" s="39">
        <v>45307</v>
      </c>
      <c r="G134" s="34" t="s">
        <v>11</v>
      </c>
      <c r="H134" s="8"/>
      <c r="I134" s="7"/>
      <c r="J134" s="8"/>
      <c r="K134" s="4">
        <f t="shared" si="42"/>
        <v>0</v>
      </c>
    </row>
    <row r="135" spans="1:11" x14ac:dyDescent="0.15">
      <c r="A135" s="3" t="s">
        <v>107</v>
      </c>
      <c r="B135" s="8"/>
      <c r="C135" s="7"/>
      <c r="D135" s="8">
        <v>1</v>
      </c>
      <c r="E135" s="4">
        <f t="shared" si="40"/>
        <v>1</v>
      </c>
      <c r="F135" s="39">
        <v>45306</v>
      </c>
      <c r="G135" s="34" t="s">
        <v>11</v>
      </c>
      <c r="H135" s="8"/>
      <c r="I135" s="7"/>
      <c r="J135" s="8"/>
      <c r="K135" s="4">
        <f t="shared" si="42"/>
        <v>0</v>
      </c>
    </row>
    <row r="136" spans="1:11" x14ac:dyDescent="0.15">
      <c r="A136" s="3" t="s">
        <v>11</v>
      </c>
      <c r="B136" s="8">
        <v>5</v>
      </c>
      <c r="C136" s="7"/>
      <c r="D136" s="8"/>
      <c r="E136" s="4">
        <f t="shared" si="40"/>
        <v>5</v>
      </c>
      <c r="F136" s="39">
        <v>45309</v>
      </c>
      <c r="G136" s="34" t="s">
        <v>11</v>
      </c>
      <c r="H136" s="8"/>
      <c r="I136" s="7"/>
      <c r="J136" s="8"/>
      <c r="K136" s="4">
        <f t="shared" ref="K136" si="43">SUM(H136:J136)</f>
        <v>0</v>
      </c>
    </row>
    <row r="137" spans="1:11" x14ac:dyDescent="0.15">
      <c r="A137" s="3" t="s">
        <v>11</v>
      </c>
      <c r="B137" s="8"/>
      <c r="C137" s="7">
        <v>5</v>
      </c>
      <c r="D137" s="8">
        <v>5</v>
      </c>
      <c r="E137" s="4">
        <f t="shared" si="40"/>
        <v>10</v>
      </c>
      <c r="F137" s="39">
        <v>45311</v>
      </c>
      <c r="G137" s="34" t="s">
        <v>11</v>
      </c>
      <c r="H137" s="8"/>
      <c r="I137" s="7"/>
      <c r="J137" s="8"/>
      <c r="K137" s="4">
        <f t="shared" si="42"/>
        <v>0</v>
      </c>
    </row>
    <row r="138" spans="1:11" x14ac:dyDescent="0.15">
      <c r="A138" s="3" t="s">
        <v>11</v>
      </c>
      <c r="B138" s="8">
        <v>5</v>
      </c>
      <c r="C138" s="7">
        <v>10</v>
      </c>
      <c r="D138" s="8"/>
      <c r="E138" s="4">
        <f t="shared" si="40"/>
        <v>15</v>
      </c>
      <c r="F138" s="39">
        <v>45315</v>
      </c>
      <c r="G138" s="34" t="s">
        <v>11</v>
      </c>
      <c r="H138" s="8"/>
      <c r="I138" s="7"/>
      <c r="J138" s="8"/>
      <c r="K138" s="4">
        <f t="shared" si="42"/>
        <v>0</v>
      </c>
    </row>
    <row r="139" spans="1:11" x14ac:dyDescent="0.15">
      <c r="A139" s="3" t="s">
        <v>11</v>
      </c>
      <c r="B139" s="8"/>
      <c r="C139" s="7"/>
      <c r="D139" s="8">
        <v>5</v>
      </c>
      <c r="E139" s="4">
        <f t="shared" si="40"/>
        <v>5</v>
      </c>
      <c r="F139" s="39">
        <v>45316</v>
      </c>
      <c r="G139" s="34" t="s">
        <v>11</v>
      </c>
      <c r="H139" s="8"/>
      <c r="I139" s="7"/>
      <c r="J139" s="8"/>
      <c r="K139" s="4">
        <f t="shared" si="42"/>
        <v>0</v>
      </c>
    </row>
    <row r="140" spans="1:11" x14ac:dyDescent="0.15">
      <c r="A140" s="3" t="s">
        <v>111</v>
      </c>
      <c r="B140" s="8">
        <v>1</v>
      </c>
      <c r="C140" s="7">
        <v>3</v>
      </c>
      <c r="D140" s="8">
        <v>3</v>
      </c>
      <c r="E140" s="4">
        <f t="shared" si="40"/>
        <v>7</v>
      </c>
      <c r="F140" s="39">
        <v>45317</v>
      </c>
      <c r="G140" s="34" t="s">
        <v>11</v>
      </c>
      <c r="H140" s="8"/>
      <c r="I140" s="7"/>
      <c r="J140" s="8"/>
      <c r="K140" s="4">
        <f t="shared" si="42"/>
        <v>0</v>
      </c>
    </row>
    <row r="141" spans="1:11" x14ac:dyDescent="0.15">
      <c r="A141" s="3" t="s">
        <v>11</v>
      </c>
      <c r="B141" s="8">
        <v>10</v>
      </c>
      <c r="C141" s="7">
        <v>10</v>
      </c>
      <c r="D141" s="8">
        <v>15</v>
      </c>
      <c r="E141" s="4">
        <f t="shared" si="40"/>
        <v>35</v>
      </c>
      <c r="F141" s="39">
        <v>45341</v>
      </c>
      <c r="G141" s="34" t="s">
        <v>11</v>
      </c>
      <c r="H141" s="8"/>
      <c r="I141" s="7"/>
      <c r="J141" s="8"/>
      <c r="K141" s="4">
        <f t="shared" si="42"/>
        <v>0</v>
      </c>
    </row>
    <row r="142" spans="1:11" x14ac:dyDescent="0.15">
      <c r="A142" s="3" t="s">
        <v>11</v>
      </c>
      <c r="B142" s="8"/>
      <c r="C142" s="7"/>
      <c r="D142" s="8">
        <v>5</v>
      </c>
      <c r="E142" s="4">
        <f t="shared" si="40"/>
        <v>5</v>
      </c>
      <c r="F142" s="39">
        <v>45342</v>
      </c>
      <c r="G142" s="34" t="s">
        <v>11</v>
      </c>
      <c r="H142" s="8"/>
      <c r="I142" s="7"/>
      <c r="J142" s="8"/>
      <c r="K142" s="4">
        <f t="shared" si="42"/>
        <v>0</v>
      </c>
    </row>
    <row r="143" spans="1:11" ht="14.25" thickBot="1" x14ac:dyDescent="0.2">
      <c r="A143" s="3" t="s">
        <v>11</v>
      </c>
      <c r="B143" s="11">
        <v>10</v>
      </c>
      <c r="C143" s="10">
        <v>10</v>
      </c>
      <c r="D143" s="11">
        <v>10</v>
      </c>
      <c r="E143" s="18">
        <f t="shared" si="40"/>
        <v>30</v>
      </c>
      <c r="F143" s="39">
        <v>45344</v>
      </c>
      <c r="G143" s="34" t="s">
        <v>11</v>
      </c>
      <c r="H143" s="11"/>
      <c r="I143" s="10"/>
      <c r="J143" s="11"/>
      <c r="K143" s="18">
        <f t="shared" si="42"/>
        <v>0</v>
      </c>
    </row>
    <row r="144" spans="1:11" ht="14.25" thickBot="1" x14ac:dyDescent="0.2">
      <c r="A144" s="21" t="s">
        <v>3</v>
      </c>
      <c r="B144" s="22">
        <f>SUM(B133:B143)</f>
        <v>45</v>
      </c>
      <c r="C144" s="22">
        <f>SUM(C133:C143)</f>
        <v>56</v>
      </c>
      <c r="D144" s="23">
        <f>SUM(D133:D143)</f>
        <v>60</v>
      </c>
      <c r="E144" s="24">
        <f t="shared" si="40"/>
        <v>161</v>
      </c>
      <c r="G144" s="35" t="s">
        <v>3</v>
      </c>
      <c r="H144" s="22">
        <f>SUM(H133:H143)</f>
        <v>464</v>
      </c>
      <c r="I144" s="22">
        <f>SUM(I133:I143)</f>
        <v>390</v>
      </c>
      <c r="J144" s="23">
        <f>SUM(J133:J143)</f>
        <v>215</v>
      </c>
      <c r="K144" s="24">
        <f t="shared" si="42"/>
        <v>1069</v>
      </c>
    </row>
    <row r="145" spans="1:14" x14ac:dyDescent="0.15">
      <c r="A145" s="3" t="s">
        <v>101</v>
      </c>
      <c r="B145" s="6"/>
      <c r="C145" s="7">
        <v>1</v>
      </c>
      <c r="D145" s="8">
        <v>1</v>
      </c>
      <c r="E145" s="5">
        <f t="shared" si="40"/>
        <v>2</v>
      </c>
      <c r="F145" s="39">
        <v>45303</v>
      </c>
      <c r="G145" s="34" t="s">
        <v>103</v>
      </c>
      <c r="H145" s="6"/>
      <c r="I145" s="7"/>
      <c r="J145" s="8">
        <v>5</v>
      </c>
      <c r="K145" s="5">
        <f t="shared" si="42"/>
        <v>5</v>
      </c>
      <c r="L145" s="66">
        <v>45307</v>
      </c>
    </row>
    <row r="146" spans="1:14" x14ac:dyDescent="0.15">
      <c r="A146" s="3" t="s">
        <v>102</v>
      </c>
      <c r="B146" s="6"/>
      <c r="C146" s="7">
        <v>1</v>
      </c>
      <c r="D146" s="8"/>
      <c r="E146" s="5">
        <f t="shared" si="40"/>
        <v>1</v>
      </c>
      <c r="F146" s="39">
        <v>45306</v>
      </c>
      <c r="G146" s="34" t="s">
        <v>26</v>
      </c>
      <c r="H146" s="6">
        <v>5</v>
      </c>
      <c r="I146" s="7"/>
      <c r="J146" s="8"/>
      <c r="K146" s="5">
        <f t="shared" si="42"/>
        <v>5</v>
      </c>
      <c r="L146" s="66">
        <v>45309</v>
      </c>
      <c r="M146" s="27"/>
      <c r="N146" s="27"/>
    </row>
    <row r="147" spans="1:14" x14ac:dyDescent="0.15">
      <c r="A147" s="3" t="s">
        <v>104</v>
      </c>
      <c r="B147" s="6">
        <v>7</v>
      </c>
      <c r="C147" s="7">
        <v>5</v>
      </c>
      <c r="D147" s="8">
        <v>5</v>
      </c>
      <c r="E147" s="5">
        <f t="shared" si="40"/>
        <v>17</v>
      </c>
      <c r="F147" s="39">
        <v>45308</v>
      </c>
      <c r="G147" s="34" t="s">
        <v>26</v>
      </c>
      <c r="H147" s="6"/>
      <c r="I147" s="7">
        <v>5</v>
      </c>
      <c r="J147" s="8">
        <v>5</v>
      </c>
      <c r="K147" s="5">
        <f t="shared" si="42"/>
        <v>10</v>
      </c>
      <c r="L147" s="66">
        <v>45311</v>
      </c>
      <c r="M147" s="27"/>
    </row>
    <row r="148" spans="1:14" x14ac:dyDescent="0.15">
      <c r="A148" s="3" t="s">
        <v>105</v>
      </c>
      <c r="B148" s="6"/>
      <c r="C148" s="7">
        <v>1</v>
      </c>
      <c r="D148" s="8"/>
      <c r="E148" s="5">
        <f t="shared" si="40"/>
        <v>1</v>
      </c>
      <c r="F148" s="40">
        <v>45306</v>
      </c>
      <c r="G148" s="34" t="s">
        <v>26</v>
      </c>
      <c r="H148" s="6">
        <v>5</v>
      </c>
      <c r="I148" s="7">
        <v>10</v>
      </c>
      <c r="J148" s="8"/>
      <c r="K148" s="5">
        <f t="shared" si="42"/>
        <v>15</v>
      </c>
      <c r="L148" s="66">
        <v>45315</v>
      </c>
      <c r="M148" s="27"/>
    </row>
    <row r="149" spans="1:14" x14ac:dyDescent="0.15">
      <c r="A149" s="3" t="s">
        <v>108</v>
      </c>
      <c r="B149" s="6"/>
      <c r="C149" s="7">
        <v>9</v>
      </c>
      <c r="D149" s="8"/>
      <c r="E149" s="5">
        <f t="shared" si="40"/>
        <v>9</v>
      </c>
      <c r="F149" s="39">
        <v>45315</v>
      </c>
      <c r="G149" s="34" t="s">
        <v>26</v>
      </c>
      <c r="H149" s="6"/>
      <c r="I149" s="7"/>
      <c r="J149" s="8">
        <v>5</v>
      </c>
      <c r="K149" s="5">
        <f t="shared" si="42"/>
        <v>5</v>
      </c>
      <c r="L149" s="66">
        <v>45316</v>
      </c>
      <c r="M149" s="27"/>
      <c r="N149" s="27"/>
    </row>
    <row r="150" spans="1:14" x14ac:dyDescent="0.15">
      <c r="A150" s="3" t="s">
        <v>109</v>
      </c>
      <c r="B150" s="6"/>
      <c r="C150" s="7"/>
      <c r="D150" s="8">
        <v>6</v>
      </c>
      <c r="E150" s="5">
        <f t="shared" si="40"/>
        <v>6</v>
      </c>
      <c r="F150" s="39">
        <v>45317</v>
      </c>
      <c r="G150" s="34" t="s">
        <v>26</v>
      </c>
      <c r="H150" s="6">
        <v>10</v>
      </c>
      <c r="I150" s="7">
        <v>10</v>
      </c>
      <c r="J150" s="8">
        <v>15</v>
      </c>
      <c r="K150" s="5">
        <f t="shared" si="42"/>
        <v>35</v>
      </c>
      <c r="L150" s="66">
        <v>45341</v>
      </c>
      <c r="M150" s="27"/>
      <c r="N150" s="27"/>
    </row>
    <row r="151" spans="1:14" x14ac:dyDescent="0.15">
      <c r="A151" s="3" t="s">
        <v>110</v>
      </c>
      <c r="B151" s="6"/>
      <c r="C151" s="7"/>
      <c r="D151" s="8">
        <v>1</v>
      </c>
      <c r="E151" s="5">
        <f t="shared" si="40"/>
        <v>1</v>
      </c>
      <c r="F151" s="39">
        <v>45317</v>
      </c>
      <c r="G151" s="34" t="s">
        <v>26</v>
      </c>
      <c r="H151" s="6"/>
      <c r="I151" s="7"/>
      <c r="J151" s="8">
        <v>5</v>
      </c>
      <c r="K151" s="5">
        <f t="shared" si="42"/>
        <v>5</v>
      </c>
      <c r="L151" s="66">
        <v>45342</v>
      </c>
      <c r="M151" s="27"/>
    </row>
    <row r="152" spans="1:14" x14ac:dyDescent="0.15">
      <c r="A152" s="3" t="s">
        <v>112</v>
      </c>
      <c r="B152" s="6">
        <v>2</v>
      </c>
      <c r="C152" s="7">
        <v>2</v>
      </c>
      <c r="D152" s="8">
        <v>1</v>
      </c>
      <c r="E152" s="5">
        <f t="shared" si="40"/>
        <v>5</v>
      </c>
      <c r="F152" s="39">
        <v>45322</v>
      </c>
      <c r="G152" s="34" t="s">
        <v>26</v>
      </c>
      <c r="H152" s="6">
        <v>10</v>
      </c>
      <c r="I152" s="7">
        <v>10</v>
      </c>
      <c r="J152" s="8">
        <v>10</v>
      </c>
      <c r="K152" s="5">
        <f t="shared" si="42"/>
        <v>30</v>
      </c>
      <c r="L152" s="66">
        <v>45344</v>
      </c>
      <c r="M152" s="27"/>
    </row>
    <row r="153" spans="1:14" x14ac:dyDescent="0.15">
      <c r="A153" s="3" t="s">
        <v>113</v>
      </c>
      <c r="B153" s="6"/>
      <c r="C153" s="7"/>
      <c r="D153" s="8">
        <v>3</v>
      </c>
      <c r="E153" s="5">
        <f t="shared" si="40"/>
        <v>3</v>
      </c>
      <c r="F153" s="39">
        <v>45323</v>
      </c>
      <c r="G153" s="34"/>
      <c r="H153" s="6"/>
      <c r="I153" s="7"/>
      <c r="J153" s="8"/>
      <c r="K153" s="5">
        <f t="shared" si="42"/>
        <v>0</v>
      </c>
      <c r="L153" s="67"/>
      <c r="M153" s="27"/>
    </row>
    <row r="154" spans="1:14" x14ac:dyDescent="0.15">
      <c r="A154" s="3" t="s">
        <v>114</v>
      </c>
      <c r="B154" s="6">
        <v>1</v>
      </c>
      <c r="C154" s="7"/>
      <c r="D154" s="8"/>
      <c r="E154" s="5">
        <f t="shared" si="40"/>
        <v>1</v>
      </c>
      <c r="F154" s="39">
        <v>45324</v>
      </c>
      <c r="G154" s="34"/>
      <c r="H154" s="6"/>
      <c r="I154" s="7"/>
      <c r="J154" s="8"/>
      <c r="K154" s="5">
        <f t="shared" si="42"/>
        <v>0</v>
      </c>
    </row>
    <row r="155" spans="1:14" x14ac:dyDescent="0.15">
      <c r="A155" s="34" t="s">
        <v>115</v>
      </c>
      <c r="B155" s="6">
        <v>3</v>
      </c>
      <c r="C155" s="7">
        <v>3</v>
      </c>
      <c r="D155" s="8">
        <v>3</v>
      </c>
      <c r="E155" s="5">
        <f t="shared" si="40"/>
        <v>9</v>
      </c>
      <c r="F155" s="39">
        <v>45330</v>
      </c>
      <c r="G155" s="34"/>
      <c r="H155" s="6"/>
      <c r="I155" s="7"/>
      <c r="J155" s="8"/>
      <c r="K155" s="5">
        <f t="shared" si="42"/>
        <v>0</v>
      </c>
    </row>
    <row r="156" spans="1:14" x14ac:dyDescent="0.15">
      <c r="A156" s="3" t="s">
        <v>116</v>
      </c>
      <c r="B156" s="6"/>
      <c r="C156" s="7">
        <v>1</v>
      </c>
      <c r="D156" s="8"/>
      <c r="E156" s="5">
        <f t="shared" si="40"/>
        <v>1</v>
      </c>
      <c r="F156" s="39">
        <v>45331</v>
      </c>
      <c r="G156" s="34"/>
      <c r="H156" s="6"/>
      <c r="I156" s="7"/>
      <c r="J156" s="8"/>
      <c r="K156" s="5">
        <f t="shared" si="42"/>
        <v>0</v>
      </c>
    </row>
    <row r="157" spans="1:14" x14ac:dyDescent="0.15">
      <c r="A157" s="3" t="s">
        <v>117</v>
      </c>
      <c r="B157" s="6">
        <v>2</v>
      </c>
      <c r="C157" s="7"/>
      <c r="D157" s="8"/>
      <c r="E157" s="5">
        <f t="shared" si="40"/>
        <v>2</v>
      </c>
      <c r="F157" s="39">
        <v>45331</v>
      </c>
      <c r="G157" s="34"/>
      <c r="H157" s="6"/>
      <c r="I157" s="7"/>
      <c r="J157" s="8"/>
      <c r="K157" s="5">
        <f t="shared" si="42"/>
        <v>0</v>
      </c>
    </row>
    <row r="158" spans="1:14" x14ac:dyDescent="0.15">
      <c r="A158" s="3" t="s">
        <v>118</v>
      </c>
      <c r="B158" s="6"/>
      <c r="C158" s="7">
        <v>5</v>
      </c>
      <c r="D158" s="8">
        <v>4</v>
      </c>
      <c r="E158" s="5">
        <f t="shared" si="40"/>
        <v>9</v>
      </c>
      <c r="F158" s="39">
        <v>45335</v>
      </c>
      <c r="G158" s="34"/>
      <c r="H158" s="6"/>
      <c r="I158" s="7"/>
      <c r="J158" s="8"/>
      <c r="K158" s="5">
        <f t="shared" si="42"/>
        <v>0</v>
      </c>
    </row>
    <row r="159" spans="1:14" x14ac:dyDescent="0.15">
      <c r="A159" s="3" t="s">
        <v>119</v>
      </c>
      <c r="B159" s="6">
        <v>1</v>
      </c>
      <c r="C159" s="7"/>
      <c r="D159" s="8">
        <v>1</v>
      </c>
      <c r="E159" s="5">
        <f t="shared" si="40"/>
        <v>2</v>
      </c>
      <c r="F159" s="39">
        <v>45337</v>
      </c>
      <c r="G159" s="34"/>
      <c r="H159" s="6"/>
      <c r="I159" s="7"/>
      <c r="J159" s="8"/>
      <c r="K159" s="5">
        <f t="shared" si="42"/>
        <v>0</v>
      </c>
    </row>
    <row r="160" spans="1:14" x14ac:dyDescent="0.15">
      <c r="A160" s="3" t="s">
        <v>120</v>
      </c>
      <c r="B160" s="6">
        <v>1</v>
      </c>
      <c r="C160" s="7"/>
      <c r="D160" s="8">
        <v>2</v>
      </c>
      <c r="E160" s="5">
        <f t="shared" si="40"/>
        <v>3</v>
      </c>
      <c r="F160" s="39">
        <v>45338</v>
      </c>
      <c r="G160" s="34"/>
      <c r="H160" s="6"/>
      <c r="I160" s="7"/>
      <c r="J160" s="8"/>
      <c r="K160" s="5">
        <f t="shared" si="42"/>
        <v>0</v>
      </c>
    </row>
    <row r="161" spans="1:12" x14ac:dyDescent="0.15">
      <c r="A161" s="3" t="s">
        <v>121</v>
      </c>
      <c r="B161" s="6">
        <v>3</v>
      </c>
      <c r="C161" s="7"/>
      <c r="D161" s="8">
        <v>1</v>
      </c>
      <c r="E161" s="5">
        <f t="shared" si="40"/>
        <v>4</v>
      </c>
      <c r="F161" s="39">
        <v>45338</v>
      </c>
      <c r="G161" s="34"/>
      <c r="H161" s="6"/>
      <c r="I161" s="7"/>
      <c r="J161" s="8"/>
      <c r="K161" s="5">
        <f t="shared" si="42"/>
        <v>0</v>
      </c>
    </row>
    <row r="162" spans="1:12" x14ac:dyDescent="0.15">
      <c r="A162" s="3" t="s">
        <v>122</v>
      </c>
      <c r="B162" s="6">
        <v>1</v>
      </c>
      <c r="C162" s="7">
        <v>1</v>
      </c>
      <c r="D162" s="8">
        <v>2</v>
      </c>
      <c r="E162" s="5">
        <f t="shared" si="40"/>
        <v>4</v>
      </c>
      <c r="F162" s="39">
        <v>45341</v>
      </c>
      <c r="G162" s="34"/>
      <c r="H162" s="6"/>
      <c r="I162" s="7"/>
      <c r="J162" s="8"/>
      <c r="K162" s="5">
        <f t="shared" si="42"/>
        <v>0</v>
      </c>
    </row>
    <row r="163" spans="1:12" x14ac:dyDescent="0.15">
      <c r="A163" s="34" t="s">
        <v>123</v>
      </c>
      <c r="B163" s="6"/>
      <c r="C163" s="7"/>
      <c r="D163" s="8">
        <v>5</v>
      </c>
      <c r="E163" s="5">
        <f t="shared" si="40"/>
        <v>5</v>
      </c>
      <c r="F163" s="39">
        <v>45342</v>
      </c>
      <c r="G163" s="34"/>
      <c r="H163" s="6"/>
      <c r="I163" s="7"/>
      <c r="J163" s="8"/>
      <c r="K163" s="5">
        <f t="shared" ref="K163:K165" si="44">SUM(H163:J163)</f>
        <v>0</v>
      </c>
    </row>
    <row r="164" spans="1:12" x14ac:dyDescent="0.15">
      <c r="A164" s="3" t="s">
        <v>124</v>
      </c>
      <c r="B164" s="6">
        <v>5</v>
      </c>
      <c r="C164" s="7">
        <v>5</v>
      </c>
      <c r="D164" s="8">
        <v>4</v>
      </c>
      <c r="E164" s="5">
        <f t="shared" si="40"/>
        <v>14</v>
      </c>
      <c r="F164" s="39">
        <v>45343</v>
      </c>
      <c r="G164" s="34"/>
      <c r="H164" s="6"/>
      <c r="I164" s="7"/>
      <c r="J164" s="8"/>
      <c r="K164" s="5">
        <f t="shared" si="44"/>
        <v>0</v>
      </c>
    </row>
    <row r="165" spans="1:12" x14ac:dyDescent="0.15">
      <c r="A165" s="34" t="s">
        <v>125</v>
      </c>
      <c r="B165" s="6"/>
      <c r="C165" s="7">
        <v>2</v>
      </c>
      <c r="D165" s="8"/>
      <c r="E165" s="5">
        <f t="shared" si="40"/>
        <v>2</v>
      </c>
      <c r="F165" s="39">
        <v>45348</v>
      </c>
      <c r="G165" s="34"/>
      <c r="H165" s="6"/>
      <c r="I165" s="7"/>
      <c r="J165" s="8"/>
      <c r="K165" s="5">
        <f t="shared" si="44"/>
        <v>0</v>
      </c>
    </row>
    <row r="166" spans="1:12" x14ac:dyDescent="0.15">
      <c r="A166" s="34" t="s">
        <v>125</v>
      </c>
      <c r="B166" s="6">
        <v>4</v>
      </c>
      <c r="C166" s="7">
        <v>5</v>
      </c>
      <c r="D166" s="8">
        <v>4</v>
      </c>
      <c r="E166" s="5">
        <f t="shared" si="40"/>
        <v>13</v>
      </c>
      <c r="F166" s="39">
        <v>45348</v>
      </c>
      <c r="G166" s="34" t="s">
        <v>31</v>
      </c>
      <c r="H166" s="6"/>
      <c r="I166" s="7"/>
      <c r="J166" s="8"/>
      <c r="K166" s="5">
        <f t="shared" ref="K166:K167" si="45">SUM(H166:J166)</f>
        <v>0</v>
      </c>
      <c r="L166" s="67" t="s">
        <v>32</v>
      </c>
    </row>
    <row r="167" spans="1:12" x14ac:dyDescent="0.15">
      <c r="A167" s="3" t="s">
        <v>126</v>
      </c>
      <c r="B167" s="6"/>
      <c r="C167" s="7">
        <v>1</v>
      </c>
      <c r="D167" s="8"/>
      <c r="E167" s="5">
        <f t="shared" si="40"/>
        <v>1</v>
      </c>
      <c r="F167" s="39">
        <v>45344</v>
      </c>
      <c r="G167" s="34" t="s">
        <v>65</v>
      </c>
      <c r="H167" s="6"/>
      <c r="I167" s="7"/>
      <c r="J167" s="8"/>
      <c r="K167" s="5">
        <f t="shared" si="45"/>
        <v>0</v>
      </c>
      <c r="L167" s="67" t="s">
        <v>66</v>
      </c>
    </row>
    <row r="168" spans="1:12" ht="14.25" thickBot="1" x14ac:dyDescent="0.2">
      <c r="A168" s="3" t="s">
        <v>127</v>
      </c>
      <c r="B168" s="6"/>
      <c r="C168" s="7"/>
      <c r="D168" s="8">
        <v>2</v>
      </c>
      <c r="E168" s="5">
        <f t="shared" si="40"/>
        <v>2</v>
      </c>
      <c r="F168" s="39">
        <v>45348</v>
      </c>
      <c r="G168" s="34" t="s">
        <v>81</v>
      </c>
      <c r="H168" s="6"/>
      <c r="I168" s="7"/>
      <c r="J168" s="8"/>
      <c r="K168" s="5">
        <f t="shared" ref="K168" si="46">SUM(H168:J168)</f>
        <v>0</v>
      </c>
      <c r="L168" s="67" t="s">
        <v>82</v>
      </c>
    </row>
    <row r="169" spans="1:12" ht="14.25" thickBot="1" x14ac:dyDescent="0.2">
      <c r="A169" s="2" t="s">
        <v>4</v>
      </c>
      <c r="B169" s="12">
        <f>SUM(B145:B168)</f>
        <v>30</v>
      </c>
      <c r="C169" s="12">
        <f>SUM(C145:C168)</f>
        <v>42</v>
      </c>
      <c r="D169" s="12">
        <f>SUM(D145:D168)</f>
        <v>45</v>
      </c>
      <c r="E169" s="13">
        <f t="shared" si="40"/>
        <v>117</v>
      </c>
      <c r="G169" s="36" t="s">
        <v>4</v>
      </c>
      <c r="H169" s="12">
        <f>SUM(H145:H168)</f>
        <v>30</v>
      </c>
      <c r="I169" s="12">
        <f>SUM(I145:I168)</f>
        <v>35</v>
      </c>
      <c r="J169" s="12">
        <f>SUM(J145:J168)</f>
        <v>45</v>
      </c>
      <c r="K169" s="13">
        <f t="shared" si="42"/>
        <v>110</v>
      </c>
    </row>
    <row r="170" spans="1:12" ht="14.25" thickBot="1" x14ac:dyDescent="0.2">
      <c r="A170" s="25" t="s">
        <v>5</v>
      </c>
      <c r="B170" s="26">
        <f>B144-B169</f>
        <v>15</v>
      </c>
      <c r="C170" s="26">
        <f t="shared" ref="C170:E170" si="47">C144-C169</f>
        <v>14</v>
      </c>
      <c r="D170" s="26">
        <f t="shared" si="47"/>
        <v>15</v>
      </c>
      <c r="E170" s="24">
        <f t="shared" si="47"/>
        <v>44</v>
      </c>
      <c r="G170" s="37" t="s">
        <v>5</v>
      </c>
      <c r="H170" s="26">
        <f>H144-H169</f>
        <v>434</v>
      </c>
      <c r="I170" s="26">
        <f t="shared" ref="I170:K170" si="48">I144-I169</f>
        <v>355</v>
      </c>
      <c r="J170" s="26">
        <f t="shared" si="48"/>
        <v>170</v>
      </c>
      <c r="K170" s="24">
        <f t="shared" si="48"/>
        <v>959</v>
      </c>
    </row>
    <row r="173" spans="1:12" ht="21.75" thickBot="1" x14ac:dyDescent="0.25">
      <c r="A173" s="30" t="s">
        <v>23</v>
      </c>
      <c r="B173" s="28"/>
      <c r="C173" s="28"/>
      <c r="D173" s="28"/>
      <c r="E173" s="28"/>
      <c r="G173" s="31" t="s">
        <v>25</v>
      </c>
      <c r="H173" s="29"/>
      <c r="I173" s="29"/>
      <c r="J173" s="29"/>
      <c r="K173" s="29"/>
    </row>
    <row r="174" spans="1:12" ht="14.25" thickBot="1" x14ac:dyDescent="0.2">
      <c r="A174" s="1" t="s">
        <v>0</v>
      </c>
      <c r="B174" s="91" t="s">
        <v>10</v>
      </c>
      <c r="C174" s="91"/>
      <c r="D174" s="91"/>
      <c r="E174" s="92"/>
      <c r="G174" s="1" t="s">
        <v>0</v>
      </c>
      <c r="H174" s="91" t="s">
        <v>10</v>
      </c>
      <c r="I174" s="91"/>
      <c r="J174" s="91"/>
      <c r="K174" s="92"/>
    </row>
    <row r="175" spans="1:12" ht="14.25" thickBot="1" x14ac:dyDescent="0.2">
      <c r="A175" s="1" t="s">
        <v>1</v>
      </c>
      <c r="B175" s="2" t="s">
        <v>6</v>
      </c>
      <c r="C175" s="1" t="s">
        <v>7</v>
      </c>
      <c r="D175" s="17" t="s">
        <v>8</v>
      </c>
      <c r="E175" s="1" t="s">
        <v>2</v>
      </c>
      <c r="G175" s="33" t="s">
        <v>1</v>
      </c>
      <c r="H175" s="2" t="s">
        <v>6</v>
      </c>
      <c r="I175" s="1" t="s">
        <v>7</v>
      </c>
      <c r="J175" s="17" t="s">
        <v>8</v>
      </c>
      <c r="K175" s="1" t="s">
        <v>2</v>
      </c>
    </row>
    <row r="176" spans="1:12" x14ac:dyDescent="0.15">
      <c r="A176" s="19" t="s">
        <v>5</v>
      </c>
      <c r="B176" s="16">
        <f>B170</f>
        <v>15</v>
      </c>
      <c r="C176" s="20">
        <f>C170</f>
        <v>14</v>
      </c>
      <c r="D176" s="20">
        <f>D170</f>
        <v>15</v>
      </c>
      <c r="E176" s="15">
        <f t="shared" ref="E176:E212" si="49">SUM(B176:D176)</f>
        <v>44</v>
      </c>
      <c r="G176" s="38" t="s">
        <v>5</v>
      </c>
      <c r="H176" s="16">
        <f>H170</f>
        <v>434</v>
      </c>
      <c r="I176" s="20">
        <f t="shared" ref="I176:J176" si="50">I170</f>
        <v>355</v>
      </c>
      <c r="J176" s="20">
        <f t="shared" si="50"/>
        <v>170</v>
      </c>
      <c r="K176" s="15">
        <f t="shared" ref="K176:K212" si="51">SUM(H176:J176)</f>
        <v>959</v>
      </c>
    </row>
    <row r="177" spans="1:12" x14ac:dyDescent="0.15">
      <c r="A177" s="3" t="s">
        <v>11</v>
      </c>
      <c r="B177" s="8">
        <v>20</v>
      </c>
      <c r="C177" s="7">
        <v>15</v>
      </c>
      <c r="D177" s="8">
        <v>15</v>
      </c>
      <c r="E177" s="4">
        <f t="shared" ref="E177:E184" si="52">SUM(B177:D177)</f>
        <v>50</v>
      </c>
      <c r="F177" s="39">
        <v>45352</v>
      </c>
      <c r="G177" s="34" t="s">
        <v>11</v>
      </c>
      <c r="H177" s="8"/>
      <c r="I177" s="7"/>
      <c r="J177" s="8"/>
      <c r="K177" s="4">
        <f t="shared" si="51"/>
        <v>0</v>
      </c>
    </row>
    <row r="178" spans="1:12" x14ac:dyDescent="0.15">
      <c r="A178" s="3" t="s">
        <v>11</v>
      </c>
      <c r="B178" s="8">
        <v>5</v>
      </c>
      <c r="C178" s="7"/>
      <c r="D178" s="8"/>
      <c r="E178" s="4">
        <f t="shared" si="52"/>
        <v>5</v>
      </c>
      <c r="F178" s="39">
        <v>45357</v>
      </c>
      <c r="G178" s="34" t="s">
        <v>11</v>
      </c>
      <c r="H178" s="8"/>
      <c r="I178" s="7"/>
      <c r="J178" s="8"/>
      <c r="K178" s="4">
        <f t="shared" si="51"/>
        <v>0</v>
      </c>
    </row>
    <row r="179" spans="1:12" x14ac:dyDescent="0.15">
      <c r="A179" s="3" t="s">
        <v>11</v>
      </c>
      <c r="B179" s="8">
        <v>10</v>
      </c>
      <c r="C179" s="7">
        <v>10</v>
      </c>
      <c r="D179" s="8">
        <v>10</v>
      </c>
      <c r="E179" s="4">
        <f t="shared" si="52"/>
        <v>30</v>
      </c>
      <c r="F179" s="39">
        <v>45365</v>
      </c>
      <c r="G179" s="34" t="s">
        <v>11</v>
      </c>
      <c r="H179" s="8"/>
      <c r="I179" s="7"/>
      <c r="J179" s="8"/>
      <c r="K179" s="4">
        <f t="shared" si="51"/>
        <v>0</v>
      </c>
    </row>
    <row r="180" spans="1:12" x14ac:dyDescent="0.15">
      <c r="A180" s="3" t="s">
        <v>11</v>
      </c>
      <c r="B180" s="8"/>
      <c r="C180" s="7">
        <v>5</v>
      </c>
      <c r="D180" s="8"/>
      <c r="E180" s="4">
        <f t="shared" si="52"/>
        <v>5</v>
      </c>
      <c r="F180" s="39">
        <v>45372</v>
      </c>
      <c r="G180" s="34" t="s">
        <v>11</v>
      </c>
      <c r="H180" s="8"/>
      <c r="I180" s="7"/>
      <c r="J180" s="8"/>
      <c r="K180" s="4">
        <f t="shared" si="51"/>
        <v>0</v>
      </c>
    </row>
    <row r="181" spans="1:12" x14ac:dyDescent="0.15">
      <c r="A181" s="3" t="s">
        <v>11</v>
      </c>
      <c r="B181" s="8"/>
      <c r="C181" s="7">
        <v>5</v>
      </c>
      <c r="D181" s="8">
        <v>5</v>
      </c>
      <c r="E181" s="4">
        <f t="shared" si="52"/>
        <v>10</v>
      </c>
      <c r="F181" s="39">
        <v>45377</v>
      </c>
      <c r="G181" s="34" t="s">
        <v>11</v>
      </c>
      <c r="H181" s="8"/>
      <c r="I181" s="7"/>
      <c r="J181" s="8"/>
      <c r="K181" s="4">
        <f t="shared" si="51"/>
        <v>0</v>
      </c>
    </row>
    <row r="182" spans="1:12" x14ac:dyDescent="0.15">
      <c r="A182" s="3" t="s">
        <v>11</v>
      </c>
      <c r="B182" s="8"/>
      <c r="C182" s="7">
        <v>5</v>
      </c>
      <c r="D182" s="8"/>
      <c r="E182" s="4">
        <f t="shared" si="52"/>
        <v>5</v>
      </c>
      <c r="F182" s="39">
        <v>45378</v>
      </c>
      <c r="G182" s="34" t="s">
        <v>11</v>
      </c>
      <c r="H182" s="8"/>
      <c r="I182" s="7"/>
      <c r="J182" s="8"/>
      <c r="K182" s="4">
        <f t="shared" si="51"/>
        <v>0</v>
      </c>
    </row>
    <row r="183" spans="1:12" x14ac:dyDescent="0.15">
      <c r="A183" s="3" t="s">
        <v>107</v>
      </c>
      <c r="B183" s="8"/>
      <c r="C183" s="7">
        <v>2</v>
      </c>
      <c r="D183" s="8"/>
      <c r="E183" s="4">
        <f t="shared" si="52"/>
        <v>2</v>
      </c>
      <c r="F183" s="39">
        <v>45379</v>
      </c>
      <c r="G183" s="34" t="s">
        <v>11</v>
      </c>
      <c r="H183" s="8"/>
      <c r="I183" s="7"/>
      <c r="J183" s="8"/>
      <c r="K183" s="4">
        <f t="shared" si="51"/>
        <v>0</v>
      </c>
    </row>
    <row r="184" spans="1:12" x14ac:dyDescent="0.15">
      <c r="A184" s="3" t="s">
        <v>11</v>
      </c>
      <c r="B184" s="8"/>
      <c r="C184" s="7"/>
      <c r="D184" s="8"/>
      <c r="E184" s="4">
        <f t="shared" si="52"/>
        <v>0</v>
      </c>
      <c r="F184" s="39"/>
      <c r="G184" s="34" t="s">
        <v>11</v>
      </c>
      <c r="H184" s="8"/>
      <c r="I184" s="7"/>
      <c r="J184" s="8"/>
      <c r="K184" s="4">
        <f t="shared" si="51"/>
        <v>0</v>
      </c>
    </row>
    <row r="185" spans="1:12" x14ac:dyDescent="0.15">
      <c r="A185" s="3" t="s">
        <v>11</v>
      </c>
      <c r="B185" s="8"/>
      <c r="C185" s="7"/>
      <c r="D185" s="8"/>
      <c r="E185" s="4">
        <f t="shared" si="49"/>
        <v>0</v>
      </c>
      <c r="F185" s="39"/>
      <c r="G185" s="34" t="s">
        <v>11</v>
      </c>
      <c r="H185" s="8"/>
      <c r="I185" s="7"/>
      <c r="J185" s="8"/>
      <c r="K185" s="4">
        <f t="shared" si="51"/>
        <v>0</v>
      </c>
    </row>
    <row r="186" spans="1:12" ht="14.25" thickBot="1" x14ac:dyDescent="0.2">
      <c r="A186" s="3" t="s">
        <v>11</v>
      </c>
      <c r="B186" s="11"/>
      <c r="C186" s="10"/>
      <c r="D186" s="11"/>
      <c r="E186" s="18">
        <f t="shared" si="49"/>
        <v>0</v>
      </c>
      <c r="G186" s="34" t="s">
        <v>11</v>
      </c>
      <c r="H186" s="11"/>
      <c r="I186" s="10"/>
      <c r="J186" s="11"/>
      <c r="K186" s="18">
        <f t="shared" si="51"/>
        <v>0</v>
      </c>
    </row>
    <row r="187" spans="1:12" ht="14.25" thickBot="1" x14ac:dyDescent="0.2">
      <c r="A187" s="21" t="s">
        <v>3</v>
      </c>
      <c r="B187" s="22">
        <f>SUM(B176:B186)</f>
        <v>50</v>
      </c>
      <c r="C187" s="22">
        <f>SUM(C176:C186)</f>
        <v>56</v>
      </c>
      <c r="D187" s="23">
        <f>SUM(D176:D186)</f>
        <v>45</v>
      </c>
      <c r="E187" s="24">
        <f t="shared" si="49"/>
        <v>151</v>
      </c>
      <c r="G187" s="35" t="s">
        <v>3</v>
      </c>
      <c r="H187" s="22">
        <f>SUM(H176:H186)</f>
        <v>434</v>
      </c>
      <c r="I187" s="22">
        <f>SUM(I176:I186)</f>
        <v>355</v>
      </c>
      <c r="J187" s="23">
        <f>SUM(J176:J186)</f>
        <v>170</v>
      </c>
      <c r="K187" s="24">
        <f t="shared" si="51"/>
        <v>959</v>
      </c>
    </row>
    <row r="188" spans="1:12" x14ac:dyDescent="0.15">
      <c r="A188" s="3" t="s">
        <v>128</v>
      </c>
      <c r="B188" s="6">
        <v>2</v>
      </c>
      <c r="C188" s="7">
        <v>2</v>
      </c>
      <c r="D188" s="8">
        <v>2</v>
      </c>
      <c r="E188" s="5">
        <f t="shared" si="49"/>
        <v>6</v>
      </c>
      <c r="F188" s="39">
        <v>45350</v>
      </c>
      <c r="G188" s="34" t="s">
        <v>132</v>
      </c>
      <c r="H188" s="6">
        <v>20</v>
      </c>
      <c r="I188" s="7">
        <v>15</v>
      </c>
      <c r="J188" s="8">
        <v>15</v>
      </c>
      <c r="K188" s="5">
        <f t="shared" si="51"/>
        <v>50</v>
      </c>
      <c r="L188" s="66">
        <v>45352</v>
      </c>
    </row>
    <row r="189" spans="1:12" x14ac:dyDescent="0.15">
      <c r="A189" s="34" t="s">
        <v>129</v>
      </c>
      <c r="B189" s="6">
        <v>1</v>
      </c>
      <c r="C189" s="7"/>
      <c r="D189" s="8"/>
      <c r="E189" s="5">
        <f t="shared" si="49"/>
        <v>1</v>
      </c>
      <c r="F189" s="39">
        <v>45351</v>
      </c>
      <c r="G189" s="34" t="s">
        <v>26</v>
      </c>
      <c r="H189" s="6">
        <v>5</v>
      </c>
      <c r="I189" s="7"/>
      <c r="J189" s="8"/>
      <c r="K189" s="5">
        <f t="shared" si="51"/>
        <v>5</v>
      </c>
      <c r="L189" s="66">
        <v>45357</v>
      </c>
    </row>
    <row r="190" spans="1:12" x14ac:dyDescent="0.15">
      <c r="A190" s="3" t="s">
        <v>130</v>
      </c>
      <c r="B190" s="6">
        <v>9</v>
      </c>
      <c r="C190" s="7">
        <v>3</v>
      </c>
      <c r="D190" s="8"/>
      <c r="E190" s="5">
        <f t="shared" si="49"/>
        <v>12</v>
      </c>
      <c r="F190" s="39">
        <v>45351</v>
      </c>
      <c r="G190" s="34" t="s">
        <v>26</v>
      </c>
      <c r="H190" s="6">
        <v>10</v>
      </c>
      <c r="I190" s="7">
        <v>10</v>
      </c>
      <c r="J190" s="8">
        <v>10</v>
      </c>
      <c r="K190" s="5">
        <f t="shared" si="51"/>
        <v>30</v>
      </c>
      <c r="L190" s="66">
        <v>45365</v>
      </c>
    </row>
    <row r="191" spans="1:12" x14ac:dyDescent="0.15">
      <c r="A191" s="3" t="s">
        <v>131</v>
      </c>
      <c r="B191" s="6">
        <v>2</v>
      </c>
      <c r="C191" s="7"/>
      <c r="D191" s="8">
        <v>11</v>
      </c>
      <c r="E191" s="5">
        <f t="shared" si="49"/>
        <v>13</v>
      </c>
      <c r="F191" s="39">
        <v>45352</v>
      </c>
      <c r="G191" s="34" t="s">
        <v>26</v>
      </c>
      <c r="H191" s="6"/>
      <c r="I191" s="7">
        <v>5</v>
      </c>
      <c r="J191" s="8"/>
      <c r="K191" s="5">
        <f t="shared" si="51"/>
        <v>5</v>
      </c>
      <c r="L191" s="66">
        <v>45372</v>
      </c>
    </row>
    <row r="192" spans="1:12" x14ac:dyDescent="0.15">
      <c r="A192" s="34" t="s">
        <v>133</v>
      </c>
      <c r="B192" s="6">
        <v>5</v>
      </c>
      <c r="C192" s="7">
        <v>6</v>
      </c>
      <c r="D192" s="8">
        <v>2</v>
      </c>
      <c r="E192" s="5">
        <f t="shared" si="49"/>
        <v>13</v>
      </c>
      <c r="F192" s="39">
        <v>45356</v>
      </c>
      <c r="G192" s="34" t="s">
        <v>26</v>
      </c>
      <c r="H192" s="6"/>
      <c r="I192" s="7">
        <v>5</v>
      </c>
      <c r="J192" s="8">
        <v>5</v>
      </c>
      <c r="K192" s="5">
        <f t="shared" si="51"/>
        <v>10</v>
      </c>
      <c r="L192" s="66">
        <v>45377</v>
      </c>
    </row>
    <row r="193" spans="1:13" x14ac:dyDescent="0.15">
      <c r="A193" s="3" t="s">
        <v>134</v>
      </c>
      <c r="B193" s="6">
        <v>2</v>
      </c>
      <c r="C193" s="7"/>
      <c r="D193" s="8"/>
      <c r="E193" s="5">
        <f t="shared" si="49"/>
        <v>2</v>
      </c>
      <c r="F193" s="39">
        <v>45355</v>
      </c>
      <c r="G193" s="34" t="s">
        <v>26</v>
      </c>
      <c r="H193" s="6"/>
      <c r="I193" s="7">
        <v>5</v>
      </c>
      <c r="J193" s="8"/>
      <c r="K193" s="5">
        <f t="shared" si="51"/>
        <v>5</v>
      </c>
      <c r="L193" s="66">
        <v>45378</v>
      </c>
      <c r="M193" s="27"/>
    </row>
    <row r="194" spans="1:13" x14ac:dyDescent="0.15">
      <c r="A194" s="3" t="s">
        <v>135</v>
      </c>
      <c r="B194" s="6">
        <v>5</v>
      </c>
      <c r="C194" s="7"/>
      <c r="D194" s="8">
        <v>1</v>
      </c>
      <c r="E194" s="5">
        <f t="shared" si="49"/>
        <v>6</v>
      </c>
      <c r="F194" s="39">
        <v>45357</v>
      </c>
      <c r="G194" s="34"/>
      <c r="H194" s="6"/>
      <c r="I194" s="7"/>
      <c r="J194" s="8"/>
      <c r="K194" s="5">
        <f t="shared" si="51"/>
        <v>0</v>
      </c>
      <c r="L194" s="67"/>
    </row>
    <row r="195" spans="1:13" x14ac:dyDescent="0.15">
      <c r="A195" s="3" t="s">
        <v>136</v>
      </c>
      <c r="B195" s="6">
        <v>1</v>
      </c>
      <c r="C195" s="7">
        <v>1</v>
      </c>
      <c r="D195" s="8">
        <v>1</v>
      </c>
      <c r="E195" s="5">
        <f t="shared" si="49"/>
        <v>3</v>
      </c>
      <c r="F195" s="39">
        <v>45358</v>
      </c>
      <c r="G195" s="34"/>
      <c r="H195" s="6"/>
      <c r="I195" s="7"/>
      <c r="J195" s="8"/>
      <c r="K195" s="5">
        <f t="shared" si="51"/>
        <v>0</v>
      </c>
      <c r="L195" s="67"/>
    </row>
    <row r="196" spans="1:13" x14ac:dyDescent="0.15">
      <c r="A196" s="3" t="s">
        <v>137</v>
      </c>
      <c r="B196" s="6">
        <v>2</v>
      </c>
      <c r="C196" s="7">
        <v>4</v>
      </c>
      <c r="D196" s="8"/>
      <c r="E196" s="5">
        <f t="shared" si="49"/>
        <v>6</v>
      </c>
      <c r="F196" s="39">
        <v>45359</v>
      </c>
      <c r="G196" s="34"/>
      <c r="H196" s="6"/>
      <c r="I196" s="7"/>
      <c r="J196" s="8"/>
      <c r="K196" s="5">
        <f t="shared" si="51"/>
        <v>0</v>
      </c>
      <c r="L196" s="67"/>
    </row>
    <row r="197" spans="1:13" x14ac:dyDescent="0.15">
      <c r="A197" s="34" t="s">
        <v>138</v>
      </c>
      <c r="B197" s="6">
        <v>2</v>
      </c>
      <c r="C197" s="7"/>
      <c r="D197" s="8"/>
      <c r="E197" s="5">
        <f t="shared" si="49"/>
        <v>2</v>
      </c>
      <c r="F197" s="39">
        <v>45360</v>
      </c>
      <c r="G197" s="34"/>
      <c r="H197" s="6"/>
      <c r="I197" s="7"/>
      <c r="J197" s="8"/>
      <c r="K197" s="5">
        <f t="shared" si="51"/>
        <v>0</v>
      </c>
    </row>
    <row r="198" spans="1:13" x14ac:dyDescent="0.15">
      <c r="A198" s="34" t="s">
        <v>139</v>
      </c>
      <c r="B198" s="6">
        <v>1</v>
      </c>
      <c r="C198" s="7"/>
      <c r="D198" s="8"/>
      <c r="E198" s="5">
        <f t="shared" si="49"/>
        <v>1</v>
      </c>
      <c r="F198" s="39">
        <v>45357</v>
      </c>
      <c r="G198" s="34"/>
      <c r="H198" s="6"/>
      <c r="I198" s="7"/>
      <c r="J198" s="8"/>
      <c r="K198" s="5">
        <f t="shared" si="51"/>
        <v>0</v>
      </c>
    </row>
    <row r="199" spans="1:13" x14ac:dyDescent="0.15">
      <c r="A199" s="3" t="s">
        <v>140</v>
      </c>
      <c r="B199" s="6"/>
      <c r="C199" s="7">
        <v>4</v>
      </c>
      <c r="D199" s="8">
        <v>4</v>
      </c>
      <c r="E199" s="5">
        <f t="shared" si="49"/>
        <v>8</v>
      </c>
      <c r="F199" s="39">
        <v>45359</v>
      </c>
      <c r="G199" s="34"/>
      <c r="H199" s="6"/>
      <c r="I199" s="7"/>
      <c r="J199" s="8"/>
      <c r="K199" s="5">
        <f t="shared" si="51"/>
        <v>0</v>
      </c>
    </row>
    <row r="200" spans="1:13" x14ac:dyDescent="0.15">
      <c r="A200" s="3" t="s">
        <v>141</v>
      </c>
      <c r="B200" s="6">
        <v>1</v>
      </c>
      <c r="C200" s="7">
        <v>4</v>
      </c>
      <c r="D200" s="8"/>
      <c r="E200" s="5">
        <f t="shared" si="49"/>
        <v>5</v>
      </c>
      <c r="F200" s="39">
        <v>45362</v>
      </c>
      <c r="G200" s="34"/>
      <c r="H200" s="6"/>
      <c r="I200" s="7"/>
      <c r="J200" s="8"/>
      <c r="K200" s="5">
        <f t="shared" si="51"/>
        <v>0</v>
      </c>
    </row>
    <row r="201" spans="1:13" x14ac:dyDescent="0.15">
      <c r="A201" s="3" t="s">
        <v>142</v>
      </c>
      <c r="B201" s="6"/>
      <c r="C201" s="7">
        <v>1</v>
      </c>
      <c r="D201" s="8">
        <v>2</v>
      </c>
      <c r="E201" s="5">
        <f t="shared" si="49"/>
        <v>3</v>
      </c>
      <c r="F201" s="39">
        <v>45364</v>
      </c>
      <c r="G201" s="34"/>
      <c r="H201" s="6"/>
      <c r="I201" s="7"/>
      <c r="J201" s="8"/>
      <c r="K201" s="5">
        <f t="shared" si="51"/>
        <v>0</v>
      </c>
    </row>
    <row r="202" spans="1:13" x14ac:dyDescent="0.15">
      <c r="A202" s="3" t="s">
        <v>143</v>
      </c>
      <c r="B202" s="6">
        <v>3</v>
      </c>
      <c r="C202" s="7">
        <v>2</v>
      </c>
      <c r="D202" s="8">
        <v>2</v>
      </c>
      <c r="E202" s="5">
        <f t="shared" si="49"/>
        <v>7</v>
      </c>
      <c r="F202" s="39">
        <v>45365</v>
      </c>
      <c r="G202" s="34"/>
      <c r="H202" s="6"/>
      <c r="I202" s="7"/>
      <c r="J202" s="8"/>
      <c r="K202" s="5">
        <f t="shared" si="51"/>
        <v>0</v>
      </c>
    </row>
    <row r="203" spans="1:13" x14ac:dyDescent="0.15">
      <c r="A203" s="34" t="s">
        <v>144</v>
      </c>
      <c r="B203" s="6">
        <v>2</v>
      </c>
      <c r="C203" s="7">
        <v>1</v>
      </c>
      <c r="D203" s="8">
        <v>3</v>
      </c>
      <c r="E203" s="5">
        <f t="shared" si="49"/>
        <v>6</v>
      </c>
      <c r="F203" s="39">
        <v>45366</v>
      </c>
      <c r="G203" s="34"/>
      <c r="H203" s="6"/>
      <c r="I203" s="7"/>
      <c r="J203" s="8"/>
      <c r="K203" s="5">
        <f t="shared" si="51"/>
        <v>0</v>
      </c>
    </row>
    <row r="204" spans="1:13" x14ac:dyDescent="0.15">
      <c r="A204" s="3" t="s">
        <v>145</v>
      </c>
      <c r="B204" s="6"/>
      <c r="C204" s="7">
        <v>1</v>
      </c>
      <c r="D204" s="8"/>
      <c r="E204" s="5">
        <f t="shared" si="49"/>
        <v>1</v>
      </c>
      <c r="F204" s="39">
        <v>45369</v>
      </c>
      <c r="G204" s="34"/>
      <c r="H204" s="6"/>
      <c r="I204" s="7"/>
      <c r="J204" s="8"/>
      <c r="K204" s="5">
        <f t="shared" si="51"/>
        <v>0</v>
      </c>
    </row>
    <row r="205" spans="1:13" x14ac:dyDescent="0.15">
      <c r="A205" s="34" t="s">
        <v>146</v>
      </c>
      <c r="B205" s="6">
        <v>3</v>
      </c>
      <c r="C205" s="7">
        <v>2</v>
      </c>
      <c r="D205" s="8">
        <v>4</v>
      </c>
      <c r="E205" s="5">
        <f t="shared" si="49"/>
        <v>9</v>
      </c>
      <c r="F205" s="39">
        <v>45371</v>
      </c>
      <c r="G205" s="34"/>
      <c r="H205" s="6"/>
      <c r="I205" s="7"/>
      <c r="J205" s="8"/>
      <c r="K205" s="5">
        <f t="shared" si="51"/>
        <v>0</v>
      </c>
    </row>
    <row r="206" spans="1:13" x14ac:dyDescent="0.15">
      <c r="A206" s="3" t="s">
        <v>147</v>
      </c>
      <c r="B206" s="6">
        <v>1</v>
      </c>
      <c r="C206" s="7">
        <v>4</v>
      </c>
      <c r="D206" s="8">
        <v>3</v>
      </c>
      <c r="E206" s="5">
        <f t="shared" si="49"/>
        <v>8</v>
      </c>
      <c r="F206" s="39">
        <v>45370</v>
      </c>
      <c r="G206" s="34"/>
      <c r="H206" s="6"/>
      <c r="I206" s="7"/>
      <c r="J206" s="8"/>
      <c r="K206" s="5">
        <f t="shared" ref="K206:K211" si="53">SUM(H206:J206)</f>
        <v>0</v>
      </c>
    </row>
    <row r="207" spans="1:13" x14ac:dyDescent="0.15">
      <c r="A207" s="34" t="s">
        <v>148</v>
      </c>
      <c r="B207" s="6"/>
      <c r="C207" s="7">
        <v>2</v>
      </c>
      <c r="D207" s="8"/>
      <c r="E207" s="5">
        <f t="shared" si="49"/>
        <v>2</v>
      </c>
      <c r="F207" s="39">
        <v>45374</v>
      </c>
      <c r="G207" s="34"/>
      <c r="H207" s="6"/>
      <c r="I207" s="7"/>
      <c r="J207" s="8"/>
      <c r="K207" s="5">
        <f t="shared" si="53"/>
        <v>0</v>
      </c>
    </row>
    <row r="208" spans="1:13" x14ac:dyDescent="0.15">
      <c r="A208" s="3" t="s">
        <v>149</v>
      </c>
      <c r="B208" s="6">
        <v>1</v>
      </c>
      <c r="C208" s="7">
        <v>2</v>
      </c>
      <c r="D208" s="8"/>
      <c r="E208" s="5">
        <f t="shared" si="49"/>
        <v>3</v>
      </c>
      <c r="F208" s="39">
        <v>45373</v>
      </c>
      <c r="G208" s="34"/>
      <c r="H208" s="6"/>
      <c r="I208" s="7"/>
      <c r="J208" s="8"/>
      <c r="K208" s="5">
        <f t="shared" si="53"/>
        <v>0</v>
      </c>
    </row>
    <row r="209" spans="1:13" x14ac:dyDescent="0.15">
      <c r="A209" s="3" t="s">
        <v>150</v>
      </c>
      <c r="B209" s="6"/>
      <c r="C209" s="7">
        <v>3</v>
      </c>
      <c r="D209" s="8">
        <v>2</v>
      </c>
      <c r="E209" s="5">
        <f t="shared" si="49"/>
        <v>5</v>
      </c>
      <c r="F209" s="39">
        <v>45376</v>
      </c>
      <c r="G209" s="34" t="s">
        <v>59</v>
      </c>
      <c r="H209" s="6"/>
      <c r="I209" s="7"/>
      <c r="J209" s="8"/>
      <c r="K209" s="5">
        <f>SUM(H209:J209)</f>
        <v>0</v>
      </c>
      <c r="L209" s="67" t="s">
        <v>60</v>
      </c>
      <c r="M209" s="27"/>
    </row>
    <row r="210" spans="1:13" x14ac:dyDescent="0.15">
      <c r="A210" s="3" t="s">
        <v>151</v>
      </c>
      <c r="B210" s="6"/>
      <c r="C210" s="7">
        <v>2</v>
      </c>
      <c r="D210" s="8"/>
      <c r="E210" s="5">
        <f t="shared" si="49"/>
        <v>2</v>
      </c>
      <c r="F210" s="39">
        <v>45379</v>
      </c>
      <c r="G210" s="34" t="s">
        <v>94</v>
      </c>
      <c r="H210" s="6"/>
      <c r="I210" s="7"/>
      <c r="J210" s="8"/>
      <c r="K210" s="5">
        <f t="shared" si="53"/>
        <v>0</v>
      </c>
      <c r="L210" s="67" t="s">
        <v>95</v>
      </c>
      <c r="M210" s="27"/>
    </row>
    <row r="211" spans="1:13" ht="14.25" thickBot="1" x14ac:dyDescent="0.2">
      <c r="A211" s="3" t="s">
        <v>153</v>
      </c>
      <c r="B211" s="6"/>
      <c r="C211" s="7">
        <v>1</v>
      </c>
      <c r="D211" s="8"/>
      <c r="E211" s="5">
        <f t="shared" si="49"/>
        <v>1</v>
      </c>
      <c r="F211" s="39">
        <v>45380</v>
      </c>
      <c r="G211" s="34" t="s">
        <v>96</v>
      </c>
      <c r="H211" s="6"/>
      <c r="I211" s="7"/>
      <c r="J211" s="8"/>
      <c r="K211" s="5">
        <f t="shared" si="53"/>
        <v>0</v>
      </c>
      <c r="L211" s="67" t="s">
        <v>97</v>
      </c>
    </row>
    <row r="212" spans="1:13" ht="14.25" thickBot="1" x14ac:dyDescent="0.2">
      <c r="A212" s="2" t="s">
        <v>4</v>
      </c>
      <c r="B212" s="12">
        <f>SUM(B188:B211)</f>
        <v>43</v>
      </c>
      <c r="C212" s="12">
        <f>SUM(C188:C211)</f>
        <v>45</v>
      </c>
      <c r="D212" s="12">
        <f>SUM(D188:D211)</f>
        <v>37</v>
      </c>
      <c r="E212" s="13">
        <f t="shared" si="49"/>
        <v>125</v>
      </c>
      <c r="G212" s="36" t="s">
        <v>4</v>
      </c>
      <c r="H212" s="12">
        <f>SUM(H188:H211)</f>
        <v>35</v>
      </c>
      <c r="I212" s="12">
        <f>SUM(I188:I211)</f>
        <v>40</v>
      </c>
      <c r="J212" s="12">
        <f>SUM(J188:J211)</f>
        <v>30</v>
      </c>
      <c r="K212" s="13">
        <f t="shared" si="51"/>
        <v>105</v>
      </c>
    </row>
    <row r="213" spans="1:13" ht="14.25" thickBot="1" x14ac:dyDescent="0.2">
      <c r="A213" s="25" t="s">
        <v>5</v>
      </c>
      <c r="B213" s="26">
        <f>B187-B212</f>
        <v>7</v>
      </c>
      <c r="C213" s="26">
        <f t="shared" ref="C213:E213" si="54">C187-C212</f>
        <v>11</v>
      </c>
      <c r="D213" s="26">
        <f t="shared" si="54"/>
        <v>8</v>
      </c>
      <c r="E213" s="24">
        <f t="shared" si="54"/>
        <v>26</v>
      </c>
      <c r="G213" s="37" t="s">
        <v>5</v>
      </c>
      <c r="H213" s="26">
        <f>H187-H212</f>
        <v>399</v>
      </c>
      <c r="I213" s="26">
        <f t="shared" ref="I213:K213" si="55">I187-I212</f>
        <v>315</v>
      </c>
      <c r="J213" s="26">
        <f t="shared" si="55"/>
        <v>140</v>
      </c>
      <c r="K213" s="24">
        <f t="shared" si="55"/>
        <v>854</v>
      </c>
    </row>
    <row r="216" spans="1:13" ht="21.75" thickBot="1" x14ac:dyDescent="0.25">
      <c r="A216" s="30" t="s">
        <v>23</v>
      </c>
      <c r="B216" s="28"/>
      <c r="C216" s="28"/>
      <c r="D216" s="28"/>
      <c r="E216" s="28"/>
      <c r="G216" s="31" t="s">
        <v>25</v>
      </c>
      <c r="H216" s="29"/>
      <c r="I216" s="29"/>
      <c r="J216" s="29"/>
      <c r="K216" s="29"/>
    </row>
    <row r="217" spans="1:13" ht="14.25" thickBot="1" x14ac:dyDescent="0.2">
      <c r="A217" s="1" t="s">
        <v>0</v>
      </c>
      <c r="B217" s="91" t="s">
        <v>10</v>
      </c>
      <c r="C217" s="91"/>
      <c r="D217" s="91"/>
      <c r="E217" s="92"/>
      <c r="G217" s="1" t="s">
        <v>0</v>
      </c>
      <c r="H217" s="91" t="s">
        <v>10</v>
      </c>
      <c r="I217" s="91"/>
      <c r="J217" s="91"/>
      <c r="K217" s="92"/>
    </row>
    <row r="218" spans="1:13" ht="14.25" thickBot="1" x14ac:dyDescent="0.2">
      <c r="A218" s="1" t="s">
        <v>1</v>
      </c>
      <c r="B218" s="2" t="s">
        <v>6</v>
      </c>
      <c r="C218" s="1" t="s">
        <v>7</v>
      </c>
      <c r="D218" s="17" t="s">
        <v>8</v>
      </c>
      <c r="E218" s="1" t="s">
        <v>2</v>
      </c>
      <c r="G218" s="33" t="s">
        <v>1</v>
      </c>
      <c r="H218" s="2" t="s">
        <v>6</v>
      </c>
      <c r="I218" s="1" t="s">
        <v>7</v>
      </c>
      <c r="J218" s="17" t="s">
        <v>8</v>
      </c>
      <c r="K218" s="1" t="s">
        <v>2</v>
      </c>
    </row>
    <row r="219" spans="1:13" x14ac:dyDescent="0.15">
      <c r="A219" s="19" t="s">
        <v>5</v>
      </c>
      <c r="B219" s="16">
        <f>B213</f>
        <v>7</v>
      </c>
      <c r="C219" s="20">
        <f>C213</f>
        <v>11</v>
      </c>
      <c r="D219" s="20">
        <f>D213</f>
        <v>8</v>
      </c>
      <c r="E219" s="15">
        <f t="shared" ref="E219:E255" si="56">SUM(B219:D219)</f>
        <v>26</v>
      </c>
      <c r="G219" s="38" t="s">
        <v>5</v>
      </c>
      <c r="H219" s="16">
        <f>H213</f>
        <v>399</v>
      </c>
      <c r="I219" s="20">
        <f t="shared" ref="I219:K219" si="57">I213</f>
        <v>315</v>
      </c>
      <c r="J219" s="20">
        <f t="shared" si="57"/>
        <v>140</v>
      </c>
      <c r="K219" s="15">
        <f t="shared" si="57"/>
        <v>854</v>
      </c>
    </row>
    <row r="220" spans="1:13" x14ac:dyDescent="0.15">
      <c r="A220" s="3" t="s">
        <v>11</v>
      </c>
      <c r="B220" s="8">
        <v>5</v>
      </c>
      <c r="C220" s="7"/>
      <c r="D220" s="8"/>
      <c r="E220" s="4">
        <f t="shared" ref="E220:E224" si="58">SUM(B220:D220)</f>
        <v>5</v>
      </c>
      <c r="F220" s="39">
        <v>45386</v>
      </c>
      <c r="G220" s="34" t="s">
        <v>11</v>
      </c>
      <c r="H220" s="8"/>
      <c r="I220" s="7"/>
      <c r="J220" s="8"/>
      <c r="K220" s="4">
        <f t="shared" ref="K220:K250" si="59">SUM(H220:J220)</f>
        <v>0</v>
      </c>
    </row>
    <row r="221" spans="1:13" x14ac:dyDescent="0.15">
      <c r="A221" s="3" t="s">
        <v>11</v>
      </c>
      <c r="B221" s="8">
        <v>5</v>
      </c>
      <c r="C221" s="7"/>
      <c r="D221" s="8"/>
      <c r="E221" s="4">
        <f t="shared" si="58"/>
        <v>5</v>
      </c>
      <c r="F221" s="39">
        <v>45392</v>
      </c>
      <c r="G221" s="34" t="s">
        <v>11</v>
      </c>
      <c r="H221" s="8"/>
      <c r="I221" s="7"/>
      <c r="J221" s="8"/>
      <c r="K221" s="4">
        <f t="shared" si="59"/>
        <v>0</v>
      </c>
    </row>
    <row r="222" spans="1:13" x14ac:dyDescent="0.15">
      <c r="A222" s="3" t="s">
        <v>11</v>
      </c>
      <c r="B222" s="8">
        <v>5</v>
      </c>
      <c r="C222" s="7"/>
      <c r="D222" s="8">
        <v>5</v>
      </c>
      <c r="E222" s="4">
        <f t="shared" si="58"/>
        <v>10</v>
      </c>
      <c r="F222" s="39">
        <v>45394</v>
      </c>
      <c r="G222" s="34" t="s">
        <v>11</v>
      </c>
      <c r="H222" s="8"/>
      <c r="I222" s="7"/>
      <c r="J222" s="8"/>
      <c r="K222" s="4">
        <f t="shared" si="59"/>
        <v>0</v>
      </c>
    </row>
    <row r="223" spans="1:13" x14ac:dyDescent="0.15">
      <c r="A223" s="3" t="s">
        <v>172</v>
      </c>
      <c r="B223" s="6"/>
      <c r="C223" s="7">
        <v>1</v>
      </c>
      <c r="D223" s="8"/>
      <c r="E223" s="5">
        <f t="shared" si="58"/>
        <v>1</v>
      </c>
      <c r="F223" s="40">
        <v>45458</v>
      </c>
      <c r="G223" s="34" t="s">
        <v>11</v>
      </c>
      <c r="H223" s="8"/>
      <c r="I223" s="7"/>
      <c r="J223" s="8"/>
      <c r="K223" s="4">
        <f t="shared" si="59"/>
        <v>0</v>
      </c>
    </row>
    <row r="224" spans="1:13" x14ac:dyDescent="0.15">
      <c r="A224" s="3" t="s">
        <v>173</v>
      </c>
      <c r="B224" s="8"/>
      <c r="C224" s="7">
        <v>1</v>
      </c>
      <c r="D224" s="8"/>
      <c r="E224" s="4">
        <f t="shared" si="58"/>
        <v>1</v>
      </c>
      <c r="F224" s="39">
        <v>45489</v>
      </c>
      <c r="G224" s="34" t="s">
        <v>11</v>
      </c>
      <c r="H224" s="8"/>
      <c r="I224" s="7"/>
      <c r="J224" s="8"/>
      <c r="K224" s="4">
        <f t="shared" si="59"/>
        <v>0</v>
      </c>
    </row>
    <row r="225" spans="1:12" x14ac:dyDescent="0.15">
      <c r="A225" s="3" t="s">
        <v>182</v>
      </c>
      <c r="B225" s="8">
        <v>0</v>
      </c>
      <c r="C225" s="7">
        <v>-1</v>
      </c>
      <c r="D225" s="8">
        <v>0</v>
      </c>
      <c r="E225" s="4">
        <f t="shared" si="56"/>
        <v>-1</v>
      </c>
      <c r="F225" s="39">
        <v>45531</v>
      </c>
      <c r="G225" s="34" t="s">
        <v>11</v>
      </c>
      <c r="H225" s="8"/>
      <c r="I225" s="7"/>
      <c r="J225" s="8"/>
      <c r="K225" s="4">
        <f t="shared" si="59"/>
        <v>0</v>
      </c>
    </row>
    <row r="226" spans="1:12" x14ac:dyDescent="0.15">
      <c r="A226" s="3" t="s">
        <v>11</v>
      </c>
      <c r="B226" s="8"/>
      <c r="C226" s="7"/>
      <c r="D226" s="8">
        <v>5</v>
      </c>
      <c r="E226" s="4">
        <f t="shared" si="56"/>
        <v>5</v>
      </c>
      <c r="F226" s="39">
        <v>45544</v>
      </c>
      <c r="G226" s="34" t="s">
        <v>11</v>
      </c>
      <c r="H226" s="8"/>
      <c r="I226" s="7"/>
      <c r="J226" s="8"/>
      <c r="K226" s="4">
        <f t="shared" si="59"/>
        <v>0</v>
      </c>
    </row>
    <row r="227" spans="1:12" x14ac:dyDescent="0.15">
      <c r="A227" s="3" t="s">
        <v>11</v>
      </c>
      <c r="B227" s="8"/>
      <c r="C227" s="7"/>
      <c r="D227" s="8"/>
      <c r="E227" s="4">
        <f t="shared" si="56"/>
        <v>0</v>
      </c>
      <c r="F227" s="39"/>
      <c r="G227" s="34" t="s">
        <v>11</v>
      </c>
      <c r="H227" s="8"/>
      <c r="I227" s="7"/>
      <c r="J227" s="8"/>
      <c r="K227" s="4">
        <f t="shared" si="59"/>
        <v>0</v>
      </c>
    </row>
    <row r="228" spans="1:12" x14ac:dyDescent="0.15">
      <c r="A228" s="3" t="s">
        <v>11</v>
      </c>
      <c r="B228" s="8"/>
      <c r="C228" s="7"/>
      <c r="D228" s="8"/>
      <c r="E228" s="4">
        <f t="shared" si="56"/>
        <v>0</v>
      </c>
      <c r="F228" s="39"/>
      <c r="G228" s="34" t="s">
        <v>11</v>
      </c>
      <c r="H228" s="8"/>
      <c r="I228" s="7"/>
      <c r="J228" s="8"/>
      <c r="K228" s="4">
        <f t="shared" si="59"/>
        <v>0</v>
      </c>
    </row>
    <row r="229" spans="1:12" ht="14.25" thickBot="1" x14ac:dyDescent="0.2">
      <c r="A229" s="3" t="s">
        <v>11</v>
      </c>
      <c r="B229" s="11"/>
      <c r="C229" s="10"/>
      <c r="D229" s="11"/>
      <c r="E229" s="18">
        <f t="shared" si="56"/>
        <v>0</v>
      </c>
      <c r="G229" s="34" t="s">
        <v>11</v>
      </c>
      <c r="H229" s="11"/>
      <c r="I229" s="10"/>
      <c r="J229" s="11"/>
      <c r="K229" s="18">
        <f t="shared" si="59"/>
        <v>0</v>
      </c>
    </row>
    <row r="230" spans="1:12" ht="14.25" thickBot="1" x14ac:dyDescent="0.2">
      <c r="A230" s="21" t="s">
        <v>3</v>
      </c>
      <c r="B230" s="22">
        <f>SUM(B219:B229)</f>
        <v>22</v>
      </c>
      <c r="C230" s="22">
        <f>SUM(C219:C229)</f>
        <v>12</v>
      </c>
      <c r="D230" s="23">
        <f>SUM(D219:D229)</f>
        <v>18</v>
      </c>
      <c r="E230" s="24">
        <f t="shared" si="56"/>
        <v>52</v>
      </c>
      <c r="G230" s="35" t="s">
        <v>3</v>
      </c>
      <c r="H230" s="22">
        <f>SUM(H219:H229)</f>
        <v>399</v>
      </c>
      <c r="I230" s="22">
        <f t="shared" ref="I230" si="60">SUM(I219:I229)</f>
        <v>315</v>
      </c>
      <c r="J230" s="23">
        <f t="shared" ref="J230" si="61">SUM(J219:J229)</f>
        <v>140</v>
      </c>
      <c r="K230" s="24">
        <f t="shared" ref="K230" si="62">SUM(K219:K229)</f>
        <v>854</v>
      </c>
    </row>
    <row r="231" spans="1:12" x14ac:dyDescent="0.15">
      <c r="A231" s="34" t="s">
        <v>152</v>
      </c>
      <c r="B231" s="6">
        <v>2</v>
      </c>
      <c r="C231" s="7"/>
      <c r="D231" s="8"/>
      <c r="E231" s="5">
        <f t="shared" si="56"/>
        <v>2</v>
      </c>
      <c r="F231" s="39">
        <v>45385</v>
      </c>
      <c r="G231" s="34" t="s">
        <v>156</v>
      </c>
      <c r="H231" s="6">
        <v>5</v>
      </c>
      <c r="I231" s="7"/>
      <c r="J231" s="8"/>
      <c r="K231" s="5">
        <f t="shared" ref="K231:K235" si="63">SUM(H231:J231)</f>
        <v>5</v>
      </c>
      <c r="L231" s="66">
        <v>45386</v>
      </c>
    </row>
    <row r="232" spans="1:12" x14ac:dyDescent="0.15">
      <c r="A232" s="3" t="s">
        <v>154</v>
      </c>
      <c r="B232" s="6">
        <v>1</v>
      </c>
      <c r="C232" s="7"/>
      <c r="D232" s="8">
        <v>1</v>
      </c>
      <c r="E232" s="5">
        <f t="shared" si="56"/>
        <v>2</v>
      </c>
      <c r="F232" s="39">
        <v>45385</v>
      </c>
      <c r="G232" s="34" t="s">
        <v>26</v>
      </c>
      <c r="H232" s="6">
        <v>5</v>
      </c>
      <c r="I232" s="7"/>
      <c r="J232" s="8"/>
      <c r="K232" s="5">
        <f t="shared" si="63"/>
        <v>5</v>
      </c>
      <c r="L232" s="66">
        <v>45392</v>
      </c>
    </row>
    <row r="233" spans="1:12" x14ac:dyDescent="0.15">
      <c r="A233" s="34" t="s">
        <v>155</v>
      </c>
      <c r="B233" s="6">
        <v>3</v>
      </c>
      <c r="C233" s="7">
        <v>1</v>
      </c>
      <c r="D233" s="8">
        <v>1</v>
      </c>
      <c r="E233" s="5">
        <f t="shared" si="56"/>
        <v>5</v>
      </c>
      <c r="F233" s="39">
        <v>45386</v>
      </c>
      <c r="G233" s="34" t="s">
        <v>26</v>
      </c>
      <c r="H233" s="6">
        <v>5</v>
      </c>
      <c r="I233" s="7"/>
      <c r="J233" s="8">
        <v>5</v>
      </c>
      <c r="K233" s="5">
        <f t="shared" si="63"/>
        <v>10</v>
      </c>
      <c r="L233" s="66">
        <v>45394</v>
      </c>
    </row>
    <row r="234" spans="1:12" x14ac:dyDescent="0.15">
      <c r="A234" s="3" t="s">
        <v>157</v>
      </c>
      <c r="B234" s="6">
        <v>1</v>
      </c>
      <c r="C234" s="7"/>
      <c r="D234" s="8">
        <v>1</v>
      </c>
      <c r="E234" s="5">
        <f t="shared" si="56"/>
        <v>2</v>
      </c>
      <c r="F234" s="39">
        <v>45387</v>
      </c>
      <c r="G234" s="34" t="s">
        <v>26</v>
      </c>
      <c r="H234" s="6"/>
      <c r="I234" s="7"/>
      <c r="J234" s="8">
        <v>5</v>
      </c>
      <c r="K234" s="5">
        <f t="shared" si="63"/>
        <v>5</v>
      </c>
      <c r="L234" s="66">
        <v>45544</v>
      </c>
    </row>
    <row r="235" spans="1:12" x14ac:dyDescent="0.15">
      <c r="A235" s="3" t="s">
        <v>158</v>
      </c>
      <c r="B235" s="6"/>
      <c r="C235" s="7">
        <v>1</v>
      </c>
      <c r="D235" s="8"/>
      <c r="E235" s="5">
        <f t="shared" si="56"/>
        <v>1</v>
      </c>
      <c r="F235" s="39">
        <v>45387</v>
      </c>
      <c r="G235" s="34"/>
      <c r="H235" s="6"/>
      <c r="I235" s="7"/>
      <c r="J235" s="8"/>
      <c r="K235" s="5">
        <f t="shared" si="63"/>
        <v>0</v>
      </c>
    </row>
    <row r="236" spans="1:12" x14ac:dyDescent="0.15">
      <c r="A236" s="3" t="s">
        <v>159</v>
      </c>
      <c r="B236" s="6">
        <v>3</v>
      </c>
      <c r="C236" s="7"/>
      <c r="D236" s="8"/>
      <c r="E236" s="5">
        <f t="shared" si="56"/>
        <v>3</v>
      </c>
      <c r="F236" s="39">
        <v>45392</v>
      </c>
      <c r="G236" s="34"/>
      <c r="H236" s="6"/>
      <c r="I236" s="7"/>
      <c r="J236" s="8"/>
      <c r="K236" s="5">
        <f t="shared" si="59"/>
        <v>0</v>
      </c>
    </row>
    <row r="237" spans="1:12" x14ac:dyDescent="0.15">
      <c r="A237" s="3" t="s">
        <v>160</v>
      </c>
      <c r="B237" s="6">
        <v>2</v>
      </c>
      <c r="C237" s="7"/>
      <c r="D237" s="8">
        <v>1</v>
      </c>
      <c r="E237" s="5">
        <f t="shared" si="56"/>
        <v>3</v>
      </c>
      <c r="F237" s="39">
        <v>45393</v>
      </c>
      <c r="G237" s="34"/>
      <c r="H237" s="6"/>
      <c r="I237" s="7"/>
      <c r="J237" s="8"/>
      <c r="K237" s="5">
        <f t="shared" si="59"/>
        <v>0</v>
      </c>
    </row>
    <row r="238" spans="1:12" x14ac:dyDescent="0.15">
      <c r="A238" s="34" t="s">
        <v>161</v>
      </c>
      <c r="B238" s="6">
        <v>1</v>
      </c>
      <c r="C238" s="7">
        <v>1</v>
      </c>
      <c r="D238" s="8">
        <v>2</v>
      </c>
      <c r="E238" s="5">
        <f t="shared" si="56"/>
        <v>4</v>
      </c>
      <c r="F238" s="39">
        <v>45394</v>
      </c>
      <c r="G238" s="34"/>
      <c r="H238" s="6"/>
      <c r="I238" s="7"/>
      <c r="J238" s="8"/>
      <c r="K238" s="5">
        <f t="shared" si="59"/>
        <v>0</v>
      </c>
    </row>
    <row r="239" spans="1:12" x14ac:dyDescent="0.15">
      <c r="A239" s="3" t="s">
        <v>160</v>
      </c>
      <c r="B239" s="6"/>
      <c r="C239" s="7"/>
      <c r="D239" s="8">
        <v>1</v>
      </c>
      <c r="E239" s="5">
        <f t="shared" si="56"/>
        <v>1</v>
      </c>
      <c r="F239" s="39">
        <v>45394</v>
      </c>
      <c r="G239" s="34"/>
      <c r="H239" s="6"/>
      <c r="I239" s="7"/>
      <c r="J239" s="8"/>
      <c r="K239" s="5">
        <f t="shared" si="59"/>
        <v>0</v>
      </c>
    </row>
    <row r="240" spans="1:12" x14ac:dyDescent="0.15">
      <c r="A240" s="3" t="s">
        <v>162</v>
      </c>
      <c r="B240" s="6">
        <v>2</v>
      </c>
      <c r="C240" s="7"/>
      <c r="D240" s="8">
        <v>1</v>
      </c>
      <c r="E240" s="5">
        <f t="shared" si="56"/>
        <v>3</v>
      </c>
      <c r="F240" s="39">
        <v>45394</v>
      </c>
      <c r="G240" s="34"/>
      <c r="H240" s="6"/>
      <c r="I240" s="7"/>
      <c r="J240" s="8"/>
      <c r="K240" s="5">
        <f t="shared" si="59"/>
        <v>0</v>
      </c>
    </row>
    <row r="241" spans="1:11" x14ac:dyDescent="0.15">
      <c r="A241" s="34" t="s">
        <v>163</v>
      </c>
      <c r="B241" s="6">
        <v>1</v>
      </c>
      <c r="C241" s="7">
        <v>1</v>
      </c>
      <c r="D241" s="8"/>
      <c r="E241" s="5">
        <f t="shared" si="56"/>
        <v>2</v>
      </c>
      <c r="F241" s="39">
        <v>45400</v>
      </c>
      <c r="G241" s="34"/>
      <c r="H241" s="6"/>
      <c r="I241" s="7"/>
      <c r="J241" s="8"/>
      <c r="K241" s="5">
        <f t="shared" si="59"/>
        <v>0</v>
      </c>
    </row>
    <row r="242" spans="1:11" x14ac:dyDescent="0.15">
      <c r="A242" s="3" t="s">
        <v>164</v>
      </c>
      <c r="B242" s="6">
        <v>1</v>
      </c>
      <c r="C242" s="7"/>
      <c r="D242" s="8"/>
      <c r="E242" s="5">
        <f t="shared" si="56"/>
        <v>1</v>
      </c>
      <c r="F242" s="39">
        <v>45401</v>
      </c>
      <c r="G242" s="34"/>
      <c r="H242" s="6"/>
      <c r="I242" s="7"/>
      <c r="J242" s="8"/>
      <c r="K242" s="5">
        <f t="shared" si="59"/>
        <v>0</v>
      </c>
    </row>
    <row r="243" spans="1:11" x14ac:dyDescent="0.15">
      <c r="A243" s="34" t="s">
        <v>165</v>
      </c>
      <c r="B243" s="6"/>
      <c r="C243" s="7">
        <v>1</v>
      </c>
      <c r="D243" s="8">
        <v>1</v>
      </c>
      <c r="E243" s="5">
        <f t="shared" si="56"/>
        <v>2</v>
      </c>
      <c r="F243" s="39">
        <v>45405</v>
      </c>
      <c r="G243" s="34"/>
      <c r="H243" s="6"/>
      <c r="I243" s="7"/>
      <c r="J243" s="8"/>
      <c r="K243" s="5">
        <f t="shared" si="59"/>
        <v>0</v>
      </c>
    </row>
    <row r="244" spans="1:11" x14ac:dyDescent="0.15">
      <c r="A244" s="3" t="s">
        <v>168</v>
      </c>
      <c r="B244" s="6"/>
      <c r="C244" s="7">
        <v>1</v>
      </c>
      <c r="D244" s="8"/>
      <c r="E244" s="5">
        <f t="shared" si="56"/>
        <v>1</v>
      </c>
      <c r="F244" s="39">
        <v>45419</v>
      </c>
      <c r="G244" s="34"/>
      <c r="H244" s="6"/>
      <c r="I244" s="7"/>
      <c r="J244" s="8"/>
      <c r="K244" s="5">
        <f t="shared" si="59"/>
        <v>0</v>
      </c>
    </row>
    <row r="245" spans="1:11" x14ac:dyDescent="0.15">
      <c r="A245" s="34" t="s">
        <v>169</v>
      </c>
      <c r="B245" s="6"/>
      <c r="C245" s="7">
        <v>1</v>
      </c>
      <c r="D245" s="8"/>
      <c r="E245" s="5">
        <f t="shared" si="56"/>
        <v>1</v>
      </c>
      <c r="F245" s="39">
        <v>45428</v>
      </c>
      <c r="G245" s="34"/>
      <c r="H245" s="6"/>
      <c r="I245" s="7"/>
      <c r="J245" s="8"/>
      <c r="K245" s="5">
        <f t="shared" si="59"/>
        <v>0</v>
      </c>
    </row>
    <row r="246" spans="1:11" x14ac:dyDescent="0.15">
      <c r="A246" s="3" t="s">
        <v>170</v>
      </c>
      <c r="B246" s="6">
        <v>1</v>
      </c>
      <c r="C246" s="7"/>
      <c r="D246" s="8"/>
      <c r="E246" s="5">
        <f t="shared" si="56"/>
        <v>1</v>
      </c>
      <c r="F246" s="39">
        <v>45428</v>
      </c>
      <c r="G246" s="34"/>
      <c r="H246" s="6"/>
      <c r="I246" s="7"/>
      <c r="J246" s="8"/>
      <c r="K246" s="5">
        <f t="shared" si="59"/>
        <v>0</v>
      </c>
    </row>
    <row r="247" spans="1:11" x14ac:dyDescent="0.15">
      <c r="A247" s="3" t="s">
        <v>171</v>
      </c>
      <c r="B247" s="6"/>
      <c r="C247" s="7">
        <v>1</v>
      </c>
      <c r="D247" s="8"/>
      <c r="E247" s="5">
        <f t="shared" si="56"/>
        <v>1</v>
      </c>
      <c r="F247" s="39">
        <v>45434</v>
      </c>
      <c r="G247" s="34"/>
      <c r="H247" s="6"/>
      <c r="I247" s="7"/>
      <c r="J247" s="8"/>
      <c r="K247" s="5">
        <f t="shared" si="59"/>
        <v>0</v>
      </c>
    </row>
    <row r="248" spans="1:11" x14ac:dyDescent="0.15">
      <c r="A248" s="3" t="s">
        <v>176</v>
      </c>
      <c r="B248" s="6"/>
      <c r="C248" s="7"/>
      <c r="D248" s="8">
        <v>1</v>
      </c>
      <c r="E248" s="5">
        <f t="shared" si="56"/>
        <v>1</v>
      </c>
      <c r="F248" s="39">
        <v>45504</v>
      </c>
      <c r="G248" s="34"/>
      <c r="H248" s="6"/>
      <c r="I248" s="7"/>
      <c r="J248" s="8"/>
      <c r="K248" s="5">
        <f t="shared" si="59"/>
        <v>0</v>
      </c>
    </row>
    <row r="249" spans="1:11" x14ac:dyDescent="0.15">
      <c r="A249" s="34" t="s">
        <v>183</v>
      </c>
      <c r="B249" s="6"/>
      <c r="C249" s="7"/>
      <c r="D249" s="8">
        <v>5</v>
      </c>
      <c r="E249" s="5">
        <f t="shared" si="56"/>
        <v>5</v>
      </c>
      <c r="F249" s="39">
        <v>45553</v>
      </c>
      <c r="G249" s="34"/>
      <c r="H249" s="6"/>
      <c r="I249" s="7"/>
      <c r="J249" s="8"/>
      <c r="K249" s="5">
        <f t="shared" si="59"/>
        <v>0</v>
      </c>
    </row>
    <row r="250" spans="1:11" x14ac:dyDescent="0.15">
      <c r="A250" s="34"/>
      <c r="B250" s="6"/>
      <c r="C250" s="7"/>
      <c r="D250" s="8"/>
      <c r="E250" s="5">
        <f t="shared" si="56"/>
        <v>0</v>
      </c>
      <c r="F250" s="39"/>
      <c r="G250" s="34"/>
      <c r="H250" s="6"/>
      <c r="I250" s="7"/>
      <c r="J250" s="8"/>
      <c r="K250" s="5">
        <f t="shared" si="59"/>
        <v>0</v>
      </c>
    </row>
    <row r="251" spans="1:11" x14ac:dyDescent="0.15">
      <c r="A251" s="3"/>
      <c r="B251" s="6"/>
      <c r="C251" s="7"/>
      <c r="D251" s="8"/>
      <c r="E251" s="5">
        <f t="shared" si="56"/>
        <v>0</v>
      </c>
      <c r="F251" s="39"/>
      <c r="G251" s="34"/>
      <c r="H251" s="6"/>
      <c r="I251" s="7"/>
      <c r="J251" s="8"/>
      <c r="K251" s="5">
        <f t="shared" ref="K251:K254" si="64">SUM(H251:J251)</f>
        <v>0</v>
      </c>
    </row>
    <row r="252" spans="1:11" x14ac:dyDescent="0.15">
      <c r="A252" s="3"/>
      <c r="B252" s="6"/>
      <c r="C252" s="7"/>
      <c r="D252" s="8"/>
      <c r="E252" s="5">
        <f t="shared" si="56"/>
        <v>0</v>
      </c>
      <c r="F252" s="39"/>
      <c r="G252" s="34"/>
      <c r="H252" s="6"/>
      <c r="I252" s="7"/>
      <c r="J252" s="8"/>
      <c r="K252" s="5">
        <f t="shared" si="64"/>
        <v>0</v>
      </c>
    </row>
    <row r="253" spans="1:11" x14ac:dyDescent="0.15">
      <c r="A253" s="3"/>
      <c r="B253" s="6"/>
      <c r="C253" s="7"/>
      <c r="D253" s="8"/>
      <c r="E253" s="5">
        <f t="shared" si="56"/>
        <v>0</v>
      </c>
      <c r="F253" s="39"/>
      <c r="G253" s="34"/>
      <c r="H253" s="6"/>
      <c r="I253" s="7"/>
      <c r="J253" s="8"/>
      <c r="K253" s="5">
        <f t="shared" si="64"/>
        <v>0</v>
      </c>
    </row>
    <row r="254" spans="1:11" ht="14.25" thickBot="1" x14ac:dyDescent="0.2">
      <c r="A254" s="3"/>
      <c r="B254" s="6"/>
      <c r="C254" s="7"/>
      <c r="D254" s="8"/>
      <c r="E254" s="5">
        <f t="shared" si="56"/>
        <v>0</v>
      </c>
      <c r="F254" s="39"/>
      <c r="G254" s="34"/>
      <c r="H254" s="6"/>
      <c r="I254" s="7"/>
      <c r="J254" s="8"/>
      <c r="K254" s="5">
        <f t="shared" si="64"/>
        <v>0</v>
      </c>
    </row>
    <row r="255" spans="1:11" ht="14.25" thickBot="1" x14ac:dyDescent="0.2">
      <c r="A255" s="2" t="s">
        <v>4</v>
      </c>
      <c r="B255" s="12">
        <f>SUM(B231:B254)</f>
        <v>18</v>
      </c>
      <c r="C255" s="12">
        <f>SUM(C231:C254)</f>
        <v>8</v>
      </c>
      <c r="D255" s="12">
        <f>SUM(D231:D254)</f>
        <v>15</v>
      </c>
      <c r="E255" s="13">
        <f t="shared" si="56"/>
        <v>41</v>
      </c>
      <c r="G255" s="36" t="s">
        <v>4</v>
      </c>
      <c r="H255" s="12">
        <f>SUM(H231:H254)</f>
        <v>15</v>
      </c>
      <c r="I255" s="12">
        <f t="shared" ref="I255" si="65">SUM(I231:I254)</f>
        <v>0</v>
      </c>
      <c r="J255" s="12">
        <f t="shared" ref="J255" si="66">SUM(J231:J254)</f>
        <v>10</v>
      </c>
      <c r="K255" s="13">
        <f t="shared" ref="K255" si="67">SUM(K231:K254)</f>
        <v>25</v>
      </c>
    </row>
    <row r="256" spans="1:11" ht="14.25" thickBot="1" x14ac:dyDescent="0.2">
      <c r="A256" s="25" t="s">
        <v>5</v>
      </c>
      <c r="B256" s="26">
        <f>B230-B255</f>
        <v>4</v>
      </c>
      <c r="C256" s="26">
        <f t="shared" ref="C256:E256" si="68">C230-C255</f>
        <v>4</v>
      </c>
      <c r="D256" s="26">
        <f t="shared" si="68"/>
        <v>3</v>
      </c>
      <c r="E256" s="24">
        <f t="shared" si="68"/>
        <v>11</v>
      </c>
      <c r="G256" s="37" t="s">
        <v>5</v>
      </c>
      <c r="H256" s="26">
        <f>H230-H255</f>
        <v>384</v>
      </c>
      <c r="I256" s="26">
        <f t="shared" ref="I256" si="69">I230-I255</f>
        <v>315</v>
      </c>
      <c r="J256" s="26">
        <f t="shared" ref="J256" si="70">J230-J255</f>
        <v>130</v>
      </c>
      <c r="K256" s="24">
        <f t="shared" ref="K256" si="71">K230-K255</f>
        <v>829</v>
      </c>
    </row>
    <row r="257" spans="1:13" x14ac:dyDescent="0.15">
      <c r="G257" s="55" t="s">
        <v>167</v>
      </c>
      <c r="H257" s="56">
        <f>H212+H169+H126+H83+H40</f>
        <v>231</v>
      </c>
      <c r="I257" s="56">
        <f t="shared" ref="I257:J257" si="72">I212+I169+I126+I83+I40</f>
        <v>235</v>
      </c>
      <c r="J257" s="56">
        <f t="shared" si="72"/>
        <v>180</v>
      </c>
      <c r="K257" s="57">
        <f>SUM(H257:J257)</f>
        <v>646</v>
      </c>
    </row>
    <row r="258" spans="1:13" ht="33" customHeight="1" x14ac:dyDescent="0.15">
      <c r="A258" s="53"/>
      <c r="B258" s="53"/>
      <c r="C258" s="53"/>
      <c r="D258" s="53"/>
      <c r="E258" s="53"/>
      <c r="F258" s="54"/>
      <c r="G258" s="95" t="s">
        <v>166</v>
      </c>
      <c r="H258" s="95"/>
      <c r="I258" s="95"/>
      <c r="J258" s="95"/>
      <c r="K258" s="95"/>
      <c r="L258" s="54"/>
      <c r="M258" s="53"/>
    </row>
    <row r="259" spans="1:13" ht="21.75" thickBot="1" x14ac:dyDescent="0.25">
      <c r="A259" s="30" t="s">
        <v>23</v>
      </c>
      <c r="B259" s="28"/>
      <c r="C259" s="28"/>
      <c r="D259" s="28"/>
      <c r="E259" s="28"/>
      <c r="G259" s="31" t="s">
        <v>25</v>
      </c>
      <c r="H259" s="29"/>
      <c r="I259" s="29"/>
      <c r="J259" s="29"/>
      <c r="K259" s="29"/>
    </row>
    <row r="260" spans="1:13" ht="14.25" thickBot="1" x14ac:dyDescent="0.2">
      <c r="A260" s="1" t="s">
        <v>0</v>
      </c>
      <c r="B260" s="91" t="s">
        <v>10</v>
      </c>
      <c r="C260" s="91"/>
      <c r="D260" s="91"/>
      <c r="E260" s="92"/>
      <c r="G260" s="1" t="s">
        <v>0</v>
      </c>
      <c r="H260" s="91" t="s">
        <v>195</v>
      </c>
      <c r="I260" s="91"/>
      <c r="J260" s="91"/>
      <c r="K260" s="92"/>
    </row>
    <row r="261" spans="1:13" ht="14.25" thickBot="1" x14ac:dyDescent="0.2">
      <c r="A261" s="1" t="s">
        <v>1</v>
      </c>
      <c r="B261" s="2" t="s">
        <v>6</v>
      </c>
      <c r="C261" s="1" t="s">
        <v>7</v>
      </c>
      <c r="D261" s="17" t="s">
        <v>8</v>
      </c>
      <c r="E261" s="1" t="s">
        <v>2</v>
      </c>
      <c r="G261" s="33" t="s">
        <v>1</v>
      </c>
      <c r="H261" s="2" t="s">
        <v>6</v>
      </c>
      <c r="I261" s="1" t="s">
        <v>7</v>
      </c>
      <c r="J261" s="17" t="s">
        <v>8</v>
      </c>
      <c r="K261" s="1" t="s">
        <v>2</v>
      </c>
    </row>
    <row r="262" spans="1:13" x14ac:dyDescent="0.15">
      <c r="A262" s="19" t="s">
        <v>5</v>
      </c>
      <c r="B262" s="16">
        <f>B256</f>
        <v>4</v>
      </c>
      <c r="C262" s="20">
        <f>C256</f>
        <v>4</v>
      </c>
      <c r="D262" s="20">
        <f>D256</f>
        <v>3</v>
      </c>
      <c r="E262" s="15">
        <f t="shared" ref="E262:E298" si="73">SUM(B262:D262)</f>
        <v>11</v>
      </c>
      <c r="G262" s="38" t="s">
        <v>5</v>
      </c>
      <c r="H262" s="16">
        <f>H256</f>
        <v>384</v>
      </c>
      <c r="I262" s="20">
        <f t="shared" ref="I262:K262" si="74">I256</f>
        <v>315</v>
      </c>
      <c r="J262" s="20">
        <f t="shared" si="74"/>
        <v>130</v>
      </c>
      <c r="K262" s="15">
        <f t="shared" si="74"/>
        <v>829</v>
      </c>
    </row>
    <row r="263" spans="1:13" x14ac:dyDescent="0.15">
      <c r="A263" s="3" t="s">
        <v>11</v>
      </c>
      <c r="B263" s="8">
        <v>5</v>
      </c>
      <c r="C263" s="7">
        <v>5</v>
      </c>
      <c r="D263" s="8">
        <v>5</v>
      </c>
      <c r="E263" s="4">
        <f t="shared" ref="E263:E265" si="75">SUM(B263:D263)</f>
        <v>15</v>
      </c>
      <c r="F263" s="39">
        <v>45559</v>
      </c>
      <c r="G263" s="34" t="s">
        <v>11</v>
      </c>
      <c r="H263" s="8"/>
      <c r="I263" s="7"/>
      <c r="J263" s="8"/>
      <c r="K263" s="4">
        <f t="shared" ref="K263:K297" si="76">SUM(H263:J263)</f>
        <v>0</v>
      </c>
    </row>
    <row r="264" spans="1:13" x14ac:dyDescent="0.15">
      <c r="A264" s="3" t="s">
        <v>11</v>
      </c>
      <c r="B264" s="8">
        <v>5</v>
      </c>
      <c r="C264" s="7"/>
      <c r="D264" s="8"/>
      <c r="E264" s="4">
        <f t="shared" si="75"/>
        <v>5</v>
      </c>
      <c r="F264" s="39">
        <v>45561</v>
      </c>
      <c r="G264" s="34" t="s">
        <v>11</v>
      </c>
      <c r="H264" s="8">
        <v>0</v>
      </c>
      <c r="I264" s="7">
        <v>150</v>
      </c>
      <c r="J264" s="8">
        <v>250</v>
      </c>
      <c r="K264" s="4">
        <f t="shared" si="76"/>
        <v>400</v>
      </c>
      <c r="L264" s="66" t="s">
        <v>194</v>
      </c>
    </row>
    <row r="265" spans="1:13" x14ac:dyDescent="0.15">
      <c r="A265" s="3" t="s">
        <v>11</v>
      </c>
      <c r="B265" s="8">
        <v>5</v>
      </c>
      <c r="C265" s="7">
        <v>5</v>
      </c>
      <c r="D265" s="8">
        <v>10</v>
      </c>
      <c r="E265" s="4">
        <f t="shared" si="75"/>
        <v>20</v>
      </c>
      <c r="F265" s="39">
        <v>45567</v>
      </c>
      <c r="G265" s="34" t="s">
        <v>11</v>
      </c>
      <c r="H265" s="8"/>
      <c r="I265" s="7"/>
      <c r="J265" s="8"/>
      <c r="K265" s="4">
        <f t="shared" si="76"/>
        <v>0</v>
      </c>
    </row>
    <row r="266" spans="1:13" x14ac:dyDescent="0.15">
      <c r="A266" s="3" t="s">
        <v>11</v>
      </c>
      <c r="B266" s="8">
        <v>10</v>
      </c>
      <c r="C266" s="7">
        <v>15</v>
      </c>
      <c r="D266" s="8">
        <v>10</v>
      </c>
      <c r="E266" s="4">
        <f t="shared" si="73"/>
        <v>35</v>
      </c>
      <c r="F266" s="39">
        <v>45572</v>
      </c>
      <c r="G266" s="34" t="s">
        <v>11</v>
      </c>
      <c r="H266" s="8"/>
      <c r="I266" s="7"/>
      <c r="J266" s="8"/>
      <c r="K266" s="4">
        <f t="shared" si="76"/>
        <v>0</v>
      </c>
    </row>
    <row r="267" spans="1:13" x14ac:dyDescent="0.15">
      <c r="A267" s="3" t="s">
        <v>11</v>
      </c>
      <c r="B267" s="8"/>
      <c r="C267" s="7"/>
      <c r="D267" s="8">
        <v>10</v>
      </c>
      <c r="E267" s="4">
        <f t="shared" si="73"/>
        <v>10</v>
      </c>
      <c r="F267" s="39">
        <v>45584</v>
      </c>
      <c r="G267" s="34" t="s">
        <v>11</v>
      </c>
      <c r="H267" s="8"/>
      <c r="I267" s="7"/>
      <c r="J267" s="8"/>
      <c r="K267" s="4">
        <f t="shared" si="76"/>
        <v>0</v>
      </c>
    </row>
    <row r="268" spans="1:13" x14ac:dyDescent="0.15">
      <c r="A268" s="3" t="s">
        <v>11</v>
      </c>
      <c r="B268" s="8">
        <v>15</v>
      </c>
      <c r="C268" s="7">
        <v>10</v>
      </c>
      <c r="D268" s="8">
        <v>5</v>
      </c>
      <c r="E268" s="4">
        <f t="shared" si="73"/>
        <v>30</v>
      </c>
      <c r="F268" s="39">
        <v>45590</v>
      </c>
      <c r="G268" s="34" t="s">
        <v>11</v>
      </c>
      <c r="H268" s="8"/>
      <c r="I268" s="7"/>
      <c r="J268" s="8"/>
      <c r="K268" s="4">
        <f t="shared" si="76"/>
        <v>0</v>
      </c>
    </row>
    <row r="269" spans="1:13" x14ac:dyDescent="0.15">
      <c r="A269" s="3" t="s">
        <v>11</v>
      </c>
      <c r="B269" s="8">
        <v>5</v>
      </c>
      <c r="C269" s="7">
        <v>5</v>
      </c>
      <c r="D269" s="8">
        <v>10</v>
      </c>
      <c r="E269" s="4">
        <f t="shared" si="73"/>
        <v>20</v>
      </c>
      <c r="F269" s="39">
        <v>45595</v>
      </c>
      <c r="G269" s="34" t="s">
        <v>11</v>
      </c>
      <c r="H269" s="8"/>
      <c r="I269" s="7"/>
      <c r="J269" s="8"/>
      <c r="K269" s="4">
        <f t="shared" si="76"/>
        <v>0</v>
      </c>
    </row>
    <row r="270" spans="1:13" x14ac:dyDescent="0.15">
      <c r="A270" s="3" t="s">
        <v>11</v>
      </c>
      <c r="B270" s="8">
        <v>10</v>
      </c>
      <c r="C270" s="7"/>
      <c r="D270" s="8"/>
      <c r="E270" s="4">
        <f t="shared" si="73"/>
        <v>10</v>
      </c>
      <c r="F270" s="39">
        <v>45602</v>
      </c>
      <c r="G270" s="34" t="s">
        <v>11</v>
      </c>
      <c r="H270" s="8"/>
      <c r="I270" s="7"/>
      <c r="J270" s="8"/>
      <c r="K270" s="4">
        <f t="shared" si="76"/>
        <v>0</v>
      </c>
    </row>
    <row r="271" spans="1:13" x14ac:dyDescent="0.15">
      <c r="A271" s="3" t="s">
        <v>11</v>
      </c>
      <c r="B271" s="8"/>
      <c r="C271" s="7"/>
      <c r="D271" s="8"/>
      <c r="E271" s="4">
        <f t="shared" si="73"/>
        <v>0</v>
      </c>
      <c r="F271" s="39"/>
      <c r="G271" s="34" t="s">
        <v>11</v>
      </c>
      <c r="H271" s="8"/>
      <c r="I271" s="7"/>
      <c r="J271" s="8"/>
      <c r="K271" s="4">
        <f t="shared" si="76"/>
        <v>0</v>
      </c>
    </row>
    <row r="272" spans="1:13" ht="14.25" thickBot="1" x14ac:dyDescent="0.2">
      <c r="A272" s="3" t="s">
        <v>11</v>
      </c>
      <c r="B272" s="11"/>
      <c r="C272" s="10"/>
      <c r="D272" s="11"/>
      <c r="E272" s="18">
        <f t="shared" si="73"/>
        <v>0</v>
      </c>
      <c r="G272" s="34" t="s">
        <v>11</v>
      </c>
      <c r="H272" s="11"/>
      <c r="I272" s="10"/>
      <c r="J272" s="11"/>
      <c r="K272" s="18">
        <f t="shared" si="76"/>
        <v>0</v>
      </c>
    </row>
    <row r="273" spans="1:14" ht="14.25" thickBot="1" x14ac:dyDescent="0.2">
      <c r="A273" s="21" t="s">
        <v>3</v>
      </c>
      <c r="B273" s="22">
        <f>SUM(B262:B272)</f>
        <v>59</v>
      </c>
      <c r="C273" s="22">
        <f>SUM(C262:C272)</f>
        <v>44</v>
      </c>
      <c r="D273" s="23">
        <f>SUM(D262:D272)</f>
        <v>53</v>
      </c>
      <c r="E273" s="24">
        <f t="shared" si="73"/>
        <v>156</v>
      </c>
      <c r="G273" s="35" t="s">
        <v>3</v>
      </c>
      <c r="H273" s="22">
        <f>SUM(H262:H272)</f>
        <v>384</v>
      </c>
      <c r="I273" s="22">
        <f t="shared" ref="I273" si="77">SUM(I262:I272)</f>
        <v>465</v>
      </c>
      <c r="J273" s="23">
        <f t="shared" ref="J273" si="78">SUM(J262:J272)</f>
        <v>380</v>
      </c>
      <c r="K273" s="24">
        <f t="shared" ref="K273" si="79">SUM(K262:K272)</f>
        <v>1229</v>
      </c>
    </row>
    <row r="274" spans="1:14" x14ac:dyDescent="0.15">
      <c r="A274" s="3" t="s">
        <v>189</v>
      </c>
      <c r="B274" s="6">
        <v>7</v>
      </c>
      <c r="C274" s="7">
        <v>2</v>
      </c>
      <c r="D274" s="8">
        <v>1</v>
      </c>
      <c r="E274" s="5">
        <f t="shared" ref="E274:E286" si="80">SUM(B274:D274)</f>
        <v>10</v>
      </c>
      <c r="F274" s="39">
        <v>45561</v>
      </c>
      <c r="G274" s="34" t="s">
        <v>188</v>
      </c>
      <c r="H274" s="6">
        <v>5</v>
      </c>
      <c r="I274" s="7">
        <v>5</v>
      </c>
      <c r="J274" s="8">
        <v>5</v>
      </c>
      <c r="K274" s="5">
        <f t="shared" ref="K274:K276" si="81">SUM(H274:J274)</f>
        <v>15</v>
      </c>
      <c r="L274" s="66">
        <v>45559</v>
      </c>
      <c r="M274" s="27"/>
      <c r="N274" s="27"/>
    </row>
    <row r="275" spans="1:14" x14ac:dyDescent="0.15">
      <c r="A275" s="3" t="s">
        <v>42</v>
      </c>
      <c r="B275" s="6"/>
      <c r="C275" s="7"/>
      <c r="D275" s="8">
        <v>1</v>
      </c>
      <c r="E275" s="5">
        <f t="shared" si="80"/>
        <v>1</v>
      </c>
      <c r="F275" s="39">
        <v>45562</v>
      </c>
      <c r="G275" s="34" t="s">
        <v>26</v>
      </c>
      <c r="H275" s="6">
        <v>5</v>
      </c>
      <c r="I275" s="7"/>
      <c r="J275" s="8"/>
      <c r="K275" s="5">
        <f t="shared" si="81"/>
        <v>5</v>
      </c>
      <c r="L275" s="66">
        <v>45561</v>
      </c>
      <c r="M275" s="27"/>
      <c r="N275" s="27"/>
    </row>
    <row r="276" spans="1:14" x14ac:dyDescent="0.15">
      <c r="A276" s="3" t="s">
        <v>43</v>
      </c>
      <c r="B276" s="6"/>
      <c r="C276" s="7"/>
      <c r="D276" s="8">
        <v>2</v>
      </c>
      <c r="E276" s="5">
        <f t="shared" si="80"/>
        <v>2</v>
      </c>
      <c r="F276" s="39">
        <v>45565</v>
      </c>
      <c r="G276" s="34" t="s">
        <v>26</v>
      </c>
      <c r="H276" s="6">
        <v>5</v>
      </c>
      <c r="I276" s="7">
        <v>5</v>
      </c>
      <c r="J276" s="8">
        <v>10</v>
      </c>
      <c r="K276" s="5">
        <f t="shared" si="81"/>
        <v>20</v>
      </c>
      <c r="L276" s="66">
        <v>45567</v>
      </c>
      <c r="M276" s="27"/>
    </row>
    <row r="277" spans="1:14" x14ac:dyDescent="0.15">
      <c r="A277" s="3" t="s">
        <v>44</v>
      </c>
      <c r="B277" s="6"/>
      <c r="C277" s="7">
        <v>2</v>
      </c>
      <c r="D277" s="8">
        <v>4</v>
      </c>
      <c r="E277" s="5">
        <f t="shared" si="80"/>
        <v>6</v>
      </c>
      <c r="F277" s="39">
        <v>45567</v>
      </c>
      <c r="G277" s="34" t="s">
        <v>26</v>
      </c>
      <c r="H277" s="6">
        <v>10</v>
      </c>
      <c r="I277" s="7">
        <v>15</v>
      </c>
      <c r="J277" s="8">
        <v>10</v>
      </c>
      <c r="K277" s="5">
        <f t="shared" si="76"/>
        <v>35</v>
      </c>
      <c r="L277" s="66">
        <v>45572</v>
      </c>
      <c r="M277" s="27"/>
    </row>
    <row r="278" spans="1:14" x14ac:dyDescent="0.15">
      <c r="A278" s="3" t="s">
        <v>45</v>
      </c>
      <c r="B278" s="6"/>
      <c r="C278" s="7">
        <v>3</v>
      </c>
      <c r="D278" s="8"/>
      <c r="E278" s="5">
        <f t="shared" si="80"/>
        <v>3</v>
      </c>
      <c r="F278" s="39">
        <v>45568</v>
      </c>
      <c r="G278" s="34" t="s">
        <v>26</v>
      </c>
      <c r="H278" s="6"/>
      <c r="I278" s="7"/>
      <c r="J278" s="8">
        <v>10</v>
      </c>
      <c r="K278" s="5">
        <f t="shared" si="76"/>
        <v>10</v>
      </c>
      <c r="L278" s="66">
        <v>45584</v>
      </c>
      <c r="M278" s="27"/>
    </row>
    <row r="279" spans="1:14" x14ac:dyDescent="0.15">
      <c r="A279" s="3" t="s">
        <v>46</v>
      </c>
      <c r="B279" s="6"/>
      <c r="C279" s="7"/>
      <c r="D279" s="8">
        <v>1</v>
      </c>
      <c r="E279" s="5">
        <f t="shared" si="80"/>
        <v>1</v>
      </c>
      <c r="F279" s="39">
        <v>45569</v>
      </c>
      <c r="G279" s="34" t="s">
        <v>26</v>
      </c>
      <c r="H279" s="6">
        <v>15</v>
      </c>
      <c r="I279" s="7">
        <v>10</v>
      </c>
      <c r="J279" s="8">
        <v>5</v>
      </c>
      <c r="K279" s="5">
        <f t="shared" si="76"/>
        <v>30</v>
      </c>
      <c r="L279" s="66">
        <v>45590</v>
      </c>
      <c r="M279" s="27"/>
    </row>
    <row r="280" spans="1:14" x14ac:dyDescent="0.15">
      <c r="A280" s="3" t="s">
        <v>47</v>
      </c>
      <c r="B280" s="6">
        <v>5</v>
      </c>
      <c r="C280" s="7">
        <v>3</v>
      </c>
      <c r="D280" s="8">
        <v>4</v>
      </c>
      <c r="E280" s="5">
        <f t="shared" si="80"/>
        <v>12</v>
      </c>
      <c r="F280" s="39">
        <v>45572</v>
      </c>
      <c r="G280" s="34" t="s">
        <v>26</v>
      </c>
      <c r="H280" s="6">
        <v>5</v>
      </c>
      <c r="I280" s="7">
        <v>5</v>
      </c>
      <c r="J280" s="8">
        <v>10</v>
      </c>
      <c r="K280" s="5">
        <f t="shared" si="76"/>
        <v>20</v>
      </c>
      <c r="L280" s="66">
        <v>45595</v>
      </c>
      <c r="M280" s="27"/>
    </row>
    <row r="281" spans="1:14" x14ac:dyDescent="0.15">
      <c r="A281" s="3" t="s">
        <v>193</v>
      </c>
      <c r="B281" s="6">
        <v>1</v>
      </c>
      <c r="C281" s="7"/>
      <c r="D281" s="8"/>
      <c r="E281" s="5">
        <f t="shared" si="80"/>
        <v>1</v>
      </c>
      <c r="F281" s="39">
        <v>45574</v>
      </c>
      <c r="G281" s="34" t="s">
        <v>26</v>
      </c>
      <c r="H281" s="6">
        <v>10</v>
      </c>
      <c r="I281" s="7"/>
      <c r="J281" s="8"/>
      <c r="K281" s="5">
        <f t="shared" si="76"/>
        <v>10</v>
      </c>
      <c r="L281" s="66">
        <v>45602</v>
      </c>
      <c r="M281" s="27"/>
    </row>
    <row r="282" spans="1:14" x14ac:dyDescent="0.15">
      <c r="A282" s="3" t="s">
        <v>49</v>
      </c>
      <c r="B282" s="6"/>
      <c r="C282" s="7">
        <v>1</v>
      </c>
      <c r="D282" s="8"/>
      <c r="E282" s="5">
        <f t="shared" si="80"/>
        <v>1</v>
      </c>
      <c r="F282" s="39">
        <v>45580</v>
      </c>
      <c r="G282" s="34"/>
      <c r="H282" s="6"/>
      <c r="I282" s="7"/>
      <c r="J282" s="8"/>
      <c r="K282" s="5">
        <f t="shared" si="76"/>
        <v>0</v>
      </c>
      <c r="L282" s="67"/>
      <c r="M282" s="27"/>
    </row>
    <row r="283" spans="1:14" x14ac:dyDescent="0.15">
      <c r="A283" s="3" t="s">
        <v>50</v>
      </c>
      <c r="B283" s="6"/>
      <c r="C283" s="7">
        <v>2</v>
      </c>
      <c r="D283" s="8"/>
      <c r="E283" s="5">
        <f t="shared" si="80"/>
        <v>2</v>
      </c>
      <c r="F283" s="39">
        <v>45582</v>
      </c>
      <c r="G283" s="34"/>
      <c r="H283" s="6"/>
      <c r="I283" s="7"/>
      <c r="J283" s="8"/>
      <c r="K283" s="5">
        <f t="shared" si="76"/>
        <v>0</v>
      </c>
      <c r="L283" s="67"/>
    </row>
    <row r="284" spans="1:14" x14ac:dyDescent="0.15">
      <c r="A284" s="3" t="s">
        <v>51</v>
      </c>
      <c r="B284" s="6">
        <v>1</v>
      </c>
      <c r="C284" s="7"/>
      <c r="D284" s="8">
        <v>4</v>
      </c>
      <c r="E284" s="5">
        <f t="shared" si="80"/>
        <v>5</v>
      </c>
      <c r="F284" s="39">
        <v>45583</v>
      </c>
      <c r="G284" s="34"/>
      <c r="H284" s="6"/>
      <c r="I284" s="7"/>
      <c r="J284" s="8"/>
      <c r="K284" s="5">
        <f t="shared" si="76"/>
        <v>0</v>
      </c>
    </row>
    <row r="285" spans="1:14" x14ac:dyDescent="0.15">
      <c r="A285" s="3" t="s">
        <v>52</v>
      </c>
      <c r="B285" s="6">
        <v>2</v>
      </c>
      <c r="C285" s="7">
        <v>1</v>
      </c>
      <c r="D285" s="8">
        <v>7</v>
      </c>
      <c r="E285" s="5">
        <f t="shared" si="80"/>
        <v>10</v>
      </c>
      <c r="F285" s="39">
        <v>45583</v>
      </c>
      <c r="G285" s="34"/>
      <c r="H285" s="6"/>
      <c r="I285" s="7"/>
      <c r="J285" s="8"/>
      <c r="K285" s="5">
        <f t="shared" si="76"/>
        <v>0</v>
      </c>
    </row>
    <row r="286" spans="1:14" x14ac:dyDescent="0.15">
      <c r="A286" s="3" t="s">
        <v>53</v>
      </c>
      <c r="B286" s="6">
        <v>4</v>
      </c>
      <c r="C286" s="7">
        <v>4</v>
      </c>
      <c r="D286" s="8">
        <v>1</v>
      </c>
      <c r="E286" s="5">
        <f t="shared" si="80"/>
        <v>9</v>
      </c>
      <c r="F286" s="39">
        <v>45586</v>
      </c>
      <c r="G286" s="34"/>
      <c r="H286" s="6"/>
      <c r="I286" s="7"/>
      <c r="J286" s="8"/>
      <c r="K286" s="5">
        <f t="shared" si="76"/>
        <v>0</v>
      </c>
    </row>
    <row r="287" spans="1:14" x14ac:dyDescent="0.15">
      <c r="A287" s="3" t="s">
        <v>61</v>
      </c>
      <c r="B287" s="6">
        <v>1</v>
      </c>
      <c r="C287" s="7">
        <v>4</v>
      </c>
      <c r="D287" s="8">
        <v>3</v>
      </c>
      <c r="E287" s="5">
        <f t="shared" si="73"/>
        <v>8</v>
      </c>
      <c r="F287" s="39">
        <v>45588</v>
      </c>
      <c r="G287" s="34"/>
      <c r="H287" s="6"/>
      <c r="I287" s="7"/>
      <c r="J287" s="8"/>
      <c r="K287" s="5">
        <f t="shared" ref="K287:K289" si="82">SUM(H287:J287)</f>
        <v>0</v>
      </c>
    </row>
    <row r="288" spans="1:14" x14ac:dyDescent="0.15">
      <c r="A288" s="3" t="s">
        <v>63</v>
      </c>
      <c r="B288" s="6">
        <v>2</v>
      </c>
      <c r="C288" s="7">
        <v>1</v>
      </c>
      <c r="D288" s="8">
        <v>1</v>
      </c>
      <c r="E288" s="5">
        <f t="shared" si="73"/>
        <v>4</v>
      </c>
      <c r="F288" s="39">
        <v>45589</v>
      </c>
      <c r="G288" s="34"/>
      <c r="H288" s="6"/>
      <c r="I288" s="7"/>
      <c r="J288" s="8"/>
      <c r="K288" s="5">
        <f t="shared" si="82"/>
        <v>0</v>
      </c>
    </row>
    <row r="289" spans="1:12" x14ac:dyDescent="0.15">
      <c r="A289" s="3" t="s">
        <v>67</v>
      </c>
      <c r="B289" s="6">
        <v>6</v>
      </c>
      <c r="C289" s="7">
        <v>1</v>
      </c>
      <c r="D289" s="8">
        <v>2</v>
      </c>
      <c r="E289" s="5">
        <f t="shared" si="73"/>
        <v>9</v>
      </c>
      <c r="F289" s="39">
        <v>45590</v>
      </c>
      <c r="G289" s="34"/>
      <c r="H289" s="6"/>
      <c r="I289" s="7"/>
      <c r="J289" s="8"/>
      <c r="K289" s="5">
        <f t="shared" si="82"/>
        <v>0</v>
      </c>
    </row>
    <row r="290" spans="1:12" x14ac:dyDescent="0.15">
      <c r="A290" s="3" t="s">
        <v>68</v>
      </c>
      <c r="B290" s="6"/>
      <c r="C290" s="7">
        <v>2</v>
      </c>
      <c r="D290" s="8"/>
      <c r="E290" s="5">
        <f t="shared" si="73"/>
        <v>2</v>
      </c>
      <c r="F290" s="39">
        <v>45590</v>
      </c>
      <c r="G290" s="34"/>
      <c r="H290" s="6"/>
      <c r="I290" s="7"/>
      <c r="J290" s="8"/>
      <c r="K290" s="5">
        <f t="shared" ref="K290:K292" si="83">SUM(H290:J290)</f>
        <v>0</v>
      </c>
      <c r="L290" s="67"/>
    </row>
    <row r="291" spans="1:12" x14ac:dyDescent="0.15">
      <c r="A291" s="3" t="s">
        <v>70</v>
      </c>
      <c r="B291" s="6">
        <v>1</v>
      </c>
      <c r="C291" s="7">
        <v>2</v>
      </c>
      <c r="D291" s="8">
        <v>1</v>
      </c>
      <c r="E291" s="5">
        <f t="shared" si="73"/>
        <v>4</v>
      </c>
      <c r="F291" s="39">
        <v>45593</v>
      </c>
      <c r="G291" s="34"/>
      <c r="H291" s="6"/>
      <c r="I291" s="7"/>
      <c r="J291" s="8"/>
      <c r="K291" s="5">
        <f t="shared" si="83"/>
        <v>0</v>
      </c>
      <c r="L291" s="67"/>
    </row>
    <row r="292" spans="1:12" x14ac:dyDescent="0.15">
      <c r="A292" s="3" t="s">
        <v>71</v>
      </c>
      <c r="B292" s="6">
        <v>4</v>
      </c>
      <c r="C292" s="7"/>
      <c r="D292" s="8"/>
      <c r="E292" s="5">
        <f t="shared" si="73"/>
        <v>4</v>
      </c>
      <c r="F292" s="39">
        <v>45595</v>
      </c>
      <c r="G292" s="34"/>
      <c r="H292" s="6"/>
      <c r="I292" s="7"/>
      <c r="J292" s="8"/>
      <c r="K292" s="5">
        <f t="shared" si="83"/>
        <v>0</v>
      </c>
      <c r="L292" s="67"/>
    </row>
    <row r="293" spans="1:12" x14ac:dyDescent="0.15">
      <c r="A293" s="34" t="s">
        <v>183</v>
      </c>
      <c r="B293" s="6"/>
      <c r="C293" s="7"/>
      <c r="D293" s="8">
        <v>5</v>
      </c>
      <c r="E293" s="5">
        <f t="shared" si="73"/>
        <v>5</v>
      </c>
      <c r="F293" s="39">
        <v>45597</v>
      </c>
      <c r="G293" s="34"/>
      <c r="H293" s="6"/>
      <c r="I293" s="7"/>
      <c r="J293" s="8"/>
      <c r="K293" s="5">
        <f t="shared" ref="K293" si="84">SUM(H293:J293)</f>
        <v>0</v>
      </c>
      <c r="L293" s="67"/>
    </row>
    <row r="294" spans="1:12" x14ac:dyDescent="0.15">
      <c r="A294" s="3" t="s">
        <v>73</v>
      </c>
      <c r="B294" s="6">
        <v>3</v>
      </c>
      <c r="C294" s="7">
        <v>2</v>
      </c>
      <c r="D294" s="8"/>
      <c r="E294" s="5">
        <f t="shared" si="73"/>
        <v>5</v>
      </c>
      <c r="F294" s="39">
        <v>45596</v>
      </c>
      <c r="G294" s="34" t="s">
        <v>177</v>
      </c>
      <c r="H294" s="6"/>
      <c r="I294" s="7"/>
      <c r="J294" s="8"/>
      <c r="K294" s="5">
        <f t="shared" si="76"/>
        <v>0</v>
      </c>
      <c r="L294" s="67" t="s">
        <v>178</v>
      </c>
    </row>
    <row r="295" spans="1:12" x14ac:dyDescent="0.15">
      <c r="A295" s="3" t="s">
        <v>74</v>
      </c>
      <c r="B295" s="6">
        <v>6</v>
      </c>
      <c r="C295" s="7"/>
      <c r="D295" s="8"/>
      <c r="E295" s="5">
        <f t="shared" si="73"/>
        <v>6</v>
      </c>
      <c r="F295" s="39">
        <v>45597</v>
      </c>
      <c r="G295" s="34" t="s">
        <v>174</v>
      </c>
      <c r="H295" s="6"/>
      <c r="I295" s="7"/>
      <c r="J295" s="8"/>
      <c r="K295" s="5">
        <f t="shared" si="76"/>
        <v>0</v>
      </c>
      <c r="L295" s="67" t="s">
        <v>175</v>
      </c>
    </row>
    <row r="296" spans="1:12" x14ac:dyDescent="0.15">
      <c r="A296" s="3" t="s">
        <v>75</v>
      </c>
      <c r="B296" s="6">
        <v>1</v>
      </c>
      <c r="C296" s="7">
        <v>2</v>
      </c>
      <c r="D296" s="8"/>
      <c r="E296" s="5">
        <f t="shared" si="73"/>
        <v>3</v>
      </c>
      <c r="F296" s="39">
        <v>45603</v>
      </c>
      <c r="G296" s="34" t="s">
        <v>179</v>
      </c>
      <c r="H296" s="6"/>
      <c r="I296" s="7"/>
      <c r="J296" s="8"/>
      <c r="K296" s="5">
        <f t="shared" si="76"/>
        <v>0</v>
      </c>
      <c r="L296" s="67" t="s">
        <v>180</v>
      </c>
    </row>
    <row r="297" spans="1:12" ht="14.25" thickBot="1" x14ac:dyDescent="0.2">
      <c r="A297" s="3" t="s">
        <v>78</v>
      </c>
      <c r="B297" s="6"/>
      <c r="C297" s="7">
        <v>1</v>
      </c>
      <c r="D297" s="8"/>
      <c r="E297" s="5">
        <f t="shared" si="73"/>
        <v>1</v>
      </c>
      <c r="F297" s="39">
        <v>45604</v>
      </c>
      <c r="G297" s="34" t="s">
        <v>27</v>
      </c>
      <c r="H297" s="6"/>
      <c r="I297" s="7"/>
      <c r="J297" s="8"/>
      <c r="K297" s="5">
        <f t="shared" si="76"/>
        <v>0</v>
      </c>
      <c r="L297" s="67" t="s">
        <v>181</v>
      </c>
    </row>
    <row r="298" spans="1:12" ht="14.25" thickBot="1" x14ac:dyDescent="0.2">
      <c r="A298" s="2" t="s">
        <v>4</v>
      </c>
      <c r="B298" s="12">
        <f>SUM(B274:B297)</f>
        <v>44</v>
      </c>
      <c r="C298" s="12">
        <f>SUM(C274:C297)</f>
        <v>33</v>
      </c>
      <c r="D298" s="12">
        <f>SUM(D274:D297)</f>
        <v>37</v>
      </c>
      <c r="E298" s="13">
        <f t="shared" si="73"/>
        <v>114</v>
      </c>
      <c r="G298" s="36" t="s">
        <v>4</v>
      </c>
      <c r="H298" s="12">
        <f>SUM(H274:H297)</f>
        <v>55</v>
      </c>
      <c r="I298" s="12">
        <f t="shared" ref="I298" si="85">SUM(I274:I297)</f>
        <v>40</v>
      </c>
      <c r="J298" s="12">
        <f t="shared" ref="J298" si="86">SUM(J274:J297)</f>
        <v>50</v>
      </c>
      <c r="K298" s="13">
        <f t="shared" ref="K298" si="87">SUM(K274:K297)</f>
        <v>145</v>
      </c>
    </row>
    <row r="299" spans="1:12" ht="14.25" thickBot="1" x14ac:dyDescent="0.2">
      <c r="A299" s="25" t="s">
        <v>5</v>
      </c>
      <c r="B299" s="26">
        <f>B273-B298</f>
        <v>15</v>
      </c>
      <c r="C299" s="26">
        <f t="shared" ref="C299:E299" si="88">C273-C298</f>
        <v>11</v>
      </c>
      <c r="D299" s="26">
        <f t="shared" si="88"/>
        <v>16</v>
      </c>
      <c r="E299" s="24">
        <f t="shared" si="88"/>
        <v>42</v>
      </c>
      <c r="G299" s="37" t="s">
        <v>5</v>
      </c>
      <c r="H299" s="26">
        <f>H273-H298</f>
        <v>329</v>
      </c>
      <c r="I299" s="26">
        <f t="shared" ref="I299" si="89">I273-I298</f>
        <v>425</v>
      </c>
      <c r="J299" s="26">
        <f t="shared" ref="J299" si="90">J273-J298</f>
        <v>330</v>
      </c>
      <c r="K299" s="24">
        <f t="shared" ref="K299" si="91">K273-K298</f>
        <v>1084</v>
      </c>
    </row>
    <row r="302" spans="1:12" ht="21.75" thickBot="1" x14ac:dyDescent="0.25">
      <c r="A302" s="30" t="s">
        <v>23</v>
      </c>
      <c r="B302" s="28"/>
      <c r="C302" s="28"/>
      <c r="D302" s="28"/>
      <c r="E302" s="28"/>
      <c r="G302" s="31" t="s">
        <v>25</v>
      </c>
      <c r="H302" s="29"/>
      <c r="I302" s="29"/>
      <c r="J302" s="29"/>
      <c r="K302" s="29"/>
    </row>
    <row r="303" spans="1:12" ht="14.25" thickBot="1" x14ac:dyDescent="0.2">
      <c r="A303" s="1" t="s">
        <v>0</v>
      </c>
      <c r="B303" s="91" t="s">
        <v>10</v>
      </c>
      <c r="C303" s="91"/>
      <c r="D303" s="91"/>
      <c r="E303" s="92"/>
      <c r="G303" s="1" t="s">
        <v>0</v>
      </c>
      <c r="H303" s="91" t="s">
        <v>195</v>
      </c>
      <c r="I303" s="91"/>
      <c r="J303" s="91"/>
      <c r="K303" s="92"/>
    </row>
    <row r="304" spans="1:12" ht="14.25" thickBot="1" x14ac:dyDescent="0.2">
      <c r="A304" s="1" t="s">
        <v>1</v>
      </c>
      <c r="B304" s="2" t="s">
        <v>6</v>
      </c>
      <c r="C304" s="1" t="s">
        <v>7</v>
      </c>
      <c r="D304" s="17" t="s">
        <v>8</v>
      </c>
      <c r="E304" s="1" t="s">
        <v>2</v>
      </c>
      <c r="G304" s="33" t="s">
        <v>1</v>
      </c>
      <c r="H304" s="2" t="s">
        <v>6</v>
      </c>
      <c r="I304" s="1" t="s">
        <v>7</v>
      </c>
      <c r="J304" s="17" t="s">
        <v>8</v>
      </c>
      <c r="K304" s="1" t="s">
        <v>2</v>
      </c>
    </row>
    <row r="305" spans="1:14" x14ac:dyDescent="0.15">
      <c r="A305" s="19" t="s">
        <v>5</v>
      </c>
      <c r="B305" s="16">
        <f>B299</f>
        <v>15</v>
      </c>
      <c r="C305" s="20">
        <f>C299</f>
        <v>11</v>
      </c>
      <c r="D305" s="20">
        <f>D299</f>
        <v>16</v>
      </c>
      <c r="E305" s="15">
        <f t="shared" ref="E305:E341" si="92">SUM(B305:D305)</f>
        <v>42</v>
      </c>
      <c r="G305" s="38" t="s">
        <v>5</v>
      </c>
      <c r="H305" s="16">
        <f>H299</f>
        <v>329</v>
      </c>
      <c r="I305" s="20">
        <f t="shared" ref="I305:K305" si="93">I299</f>
        <v>425</v>
      </c>
      <c r="J305" s="20">
        <f t="shared" si="93"/>
        <v>330</v>
      </c>
      <c r="K305" s="15">
        <f t="shared" si="93"/>
        <v>1084</v>
      </c>
    </row>
    <row r="306" spans="1:14" x14ac:dyDescent="0.15">
      <c r="A306" s="3" t="s">
        <v>11</v>
      </c>
      <c r="B306" s="8"/>
      <c r="C306" s="7">
        <v>5</v>
      </c>
      <c r="D306" s="8"/>
      <c r="E306" s="4">
        <f t="shared" si="92"/>
        <v>5</v>
      </c>
      <c r="F306" s="39">
        <v>45607</v>
      </c>
      <c r="G306" s="34" t="s">
        <v>11</v>
      </c>
      <c r="H306" s="8"/>
      <c r="I306" s="7"/>
      <c r="J306" s="8"/>
      <c r="K306" s="4">
        <f t="shared" ref="K306:K311" si="94">SUM(H306:J306)</f>
        <v>0</v>
      </c>
    </row>
    <row r="307" spans="1:14" x14ac:dyDescent="0.15">
      <c r="A307" s="3" t="s">
        <v>11</v>
      </c>
      <c r="B307" s="8">
        <v>10</v>
      </c>
      <c r="C307" s="7"/>
      <c r="D307" s="8"/>
      <c r="E307" s="4">
        <f t="shared" ref="E307:E311" si="95">SUM(B307:D307)</f>
        <v>10</v>
      </c>
      <c r="F307" s="39">
        <v>45610</v>
      </c>
      <c r="G307" s="34" t="s">
        <v>11</v>
      </c>
      <c r="H307" s="8"/>
      <c r="I307" s="7"/>
      <c r="J307" s="8"/>
      <c r="K307" s="4">
        <f t="shared" si="94"/>
        <v>0</v>
      </c>
    </row>
    <row r="308" spans="1:14" x14ac:dyDescent="0.15">
      <c r="A308" s="3" t="s">
        <v>107</v>
      </c>
      <c r="B308" s="8">
        <v>1</v>
      </c>
      <c r="C308" s="7">
        <v>1</v>
      </c>
      <c r="D308" s="8">
        <v>1</v>
      </c>
      <c r="E308" s="4">
        <f t="shared" si="95"/>
        <v>3</v>
      </c>
      <c r="F308" s="39">
        <v>45610</v>
      </c>
      <c r="G308" s="34" t="s">
        <v>11</v>
      </c>
      <c r="H308" s="8"/>
      <c r="I308" s="7"/>
      <c r="J308" s="8"/>
      <c r="K308" s="4">
        <f t="shared" si="94"/>
        <v>0</v>
      </c>
    </row>
    <row r="309" spans="1:14" x14ac:dyDescent="0.15">
      <c r="A309" s="3" t="s">
        <v>11</v>
      </c>
      <c r="B309" s="8">
        <v>10</v>
      </c>
      <c r="C309" s="7">
        <v>15</v>
      </c>
      <c r="D309" s="8">
        <v>10</v>
      </c>
      <c r="E309" s="4">
        <f t="shared" si="95"/>
        <v>35</v>
      </c>
      <c r="F309" s="39">
        <v>45615</v>
      </c>
      <c r="G309" s="34" t="s">
        <v>11</v>
      </c>
      <c r="H309" s="8"/>
      <c r="I309" s="7"/>
      <c r="J309" s="8"/>
      <c r="K309" s="4">
        <f t="shared" si="94"/>
        <v>0</v>
      </c>
    </row>
    <row r="310" spans="1:14" x14ac:dyDescent="0.15">
      <c r="A310" s="3" t="s">
        <v>11</v>
      </c>
      <c r="B310" s="8">
        <v>5</v>
      </c>
      <c r="C310" s="7">
        <v>15</v>
      </c>
      <c r="D310" s="8"/>
      <c r="E310" s="4">
        <f t="shared" si="95"/>
        <v>20</v>
      </c>
      <c r="F310" s="39">
        <v>45618</v>
      </c>
      <c r="G310" s="34" t="s">
        <v>11</v>
      </c>
      <c r="H310" s="8"/>
      <c r="I310" s="7"/>
      <c r="J310" s="8"/>
      <c r="K310" s="4">
        <f t="shared" si="94"/>
        <v>0</v>
      </c>
    </row>
    <row r="311" spans="1:14" x14ac:dyDescent="0.15">
      <c r="A311" s="3" t="s">
        <v>11</v>
      </c>
      <c r="B311" s="8">
        <v>15</v>
      </c>
      <c r="C311" s="7">
        <v>15</v>
      </c>
      <c r="D311" s="8">
        <v>15</v>
      </c>
      <c r="E311" s="4">
        <f t="shared" si="95"/>
        <v>45</v>
      </c>
      <c r="F311" s="39">
        <v>45624</v>
      </c>
      <c r="G311" s="34" t="s">
        <v>11</v>
      </c>
      <c r="H311" s="8"/>
      <c r="I311" s="7"/>
      <c r="J311" s="8"/>
      <c r="K311" s="4">
        <f t="shared" si="94"/>
        <v>0</v>
      </c>
    </row>
    <row r="312" spans="1:14" x14ac:dyDescent="0.15">
      <c r="A312" s="3" t="s">
        <v>11</v>
      </c>
      <c r="B312" s="8">
        <v>10</v>
      </c>
      <c r="C312" s="7">
        <v>15</v>
      </c>
      <c r="D312" s="8">
        <v>15</v>
      </c>
      <c r="E312" s="4">
        <f t="shared" si="92"/>
        <v>40</v>
      </c>
      <c r="F312" s="39">
        <v>45632</v>
      </c>
      <c r="G312" s="34" t="s">
        <v>11</v>
      </c>
      <c r="H312" s="8"/>
      <c r="I312" s="7"/>
      <c r="J312" s="8"/>
      <c r="K312" s="4">
        <f t="shared" ref="K312:K331" si="96">SUM(H312:J312)</f>
        <v>0</v>
      </c>
    </row>
    <row r="313" spans="1:14" x14ac:dyDescent="0.15">
      <c r="A313" s="3" t="s">
        <v>11</v>
      </c>
      <c r="B313" s="8"/>
      <c r="C313" s="7"/>
      <c r="D313" s="8"/>
      <c r="E313" s="4">
        <f t="shared" si="92"/>
        <v>0</v>
      </c>
      <c r="F313" s="39"/>
      <c r="G313" s="34" t="s">
        <v>11</v>
      </c>
      <c r="H313" s="8"/>
      <c r="I313" s="7"/>
      <c r="J313" s="8"/>
      <c r="K313" s="4">
        <f t="shared" si="96"/>
        <v>0</v>
      </c>
    </row>
    <row r="314" spans="1:14" x14ac:dyDescent="0.15">
      <c r="A314" s="3" t="s">
        <v>11</v>
      </c>
      <c r="B314" s="8"/>
      <c r="C314" s="7"/>
      <c r="D314" s="8"/>
      <c r="E314" s="4">
        <f t="shared" si="92"/>
        <v>0</v>
      </c>
      <c r="F314" s="39"/>
      <c r="G314" s="34" t="s">
        <v>11</v>
      </c>
      <c r="H314" s="8"/>
      <c r="I314" s="7"/>
      <c r="J314" s="8"/>
      <c r="K314" s="4">
        <f t="shared" si="96"/>
        <v>0</v>
      </c>
    </row>
    <row r="315" spans="1:14" ht="14.25" thickBot="1" x14ac:dyDescent="0.2">
      <c r="A315" s="3" t="s">
        <v>11</v>
      </c>
      <c r="B315" s="11"/>
      <c r="C315" s="10"/>
      <c r="D315" s="11"/>
      <c r="E315" s="18">
        <f t="shared" si="92"/>
        <v>0</v>
      </c>
      <c r="G315" s="34" t="s">
        <v>11</v>
      </c>
      <c r="H315" s="11"/>
      <c r="I315" s="10"/>
      <c r="J315" s="11"/>
      <c r="K315" s="18">
        <f t="shared" si="96"/>
        <v>0</v>
      </c>
    </row>
    <row r="316" spans="1:14" ht="14.25" thickBot="1" x14ac:dyDescent="0.2">
      <c r="A316" s="21" t="s">
        <v>3</v>
      </c>
      <c r="B316" s="22">
        <f>SUM(B305:B315)</f>
        <v>66</v>
      </c>
      <c r="C316" s="22">
        <f>SUM(C305:C315)</f>
        <v>77</v>
      </c>
      <c r="D316" s="23">
        <f>SUM(D305:D315)</f>
        <v>57</v>
      </c>
      <c r="E316" s="24">
        <f t="shared" si="92"/>
        <v>200</v>
      </c>
      <c r="G316" s="35" t="s">
        <v>3</v>
      </c>
      <c r="H316" s="22">
        <f>SUM(H305:H315)</f>
        <v>329</v>
      </c>
      <c r="I316" s="22">
        <f t="shared" ref="I316" si="97">SUM(I305:I315)</f>
        <v>425</v>
      </c>
      <c r="J316" s="23">
        <f t="shared" ref="J316" si="98">SUM(J305:J315)</f>
        <v>330</v>
      </c>
      <c r="K316" s="24">
        <f t="shared" ref="K316" si="99">SUM(K305:K315)</f>
        <v>1084</v>
      </c>
    </row>
    <row r="317" spans="1:14" x14ac:dyDescent="0.15">
      <c r="A317" s="3" t="s">
        <v>79</v>
      </c>
      <c r="B317" s="6"/>
      <c r="C317" s="7">
        <v>1</v>
      </c>
      <c r="D317" s="8"/>
      <c r="E317" s="5">
        <f t="shared" ref="E317:E333" si="100">SUM(B317:D317)</f>
        <v>1</v>
      </c>
      <c r="F317" s="39">
        <v>45604</v>
      </c>
      <c r="G317" s="34" t="s">
        <v>196</v>
      </c>
      <c r="H317" s="6"/>
      <c r="I317" s="7">
        <v>5</v>
      </c>
      <c r="J317" s="8"/>
      <c r="K317" s="5">
        <f t="shared" si="96"/>
        <v>5</v>
      </c>
      <c r="L317" s="66">
        <v>45607</v>
      </c>
      <c r="M317" s="27"/>
    </row>
    <row r="318" spans="1:14" x14ac:dyDescent="0.15">
      <c r="A318" s="3" t="s">
        <v>80</v>
      </c>
      <c r="B318" s="6">
        <v>1</v>
      </c>
      <c r="C318" s="7"/>
      <c r="D318" s="8"/>
      <c r="E318" s="5">
        <f t="shared" si="100"/>
        <v>1</v>
      </c>
      <c r="F318" s="39">
        <v>45607</v>
      </c>
      <c r="G318" s="34" t="s">
        <v>26</v>
      </c>
      <c r="H318" s="6">
        <v>10</v>
      </c>
      <c r="I318" s="7"/>
      <c r="J318" s="8"/>
      <c r="K318" s="5">
        <f t="shared" ref="K318:K323" si="101">SUM(H318:J318)</f>
        <v>10</v>
      </c>
      <c r="L318" s="66">
        <v>45610</v>
      </c>
      <c r="M318" s="27"/>
    </row>
    <row r="319" spans="1:14" x14ac:dyDescent="0.15">
      <c r="A319" s="3" t="s">
        <v>83</v>
      </c>
      <c r="B319" s="6"/>
      <c r="C319" s="7"/>
      <c r="D319" s="8">
        <v>1</v>
      </c>
      <c r="E319" s="5">
        <f t="shared" si="100"/>
        <v>1</v>
      </c>
      <c r="F319" s="39">
        <v>45609</v>
      </c>
      <c r="G319" s="34" t="s">
        <v>26</v>
      </c>
      <c r="H319" s="6">
        <v>10</v>
      </c>
      <c r="I319" s="7">
        <v>15</v>
      </c>
      <c r="J319" s="8">
        <v>10</v>
      </c>
      <c r="K319" s="5">
        <f t="shared" si="101"/>
        <v>35</v>
      </c>
      <c r="L319" s="66">
        <v>45616</v>
      </c>
      <c r="M319" s="27"/>
      <c r="N319" s="27"/>
    </row>
    <row r="320" spans="1:14" x14ac:dyDescent="0.15">
      <c r="A320" s="3" t="s">
        <v>84</v>
      </c>
      <c r="B320" s="6">
        <v>2</v>
      </c>
      <c r="C320" s="7">
        <v>1</v>
      </c>
      <c r="D320" s="8">
        <v>1</v>
      </c>
      <c r="E320" s="5">
        <f t="shared" si="100"/>
        <v>4</v>
      </c>
      <c r="F320" s="39">
        <v>45610</v>
      </c>
      <c r="G320" s="34" t="s">
        <v>26</v>
      </c>
      <c r="H320" s="6">
        <v>5</v>
      </c>
      <c r="I320" s="7">
        <v>15</v>
      </c>
      <c r="J320" s="8"/>
      <c r="K320" s="5">
        <f t="shared" si="101"/>
        <v>20</v>
      </c>
      <c r="L320" s="66">
        <v>45618</v>
      </c>
      <c r="M320" s="27"/>
      <c r="N320" s="27"/>
    </row>
    <row r="321" spans="1:14" x14ac:dyDescent="0.15">
      <c r="A321" s="3" t="s">
        <v>85</v>
      </c>
      <c r="B321" s="6">
        <v>4</v>
      </c>
      <c r="C321" s="7">
        <v>2</v>
      </c>
      <c r="D321" s="8">
        <v>3</v>
      </c>
      <c r="E321" s="5">
        <f t="shared" si="100"/>
        <v>9</v>
      </c>
      <c r="F321" s="39">
        <v>45611</v>
      </c>
      <c r="G321" s="34" t="s">
        <v>201</v>
      </c>
      <c r="H321" s="6">
        <v>9</v>
      </c>
      <c r="I321" s="7">
        <v>9</v>
      </c>
      <c r="J321" s="8">
        <v>9</v>
      </c>
      <c r="K321" s="5">
        <f t="shared" si="101"/>
        <v>27</v>
      </c>
      <c r="L321" s="66">
        <v>45630</v>
      </c>
      <c r="M321" s="27"/>
      <c r="N321" s="27"/>
    </row>
    <row r="322" spans="1:14" x14ac:dyDescent="0.15">
      <c r="A322" s="3" t="s">
        <v>86</v>
      </c>
      <c r="B322" s="6">
        <v>7</v>
      </c>
      <c r="C322" s="7">
        <v>7</v>
      </c>
      <c r="D322" s="8"/>
      <c r="E322" s="5">
        <f t="shared" si="100"/>
        <v>14</v>
      </c>
      <c r="F322" s="39">
        <v>45611</v>
      </c>
      <c r="G322" s="34" t="s">
        <v>26</v>
      </c>
      <c r="H322" s="6">
        <v>15</v>
      </c>
      <c r="I322" s="7">
        <v>15</v>
      </c>
      <c r="J322" s="8">
        <v>15</v>
      </c>
      <c r="K322" s="5">
        <f t="shared" si="101"/>
        <v>45</v>
      </c>
      <c r="L322" s="66">
        <v>45624</v>
      </c>
      <c r="M322" s="27"/>
      <c r="N322" s="27"/>
    </row>
    <row r="323" spans="1:14" x14ac:dyDescent="0.15">
      <c r="A323" s="3" t="s">
        <v>88</v>
      </c>
      <c r="B323" s="6">
        <v>4</v>
      </c>
      <c r="C323" s="7">
        <v>4</v>
      </c>
      <c r="D323" s="8">
        <v>4</v>
      </c>
      <c r="E323" s="5">
        <f t="shared" si="100"/>
        <v>12</v>
      </c>
      <c r="F323" s="39">
        <v>45614</v>
      </c>
      <c r="G323" s="34" t="s">
        <v>26</v>
      </c>
      <c r="H323" s="6">
        <v>10</v>
      </c>
      <c r="I323" s="7">
        <v>15</v>
      </c>
      <c r="J323" s="8">
        <v>15</v>
      </c>
      <c r="K323" s="5">
        <f t="shared" si="101"/>
        <v>40</v>
      </c>
      <c r="L323" s="66">
        <v>45632</v>
      </c>
      <c r="M323" s="27"/>
      <c r="N323" s="27"/>
    </row>
    <row r="324" spans="1:14" x14ac:dyDescent="0.15">
      <c r="A324" s="34" t="s">
        <v>197</v>
      </c>
      <c r="B324" s="6"/>
      <c r="C324" s="7"/>
      <c r="D324" s="8">
        <v>1</v>
      </c>
      <c r="E324" s="5">
        <f t="shared" si="100"/>
        <v>1</v>
      </c>
      <c r="F324" s="39">
        <v>45611</v>
      </c>
      <c r="G324" s="34" t="s">
        <v>203</v>
      </c>
      <c r="H324" s="6">
        <v>10</v>
      </c>
      <c r="I324" s="7">
        <v>5</v>
      </c>
      <c r="J324" s="8"/>
      <c r="K324" s="5">
        <f t="shared" si="96"/>
        <v>15</v>
      </c>
      <c r="L324" s="66">
        <v>45636</v>
      </c>
      <c r="M324" s="27"/>
      <c r="N324" s="27"/>
    </row>
    <row r="325" spans="1:14" x14ac:dyDescent="0.15">
      <c r="A325" s="3" t="s">
        <v>90</v>
      </c>
      <c r="B325" s="6"/>
      <c r="C325" s="7"/>
      <c r="D325" s="8">
        <v>1</v>
      </c>
      <c r="E325" s="5">
        <f t="shared" si="100"/>
        <v>1</v>
      </c>
      <c r="F325" s="39">
        <v>45616</v>
      </c>
      <c r="G325" s="34"/>
      <c r="H325" s="6"/>
      <c r="I325" s="7"/>
      <c r="J325" s="8"/>
      <c r="K325" s="5">
        <f t="shared" si="96"/>
        <v>0</v>
      </c>
      <c r="L325" s="67"/>
      <c r="M325" s="27"/>
      <c r="N325" s="27"/>
    </row>
    <row r="326" spans="1:14" x14ac:dyDescent="0.15">
      <c r="A326" s="3" t="s">
        <v>91</v>
      </c>
      <c r="B326" s="6">
        <v>3</v>
      </c>
      <c r="C326" s="7">
        <v>6</v>
      </c>
      <c r="D326" s="8">
        <v>1</v>
      </c>
      <c r="E326" s="5">
        <f t="shared" si="100"/>
        <v>10</v>
      </c>
      <c r="F326" s="39">
        <v>45617</v>
      </c>
      <c r="G326" s="34"/>
      <c r="H326" s="6"/>
      <c r="I326" s="7"/>
      <c r="J326" s="8"/>
      <c r="K326" s="5">
        <f t="shared" si="96"/>
        <v>0</v>
      </c>
      <c r="L326" s="67"/>
    </row>
    <row r="327" spans="1:14" x14ac:dyDescent="0.15">
      <c r="A327" s="3" t="s">
        <v>92</v>
      </c>
      <c r="B327" s="6">
        <v>1</v>
      </c>
      <c r="C327" s="7">
        <v>3</v>
      </c>
      <c r="D327" s="8">
        <v>4</v>
      </c>
      <c r="E327" s="5">
        <f t="shared" si="100"/>
        <v>8</v>
      </c>
      <c r="F327" s="39">
        <v>45618</v>
      </c>
      <c r="G327" s="34"/>
      <c r="H327" s="6"/>
      <c r="I327" s="7"/>
      <c r="J327" s="8"/>
      <c r="K327" s="5">
        <f t="shared" si="96"/>
        <v>0</v>
      </c>
      <c r="L327" s="67"/>
    </row>
    <row r="328" spans="1:14" x14ac:dyDescent="0.15">
      <c r="A328" s="3" t="s">
        <v>93</v>
      </c>
      <c r="B328" s="6">
        <v>2</v>
      </c>
      <c r="C328" s="7">
        <v>5</v>
      </c>
      <c r="D328" s="8">
        <v>3</v>
      </c>
      <c r="E328" s="5">
        <f t="shared" si="100"/>
        <v>10</v>
      </c>
      <c r="F328" s="39">
        <v>45618</v>
      </c>
      <c r="G328" s="34"/>
      <c r="H328" s="6"/>
      <c r="I328" s="7"/>
      <c r="J328" s="8"/>
      <c r="K328" s="5">
        <f t="shared" si="96"/>
        <v>0</v>
      </c>
      <c r="L328" s="67"/>
    </row>
    <row r="329" spans="1:14" x14ac:dyDescent="0.15">
      <c r="A329" s="3" t="s">
        <v>98</v>
      </c>
      <c r="B329" s="6">
        <v>5</v>
      </c>
      <c r="C329" s="7">
        <v>7</v>
      </c>
      <c r="D329" s="8"/>
      <c r="E329" s="5">
        <f t="shared" si="100"/>
        <v>12</v>
      </c>
      <c r="F329" s="39">
        <v>45621</v>
      </c>
      <c r="G329" s="34"/>
      <c r="H329" s="6"/>
      <c r="I329" s="7"/>
      <c r="J329" s="8"/>
      <c r="K329" s="5">
        <f t="shared" si="96"/>
        <v>0</v>
      </c>
      <c r="L329" s="67"/>
    </row>
    <row r="330" spans="1:14" x14ac:dyDescent="0.15">
      <c r="A330" s="3" t="s">
        <v>100</v>
      </c>
      <c r="B330" s="6">
        <v>2</v>
      </c>
      <c r="C330" s="7">
        <v>5</v>
      </c>
      <c r="D330" s="8"/>
      <c r="E330" s="5">
        <f t="shared" si="100"/>
        <v>7</v>
      </c>
      <c r="F330" s="39">
        <v>45623</v>
      </c>
      <c r="G330" s="34"/>
      <c r="H330" s="6"/>
      <c r="I330" s="7"/>
      <c r="J330" s="8"/>
      <c r="K330" s="5">
        <f t="shared" si="96"/>
        <v>0</v>
      </c>
      <c r="L330" s="67"/>
    </row>
    <row r="331" spans="1:14" x14ac:dyDescent="0.15">
      <c r="A331" s="34" t="s">
        <v>36</v>
      </c>
      <c r="B331" s="6">
        <v>1</v>
      </c>
      <c r="C331" s="7"/>
      <c r="D331" s="8"/>
      <c r="E331" s="5">
        <f t="shared" si="100"/>
        <v>1</v>
      </c>
      <c r="F331" s="39">
        <v>45621</v>
      </c>
      <c r="G331" s="34"/>
      <c r="H331" s="6"/>
      <c r="I331" s="7"/>
      <c r="J331" s="8"/>
      <c r="K331" s="5">
        <f t="shared" si="96"/>
        <v>0</v>
      </c>
      <c r="L331" s="67"/>
    </row>
    <row r="332" spans="1:14" x14ac:dyDescent="0.15">
      <c r="A332" s="3" t="s">
        <v>101</v>
      </c>
      <c r="B332" s="6">
        <v>7</v>
      </c>
      <c r="C332" s="7">
        <v>4</v>
      </c>
      <c r="D332" s="8">
        <v>6</v>
      </c>
      <c r="E332" s="5">
        <f t="shared" si="100"/>
        <v>17</v>
      </c>
      <c r="F332" s="39">
        <v>45624</v>
      </c>
      <c r="G332" s="34"/>
      <c r="H332" s="6"/>
      <c r="I332" s="7"/>
      <c r="J332" s="8"/>
      <c r="K332" s="5">
        <f t="shared" ref="K332:K340" si="102">SUM(H332:J332)</f>
        <v>0</v>
      </c>
      <c r="L332" s="67"/>
    </row>
    <row r="333" spans="1:14" x14ac:dyDescent="0.15">
      <c r="A333" s="3" t="s">
        <v>102</v>
      </c>
      <c r="B333" s="6"/>
      <c r="C333" s="7">
        <v>2</v>
      </c>
      <c r="D333" s="8">
        <v>2</v>
      </c>
      <c r="E333" s="5">
        <f t="shared" si="100"/>
        <v>4</v>
      </c>
      <c r="F333" s="39">
        <v>45625</v>
      </c>
      <c r="G333" s="34"/>
      <c r="H333" s="6"/>
      <c r="I333" s="7"/>
      <c r="J333" s="8"/>
      <c r="K333" s="5">
        <f t="shared" si="102"/>
        <v>0</v>
      </c>
      <c r="L333" s="67"/>
    </row>
    <row r="334" spans="1:14" x14ac:dyDescent="0.15">
      <c r="A334" s="3" t="s">
        <v>104</v>
      </c>
      <c r="B334" s="6">
        <v>2</v>
      </c>
      <c r="C334" s="7">
        <v>2</v>
      </c>
      <c r="D334" s="8">
        <v>6</v>
      </c>
      <c r="E334" s="5">
        <f t="shared" si="92"/>
        <v>10</v>
      </c>
      <c r="F334" s="39">
        <v>45625</v>
      </c>
      <c r="G334" s="34"/>
      <c r="H334" s="6"/>
      <c r="I334" s="7"/>
      <c r="J334" s="8"/>
      <c r="K334" s="5">
        <f t="shared" si="102"/>
        <v>0</v>
      </c>
      <c r="L334" s="67"/>
    </row>
    <row r="335" spans="1:14" x14ac:dyDescent="0.15">
      <c r="A335" s="3" t="s">
        <v>108</v>
      </c>
      <c r="B335" s="6">
        <v>4</v>
      </c>
      <c r="C335" s="7">
        <v>5</v>
      </c>
      <c r="D335" s="8"/>
      <c r="E335" s="5">
        <f t="shared" si="92"/>
        <v>9</v>
      </c>
      <c r="F335" s="39">
        <v>45628</v>
      </c>
      <c r="G335" s="34"/>
      <c r="H335" s="6"/>
      <c r="I335" s="7"/>
      <c r="J335" s="8"/>
      <c r="K335" s="5">
        <f t="shared" si="102"/>
        <v>0</v>
      </c>
      <c r="L335" s="67"/>
    </row>
    <row r="336" spans="1:14" x14ac:dyDescent="0.15">
      <c r="A336" s="3" t="s">
        <v>109</v>
      </c>
      <c r="B336" s="6">
        <v>1</v>
      </c>
      <c r="C336" s="7">
        <v>1</v>
      </c>
      <c r="D336" s="8">
        <v>1</v>
      </c>
      <c r="E336" s="5">
        <f t="shared" si="92"/>
        <v>3</v>
      </c>
      <c r="F336" s="39">
        <v>45630</v>
      </c>
      <c r="G336" s="34" t="s">
        <v>190</v>
      </c>
      <c r="H336" s="6"/>
      <c r="I336" s="7"/>
      <c r="J336" s="8"/>
      <c r="K336" s="5">
        <f t="shared" ref="K336:K337" si="103">SUM(H336:J336)</f>
        <v>0</v>
      </c>
      <c r="L336" s="67" t="s">
        <v>191</v>
      </c>
    </row>
    <row r="337" spans="1:12" x14ac:dyDescent="0.15">
      <c r="A337" s="34" t="s">
        <v>36</v>
      </c>
      <c r="B337" s="6"/>
      <c r="C337" s="7">
        <v>2</v>
      </c>
      <c r="D337" s="8"/>
      <c r="E337" s="5">
        <f t="shared" si="92"/>
        <v>2</v>
      </c>
      <c r="F337" s="39">
        <v>45628</v>
      </c>
      <c r="G337" s="34" t="s">
        <v>192</v>
      </c>
      <c r="H337" s="6"/>
      <c r="I337" s="7"/>
      <c r="J337" s="8"/>
      <c r="K337" s="5">
        <f t="shared" si="103"/>
        <v>0</v>
      </c>
      <c r="L337" s="67" t="s">
        <v>39</v>
      </c>
    </row>
    <row r="338" spans="1:12" x14ac:dyDescent="0.15">
      <c r="A338" s="3" t="s">
        <v>110</v>
      </c>
      <c r="B338" s="6">
        <v>1</v>
      </c>
      <c r="C338" s="7"/>
      <c r="D338" s="8"/>
      <c r="E338" s="5">
        <f t="shared" si="92"/>
        <v>1</v>
      </c>
      <c r="F338" s="39">
        <v>45631</v>
      </c>
      <c r="G338" s="34" t="s">
        <v>199</v>
      </c>
      <c r="H338" s="6"/>
      <c r="I338" s="7"/>
      <c r="J338" s="8"/>
      <c r="K338" s="5">
        <f t="shared" si="102"/>
        <v>0</v>
      </c>
      <c r="L338" s="67" t="s">
        <v>200</v>
      </c>
    </row>
    <row r="339" spans="1:12" x14ac:dyDescent="0.15">
      <c r="A339" s="3" t="s">
        <v>112</v>
      </c>
      <c r="B339" s="6"/>
      <c r="C339" s="7">
        <v>2</v>
      </c>
      <c r="D339" s="8">
        <v>5</v>
      </c>
      <c r="E339" s="5">
        <f t="shared" si="92"/>
        <v>7</v>
      </c>
      <c r="F339" s="39">
        <v>45632</v>
      </c>
      <c r="G339" s="34" t="s">
        <v>186</v>
      </c>
      <c r="H339" s="6"/>
      <c r="I339" s="7"/>
      <c r="J339" s="8"/>
      <c r="K339" s="5">
        <f t="shared" si="102"/>
        <v>0</v>
      </c>
      <c r="L339" s="67" t="s">
        <v>187</v>
      </c>
    </row>
    <row r="340" spans="1:12" ht="14.25" thickBot="1" x14ac:dyDescent="0.2">
      <c r="A340" s="3" t="s">
        <v>113</v>
      </c>
      <c r="B340" s="6">
        <v>1</v>
      </c>
      <c r="C340" s="7"/>
      <c r="D340" s="8"/>
      <c r="E340" s="5">
        <f t="shared" si="92"/>
        <v>1</v>
      </c>
      <c r="F340" s="39">
        <v>45632</v>
      </c>
      <c r="G340" s="34" t="s">
        <v>184</v>
      </c>
      <c r="H340" s="6"/>
      <c r="I340" s="7"/>
      <c r="J340" s="8"/>
      <c r="K340" s="5">
        <f t="shared" si="102"/>
        <v>0</v>
      </c>
      <c r="L340" s="67" t="s">
        <v>185</v>
      </c>
    </row>
    <row r="341" spans="1:12" ht="14.25" thickBot="1" x14ac:dyDescent="0.2">
      <c r="A341" s="2" t="s">
        <v>4</v>
      </c>
      <c r="B341" s="12">
        <f>SUM(B317:B340)</f>
        <v>48</v>
      </c>
      <c r="C341" s="12">
        <f>SUM(C317:C340)</f>
        <v>59</v>
      </c>
      <c r="D341" s="12">
        <f>SUM(D317:D340)</f>
        <v>39</v>
      </c>
      <c r="E341" s="13">
        <f t="shared" si="92"/>
        <v>146</v>
      </c>
      <c r="G341" s="36" t="s">
        <v>4</v>
      </c>
      <c r="H341" s="12">
        <f>SUM(H317:H340)</f>
        <v>69</v>
      </c>
      <c r="I341" s="12">
        <f t="shared" ref="I341" si="104">SUM(I317:I340)</f>
        <v>79</v>
      </c>
      <c r="J341" s="12">
        <f t="shared" ref="J341" si="105">SUM(J317:J340)</f>
        <v>49</v>
      </c>
      <c r="K341" s="13">
        <f t="shared" ref="K341" si="106">SUM(K317:K340)</f>
        <v>197</v>
      </c>
    </row>
    <row r="342" spans="1:12" ht="14.25" thickBot="1" x14ac:dyDescent="0.2">
      <c r="A342" s="25" t="s">
        <v>5</v>
      </c>
      <c r="B342" s="26">
        <f>B316-B341</f>
        <v>18</v>
      </c>
      <c r="C342" s="26">
        <f t="shared" ref="C342:E342" si="107">C316-C341</f>
        <v>18</v>
      </c>
      <c r="D342" s="26">
        <f t="shared" si="107"/>
        <v>18</v>
      </c>
      <c r="E342" s="24">
        <f t="shared" si="107"/>
        <v>54</v>
      </c>
      <c r="G342" s="37" t="s">
        <v>5</v>
      </c>
      <c r="H342" s="26">
        <f>H316-H341</f>
        <v>260</v>
      </c>
      <c r="I342" s="26">
        <f t="shared" ref="I342" si="108">I316-I341</f>
        <v>346</v>
      </c>
      <c r="J342" s="26">
        <f t="shared" ref="J342" si="109">J316-J341</f>
        <v>281</v>
      </c>
      <c r="K342" s="24">
        <f t="shared" ref="K342" si="110">K316-K341</f>
        <v>887</v>
      </c>
    </row>
    <row r="345" spans="1:12" ht="21.75" thickBot="1" x14ac:dyDescent="0.25">
      <c r="A345" s="30" t="s">
        <v>23</v>
      </c>
      <c r="B345" s="28"/>
      <c r="C345" s="28"/>
      <c r="D345" s="28"/>
      <c r="E345" s="28"/>
      <c r="G345" s="31" t="s">
        <v>25</v>
      </c>
      <c r="H345" s="29"/>
      <c r="I345" s="29"/>
      <c r="J345" s="29"/>
      <c r="K345" s="29"/>
    </row>
    <row r="346" spans="1:12" ht="14.25" thickBot="1" x14ac:dyDescent="0.2">
      <c r="A346" s="1" t="s">
        <v>0</v>
      </c>
      <c r="B346" s="91" t="s">
        <v>10</v>
      </c>
      <c r="C346" s="91"/>
      <c r="D346" s="91"/>
      <c r="E346" s="92"/>
      <c r="G346" s="1" t="s">
        <v>0</v>
      </c>
      <c r="H346" s="91" t="s">
        <v>195</v>
      </c>
      <c r="I346" s="91"/>
      <c r="J346" s="91"/>
      <c r="K346" s="92"/>
    </row>
    <row r="347" spans="1:12" ht="14.25" thickBot="1" x14ac:dyDescent="0.2">
      <c r="A347" s="1" t="s">
        <v>1</v>
      </c>
      <c r="B347" s="2" t="s">
        <v>6</v>
      </c>
      <c r="C347" s="1" t="s">
        <v>7</v>
      </c>
      <c r="D347" s="17" t="s">
        <v>8</v>
      </c>
      <c r="E347" s="1" t="s">
        <v>2</v>
      </c>
      <c r="G347" s="33" t="s">
        <v>1</v>
      </c>
      <c r="H347" s="2" t="s">
        <v>6</v>
      </c>
      <c r="I347" s="1" t="s">
        <v>7</v>
      </c>
      <c r="J347" s="17" t="s">
        <v>8</v>
      </c>
      <c r="K347" s="1" t="s">
        <v>2</v>
      </c>
    </row>
    <row r="348" spans="1:12" x14ac:dyDescent="0.15">
      <c r="A348" s="19" t="s">
        <v>5</v>
      </c>
      <c r="B348" s="16">
        <f>B342</f>
        <v>18</v>
      </c>
      <c r="C348" s="20">
        <f>C342</f>
        <v>18</v>
      </c>
      <c r="D348" s="20">
        <f>D342</f>
        <v>18</v>
      </c>
      <c r="E348" s="15">
        <f t="shared" ref="E348:E384" si="111">SUM(B348:D348)</f>
        <v>54</v>
      </c>
      <c r="G348" s="38" t="s">
        <v>5</v>
      </c>
      <c r="H348" s="16">
        <f>H342</f>
        <v>260</v>
      </c>
      <c r="I348" s="20">
        <f t="shared" ref="I348:K348" si="112">I342</f>
        <v>346</v>
      </c>
      <c r="J348" s="20">
        <f t="shared" si="112"/>
        <v>281</v>
      </c>
      <c r="K348" s="15">
        <f t="shared" si="112"/>
        <v>887</v>
      </c>
    </row>
    <row r="349" spans="1:12" x14ac:dyDescent="0.15">
      <c r="A349" s="3" t="s">
        <v>11</v>
      </c>
      <c r="B349" s="8">
        <v>5</v>
      </c>
      <c r="C349" s="7">
        <v>5</v>
      </c>
      <c r="D349" s="8"/>
      <c r="E349" s="4">
        <f t="shared" ref="E349:E352" si="113">SUM(B349:D349)</f>
        <v>10</v>
      </c>
      <c r="F349" s="39">
        <v>45637</v>
      </c>
      <c r="G349" s="34" t="s">
        <v>11</v>
      </c>
      <c r="H349" s="8"/>
      <c r="I349" s="7"/>
      <c r="J349" s="8"/>
      <c r="K349" s="4">
        <f t="shared" ref="K349:K378" si="114">SUM(H349:J349)</f>
        <v>0</v>
      </c>
    </row>
    <row r="350" spans="1:12" x14ac:dyDescent="0.15">
      <c r="A350" s="3" t="s">
        <v>107</v>
      </c>
      <c r="B350" s="8"/>
      <c r="C350" s="7"/>
      <c r="D350" s="8">
        <v>1</v>
      </c>
      <c r="E350" s="4">
        <f t="shared" si="113"/>
        <v>1</v>
      </c>
      <c r="F350" s="39">
        <v>45637</v>
      </c>
      <c r="G350" s="34" t="s">
        <v>11</v>
      </c>
      <c r="H350" s="8"/>
      <c r="I350" s="7"/>
      <c r="J350" s="8"/>
      <c r="K350" s="4">
        <f t="shared" si="114"/>
        <v>0</v>
      </c>
    </row>
    <row r="351" spans="1:12" x14ac:dyDescent="0.15">
      <c r="A351" s="3" t="s">
        <v>11</v>
      </c>
      <c r="B351" s="8">
        <v>10</v>
      </c>
      <c r="C351" s="7">
        <v>25</v>
      </c>
      <c r="D351" s="8"/>
      <c r="E351" s="4">
        <f t="shared" si="113"/>
        <v>35</v>
      </c>
      <c r="F351" s="39">
        <v>45644</v>
      </c>
      <c r="G351" s="34" t="s">
        <v>11</v>
      </c>
      <c r="H351" s="8"/>
      <c r="I351" s="7"/>
      <c r="J351" s="8"/>
      <c r="K351" s="4">
        <f t="shared" si="114"/>
        <v>0</v>
      </c>
    </row>
    <row r="352" spans="1:12" x14ac:dyDescent="0.15">
      <c r="A352" s="3" t="s">
        <v>11</v>
      </c>
      <c r="B352" s="8"/>
      <c r="C352" s="7">
        <v>5</v>
      </c>
      <c r="D352" s="8"/>
      <c r="E352" s="4">
        <f t="shared" si="113"/>
        <v>5</v>
      </c>
      <c r="F352" s="39">
        <v>45646</v>
      </c>
      <c r="G352" s="34" t="s">
        <v>11</v>
      </c>
      <c r="H352" s="8"/>
      <c r="I352" s="7"/>
      <c r="J352" s="8"/>
      <c r="K352" s="4">
        <f t="shared" si="114"/>
        <v>0</v>
      </c>
    </row>
    <row r="353" spans="1:13" x14ac:dyDescent="0.15">
      <c r="A353" s="3" t="s">
        <v>11</v>
      </c>
      <c r="B353" s="8">
        <v>10</v>
      </c>
      <c r="C353" s="7"/>
      <c r="D353" s="8">
        <v>5</v>
      </c>
      <c r="E353" s="4">
        <f t="shared" si="111"/>
        <v>15</v>
      </c>
      <c r="F353" s="39">
        <v>45651</v>
      </c>
      <c r="G353" s="34" t="s">
        <v>11</v>
      </c>
      <c r="H353" s="8"/>
      <c r="I353" s="7"/>
      <c r="J353" s="8"/>
      <c r="K353" s="4">
        <f t="shared" si="114"/>
        <v>0</v>
      </c>
    </row>
    <row r="354" spans="1:13" x14ac:dyDescent="0.15">
      <c r="A354" s="3" t="s">
        <v>11</v>
      </c>
      <c r="B354" s="8"/>
      <c r="C354" s="7"/>
      <c r="D354" s="8"/>
      <c r="E354" s="4">
        <f t="shared" si="111"/>
        <v>0</v>
      </c>
      <c r="F354" s="39"/>
      <c r="G354" s="34" t="s">
        <v>11</v>
      </c>
      <c r="H354" s="8"/>
      <c r="I354" s="7"/>
      <c r="J354" s="8"/>
      <c r="K354" s="4">
        <f t="shared" si="114"/>
        <v>0</v>
      </c>
    </row>
    <row r="355" spans="1:13" x14ac:dyDescent="0.15">
      <c r="A355" s="3" t="s">
        <v>11</v>
      </c>
      <c r="B355" s="8"/>
      <c r="C355" s="7"/>
      <c r="D355" s="8"/>
      <c r="E355" s="4">
        <f t="shared" si="111"/>
        <v>0</v>
      </c>
      <c r="F355" s="39"/>
      <c r="G355" s="34" t="s">
        <v>11</v>
      </c>
      <c r="H355" s="8"/>
      <c r="I355" s="7"/>
      <c r="J355" s="8"/>
      <c r="K355" s="4">
        <f t="shared" si="114"/>
        <v>0</v>
      </c>
    </row>
    <row r="356" spans="1:13" x14ac:dyDescent="0.15">
      <c r="A356" s="3" t="s">
        <v>11</v>
      </c>
      <c r="B356" s="8"/>
      <c r="C356" s="7"/>
      <c r="D356" s="8"/>
      <c r="E356" s="4">
        <f t="shared" si="111"/>
        <v>0</v>
      </c>
      <c r="F356" s="39"/>
      <c r="G356" s="34" t="s">
        <v>11</v>
      </c>
      <c r="H356" s="8"/>
      <c r="I356" s="7"/>
      <c r="J356" s="8"/>
      <c r="K356" s="4">
        <f t="shared" si="114"/>
        <v>0</v>
      </c>
    </row>
    <row r="357" spans="1:13" x14ac:dyDescent="0.15">
      <c r="A357" s="3" t="s">
        <v>11</v>
      </c>
      <c r="B357" s="8"/>
      <c r="C357" s="7"/>
      <c r="D357" s="8"/>
      <c r="E357" s="4">
        <f t="shared" si="111"/>
        <v>0</v>
      </c>
      <c r="F357" s="39"/>
      <c r="G357" s="34" t="s">
        <v>11</v>
      </c>
      <c r="H357" s="8"/>
      <c r="I357" s="7"/>
      <c r="J357" s="8"/>
      <c r="K357" s="4">
        <f t="shared" si="114"/>
        <v>0</v>
      </c>
    </row>
    <row r="358" spans="1:13" ht="14.25" thickBot="1" x14ac:dyDescent="0.2">
      <c r="A358" s="3" t="s">
        <v>11</v>
      </c>
      <c r="B358" s="11"/>
      <c r="C358" s="10"/>
      <c r="D358" s="11"/>
      <c r="E358" s="18">
        <f t="shared" si="111"/>
        <v>0</v>
      </c>
      <c r="G358" s="34" t="s">
        <v>11</v>
      </c>
      <c r="H358" s="11"/>
      <c r="I358" s="10"/>
      <c r="J358" s="11"/>
      <c r="K358" s="18">
        <f t="shared" si="114"/>
        <v>0</v>
      </c>
    </row>
    <row r="359" spans="1:13" ht="14.25" thickBot="1" x14ac:dyDescent="0.2">
      <c r="A359" s="21" t="s">
        <v>3</v>
      </c>
      <c r="B359" s="22">
        <f>SUM(B348:B358)</f>
        <v>43</v>
      </c>
      <c r="C359" s="22">
        <f>SUM(C348:C358)</f>
        <v>53</v>
      </c>
      <c r="D359" s="23">
        <f>SUM(D348:D358)</f>
        <v>24</v>
      </c>
      <c r="E359" s="24">
        <f t="shared" si="111"/>
        <v>120</v>
      </c>
      <c r="G359" s="35" t="s">
        <v>3</v>
      </c>
      <c r="H359" s="22">
        <f>SUM(H348:H358)</f>
        <v>260</v>
      </c>
      <c r="I359" s="22">
        <f t="shared" ref="I359" si="115">SUM(I348:I358)</f>
        <v>346</v>
      </c>
      <c r="J359" s="23">
        <f t="shared" ref="J359" si="116">SUM(J348:J358)</f>
        <v>281</v>
      </c>
      <c r="K359" s="24">
        <f t="shared" ref="K359" si="117">SUM(K348:K358)</f>
        <v>887</v>
      </c>
    </row>
    <row r="360" spans="1:13" x14ac:dyDescent="0.15">
      <c r="A360" s="3" t="s">
        <v>114</v>
      </c>
      <c r="B360" s="6"/>
      <c r="C360" s="7"/>
      <c r="D360" s="8">
        <v>2</v>
      </c>
      <c r="E360" s="5">
        <f t="shared" ref="E360:E369" si="118">SUM(B360:D360)</f>
        <v>2</v>
      </c>
      <c r="F360" s="39">
        <v>45637</v>
      </c>
      <c r="G360" s="34" t="s">
        <v>208</v>
      </c>
      <c r="H360" s="6">
        <v>5</v>
      </c>
      <c r="I360" s="7">
        <v>5</v>
      </c>
      <c r="J360" s="8"/>
      <c r="K360" s="5">
        <f t="shared" ref="K360:K362" si="119">SUM(H360:J360)</f>
        <v>10</v>
      </c>
      <c r="L360" s="66">
        <v>45637</v>
      </c>
      <c r="M360" s="27"/>
    </row>
    <row r="361" spans="1:13" x14ac:dyDescent="0.15">
      <c r="A361" s="34" t="s">
        <v>206</v>
      </c>
      <c r="B361" s="6"/>
      <c r="C361" s="7">
        <v>5</v>
      </c>
      <c r="D361" s="8"/>
      <c r="E361" s="5">
        <f t="shared" si="118"/>
        <v>5</v>
      </c>
      <c r="F361" s="39">
        <v>45638</v>
      </c>
      <c r="G361" s="34" t="s">
        <v>209</v>
      </c>
      <c r="H361" s="6"/>
      <c r="I361" s="7"/>
      <c r="J361" s="8">
        <v>10</v>
      </c>
      <c r="K361" s="5">
        <f t="shared" si="119"/>
        <v>10</v>
      </c>
      <c r="L361" s="66">
        <v>45642</v>
      </c>
      <c r="M361" s="27"/>
    </row>
    <row r="362" spans="1:13" x14ac:dyDescent="0.15">
      <c r="A362" s="3" t="s">
        <v>116</v>
      </c>
      <c r="B362" s="6">
        <v>4</v>
      </c>
      <c r="C362" s="7">
        <v>2</v>
      </c>
      <c r="D362" s="8"/>
      <c r="E362" s="5">
        <f t="shared" si="118"/>
        <v>6</v>
      </c>
      <c r="F362" s="39">
        <v>45638</v>
      </c>
      <c r="G362" s="34" t="s">
        <v>211</v>
      </c>
      <c r="H362" s="6">
        <v>15</v>
      </c>
      <c r="I362" s="7">
        <v>10</v>
      </c>
      <c r="J362" s="8">
        <v>10</v>
      </c>
      <c r="K362" s="5">
        <f t="shared" si="119"/>
        <v>35</v>
      </c>
      <c r="L362" s="66">
        <v>45644</v>
      </c>
      <c r="M362" s="27"/>
    </row>
    <row r="363" spans="1:13" x14ac:dyDescent="0.15">
      <c r="A363" s="3" t="s">
        <v>117</v>
      </c>
      <c r="B363" s="6">
        <v>4</v>
      </c>
      <c r="C363" s="7"/>
      <c r="D363" s="8"/>
      <c r="E363" s="5">
        <f t="shared" si="118"/>
        <v>4</v>
      </c>
      <c r="F363" s="39">
        <v>45639</v>
      </c>
      <c r="G363" s="34" t="s">
        <v>213</v>
      </c>
      <c r="H363" s="6">
        <v>10</v>
      </c>
      <c r="I363" s="7">
        <v>25</v>
      </c>
      <c r="J363" s="8"/>
      <c r="K363" s="5">
        <f t="shared" si="114"/>
        <v>35</v>
      </c>
      <c r="L363" s="66">
        <v>45644</v>
      </c>
    </row>
    <row r="364" spans="1:13" x14ac:dyDescent="0.15">
      <c r="A364" s="3" t="s">
        <v>118</v>
      </c>
      <c r="B364" s="6">
        <v>2</v>
      </c>
      <c r="C364" s="7"/>
      <c r="D364" s="8">
        <v>2</v>
      </c>
      <c r="E364" s="5">
        <f t="shared" si="118"/>
        <v>4</v>
      </c>
      <c r="F364" s="39">
        <v>45639</v>
      </c>
      <c r="G364" s="34" t="s">
        <v>26</v>
      </c>
      <c r="H364" s="6"/>
      <c r="I364" s="7">
        <v>5</v>
      </c>
      <c r="J364" s="8"/>
      <c r="K364" s="5">
        <f t="shared" si="114"/>
        <v>5</v>
      </c>
      <c r="L364" s="66">
        <v>45646</v>
      </c>
    </row>
    <row r="365" spans="1:13" x14ac:dyDescent="0.15">
      <c r="A365" s="34" t="s">
        <v>210</v>
      </c>
      <c r="B365" s="6"/>
      <c r="C365" s="7">
        <v>8</v>
      </c>
      <c r="D365" s="8">
        <v>3</v>
      </c>
      <c r="E365" s="5">
        <f t="shared" si="118"/>
        <v>11</v>
      </c>
      <c r="F365" s="39">
        <v>45642</v>
      </c>
      <c r="G365" s="34" t="s">
        <v>26</v>
      </c>
      <c r="H365" s="6">
        <v>10</v>
      </c>
      <c r="I365" s="7"/>
      <c r="J365" s="8">
        <v>5</v>
      </c>
      <c r="K365" s="5">
        <f t="shared" si="114"/>
        <v>15</v>
      </c>
      <c r="L365" s="66">
        <v>45651</v>
      </c>
    </row>
    <row r="366" spans="1:13" x14ac:dyDescent="0.15">
      <c r="A366" s="34" t="s">
        <v>36</v>
      </c>
      <c r="B366" s="6"/>
      <c r="C366" s="7">
        <v>1</v>
      </c>
      <c r="D366" s="8"/>
      <c r="E366" s="5">
        <f t="shared" si="118"/>
        <v>1</v>
      </c>
      <c r="F366" s="39">
        <v>45638</v>
      </c>
      <c r="G366" s="34"/>
      <c r="H366" s="6"/>
      <c r="I366" s="7"/>
      <c r="J366" s="8"/>
      <c r="K366" s="5">
        <f t="shared" si="114"/>
        <v>0</v>
      </c>
      <c r="L366" s="67"/>
    </row>
    <row r="367" spans="1:13" x14ac:dyDescent="0.15">
      <c r="A367" s="3" t="s">
        <v>119</v>
      </c>
      <c r="B367" s="6"/>
      <c r="C367" s="7">
        <v>2</v>
      </c>
      <c r="D367" s="8"/>
      <c r="E367" s="5">
        <f t="shared" si="118"/>
        <v>2</v>
      </c>
      <c r="F367" s="39">
        <v>45642</v>
      </c>
      <c r="G367" s="34"/>
      <c r="H367" s="6"/>
      <c r="I367" s="7"/>
      <c r="J367" s="8"/>
      <c r="K367" s="5">
        <f t="shared" si="114"/>
        <v>0</v>
      </c>
      <c r="L367" s="67"/>
    </row>
    <row r="368" spans="1:13" x14ac:dyDescent="0.15">
      <c r="A368" s="3" t="s">
        <v>120</v>
      </c>
      <c r="B368" s="6">
        <v>2</v>
      </c>
      <c r="C368" s="7">
        <v>2</v>
      </c>
      <c r="D368" s="8"/>
      <c r="E368" s="5">
        <f t="shared" si="118"/>
        <v>4</v>
      </c>
      <c r="F368" s="39">
        <v>45644</v>
      </c>
      <c r="G368" s="34"/>
      <c r="H368" s="6"/>
      <c r="I368" s="7"/>
      <c r="J368" s="8"/>
      <c r="K368" s="5">
        <f t="shared" si="114"/>
        <v>0</v>
      </c>
      <c r="L368" s="67"/>
    </row>
    <row r="369" spans="1:12" x14ac:dyDescent="0.15">
      <c r="A369" s="34" t="s">
        <v>212</v>
      </c>
      <c r="B369" s="6">
        <v>1</v>
      </c>
      <c r="C369" s="7">
        <v>10</v>
      </c>
      <c r="D369" s="8"/>
      <c r="E369" s="5">
        <f t="shared" si="118"/>
        <v>11</v>
      </c>
      <c r="F369" s="39">
        <v>45646</v>
      </c>
      <c r="G369" s="34"/>
      <c r="H369" s="6"/>
      <c r="I369" s="7"/>
      <c r="J369" s="8"/>
      <c r="K369" s="5">
        <f t="shared" si="114"/>
        <v>0</v>
      </c>
      <c r="L369" s="67"/>
    </row>
    <row r="370" spans="1:12" x14ac:dyDescent="0.15">
      <c r="A370" s="3" t="s">
        <v>121</v>
      </c>
      <c r="B370" s="6"/>
      <c r="C370" s="7">
        <v>2</v>
      </c>
      <c r="D370" s="8"/>
      <c r="E370" s="5">
        <f t="shared" si="111"/>
        <v>2</v>
      </c>
      <c r="F370" s="39">
        <v>45645</v>
      </c>
      <c r="G370" s="34"/>
      <c r="H370" s="6"/>
      <c r="I370" s="7"/>
      <c r="J370" s="8"/>
      <c r="K370" s="5">
        <f t="shared" si="114"/>
        <v>0</v>
      </c>
      <c r="L370" s="67"/>
    </row>
    <row r="371" spans="1:12" x14ac:dyDescent="0.15">
      <c r="A371" s="34" t="s">
        <v>215</v>
      </c>
      <c r="B371" s="6">
        <v>4</v>
      </c>
      <c r="C371" s="7">
        <v>4</v>
      </c>
      <c r="D371" s="8"/>
      <c r="E371" s="5">
        <f t="shared" si="111"/>
        <v>8</v>
      </c>
      <c r="F371" s="39">
        <v>45647</v>
      </c>
      <c r="G371" s="34"/>
      <c r="H371" s="6"/>
      <c r="I371" s="7"/>
      <c r="J371" s="8"/>
      <c r="K371" s="5">
        <f t="shared" si="114"/>
        <v>0</v>
      </c>
      <c r="L371" s="67"/>
    </row>
    <row r="372" spans="1:12" x14ac:dyDescent="0.15">
      <c r="A372" s="3" t="s">
        <v>122</v>
      </c>
      <c r="B372" s="6"/>
      <c r="C372" s="7"/>
      <c r="D372" s="8">
        <v>1</v>
      </c>
      <c r="E372" s="5">
        <f t="shared" si="111"/>
        <v>1</v>
      </c>
      <c r="F372" s="39">
        <v>45646</v>
      </c>
      <c r="G372" s="34"/>
      <c r="H372" s="6"/>
      <c r="I372" s="7"/>
      <c r="J372" s="8"/>
      <c r="K372" s="5">
        <f t="shared" si="114"/>
        <v>0</v>
      </c>
      <c r="L372" s="67"/>
    </row>
    <row r="373" spans="1:12" x14ac:dyDescent="0.15">
      <c r="A373" s="3" t="s">
        <v>216</v>
      </c>
      <c r="B373" s="6"/>
      <c r="C373" s="7">
        <v>1</v>
      </c>
      <c r="D373" s="8"/>
      <c r="E373" s="5">
        <f t="shared" si="111"/>
        <v>1</v>
      </c>
      <c r="F373" s="39">
        <v>45649</v>
      </c>
      <c r="G373" s="34"/>
      <c r="H373" s="6"/>
      <c r="I373" s="7"/>
      <c r="J373" s="8"/>
      <c r="K373" s="5">
        <f t="shared" si="114"/>
        <v>0</v>
      </c>
      <c r="L373" s="67"/>
    </row>
    <row r="374" spans="1:12" x14ac:dyDescent="0.15">
      <c r="A374" s="3" t="s">
        <v>217</v>
      </c>
      <c r="B374" s="6"/>
      <c r="C374" s="7">
        <v>2</v>
      </c>
      <c r="D374" s="8"/>
      <c r="E374" s="5">
        <f t="shared" si="111"/>
        <v>2</v>
      </c>
      <c r="F374" s="39">
        <v>45651</v>
      </c>
      <c r="G374" s="34"/>
      <c r="H374" s="6"/>
      <c r="I374" s="7"/>
      <c r="J374" s="8"/>
      <c r="K374" s="5">
        <f t="shared" si="114"/>
        <v>0</v>
      </c>
      <c r="L374" s="67"/>
    </row>
    <row r="375" spans="1:12" x14ac:dyDescent="0.15">
      <c r="A375" s="34" t="s">
        <v>218</v>
      </c>
      <c r="B375" s="6">
        <v>5</v>
      </c>
      <c r="C375" s="7"/>
      <c r="D375" s="8"/>
      <c r="E375" s="5">
        <f t="shared" si="111"/>
        <v>5</v>
      </c>
      <c r="F375" s="39">
        <v>45651</v>
      </c>
      <c r="G375" s="34"/>
      <c r="H375" s="6"/>
      <c r="I375" s="7"/>
      <c r="J375" s="8"/>
      <c r="K375" s="5">
        <f t="shared" si="114"/>
        <v>0</v>
      </c>
      <c r="L375" s="67"/>
    </row>
    <row r="376" spans="1:12" x14ac:dyDescent="0.15">
      <c r="A376" s="34" t="s">
        <v>36</v>
      </c>
      <c r="B376" s="6"/>
      <c r="C376" s="7"/>
      <c r="D376" s="8">
        <v>1</v>
      </c>
      <c r="E376" s="5">
        <f t="shared" si="111"/>
        <v>1</v>
      </c>
      <c r="F376" s="39">
        <v>45649</v>
      </c>
      <c r="G376" s="34"/>
      <c r="H376" s="6"/>
      <c r="I376" s="7"/>
      <c r="J376" s="8"/>
      <c r="K376" s="5">
        <f t="shared" si="114"/>
        <v>0</v>
      </c>
      <c r="L376" s="67"/>
    </row>
    <row r="377" spans="1:12" x14ac:dyDescent="0.15">
      <c r="A377" s="3" t="s">
        <v>219</v>
      </c>
      <c r="B377" s="6"/>
      <c r="C377" s="7"/>
      <c r="D377" s="8">
        <v>1</v>
      </c>
      <c r="E377" s="5">
        <f t="shared" si="111"/>
        <v>1</v>
      </c>
      <c r="F377" s="39">
        <v>45653</v>
      </c>
      <c r="G377" s="34"/>
      <c r="H377" s="6"/>
      <c r="I377" s="7"/>
      <c r="J377" s="8"/>
      <c r="K377" s="5">
        <f t="shared" si="114"/>
        <v>0</v>
      </c>
      <c r="L377" s="67"/>
    </row>
    <row r="378" spans="1:12" x14ac:dyDescent="0.15">
      <c r="A378" s="34" t="s">
        <v>36</v>
      </c>
      <c r="B378" s="6">
        <v>1</v>
      </c>
      <c r="C378" s="7"/>
      <c r="D378" s="8"/>
      <c r="E378" s="5">
        <f t="shared" si="111"/>
        <v>1</v>
      </c>
      <c r="F378" s="39">
        <v>45651</v>
      </c>
      <c r="G378" s="34"/>
      <c r="H378" s="6"/>
      <c r="I378" s="7"/>
      <c r="J378" s="8"/>
      <c r="K378" s="5">
        <f t="shared" si="114"/>
        <v>0</v>
      </c>
      <c r="L378" s="67"/>
    </row>
    <row r="379" spans="1:12" x14ac:dyDescent="0.15">
      <c r="A379" s="3" t="s">
        <v>128</v>
      </c>
      <c r="B379" s="6">
        <v>1</v>
      </c>
      <c r="C379" s="7">
        <v>1</v>
      </c>
      <c r="D379" s="8"/>
      <c r="E379" s="5">
        <f t="shared" si="111"/>
        <v>2</v>
      </c>
      <c r="F379" s="39">
        <v>45653</v>
      </c>
      <c r="G379" s="34"/>
      <c r="H379" s="6"/>
      <c r="I379" s="7"/>
      <c r="J379" s="8"/>
      <c r="K379" s="5">
        <f t="shared" ref="K379:K383" si="120">SUM(H379:J379)</f>
        <v>0</v>
      </c>
      <c r="L379" s="67"/>
    </row>
    <row r="380" spans="1:12" x14ac:dyDescent="0.15">
      <c r="A380" s="3" t="s">
        <v>220</v>
      </c>
      <c r="B380" s="6"/>
      <c r="C380" s="7"/>
      <c r="D380" s="8">
        <v>1</v>
      </c>
      <c r="E380" s="5">
        <f t="shared" si="111"/>
        <v>1</v>
      </c>
      <c r="F380" s="39">
        <v>45297</v>
      </c>
      <c r="G380" s="34"/>
      <c r="H380" s="6"/>
      <c r="I380" s="7"/>
      <c r="J380" s="8"/>
      <c r="K380" s="5">
        <f t="shared" si="120"/>
        <v>0</v>
      </c>
      <c r="L380" s="67"/>
    </row>
    <row r="381" spans="1:12" x14ac:dyDescent="0.15">
      <c r="A381" s="34" t="s">
        <v>221</v>
      </c>
      <c r="B381" s="6">
        <v>1</v>
      </c>
      <c r="C381" s="7"/>
      <c r="D381" s="8">
        <v>1</v>
      </c>
      <c r="E381" s="5">
        <f t="shared" si="111"/>
        <v>2</v>
      </c>
      <c r="F381" s="39">
        <v>45666</v>
      </c>
      <c r="G381" s="34"/>
      <c r="H381" s="6"/>
      <c r="I381" s="7"/>
      <c r="J381" s="8"/>
      <c r="K381" s="5">
        <f t="shared" si="120"/>
        <v>0</v>
      </c>
      <c r="L381" s="67"/>
    </row>
    <row r="382" spans="1:12" x14ac:dyDescent="0.15">
      <c r="A382" s="3" t="s">
        <v>222</v>
      </c>
      <c r="B382" s="6"/>
      <c r="C382" s="7">
        <v>5</v>
      </c>
      <c r="D382" s="8"/>
      <c r="E382" s="5">
        <f t="shared" si="111"/>
        <v>5</v>
      </c>
      <c r="F382" s="39">
        <v>45666</v>
      </c>
      <c r="G382" s="34"/>
      <c r="H382" s="6"/>
      <c r="I382" s="7"/>
      <c r="J382" s="8"/>
      <c r="K382" s="5">
        <f t="shared" si="120"/>
        <v>0</v>
      </c>
      <c r="L382" s="67"/>
    </row>
    <row r="383" spans="1:12" ht="14.25" thickBot="1" x14ac:dyDescent="0.2">
      <c r="A383" s="3" t="s">
        <v>223</v>
      </c>
      <c r="B383" s="6">
        <v>3</v>
      </c>
      <c r="C383" s="7">
        <v>1</v>
      </c>
      <c r="D383" s="8"/>
      <c r="E383" s="5">
        <f t="shared" si="111"/>
        <v>4</v>
      </c>
      <c r="F383" s="39">
        <v>45667</v>
      </c>
      <c r="G383" s="34"/>
      <c r="H383" s="6"/>
      <c r="I383" s="7"/>
      <c r="J383" s="8"/>
      <c r="K383" s="5">
        <f t="shared" si="120"/>
        <v>0</v>
      </c>
      <c r="L383" s="67"/>
    </row>
    <row r="384" spans="1:12" ht="14.25" thickBot="1" x14ac:dyDescent="0.2">
      <c r="A384" s="2" t="s">
        <v>4</v>
      </c>
      <c r="B384" s="12">
        <f>SUM(B360:B383)</f>
        <v>28</v>
      </c>
      <c r="C384" s="12">
        <f>SUM(C360:C383)</f>
        <v>46</v>
      </c>
      <c r="D384" s="12">
        <f>SUM(D360:D383)</f>
        <v>12</v>
      </c>
      <c r="E384" s="13">
        <f t="shared" si="111"/>
        <v>86</v>
      </c>
      <c r="G384" s="36" t="s">
        <v>4</v>
      </c>
      <c r="H384" s="12">
        <f>SUM(H360:H383)</f>
        <v>40</v>
      </c>
      <c r="I384" s="12">
        <f t="shared" ref="I384" si="121">SUM(I360:I383)</f>
        <v>45</v>
      </c>
      <c r="J384" s="12">
        <f t="shared" ref="J384" si="122">SUM(J360:J383)</f>
        <v>25</v>
      </c>
      <c r="K384" s="13">
        <f t="shared" ref="K384" si="123">SUM(K360:K383)</f>
        <v>110</v>
      </c>
    </row>
    <row r="385" spans="1:11" ht="14.25" thickBot="1" x14ac:dyDescent="0.2">
      <c r="A385" s="25" t="s">
        <v>5</v>
      </c>
      <c r="B385" s="26">
        <f>B359-B384</f>
        <v>15</v>
      </c>
      <c r="C385" s="26">
        <f t="shared" ref="C385:E385" si="124">C359-C384</f>
        <v>7</v>
      </c>
      <c r="D385" s="26">
        <f t="shared" si="124"/>
        <v>12</v>
      </c>
      <c r="E385" s="24">
        <f t="shared" si="124"/>
        <v>34</v>
      </c>
      <c r="G385" s="37" t="s">
        <v>5</v>
      </c>
      <c r="H385" s="26">
        <f>H359-H384</f>
        <v>220</v>
      </c>
      <c r="I385" s="26">
        <f t="shared" ref="I385" si="125">I359-I384</f>
        <v>301</v>
      </c>
      <c r="J385" s="26">
        <f t="shared" ref="J385" si="126">J359-J384</f>
        <v>256</v>
      </c>
      <c r="K385" s="24">
        <f t="shared" ref="K385" si="127">K359-K384</f>
        <v>777</v>
      </c>
    </row>
    <row r="388" spans="1:11" ht="21.75" thickBot="1" x14ac:dyDescent="0.25">
      <c r="A388" s="30" t="s">
        <v>23</v>
      </c>
      <c r="B388" s="28"/>
      <c r="C388" s="28"/>
      <c r="D388" s="28"/>
      <c r="E388" s="28"/>
      <c r="G388" s="31" t="s">
        <v>25</v>
      </c>
      <c r="H388" s="29"/>
      <c r="I388" s="29"/>
      <c r="J388" s="29"/>
      <c r="K388" s="29"/>
    </row>
    <row r="389" spans="1:11" ht="14.25" thickBot="1" x14ac:dyDescent="0.2">
      <c r="A389" s="1" t="s">
        <v>0</v>
      </c>
      <c r="B389" s="91" t="s">
        <v>10</v>
      </c>
      <c r="C389" s="91"/>
      <c r="D389" s="91"/>
      <c r="E389" s="92"/>
      <c r="G389" s="1" t="s">
        <v>0</v>
      </c>
      <c r="H389" s="91" t="s">
        <v>195</v>
      </c>
      <c r="I389" s="91"/>
      <c r="J389" s="91"/>
      <c r="K389" s="92"/>
    </row>
    <row r="390" spans="1:11" ht="14.25" thickBot="1" x14ac:dyDescent="0.2">
      <c r="A390" s="1" t="s">
        <v>1</v>
      </c>
      <c r="B390" s="2" t="s">
        <v>6</v>
      </c>
      <c r="C390" s="1" t="s">
        <v>7</v>
      </c>
      <c r="D390" s="17" t="s">
        <v>8</v>
      </c>
      <c r="E390" s="1" t="s">
        <v>2</v>
      </c>
      <c r="G390" s="33" t="s">
        <v>1</v>
      </c>
      <c r="H390" s="2" t="s">
        <v>6</v>
      </c>
      <c r="I390" s="1" t="s">
        <v>7</v>
      </c>
      <c r="J390" s="17" t="s">
        <v>8</v>
      </c>
      <c r="K390" s="1" t="s">
        <v>2</v>
      </c>
    </row>
    <row r="391" spans="1:11" x14ac:dyDescent="0.15">
      <c r="A391" s="19" t="s">
        <v>5</v>
      </c>
      <c r="B391" s="16">
        <f>B385</f>
        <v>15</v>
      </c>
      <c r="C391" s="20">
        <f>C385</f>
        <v>7</v>
      </c>
      <c r="D391" s="20">
        <f>D385</f>
        <v>12</v>
      </c>
      <c r="E391" s="15">
        <f t="shared" ref="E391:E427" si="128">SUM(B391:D391)</f>
        <v>34</v>
      </c>
      <c r="G391" s="38" t="s">
        <v>5</v>
      </c>
      <c r="H391" s="16">
        <f>H385</f>
        <v>220</v>
      </c>
      <c r="I391" s="20">
        <f t="shared" ref="I391:K391" si="129">I385</f>
        <v>301</v>
      </c>
      <c r="J391" s="20">
        <f t="shared" si="129"/>
        <v>256</v>
      </c>
      <c r="K391" s="15">
        <f t="shared" si="129"/>
        <v>777</v>
      </c>
    </row>
    <row r="392" spans="1:11" x14ac:dyDescent="0.15">
      <c r="A392" s="3" t="s">
        <v>11</v>
      </c>
      <c r="B392" s="8">
        <v>5</v>
      </c>
      <c r="C392" s="7">
        <v>10</v>
      </c>
      <c r="D392" s="8">
        <v>5</v>
      </c>
      <c r="E392" s="4">
        <f t="shared" ref="E392:E396" si="130">SUM(B392:D392)</f>
        <v>20</v>
      </c>
      <c r="F392" s="39">
        <v>45668</v>
      </c>
      <c r="G392" s="34" t="s">
        <v>11</v>
      </c>
      <c r="H392" s="8"/>
      <c r="I392" s="7"/>
      <c r="J392" s="8"/>
      <c r="K392" s="4">
        <f t="shared" ref="K392:K426" si="131">SUM(H392:J392)</f>
        <v>0</v>
      </c>
    </row>
    <row r="393" spans="1:11" x14ac:dyDescent="0.15">
      <c r="A393" s="3" t="s">
        <v>11</v>
      </c>
      <c r="B393" s="8">
        <v>10</v>
      </c>
      <c r="C393" s="7">
        <v>15</v>
      </c>
      <c r="D393" s="8">
        <v>10</v>
      </c>
      <c r="E393" s="4">
        <f t="shared" si="130"/>
        <v>35</v>
      </c>
      <c r="F393" s="39">
        <v>45672</v>
      </c>
      <c r="G393" s="34" t="s">
        <v>11</v>
      </c>
      <c r="H393" s="8"/>
      <c r="I393" s="7"/>
      <c r="J393" s="8"/>
      <c r="K393" s="4">
        <f t="shared" si="131"/>
        <v>0</v>
      </c>
    </row>
    <row r="394" spans="1:11" x14ac:dyDescent="0.15">
      <c r="A394" s="3" t="s">
        <v>11</v>
      </c>
      <c r="B394" s="8">
        <v>10</v>
      </c>
      <c r="C394" s="7">
        <v>10</v>
      </c>
      <c r="D394" s="8">
        <v>10</v>
      </c>
      <c r="E394" s="4">
        <f t="shared" si="130"/>
        <v>30</v>
      </c>
      <c r="F394" s="39">
        <v>45674</v>
      </c>
      <c r="G394" s="34" t="s">
        <v>11</v>
      </c>
      <c r="H394" s="8"/>
      <c r="I394" s="7"/>
      <c r="J394" s="8"/>
      <c r="K394" s="4">
        <f t="shared" si="131"/>
        <v>0</v>
      </c>
    </row>
    <row r="395" spans="1:11" x14ac:dyDescent="0.15">
      <c r="A395" s="3" t="s">
        <v>11</v>
      </c>
      <c r="B395" s="8">
        <v>15</v>
      </c>
      <c r="C395" s="7">
        <v>5</v>
      </c>
      <c r="D395" s="8"/>
      <c r="E395" s="4">
        <f t="shared" si="130"/>
        <v>20</v>
      </c>
      <c r="F395" s="39">
        <v>45679</v>
      </c>
      <c r="G395" s="34" t="s">
        <v>11</v>
      </c>
      <c r="H395" s="8"/>
      <c r="I395" s="7"/>
      <c r="J395" s="8"/>
      <c r="K395" s="4">
        <f t="shared" si="131"/>
        <v>0</v>
      </c>
    </row>
    <row r="396" spans="1:11" x14ac:dyDescent="0.15">
      <c r="A396" s="3" t="s">
        <v>11</v>
      </c>
      <c r="B396" s="8">
        <v>10</v>
      </c>
      <c r="C396" s="7"/>
      <c r="D396" s="8">
        <v>15</v>
      </c>
      <c r="E396" s="4">
        <f t="shared" si="130"/>
        <v>25</v>
      </c>
      <c r="F396" s="39">
        <v>45686</v>
      </c>
      <c r="G396" s="34" t="s">
        <v>11</v>
      </c>
      <c r="H396" s="8"/>
      <c r="I396" s="7"/>
      <c r="J396" s="8"/>
      <c r="K396" s="4">
        <f t="shared" si="131"/>
        <v>0</v>
      </c>
    </row>
    <row r="397" spans="1:11" x14ac:dyDescent="0.15">
      <c r="A397" s="3" t="s">
        <v>11</v>
      </c>
      <c r="B397" s="8">
        <v>10</v>
      </c>
      <c r="C397" s="7">
        <v>15</v>
      </c>
      <c r="D397" s="8"/>
      <c r="E397" s="4">
        <f t="shared" si="128"/>
        <v>25</v>
      </c>
      <c r="F397" s="39">
        <v>45695</v>
      </c>
      <c r="G397" s="34" t="s">
        <v>11</v>
      </c>
      <c r="H397" s="8"/>
      <c r="I397" s="7"/>
      <c r="J397" s="8"/>
      <c r="K397" s="4">
        <f t="shared" si="131"/>
        <v>0</v>
      </c>
    </row>
    <row r="398" spans="1:11" x14ac:dyDescent="0.15">
      <c r="A398" s="3" t="s">
        <v>11</v>
      </c>
      <c r="B398" s="8">
        <v>15</v>
      </c>
      <c r="C398" s="7">
        <v>10</v>
      </c>
      <c r="D398" s="8">
        <v>15</v>
      </c>
      <c r="E398" s="4">
        <f t="shared" si="128"/>
        <v>40</v>
      </c>
      <c r="F398" s="39">
        <v>45700</v>
      </c>
      <c r="G398" s="34" t="s">
        <v>11</v>
      </c>
      <c r="H398" s="8"/>
      <c r="I398" s="7"/>
      <c r="J398" s="8"/>
      <c r="K398" s="4">
        <f t="shared" si="131"/>
        <v>0</v>
      </c>
    </row>
    <row r="399" spans="1:11" x14ac:dyDescent="0.15">
      <c r="A399" s="3" t="s">
        <v>11</v>
      </c>
      <c r="B399" s="8"/>
      <c r="C399" s="7"/>
      <c r="D399" s="8"/>
      <c r="E399" s="4">
        <f t="shared" si="128"/>
        <v>0</v>
      </c>
      <c r="F399" s="39"/>
      <c r="G399" s="34" t="s">
        <v>11</v>
      </c>
      <c r="H399" s="8"/>
      <c r="I399" s="7"/>
      <c r="J399" s="8"/>
      <c r="K399" s="4">
        <f t="shared" si="131"/>
        <v>0</v>
      </c>
    </row>
    <row r="400" spans="1:11" x14ac:dyDescent="0.15">
      <c r="A400" s="3" t="s">
        <v>11</v>
      </c>
      <c r="B400" s="8"/>
      <c r="C400" s="7"/>
      <c r="D400" s="8"/>
      <c r="E400" s="4">
        <f t="shared" si="128"/>
        <v>0</v>
      </c>
      <c r="F400" s="39"/>
      <c r="G400" s="34" t="s">
        <v>11</v>
      </c>
      <c r="H400" s="8"/>
      <c r="I400" s="7"/>
      <c r="J400" s="8"/>
      <c r="K400" s="4">
        <f t="shared" si="131"/>
        <v>0</v>
      </c>
    </row>
    <row r="401" spans="1:14" ht="14.25" thickBot="1" x14ac:dyDescent="0.2">
      <c r="A401" s="3" t="s">
        <v>11</v>
      </c>
      <c r="B401" s="11"/>
      <c r="C401" s="10"/>
      <c r="D401" s="11"/>
      <c r="E401" s="18">
        <f t="shared" si="128"/>
        <v>0</v>
      </c>
      <c r="G401" s="34" t="s">
        <v>11</v>
      </c>
      <c r="H401" s="11"/>
      <c r="I401" s="10"/>
      <c r="J401" s="11"/>
      <c r="K401" s="18">
        <f t="shared" si="131"/>
        <v>0</v>
      </c>
    </row>
    <row r="402" spans="1:14" ht="14.25" thickBot="1" x14ac:dyDescent="0.2">
      <c r="A402" s="21" t="s">
        <v>3</v>
      </c>
      <c r="B402" s="22">
        <f>SUM(B391:B401)</f>
        <v>90</v>
      </c>
      <c r="C402" s="22">
        <f>SUM(C391:C401)</f>
        <v>72</v>
      </c>
      <c r="D402" s="23">
        <f>SUM(D391:D401)</f>
        <v>67</v>
      </c>
      <c r="E402" s="24">
        <f t="shared" si="128"/>
        <v>229</v>
      </c>
      <c r="G402" s="35" t="s">
        <v>3</v>
      </c>
      <c r="H402" s="22">
        <f>SUM(H391:H401)</f>
        <v>220</v>
      </c>
      <c r="I402" s="22">
        <f t="shared" ref="I402" si="132">SUM(I391:I401)</f>
        <v>301</v>
      </c>
      <c r="J402" s="23">
        <f t="shared" ref="J402" si="133">SUM(J391:J401)</f>
        <v>256</v>
      </c>
      <c r="K402" s="24">
        <f t="shared" ref="K402" si="134">SUM(K391:K401)</f>
        <v>777</v>
      </c>
    </row>
    <row r="403" spans="1:14" x14ac:dyDescent="0.15">
      <c r="A403" s="3" t="s">
        <v>224</v>
      </c>
      <c r="B403" s="6">
        <v>9</v>
      </c>
      <c r="C403" s="7">
        <v>5</v>
      </c>
      <c r="D403" s="8">
        <v>6</v>
      </c>
      <c r="E403" s="5">
        <f t="shared" ref="E403:E424" si="135">SUM(B403:D403)</f>
        <v>20</v>
      </c>
      <c r="F403" s="39">
        <v>45667</v>
      </c>
      <c r="G403" s="34" t="s">
        <v>225</v>
      </c>
      <c r="H403" s="6">
        <v>5</v>
      </c>
      <c r="I403" s="7">
        <v>10</v>
      </c>
      <c r="J403" s="8">
        <v>5</v>
      </c>
      <c r="K403" s="5">
        <f t="shared" ref="K403:K408" si="136">SUM(H403:J403)</f>
        <v>20</v>
      </c>
      <c r="L403" s="66">
        <v>45668</v>
      </c>
    </row>
    <row r="404" spans="1:14" x14ac:dyDescent="0.15">
      <c r="A404" s="3" t="s">
        <v>136</v>
      </c>
      <c r="B404" s="6">
        <v>3</v>
      </c>
      <c r="C404" s="7">
        <v>1</v>
      </c>
      <c r="D404" s="8">
        <v>3</v>
      </c>
      <c r="E404" s="5">
        <f t="shared" si="135"/>
        <v>7</v>
      </c>
      <c r="F404" s="39">
        <v>45671</v>
      </c>
      <c r="G404" s="34" t="s">
        <v>26</v>
      </c>
      <c r="H404" s="6">
        <v>10</v>
      </c>
      <c r="I404" s="7">
        <v>15</v>
      </c>
      <c r="J404" s="8">
        <v>10</v>
      </c>
      <c r="K404" s="5">
        <f t="shared" si="136"/>
        <v>35</v>
      </c>
      <c r="L404" s="66">
        <v>45672</v>
      </c>
      <c r="M404" s="27"/>
    </row>
    <row r="405" spans="1:14" x14ac:dyDescent="0.15">
      <c r="A405" s="3" t="s">
        <v>137</v>
      </c>
      <c r="B405" s="6"/>
      <c r="C405" s="7">
        <v>7</v>
      </c>
      <c r="D405" s="8">
        <v>3</v>
      </c>
      <c r="E405" s="5">
        <f t="shared" si="135"/>
        <v>10</v>
      </c>
      <c r="F405" s="39">
        <v>45673</v>
      </c>
      <c r="G405" s="34" t="s">
        <v>26</v>
      </c>
      <c r="H405" s="6">
        <v>10</v>
      </c>
      <c r="I405" s="7">
        <v>10</v>
      </c>
      <c r="J405" s="8">
        <v>10</v>
      </c>
      <c r="K405" s="5">
        <f t="shared" si="136"/>
        <v>30</v>
      </c>
      <c r="L405" s="66">
        <v>45674</v>
      </c>
      <c r="M405" s="27"/>
    </row>
    <row r="406" spans="1:14" x14ac:dyDescent="0.15">
      <c r="A406" s="34" t="s">
        <v>229</v>
      </c>
      <c r="B406" s="6">
        <v>3</v>
      </c>
      <c r="C406" s="7">
        <v>3</v>
      </c>
      <c r="D406" s="8">
        <v>3</v>
      </c>
      <c r="E406" s="5">
        <f t="shared" si="135"/>
        <v>9</v>
      </c>
      <c r="F406" s="39">
        <v>45674</v>
      </c>
      <c r="G406" s="34" t="s">
        <v>231</v>
      </c>
      <c r="H406" s="6">
        <v>12</v>
      </c>
      <c r="I406" s="7">
        <v>12</v>
      </c>
      <c r="J406" s="8">
        <v>12</v>
      </c>
      <c r="K406" s="5">
        <f t="shared" si="136"/>
        <v>36</v>
      </c>
      <c r="L406" s="66">
        <v>45677</v>
      </c>
      <c r="M406" s="27"/>
      <c r="N406" s="27"/>
    </row>
    <row r="407" spans="1:14" x14ac:dyDescent="0.15">
      <c r="A407" s="3" t="s">
        <v>230</v>
      </c>
      <c r="B407" s="6">
        <v>7</v>
      </c>
      <c r="C407" s="7">
        <v>11</v>
      </c>
      <c r="D407" s="8">
        <v>6</v>
      </c>
      <c r="E407" s="5">
        <f t="shared" si="135"/>
        <v>24</v>
      </c>
      <c r="F407" s="39">
        <v>45674</v>
      </c>
      <c r="G407" s="34" t="s">
        <v>26</v>
      </c>
      <c r="H407" s="6">
        <v>15</v>
      </c>
      <c r="I407" s="7">
        <v>5</v>
      </c>
      <c r="J407" s="8"/>
      <c r="K407" s="5">
        <f t="shared" si="136"/>
        <v>20</v>
      </c>
      <c r="L407" s="66">
        <v>45679</v>
      </c>
      <c r="M407" s="27"/>
      <c r="N407" s="27"/>
    </row>
    <row r="408" spans="1:14" x14ac:dyDescent="0.15">
      <c r="A408" s="3" t="s">
        <v>141</v>
      </c>
      <c r="B408" s="6">
        <v>5</v>
      </c>
      <c r="C408" s="7"/>
      <c r="D408" s="8"/>
      <c r="E408" s="5">
        <f t="shared" si="135"/>
        <v>5</v>
      </c>
      <c r="F408" s="39">
        <v>45677</v>
      </c>
      <c r="G408" s="34" t="s">
        <v>235</v>
      </c>
      <c r="H408" s="6">
        <v>40</v>
      </c>
      <c r="I408" s="7">
        <v>40</v>
      </c>
      <c r="J408" s="8">
        <v>10</v>
      </c>
      <c r="K408" s="5">
        <f t="shared" si="136"/>
        <v>90</v>
      </c>
      <c r="L408" s="66">
        <v>45680</v>
      </c>
      <c r="M408" s="27"/>
      <c r="N408" s="27"/>
    </row>
    <row r="409" spans="1:14" x14ac:dyDescent="0.15">
      <c r="A409" s="3" t="s">
        <v>142</v>
      </c>
      <c r="B409" s="6">
        <v>5</v>
      </c>
      <c r="C409" s="7"/>
      <c r="D409" s="8"/>
      <c r="E409" s="5">
        <f t="shared" si="135"/>
        <v>5</v>
      </c>
      <c r="F409" s="39">
        <v>45679</v>
      </c>
      <c r="G409" s="34" t="s">
        <v>236</v>
      </c>
      <c r="H409" s="6"/>
      <c r="I409" s="7"/>
      <c r="J409" s="8">
        <v>5</v>
      </c>
      <c r="K409" s="5">
        <f t="shared" si="131"/>
        <v>5</v>
      </c>
      <c r="L409" s="66">
        <v>45681</v>
      </c>
      <c r="M409" s="27"/>
      <c r="N409" s="27"/>
    </row>
    <row r="410" spans="1:14" x14ac:dyDescent="0.15">
      <c r="A410" s="34" t="s">
        <v>232</v>
      </c>
      <c r="B410" s="6">
        <v>2</v>
      </c>
      <c r="C410" s="7">
        <v>2</v>
      </c>
      <c r="D410" s="8"/>
      <c r="E410" s="5">
        <f t="shared" si="135"/>
        <v>4</v>
      </c>
      <c r="F410" s="39">
        <v>45680</v>
      </c>
      <c r="G410" s="34" t="s">
        <v>26</v>
      </c>
      <c r="H410" s="6">
        <v>10</v>
      </c>
      <c r="I410" s="7"/>
      <c r="J410" s="8">
        <v>15</v>
      </c>
      <c r="K410" s="5">
        <f t="shared" si="131"/>
        <v>25</v>
      </c>
      <c r="L410" s="66">
        <v>45686</v>
      </c>
      <c r="M410" s="27"/>
      <c r="N410" s="27"/>
    </row>
    <row r="411" spans="1:14" x14ac:dyDescent="0.15">
      <c r="A411" s="3" t="s">
        <v>233</v>
      </c>
      <c r="B411" s="6">
        <v>2</v>
      </c>
      <c r="C411" s="7"/>
      <c r="D411" s="8">
        <v>2</v>
      </c>
      <c r="E411" s="5">
        <f t="shared" si="135"/>
        <v>4</v>
      </c>
      <c r="F411" s="39">
        <v>45680</v>
      </c>
      <c r="G411" s="34" t="s">
        <v>26</v>
      </c>
      <c r="H411" s="6">
        <v>10</v>
      </c>
      <c r="I411" s="7">
        <v>15</v>
      </c>
      <c r="J411" s="8"/>
      <c r="K411" s="5">
        <f t="shared" si="131"/>
        <v>25</v>
      </c>
      <c r="L411" s="66">
        <v>45695</v>
      </c>
      <c r="M411" s="27"/>
      <c r="N411" s="27"/>
    </row>
    <row r="412" spans="1:14" x14ac:dyDescent="0.15">
      <c r="A412" s="3" t="s">
        <v>234</v>
      </c>
      <c r="B412" s="6"/>
      <c r="C412" s="7"/>
      <c r="D412" s="8">
        <v>2</v>
      </c>
      <c r="E412" s="5">
        <f t="shared" si="135"/>
        <v>2</v>
      </c>
      <c r="F412" s="39">
        <v>45681</v>
      </c>
      <c r="G412" s="34" t="s">
        <v>26</v>
      </c>
      <c r="H412" s="6">
        <v>15</v>
      </c>
      <c r="I412" s="7">
        <v>10</v>
      </c>
      <c r="J412" s="8">
        <v>15</v>
      </c>
      <c r="K412" s="5">
        <f t="shared" si="131"/>
        <v>40</v>
      </c>
      <c r="L412" s="66">
        <v>45700</v>
      </c>
      <c r="M412" s="27"/>
      <c r="N412" s="27"/>
    </row>
    <row r="413" spans="1:14" x14ac:dyDescent="0.15">
      <c r="A413" s="34" t="s">
        <v>237</v>
      </c>
      <c r="B413" s="6">
        <v>1</v>
      </c>
      <c r="C413" s="7">
        <v>1</v>
      </c>
      <c r="D413" s="8">
        <v>1</v>
      </c>
      <c r="E413" s="5">
        <f t="shared" ref="E413:E414" si="137">SUM(B413:D413)</f>
        <v>3</v>
      </c>
      <c r="F413" s="39">
        <v>45684</v>
      </c>
      <c r="G413" s="34"/>
      <c r="H413" s="6"/>
      <c r="I413" s="7"/>
      <c r="J413" s="8"/>
      <c r="K413" s="5">
        <f t="shared" si="131"/>
        <v>0</v>
      </c>
      <c r="L413" s="67"/>
      <c r="M413" s="27"/>
    </row>
    <row r="414" spans="1:14" x14ac:dyDescent="0.15">
      <c r="A414" s="3" t="s">
        <v>238</v>
      </c>
      <c r="B414" s="6">
        <v>9</v>
      </c>
      <c r="C414" s="7"/>
      <c r="D414" s="8">
        <v>9</v>
      </c>
      <c r="E414" s="5">
        <f t="shared" si="137"/>
        <v>18</v>
      </c>
      <c r="F414" s="39">
        <v>45686</v>
      </c>
      <c r="G414" s="34"/>
      <c r="H414" s="6"/>
      <c r="I414" s="7"/>
      <c r="J414" s="8"/>
      <c r="K414" s="5">
        <f t="shared" si="131"/>
        <v>0</v>
      </c>
      <c r="L414" s="67"/>
    </row>
    <row r="415" spans="1:14" x14ac:dyDescent="0.15">
      <c r="A415" s="3" t="s">
        <v>239</v>
      </c>
      <c r="B415" s="6">
        <v>2</v>
      </c>
      <c r="C415" s="7">
        <v>3</v>
      </c>
      <c r="D415" s="8"/>
      <c r="E415" s="5">
        <f t="shared" si="135"/>
        <v>5</v>
      </c>
      <c r="F415" s="39">
        <v>45687</v>
      </c>
      <c r="G415" s="34"/>
      <c r="H415" s="6"/>
      <c r="I415" s="7"/>
      <c r="J415" s="8"/>
      <c r="K415" s="5">
        <f t="shared" si="131"/>
        <v>0</v>
      </c>
      <c r="L415" s="67"/>
    </row>
    <row r="416" spans="1:14" x14ac:dyDescent="0.15">
      <c r="A416" s="3" t="s">
        <v>150</v>
      </c>
      <c r="B416" s="6">
        <v>5</v>
      </c>
      <c r="C416" s="7">
        <v>2</v>
      </c>
      <c r="D416" s="8"/>
      <c r="E416" s="5">
        <f t="shared" si="135"/>
        <v>7</v>
      </c>
      <c r="F416" s="39">
        <v>45688</v>
      </c>
      <c r="G416" s="34"/>
      <c r="H416" s="6"/>
      <c r="I416" s="7"/>
      <c r="J416" s="8"/>
      <c r="K416" s="5">
        <f t="shared" si="131"/>
        <v>0</v>
      </c>
      <c r="L416" s="67"/>
    </row>
    <row r="417" spans="1:13" x14ac:dyDescent="0.15">
      <c r="A417" s="3" t="s">
        <v>240</v>
      </c>
      <c r="B417" s="6">
        <v>1</v>
      </c>
      <c r="C417" s="7"/>
      <c r="D417" s="8"/>
      <c r="E417" s="5">
        <f t="shared" si="135"/>
        <v>1</v>
      </c>
      <c r="F417" s="39">
        <v>45686</v>
      </c>
      <c r="G417" s="34"/>
      <c r="H417" s="6"/>
      <c r="I417" s="7"/>
      <c r="J417" s="8"/>
      <c r="K417" s="5">
        <f t="shared" si="131"/>
        <v>0</v>
      </c>
      <c r="L417" s="67"/>
    </row>
    <row r="418" spans="1:13" x14ac:dyDescent="0.15">
      <c r="A418" s="3" t="s">
        <v>241</v>
      </c>
      <c r="B418" s="6"/>
      <c r="C418" s="7">
        <v>2</v>
      </c>
      <c r="D418" s="8">
        <v>2</v>
      </c>
      <c r="E418" s="5">
        <f t="shared" si="135"/>
        <v>4</v>
      </c>
      <c r="F418" s="39">
        <v>45688</v>
      </c>
      <c r="G418" s="34"/>
      <c r="H418" s="6"/>
      <c r="I418" s="7"/>
      <c r="J418" s="8"/>
      <c r="K418" s="5">
        <f t="shared" si="131"/>
        <v>0</v>
      </c>
      <c r="L418" s="67"/>
    </row>
    <row r="419" spans="1:13" x14ac:dyDescent="0.15">
      <c r="A419" s="3" t="s">
        <v>242</v>
      </c>
      <c r="B419" s="6">
        <v>2</v>
      </c>
      <c r="C419" s="7">
        <v>5</v>
      </c>
      <c r="D419" s="8"/>
      <c r="E419" s="5">
        <f t="shared" si="135"/>
        <v>7</v>
      </c>
      <c r="F419" s="39">
        <v>45691</v>
      </c>
      <c r="G419" s="34"/>
      <c r="H419" s="6"/>
      <c r="I419" s="7"/>
      <c r="J419" s="8"/>
      <c r="K419" s="5">
        <f t="shared" si="131"/>
        <v>0</v>
      </c>
      <c r="L419" s="67"/>
    </row>
    <row r="420" spans="1:13" x14ac:dyDescent="0.15">
      <c r="A420" s="3" t="s">
        <v>36</v>
      </c>
      <c r="B420" s="6">
        <v>1</v>
      </c>
      <c r="C420" s="7"/>
      <c r="D420" s="8"/>
      <c r="E420" s="5">
        <f t="shared" si="135"/>
        <v>1</v>
      </c>
      <c r="F420" s="39">
        <v>45688</v>
      </c>
      <c r="G420" s="34"/>
      <c r="H420" s="6"/>
      <c r="I420" s="7"/>
      <c r="J420" s="8"/>
      <c r="K420" s="5">
        <f t="shared" si="131"/>
        <v>0</v>
      </c>
      <c r="L420" s="67"/>
    </row>
    <row r="421" spans="1:13" x14ac:dyDescent="0.15">
      <c r="A421" s="3" t="s">
        <v>243</v>
      </c>
      <c r="B421" s="6">
        <v>1</v>
      </c>
      <c r="C421" s="7">
        <v>3</v>
      </c>
      <c r="D421" s="8"/>
      <c r="E421" s="5">
        <f t="shared" si="135"/>
        <v>4</v>
      </c>
      <c r="F421" s="39">
        <v>45694</v>
      </c>
      <c r="G421" s="34"/>
      <c r="H421" s="6"/>
      <c r="I421" s="7"/>
      <c r="J421" s="8"/>
      <c r="K421" s="5">
        <f t="shared" ref="K421:K422" si="138">SUM(H421:J421)</f>
        <v>0</v>
      </c>
      <c r="L421" s="67"/>
    </row>
    <row r="422" spans="1:13" x14ac:dyDescent="0.15">
      <c r="A422" s="3" t="s">
        <v>244</v>
      </c>
      <c r="B422" s="6">
        <v>2</v>
      </c>
      <c r="C422" s="7">
        <v>1</v>
      </c>
      <c r="D422" s="8">
        <v>1</v>
      </c>
      <c r="E422" s="5">
        <f t="shared" si="135"/>
        <v>4</v>
      </c>
      <c r="F422" s="39">
        <v>45695</v>
      </c>
      <c r="G422" s="34"/>
      <c r="H422" s="6"/>
      <c r="I422" s="7"/>
      <c r="J422" s="8"/>
      <c r="K422" s="5">
        <f t="shared" si="138"/>
        <v>0</v>
      </c>
      <c r="L422" s="67"/>
    </row>
    <row r="423" spans="1:13" x14ac:dyDescent="0.15">
      <c r="A423" s="3" t="s">
        <v>158</v>
      </c>
      <c r="B423" s="6">
        <v>1</v>
      </c>
      <c r="C423" s="7">
        <v>1</v>
      </c>
      <c r="D423" s="8">
        <v>2</v>
      </c>
      <c r="E423" s="5">
        <f t="shared" si="135"/>
        <v>4</v>
      </c>
      <c r="F423" s="39">
        <v>45695</v>
      </c>
      <c r="G423" s="34" t="s">
        <v>204</v>
      </c>
      <c r="H423" s="6"/>
      <c r="I423" s="7"/>
      <c r="J423" s="8"/>
      <c r="K423" s="5">
        <f t="shared" si="131"/>
        <v>0</v>
      </c>
      <c r="L423" s="67" t="s">
        <v>205</v>
      </c>
    </row>
    <row r="424" spans="1:13" x14ac:dyDescent="0.15">
      <c r="A424" s="3" t="s">
        <v>159</v>
      </c>
      <c r="B424" s="6">
        <v>1</v>
      </c>
      <c r="C424" s="7">
        <v>1</v>
      </c>
      <c r="D424" s="8">
        <v>5</v>
      </c>
      <c r="E424" s="5">
        <f t="shared" si="135"/>
        <v>7</v>
      </c>
      <c r="F424" s="39">
        <v>45698</v>
      </c>
      <c r="G424" s="34" t="s">
        <v>202</v>
      </c>
      <c r="H424" s="6"/>
      <c r="I424" s="7"/>
      <c r="J424" s="8"/>
      <c r="K424" s="5">
        <f t="shared" si="131"/>
        <v>0</v>
      </c>
      <c r="L424" s="67" t="s">
        <v>66</v>
      </c>
    </row>
    <row r="425" spans="1:13" x14ac:dyDescent="0.15">
      <c r="A425" s="3" t="s">
        <v>160</v>
      </c>
      <c r="B425" s="6">
        <v>13</v>
      </c>
      <c r="C425" s="7">
        <v>7</v>
      </c>
      <c r="D425" s="8">
        <v>7</v>
      </c>
      <c r="E425" s="5">
        <f t="shared" si="128"/>
        <v>27</v>
      </c>
      <c r="F425" s="39">
        <v>45700</v>
      </c>
      <c r="G425" s="34" t="s">
        <v>214</v>
      </c>
      <c r="H425" s="6"/>
      <c r="I425" s="7"/>
      <c r="J425" s="8"/>
      <c r="K425" s="5">
        <f t="shared" si="131"/>
        <v>0</v>
      </c>
      <c r="L425" s="67" t="s">
        <v>82</v>
      </c>
    </row>
    <row r="426" spans="1:13" ht="14.25" thickBot="1" x14ac:dyDescent="0.2">
      <c r="A426" s="34" t="s">
        <v>245</v>
      </c>
      <c r="B426" s="6">
        <v>4</v>
      </c>
      <c r="C426" s="7"/>
      <c r="D426" s="8">
        <v>1</v>
      </c>
      <c r="E426" s="5">
        <f t="shared" si="128"/>
        <v>5</v>
      </c>
      <c r="F426" s="39">
        <v>45702</v>
      </c>
      <c r="G426" s="34" t="s">
        <v>207</v>
      </c>
      <c r="H426" s="6"/>
      <c r="I426" s="7"/>
      <c r="J426" s="8"/>
      <c r="K426" s="5">
        <f t="shared" si="131"/>
        <v>0</v>
      </c>
      <c r="L426" s="67" t="s">
        <v>198</v>
      </c>
      <c r="M426" s="27"/>
    </row>
    <row r="427" spans="1:13" ht="14.25" thickBot="1" x14ac:dyDescent="0.2">
      <c r="A427" s="2" t="s">
        <v>4</v>
      </c>
      <c r="B427" s="12">
        <f>SUM(B403:B426)</f>
        <v>79</v>
      </c>
      <c r="C427" s="12">
        <f>SUM(C403:C426)</f>
        <v>55</v>
      </c>
      <c r="D427" s="12">
        <f>SUM(D403:D426)</f>
        <v>53</v>
      </c>
      <c r="E427" s="13">
        <f t="shared" si="128"/>
        <v>187</v>
      </c>
      <c r="G427" s="36" t="s">
        <v>4</v>
      </c>
      <c r="H427" s="12">
        <f>SUM(H403:H426)</f>
        <v>127</v>
      </c>
      <c r="I427" s="12">
        <f t="shared" ref="I427" si="139">SUM(I403:I426)</f>
        <v>117</v>
      </c>
      <c r="J427" s="12">
        <f t="shared" ref="J427" si="140">SUM(J403:J426)</f>
        <v>82</v>
      </c>
      <c r="K427" s="13">
        <f t="shared" ref="K427" si="141">SUM(K403:K426)</f>
        <v>326</v>
      </c>
    </row>
    <row r="428" spans="1:13" ht="14.25" thickBot="1" x14ac:dyDescent="0.2">
      <c r="A428" s="25" t="s">
        <v>5</v>
      </c>
      <c r="B428" s="26">
        <f>B402-B427</f>
        <v>11</v>
      </c>
      <c r="C428" s="26">
        <f t="shared" ref="C428:E428" si="142">C402-C427</f>
        <v>17</v>
      </c>
      <c r="D428" s="26">
        <f t="shared" si="142"/>
        <v>14</v>
      </c>
      <c r="E428" s="24">
        <f t="shared" si="142"/>
        <v>42</v>
      </c>
      <c r="G428" s="37" t="s">
        <v>5</v>
      </c>
      <c r="H428" s="26">
        <f>H402-H427</f>
        <v>93</v>
      </c>
      <c r="I428" s="26">
        <f t="shared" ref="I428" si="143">I402-I427</f>
        <v>184</v>
      </c>
      <c r="J428" s="26">
        <f t="shared" ref="J428" si="144">J402-J427</f>
        <v>174</v>
      </c>
      <c r="K428" s="24">
        <f t="shared" ref="K428" si="145">K402-K427</f>
        <v>451</v>
      </c>
    </row>
    <row r="429" spans="1:13" x14ac:dyDescent="0.15">
      <c r="H429">
        <f>H470+H427+H384+H341+H298</f>
        <v>326</v>
      </c>
      <c r="I429">
        <f t="shared" ref="I429:K429" si="146">I470+I427+I384+I341+I298</f>
        <v>331</v>
      </c>
      <c r="J429">
        <f t="shared" si="146"/>
        <v>221</v>
      </c>
      <c r="K429">
        <f t="shared" si="146"/>
        <v>878</v>
      </c>
    </row>
    <row r="431" spans="1:13" ht="21.75" thickBot="1" x14ac:dyDescent="0.25">
      <c r="A431" s="30" t="s">
        <v>23</v>
      </c>
      <c r="B431" s="28"/>
      <c r="C431" s="28"/>
      <c r="D431" s="28"/>
      <c r="E431" s="28"/>
      <c r="G431" s="31" t="s">
        <v>25</v>
      </c>
      <c r="H431" s="29"/>
      <c r="I431" s="29"/>
      <c r="J431" s="29"/>
      <c r="K431" s="29"/>
    </row>
    <row r="432" spans="1:13" ht="14.25" thickBot="1" x14ac:dyDescent="0.2">
      <c r="A432" s="1" t="s">
        <v>0</v>
      </c>
      <c r="B432" s="91" t="s">
        <v>10</v>
      </c>
      <c r="C432" s="91"/>
      <c r="D432" s="91"/>
      <c r="E432" s="92"/>
      <c r="G432" s="1" t="s">
        <v>0</v>
      </c>
      <c r="H432" s="91" t="s">
        <v>195</v>
      </c>
      <c r="I432" s="91"/>
      <c r="J432" s="91"/>
      <c r="K432" s="92"/>
    </row>
    <row r="433" spans="1:13" ht="14.25" thickBot="1" x14ac:dyDescent="0.2">
      <c r="A433" s="1" t="s">
        <v>1</v>
      </c>
      <c r="B433" s="2" t="s">
        <v>6</v>
      </c>
      <c r="C433" s="1" t="s">
        <v>7</v>
      </c>
      <c r="D433" s="17" t="s">
        <v>8</v>
      </c>
      <c r="E433" s="1" t="s">
        <v>2</v>
      </c>
      <c r="G433" s="33" t="s">
        <v>1</v>
      </c>
      <c r="H433" s="2" t="s">
        <v>6</v>
      </c>
      <c r="I433" s="1" t="s">
        <v>7</v>
      </c>
      <c r="J433" s="17" t="s">
        <v>8</v>
      </c>
      <c r="K433" s="1" t="s">
        <v>2</v>
      </c>
    </row>
    <row r="434" spans="1:13" x14ac:dyDescent="0.15">
      <c r="A434" s="19" t="s">
        <v>5</v>
      </c>
      <c r="B434" s="16">
        <f>B428</f>
        <v>11</v>
      </c>
      <c r="C434" s="20">
        <f>C428</f>
        <v>17</v>
      </c>
      <c r="D434" s="20">
        <f>D428</f>
        <v>14</v>
      </c>
      <c r="E434" s="15">
        <f t="shared" ref="E434:E470" si="147">SUM(B434:D434)</f>
        <v>42</v>
      </c>
      <c r="G434" s="38" t="s">
        <v>5</v>
      </c>
      <c r="H434" s="16">
        <f>H428</f>
        <v>93</v>
      </c>
      <c r="I434" s="20">
        <f t="shared" ref="I434:K434" si="148">I428</f>
        <v>184</v>
      </c>
      <c r="J434" s="20">
        <f t="shared" si="148"/>
        <v>174</v>
      </c>
      <c r="K434" s="15">
        <f t="shared" si="148"/>
        <v>451</v>
      </c>
    </row>
    <row r="435" spans="1:13" x14ac:dyDescent="0.15">
      <c r="A435" s="3" t="s">
        <v>11</v>
      </c>
      <c r="B435" s="8">
        <v>10</v>
      </c>
      <c r="C435" s="7">
        <v>15</v>
      </c>
      <c r="D435" s="8"/>
      <c r="E435" s="4">
        <f t="shared" ref="E435:E441" si="149">SUM(B435:D435)</f>
        <v>25</v>
      </c>
      <c r="F435" s="39">
        <v>45705</v>
      </c>
      <c r="G435" s="34" t="s">
        <v>11</v>
      </c>
      <c r="H435" s="8"/>
      <c r="I435" s="7"/>
      <c r="J435" s="8"/>
      <c r="K435" s="4">
        <f t="shared" ref="K435:K463" si="150">SUM(H435:J435)</f>
        <v>0</v>
      </c>
    </row>
    <row r="436" spans="1:13" x14ac:dyDescent="0.15">
      <c r="A436" s="3" t="s">
        <v>251</v>
      </c>
      <c r="B436" s="8"/>
      <c r="C436" s="7"/>
      <c r="D436" s="8">
        <v>3</v>
      </c>
      <c r="E436" s="4">
        <f t="shared" si="149"/>
        <v>3</v>
      </c>
      <c r="F436" s="39">
        <v>45706</v>
      </c>
      <c r="G436" s="34" t="s">
        <v>11</v>
      </c>
      <c r="H436" s="8"/>
      <c r="I436" s="7"/>
      <c r="J436" s="8"/>
      <c r="K436" s="4">
        <f t="shared" si="150"/>
        <v>0</v>
      </c>
    </row>
    <row r="437" spans="1:13" x14ac:dyDescent="0.15">
      <c r="A437" s="3" t="s">
        <v>11</v>
      </c>
      <c r="B437" s="8">
        <v>5</v>
      </c>
      <c r="C437" s="7">
        <v>5</v>
      </c>
      <c r="D437" s="8"/>
      <c r="E437" s="4">
        <f t="shared" si="149"/>
        <v>10</v>
      </c>
      <c r="F437" s="39">
        <v>45716</v>
      </c>
      <c r="G437" s="34" t="s">
        <v>11</v>
      </c>
      <c r="H437" s="8"/>
      <c r="I437" s="7"/>
      <c r="J437" s="8"/>
      <c r="K437" s="4">
        <f t="shared" si="150"/>
        <v>0</v>
      </c>
    </row>
    <row r="438" spans="1:13" x14ac:dyDescent="0.15">
      <c r="A438" s="3" t="s">
        <v>11</v>
      </c>
      <c r="B438" s="8">
        <v>10</v>
      </c>
      <c r="C438" s="7">
        <v>15</v>
      </c>
      <c r="D438" s="8">
        <v>15</v>
      </c>
      <c r="E438" s="4">
        <f t="shared" si="149"/>
        <v>40</v>
      </c>
      <c r="F438" s="39">
        <v>45720</v>
      </c>
      <c r="G438" s="34" t="s">
        <v>11</v>
      </c>
      <c r="H438" s="8"/>
      <c r="I438" s="7"/>
      <c r="J438" s="8"/>
      <c r="K438" s="4">
        <f t="shared" si="150"/>
        <v>0</v>
      </c>
    </row>
    <row r="439" spans="1:13" x14ac:dyDescent="0.15">
      <c r="A439" s="3" t="s">
        <v>11</v>
      </c>
      <c r="B439" s="8">
        <v>10</v>
      </c>
      <c r="C439" s="7">
        <v>15</v>
      </c>
      <c r="D439" s="8"/>
      <c r="E439" s="4">
        <f t="shared" si="149"/>
        <v>25</v>
      </c>
      <c r="F439" s="39">
        <v>45726</v>
      </c>
      <c r="G439" s="34" t="s">
        <v>11</v>
      </c>
      <c r="H439" s="8"/>
      <c r="I439" s="7"/>
      <c r="J439" s="8"/>
      <c r="K439" s="4">
        <f t="shared" si="150"/>
        <v>0</v>
      </c>
    </row>
    <row r="440" spans="1:13" x14ac:dyDescent="0.15">
      <c r="A440" s="3" t="s">
        <v>259</v>
      </c>
      <c r="B440" s="8">
        <v>5</v>
      </c>
      <c r="C440" s="7">
        <v>7</v>
      </c>
      <c r="D440" s="8">
        <v>3</v>
      </c>
      <c r="E440" s="4">
        <f t="shared" si="149"/>
        <v>15</v>
      </c>
      <c r="F440" s="39">
        <v>45723</v>
      </c>
      <c r="G440" s="34" t="s">
        <v>11</v>
      </c>
      <c r="H440" s="8"/>
      <c r="I440" s="7"/>
      <c r="J440" s="8"/>
      <c r="K440" s="4">
        <f t="shared" si="150"/>
        <v>0</v>
      </c>
    </row>
    <row r="441" spans="1:13" x14ac:dyDescent="0.15">
      <c r="A441" s="3" t="s">
        <v>107</v>
      </c>
      <c r="B441" s="8">
        <v>1</v>
      </c>
      <c r="C441" s="7"/>
      <c r="D441" s="8">
        <v>1</v>
      </c>
      <c r="E441" s="4">
        <f t="shared" si="149"/>
        <v>2</v>
      </c>
      <c r="F441" s="39">
        <v>45729</v>
      </c>
      <c r="G441" s="34" t="s">
        <v>11</v>
      </c>
      <c r="H441" s="8"/>
      <c r="I441" s="7"/>
      <c r="J441" s="8"/>
      <c r="K441" s="4">
        <f t="shared" si="150"/>
        <v>0</v>
      </c>
    </row>
    <row r="442" spans="1:13" x14ac:dyDescent="0.15">
      <c r="A442" s="3" t="s">
        <v>251</v>
      </c>
      <c r="B442" s="8">
        <v>3</v>
      </c>
      <c r="C442" s="7">
        <v>3</v>
      </c>
      <c r="D442" s="8">
        <v>2</v>
      </c>
      <c r="E442" s="4">
        <f t="shared" si="147"/>
        <v>8</v>
      </c>
      <c r="F442" s="39">
        <v>45734</v>
      </c>
      <c r="G442" s="34" t="s">
        <v>11</v>
      </c>
      <c r="H442" s="8"/>
      <c r="I442" s="7"/>
      <c r="J442" s="8"/>
      <c r="K442" s="4">
        <f t="shared" si="150"/>
        <v>0</v>
      </c>
    </row>
    <row r="443" spans="1:13" x14ac:dyDescent="0.15">
      <c r="A443" s="3" t="s">
        <v>107</v>
      </c>
      <c r="B443" s="8"/>
      <c r="C443" s="7">
        <v>1</v>
      </c>
      <c r="D443" s="8"/>
      <c r="E443" s="4">
        <f t="shared" si="147"/>
        <v>1</v>
      </c>
      <c r="F443" s="39">
        <v>45785</v>
      </c>
      <c r="G443" s="34" t="s">
        <v>11</v>
      </c>
      <c r="H443" s="8"/>
      <c r="I443" s="7"/>
      <c r="J443" s="8"/>
      <c r="K443" s="4">
        <f t="shared" si="150"/>
        <v>0</v>
      </c>
    </row>
    <row r="444" spans="1:13" ht="14.25" thickBot="1" x14ac:dyDescent="0.2">
      <c r="A444" s="3" t="s">
        <v>11</v>
      </c>
      <c r="B444" s="11"/>
      <c r="C444" s="10"/>
      <c r="D444" s="11"/>
      <c r="E444" s="18">
        <f t="shared" si="147"/>
        <v>0</v>
      </c>
      <c r="G444" s="34" t="s">
        <v>11</v>
      </c>
      <c r="H444" s="11"/>
      <c r="I444" s="10"/>
      <c r="J444" s="11"/>
      <c r="K444" s="18">
        <f t="shared" si="150"/>
        <v>0</v>
      </c>
    </row>
    <row r="445" spans="1:13" ht="14.25" thickBot="1" x14ac:dyDescent="0.2">
      <c r="A445" s="21" t="s">
        <v>3</v>
      </c>
      <c r="B445" s="22">
        <f>SUM(B434:B444)</f>
        <v>55</v>
      </c>
      <c r="C445" s="22">
        <f>SUM(C434:C444)</f>
        <v>78</v>
      </c>
      <c r="D445" s="23">
        <f>SUM(D434:D444)</f>
        <v>38</v>
      </c>
      <c r="E445" s="24">
        <f t="shared" si="147"/>
        <v>171</v>
      </c>
      <c r="G445" s="35" t="s">
        <v>3</v>
      </c>
      <c r="H445" s="22">
        <f>SUM(H434:H444)</f>
        <v>93</v>
      </c>
      <c r="I445" s="22">
        <f t="shared" ref="I445" si="151">SUM(I434:I444)</f>
        <v>184</v>
      </c>
      <c r="J445" s="23">
        <f t="shared" ref="J445" si="152">SUM(J434:J444)</f>
        <v>174</v>
      </c>
      <c r="K445" s="24">
        <f t="shared" ref="K445" si="153">SUM(K434:K444)</f>
        <v>451</v>
      </c>
    </row>
    <row r="446" spans="1:13" x14ac:dyDescent="0.15">
      <c r="A446" s="3" t="s">
        <v>246</v>
      </c>
      <c r="B446" s="6">
        <v>2</v>
      </c>
      <c r="C446" s="7">
        <v>1</v>
      </c>
      <c r="D446" s="8"/>
      <c r="E446" s="5">
        <f t="shared" si="147"/>
        <v>3</v>
      </c>
      <c r="F446" s="39">
        <v>45702</v>
      </c>
      <c r="G446" s="34" t="s">
        <v>249</v>
      </c>
      <c r="H446" s="6">
        <v>10</v>
      </c>
      <c r="I446" s="7">
        <v>15</v>
      </c>
      <c r="J446" s="8"/>
      <c r="K446" s="5">
        <f t="shared" ref="K446:K455" si="154">SUM(H446:J446)</f>
        <v>25</v>
      </c>
      <c r="L446" s="66">
        <v>45705</v>
      </c>
      <c r="M446" s="27"/>
    </row>
    <row r="447" spans="1:13" x14ac:dyDescent="0.15">
      <c r="A447" s="3" t="s">
        <v>247</v>
      </c>
      <c r="B447" s="6"/>
      <c r="C447" s="7">
        <v>10</v>
      </c>
      <c r="D447" s="8"/>
      <c r="E447" s="5">
        <f t="shared" si="147"/>
        <v>10</v>
      </c>
      <c r="F447" s="39">
        <v>45702</v>
      </c>
      <c r="G447" s="34" t="s">
        <v>26</v>
      </c>
      <c r="H447" s="6">
        <v>5</v>
      </c>
      <c r="I447" s="7">
        <v>5</v>
      </c>
      <c r="J447" s="8"/>
      <c r="K447" s="5">
        <f t="shared" si="154"/>
        <v>10</v>
      </c>
      <c r="L447" s="66">
        <v>45716</v>
      </c>
      <c r="M447" s="27"/>
    </row>
    <row r="448" spans="1:13" x14ac:dyDescent="0.15">
      <c r="A448" s="3" t="s">
        <v>248</v>
      </c>
      <c r="B448" s="6">
        <v>3</v>
      </c>
      <c r="C448" s="7">
        <v>3</v>
      </c>
      <c r="D448" s="8"/>
      <c r="E448" s="5">
        <f t="shared" si="147"/>
        <v>6</v>
      </c>
      <c r="F448" s="39">
        <v>45705</v>
      </c>
      <c r="G448" s="34" t="s">
        <v>26</v>
      </c>
      <c r="H448" s="6">
        <v>10</v>
      </c>
      <c r="I448" s="7">
        <v>15</v>
      </c>
      <c r="J448" s="8">
        <v>15</v>
      </c>
      <c r="K448" s="5">
        <f t="shared" si="154"/>
        <v>40</v>
      </c>
      <c r="L448" s="66">
        <v>45720</v>
      </c>
      <c r="M448" s="27"/>
    </row>
    <row r="449" spans="1:14" x14ac:dyDescent="0.15">
      <c r="A449" s="3" t="s">
        <v>250</v>
      </c>
      <c r="B449" s="6">
        <v>1</v>
      </c>
      <c r="C449" s="7">
        <v>8</v>
      </c>
      <c r="D449" s="8"/>
      <c r="E449" s="5">
        <f t="shared" si="147"/>
        <v>9</v>
      </c>
      <c r="F449" s="39">
        <v>45707</v>
      </c>
      <c r="G449" s="34" t="s">
        <v>26</v>
      </c>
      <c r="H449" s="6">
        <v>10</v>
      </c>
      <c r="I449" s="7">
        <v>15</v>
      </c>
      <c r="J449" s="8"/>
      <c r="K449" s="5">
        <f t="shared" si="154"/>
        <v>25</v>
      </c>
      <c r="L449" s="66">
        <v>45726</v>
      </c>
      <c r="M449" s="27"/>
      <c r="N449" s="27"/>
    </row>
    <row r="450" spans="1:14" x14ac:dyDescent="0.15">
      <c r="A450" s="3" t="s">
        <v>171</v>
      </c>
      <c r="B450" s="6">
        <v>4</v>
      </c>
      <c r="C450" s="7">
        <v>5</v>
      </c>
      <c r="D450" s="8">
        <v>4</v>
      </c>
      <c r="E450" s="5">
        <f t="shared" si="147"/>
        <v>13</v>
      </c>
      <c r="F450" s="39">
        <v>45709</v>
      </c>
      <c r="G450" s="34"/>
      <c r="H450" s="6"/>
      <c r="I450" s="7"/>
      <c r="J450" s="8"/>
      <c r="K450" s="5">
        <f t="shared" si="154"/>
        <v>0</v>
      </c>
      <c r="L450" s="67"/>
      <c r="M450" s="27"/>
      <c r="N450" s="27"/>
    </row>
    <row r="451" spans="1:14" x14ac:dyDescent="0.15">
      <c r="A451" s="3" t="s">
        <v>176</v>
      </c>
      <c r="B451" s="6">
        <v>2</v>
      </c>
      <c r="C451" s="7"/>
      <c r="D451" s="8"/>
      <c r="E451" s="5">
        <f t="shared" si="147"/>
        <v>2</v>
      </c>
      <c r="F451" s="39">
        <v>45715</v>
      </c>
      <c r="G451" s="34"/>
      <c r="H451" s="6"/>
      <c r="I451" s="7"/>
      <c r="J451" s="8"/>
      <c r="K451" s="5">
        <f t="shared" si="154"/>
        <v>0</v>
      </c>
      <c r="L451" s="67"/>
      <c r="M451" s="27"/>
      <c r="N451" s="27"/>
    </row>
    <row r="452" spans="1:14" x14ac:dyDescent="0.15">
      <c r="A452" s="3" t="s">
        <v>36</v>
      </c>
      <c r="B452" s="6"/>
      <c r="C452" s="7">
        <v>1</v>
      </c>
      <c r="D452" s="8"/>
      <c r="E452" s="5">
        <f t="shared" si="147"/>
        <v>1</v>
      </c>
      <c r="F452" s="39">
        <v>45713</v>
      </c>
      <c r="G452" s="34"/>
      <c r="H452" s="6"/>
      <c r="I452" s="7"/>
      <c r="J452" s="8"/>
      <c r="K452" s="5">
        <f t="shared" si="154"/>
        <v>0</v>
      </c>
      <c r="L452" s="67"/>
    </row>
    <row r="453" spans="1:14" x14ac:dyDescent="0.15">
      <c r="A453" s="3" t="s">
        <v>252</v>
      </c>
      <c r="B453" s="6">
        <v>2</v>
      </c>
      <c r="C453" s="7"/>
      <c r="D453" s="8"/>
      <c r="E453" s="5">
        <f t="shared" si="147"/>
        <v>2</v>
      </c>
      <c r="F453" s="39">
        <v>45716</v>
      </c>
      <c r="G453" s="34"/>
      <c r="H453" s="6"/>
      <c r="I453" s="7"/>
      <c r="J453" s="8"/>
      <c r="K453" s="5">
        <f t="shared" si="154"/>
        <v>0</v>
      </c>
      <c r="L453" s="67"/>
    </row>
    <row r="454" spans="1:14" x14ac:dyDescent="0.15">
      <c r="A454" s="3" t="s">
        <v>253</v>
      </c>
      <c r="B454" s="6">
        <v>1</v>
      </c>
      <c r="C454" s="7">
        <v>1</v>
      </c>
      <c r="D454" s="8"/>
      <c r="E454" s="5">
        <f t="shared" si="147"/>
        <v>2</v>
      </c>
      <c r="F454" s="39">
        <v>45716</v>
      </c>
      <c r="G454" s="34"/>
      <c r="H454" s="6"/>
      <c r="I454" s="7"/>
      <c r="J454" s="8"/>
      <c r="K454" s="5">
        <f t="shared" si="154"/>
        <v>0</v>
      </c>
      <c r="L454" s="67"/>
    </row>
    <row r="455" spans="1:14" x14ac:dyDescent="0.15">
      <c r="A455" s="3" t="s">
        <v>254</v>
      </c>
      <c r="B455" s="6">
        <v>5</v>
      </c>
      <c r="C455" s="7">
        <v>5</v>
      </c>
      <c r="D455" s="8">
        <v>5</v>
      </c>
      <c r="E455" s="5">
        <f t="shared" si="147"/>
        <v>15</v>
      </c>
      <c r="F455" s="39">
        <v>45721</v>
      </c>
      <c r="G455" s="34"/>
      <c r="H455" s="6"/>
      <c r="I455" s="7"/>
      <c r="J455" s="8"/>
      <c r="K455" s="5">
        <f t="shared" si="154"/>
        <v>0</v>
      </c>
      <c r="L455" s="67"/>
    </row>
    <row r="456" spans="1:14" x14ac:dyDescent="0.15">
      <c r="A456" s="3" t="s">
        <v>255</v>
      </c>
      <c r="B456" s="6">
        <v>2</v>
      </c>
      <c r="C456" s="7">
        <v>11</v>
      </c>
      <c r="D456" s="8">
        <v>9</v>
      </c>
      <c r="E456" s="5">
        <f t="shared" si="147"/>
        <v>22</v>
      </c>
      <c r="F456" s="39">
        <v>45722</v>
      </c>
      <c r="G456" s="34"/>
      <c r="H456" s="6"/>
      <c r="I456" s="7"/>
      <c r="J456" s="8"/>
      <c r="K456" s="5">
        <f t="shared" si="150"/>
        <v>0</v>
      </c>
      <c r="L456" s="67"/>
    </row>
    <row r="457" spans="1:14" x14ac:dyDescent="0.15">
      <c r="A457" s="3" t="s">
        <v>256</v>
      </c>
      <c r="B457" s="6">
        <v>6</v>
      </c>
      <c r="C457" s="7">
        <v>6</v>
      </c>
      <c r="D457" s="8"/>
      <c r="E457" s="5">
        <f t="shared" si="147"/>
        <v>12</v>
      </c>
      <c r="F457" s="39">
        <v>45723</v>
      </c>
      <c r="G457" s="34"/>
      <c r="H457" s="6"/>
      <c r="I457" s="7"/>
      <c r="J457" s="8"/>
      <c r="K457" s="5">
        <f t="shared" si="150"/>
        <v>0</v>
      </c>
      <c r="L457" s="67"/>
    </row>
    <row r="458" spans="1:14" x14ac:dyDescent="0.15">
      <c r="A458" s="3" t="s">
        <v>257</v>
      </c>
      <c r="B458" s="6">
        <v>2</v>
      </c>
      <c r="C458" s="7"/>
      <c r="D458" s="8"/>
      <c r="E458" s="5">
        <f t="shared" si="147"/>
        <v>2</v>
      </c>
      <c r="F458" s="39">
        <v>45723</v>
      </c>
      <c r="G458" s="34"/>
      <c r="H458" s="6"/>
      <c r="I458" s="7"/>
      <c r="J458" s="8"/>
      <c r="K458" s="5">
        <f t="shared" si="150"/>
        <v>0</v>
      </c>
      <c r="L458" s="67"/>
    </row>
    <row r="459" spans="1:14" x14ac:dyDescent="0.15">
      <c r="A459" s="3" t="s">
        <v>258</v>
      </c>
      <c r="B459" s="6">
        <v>8</v>
      </c>
      <c r="C459" s="7">
        <v>2</v>
      </c>
      <c r="D459" s="8">
        <v>2</v>
      </c>
      <c r="E459" s="5">
        <f t="shared" si="147"/>
        <v>12</v>
      </c>
      <c r="F459" s="39">
        <v>45727</v>
      </c>
      <c r="G459" s="34"/>
      <c r="H459" s="6"/>
      <c r="I459" s="7"/>
      <c r="J459" s="8"/>
      <c r="K459" s="5">
        <f t="shared" si="150"/>
        <v>0</v>
      </c>
      <c r="L459" s="67"/>
    </row>
    <row r="460" spans="1:14" x14ac:dyDescent="0.15">
      <c r="A460" s="3" t="s">
        <v>260</v>
      </c>
      <c r="B460" s="6">
        <v>2</v>
      </c>
      <c r="C460" s="7">
        <v>1</v>
      </c>
      <c r="D460" s="8"/>
      <c r="E460" s="5">
        <f t="shared" si="147"/>
        <v>3</v>
      </c>
      <c r="F460" s="39">
        <v>45729</v>
      </c>
      <c r="G460" s="34"/>
      <c r="H460" s="6"/>
      <c r="I460" s="7"/>
      <c r="J460" s="8"/>
      <c r="K460" s="5">
        <f t="shared" si="150"/>
        <v>0</v>
      </c>
      <c r="L460" s="67"/>
    </row>
    <row r="461" spans="1:14" x14ac:dyDescent="0.15">
      <c r="A461" s="3" t="s">
        <v>36</v>
      </c>
      <c r="B461" s="6">
        <v>1</v>
      </c>
      <c r="C461" s="7"/>
      <c r="D461" s="8"/>
      <c r="E461" s="5">
        <f t="shared" si="147"/>
        <v>1</v>
      </c>
      <c r="F461" s="39">
        <v>45727</v>
      </c>
      <c r="G461" s="34"/>
      <c r="H461" s="6"/>
      <c r="I461" s="7"/>
      <c r="J461" s="8"/>
      <c r="K461" s="5">
        <f t="shared" si="150"/>
        <v>0</v>
      </c>
      <c r="L461" s="67"/>
    </row>
    <row r="462" spans="1:14" x14ac:dyDescent="0.15">
      <c r="A462" s="3" t="s">
        <v>261</v>
      </c>
      <c r="B462" s="6"/>
      <c r="C462" s="7">
        <v>2</v>
      </c>
      <c r="D462" s="8"/>
      <c r="E462" s="5">
        <f t="shared" si="147"/>
        <v>2</v>
      </c>
      <c r="F462" s="39">
        <v>45730</v>
      </c>
      <c r="G462" s="34"/>
      <c r="H462" s="6"/>
      <c r="I462" s="7"/>
      <c r="J462" s="8"/>
      <c r="K462" s="5">
        <f t="shared" si="150"/>
        <v>0</v>
      </c>
      <c r="L462" s="67"/>
    </row>
    <row r="463" spans="1:14" x14ac:dyDescent="0.15">
      <c r="A463" s="3" t="s">
        <v>262</v>
      </c>
      <c r="B463" s="6"/>
      <c r="C463" s="7">
        <v>2</v>
      </c>
      <c r="D463" s="8"/>
      <c r="E463" s="5">
        <f t="shared" si="147"/>
        <v>2</v>
      </c>
      <c r="F463" s="39">
        <v>45730</v>
      </c>
      <c r="G463" s="34"/>
      <c r="H463" s="6"/>
      <c r="I463" s="7"/>
      <c r="J463" s="8"/>
      <c r="K463" s="5">
        <f t="shared" si="150"/>
        <v>0</v>
      </c>
      <c r="L463" s="67"/>
    </row>
    <row r="464" spans="1:14" x14ac:dyDescent="0.15">
      <c r="A464" s="3" t="s">
        <v>263</v>
      </c>
      <c r="B464" s="6"/>
      <c r="C464" s="7">
        <v>2</v>
      </c>
      <c r="D464" s="8"/>
      <c r="E464" s="5">
        <f t="shared" si="147"/>
        <v>2</v>
      </c>
      <c r="F464" s="39">
        <v>45735</v>
      </c>
      <c r="G464" s="34"/>
      <c r="H464" s="6"/>
      <c r="I464" s="7"/>
      <c r="J464" s="8"/>
      <c r="K464" s="5">
        <f t="shared" ref="K464:K466" si="155">SUM(H464:J464)</f>
        <v>0</v>
      </c>
      <c r="L464" s="67"/>
    </row>
    <row r="465" spans="1:12" x14ac:dyDescent="0.15">
      <c r="A465" s="34" t="s">
        <v>264</v>
      </c>
      <c r="B465" s="6"/>
      <c r="C465" s="7">
        <v>1</v>
      </c>
      <c r="D465" s="8"/>
      <c r="E465" s="5">
        <f t="shared" si="147"/>
        <v>1</v>
      </c>
      <c r="F465" s="39">
        <v>45743</v>
      </c>
      <c r="G465" s="34"/>
      <c r="H465" s="6"/>
      <c r="I465" s="7"/>
      <c r="J465" s="8"/>
      <c r="K465" s="5">
        <f t="shared" si="155"/>
        <v>0</v>
      </c>
      <c r="L465" s="67"/>
    </row>
    <row r="466" spans="1:12" x14ac:dyDescent="0.15">
      <c r="A466" s="3" t="s">
        <v>265</v>
      </c>
      <c r="B466" s="6">
        <v>1</v>
      </c>
      <c r="C466" s="7"/>
      <c r="D466" s="8"/>
      <c r="E466" s="5">
        <f t="shared" si="147"/>
        <v>1</v>
      </c>
      <c r="F466" s="39">
        <v>45751</v>
      </c>
      <c r="G466" s="34"/>
      <c r="H466" s="6"/>
      <c r="I466" s="7"/>
      <c r="J466" s="8"/>
      <c r="K466" s="5">
        <f t="shared" si="155"/>
        <v>0</v>
      </c>
      <c r="L466" s="67"/>
    </row>
    <row r="467" spans="1:12" x14ac:dyDescent="0.15">
      <c r="A467" s="3" t="s">
        <v>267</v>
      </c>
      <c r="B467" s="6">
        <v>1</v>
      </c>
      <c r="C467" s="7"/>
      <c r="D467" s="8"/>
      <c r="E467" s="5">
        <f t="shared" si="147"/>
        <v>1</v>
      </c>
      <c r="F467" s="39">
        <v>45770</v>
      </c>
      <c r="G467" s="34"/>
      <c r="H467" s="6"/>
      <c r="I467" s="7"/>
      <c r="J467" s="8"/>
      <c r="K467" s="5">
        <f t="shared" ref="K467" si="156">SUM(H467:J467)</f>
        <v>0</v>
      </c>
      <c r="L467" s="67"/>
    </row>
    <row r="468" spans="1:12" x14ac:dyDescent="0.15">
      <c r="A468" s="3" t="s">
        <v>268</v>
      </c>
      <c r="B468" s="6">
        <v>1</v>
      </c>
      <c r="C468" s="7"/>
      <c r="D468" s="8">
        <v>1</v>
      </c>
      <c r="E468" s="5">
        <f t="shared" si="147"/>
        <v>2</v>
      </c>
      <c r="F468" s="39">
        <v>45771</v>
      </c>
      <c r="G468" s="34" t="s">
        <v>227</v>
      </c>
      <c r="H468" s="6"/>
      <c r="I468" s="7"/>
      <c r="J468" s="8"/>
      <c r="K468" s="5">
        <f t="shared" ref="K468:K469" si="157">SUM(H468:J468)</f>
        <v>0</v>
      </c>
      <c r="L468" s="67" t="s">
        <v>95</v>
      </c>
    </row>
    <row r="469" spans="1:12" ht="14.25" thickBot="1" x14ac:dyDescent="0.2">
      <c r="A469" s="3" t="s">
        <v>269</v>
      </c>
      <c r="B469" s="6"/>
      <c r="C469" s="7"/>
      <c r="D469" s="8">
        <v>1</v>
      </c>
      <c r="E469" s="5">
        <f t="shared" si="147"/>
        <v>1</v>
      </c>
      <c r="F469" s="39">
        <v>45793</v>
      </c>
      <c r="G469" s="34" t="s">
        <v>226</v>
      </c>
      <c r="H469" s="6"/>
      <c r="I469" s="7"/>
      <c r="J469" s="8"/>
      <c r="K469" s="5">
        <f t="shared" si="157"/>
        <v>0</v>
      </c>
      <c r="L469" s="67" t="s">
        <v>228</v>
      </c>
    </row>
    <row r="470" spans="1:12" ht="14.25" thickBot="1" x14ac:dyDescent="0.2">
      <c r="A470" s="2" t="s">
        <v>4</v>
      </c>
      <c r="B470" s="12">
        <f>SUM(B446:B469)</f>
        <v>44</v>
      </c>
      <c r="C470" s="12">
        <f>SUM(C446:C469)</f>
        <v>61</v>
      </c>
      <c r="D470" s="12">
        <f>SUM(D446:D469)</f>
        <v>22</v>
      </c>
      <c r="E470" s="13">
        <f t="shared" si="147"/>
        <v>127</v>
      </c>
      <c r="G470" s="36" t="s">
        <v>4</v>
      </c>
      <c r="H470" s="12">
        <f>SUM(H446:H469)</f>
        <v>35</v>
      </c>
      <c r="I470" s="12">
        <f t="shared" ref="I470" si="158">SUM(I446:I469)</f>
        <v>50</v>
      </c>
      <c r="J470" s="12">
        <f t="shared" ref="J470" si="159">SUM(J446:J469)</f>
        <v>15</v>
      </c>
      <c r="K470" s="13">
        <f t="shared" ref="K470" si="160">SUM(K446:K469)</f>
        <v>100</v>
      </c>
    </row>
    <row r="471" spans="1:12" ht="14.25" thickBot="1" x14ac:dyDescent="0.2">
      <c r="A471" s="25" t="s">
        <v>5</v>
      </c>
      <c r="B471" s="26">
        <f>B445-B470</f>
        <v>11</v>
      </c>
      <c r="C471" s="26">
        <f t="shared" ref="C471:E471" si="161">C445-C470</f>
        <v>17</v>
      </c>
      <c r="D471" s="26">
        <f t="shared" si="161"/>
        <v>16</v>
      </c>
      <c r="E471" s="24">
        <f t="shared" si="161"/>
        <v>44</v>
      </c>
      <c r="G471" s="37" t="s">
        <v>5</v>
      </c>
      <c r="H471" s="26">
        <f>H445-H470</f>
        <v>58</v>
      </c>
      <c r="I471" s="26">
        <f t="shared" ref="I471" si="162">I445-I470</f>
        <v>134</v>
      </c>
      <c r="J471" s="26">
        <f t="shared" ref="J471" si="163">J445-J470</f>
        <v>159</v>
      </c>
      <c r="K471" s="24">
        <f t="shared" ref="K471" si="164">K445-K470</f>
        <v>351</v>
      </c>
    </row>
    <row r="475" spans="1:12" ht="21.75" thickBot="1" x14ac:dyDescent="0.25">
      <c r="A475" s="30" t="s">
        <v>23</v>
      </c>
      <c r="B475" s="28"/>
      <c r="C475" s="28"/>
      <c r="D475" s="28"/>
      <c r="E475" s="28"/>
      <c r="G475" s="31" t="s">
        <v>25</v>
      </c>
      <c r="H475" s="29"/>
      <c r="I475" s="29"/>
      <c r="J475" s="29"/>
      <c r="K475" s="29"/>
    </row>
    <row r="476" spans="1:12" ht="14.25" thickBot="1" x14ac:dyDescent="0.2">
      <c r="A476" s="1" t="s">
        <v>0</v>
      </c>
      <c r="B476" s="91" t="s">
        <v>10</v>
      </c>
      <c r="C476" s="91"/>
      <c r="D476" s="91"/>
      <c r="E476" s="92"/>
      <c r="G476" s="1" t="s">
        <v>0</v>
      </c>
      <c r="H476" s="91" t="s">
        <v>274</v>
      </c>
      <c r="I476" s="91"/>
      <c r="J476" s="91"/>
      <c r="K476" s="92"/>
    </row>
    <row r="477" spans="1:12" ht="14.25" thickBot="1" x14ac:dyDescent="0.2">
      <c r="A477" s="1" t="s">
        <v>1</v>
      </c>
      <c r="B477" s="2" t="s">
        <v>6</v>
      </c>
      <c r="C477" s="1" t="s">
        <v>7</v>
      </c>
      <c r="D477" s="17" t="s">
        <v>8</v>
      </c>
      <c r="E477" s="1" t="s">
        <v>2</v>
      </c>
      <c r="G477" s="33" t="s">
        <v>1</v>
      </c>
      <c r="H477" s="2" t="s">
        <v>6</v>
      </c>
      <c r="I477" s="1" t="s">
        <v>7</v>
      </c>
      <c r="J477" s="17" t="s">
        <v>8</v>
      </c>
      <c r="K477" s="1" t="s">
        <v>2</v>
      </c>
    </row>
    <row r="478" spans="1:12" x14ac:dyDescent="0.15">
      <c r="A478" s="19" t="s">
        <v>5</v>
      </c>
      <c r="B478" s="16">
        <f>B471</f>
        <v>11</v>
      </c>
      <c r="C478" s="20">
        <f>C471</f>
        <v>17</v>
      </c>
      <c r="D478" s="20">
        <f>D471</f>
        <v>16</v>
      </c>
      <c r="E478" s="15">
        <f t="shared" ref="E478:E514" si="165">SUM(B478:D478)</f>
        <v>44</v>
      </c>
      <c r="G478" s="38" t="s">
        <v>5</v>
      </c>
      <c r="H478" s="16">
        <f>H471</f>
        <v>58</v>
      </c>
      <c r="I478" s="20">
        <f t="shared" ref="I478:K478" si="166">I471</f>
        <v>134</v>
      </c>
      <c r="J478" s="20">
        <f t="shared" si="166"/>
        <v>159</v>
      </c>
      <c r="K478" s="15">
        <f t="shared" si="166"/>
        <v>351</v>
      </c>
    </row>
    <row r="479" spans="1:12" x14ac:dyDescent="0.15">
      <c r="A479" s="3" t="s">
        <v>275</v>
      </c>
      <c r="B479" s="8">
        <v>2</v>
      </c>
      <c r="C479" s="7"/>
      <c r="D479" s="8"/>
      <c r="E479" s="4">
        <f t="shared" ref="E479:E486" si="167">SUM(B479:D479)</f>
        <v>2</v>
      </c>
      <c r="F479" s="39">
        <v>45862</v>
      </c>
      <c r="G479" s="34" t="s">
        <v>182</v>
      </c>
      <c r="H479" s="8"/>
      <c r="I479" s="7"/>
      <c r="J479" s="8">
        <v>-5</v>
      </c>
      <c r="K479" s="4">
        <f t="shared" ref="K479:K504" si="168">SUM(H479:J479)</f>
        <v>-5</v>
      </c>
      <c r="L479" s="70">
        <v>45900</v>
      </c>
    </row>
    <row r="480" spans="1:12" x14ac:dyDescent="0.15">
      <c r="A480" s="3" t="s">
        <v>182</v>
      </c>
      <c r="B480" s="8">
        <v>0</v>
      </c>
      <c r="C480" s="7">
        <v>0</v>
      </c>
      <c r="D480" s="8">
        <v>0</v>
      </c>
      <c r="E480" s="4">
        <f t="shared" si="167"/>
        <v>0</v>
      </c>
      <c r="F480" s="39">
        <v>45878</v>
      </c>
      <c r="G480" s="34" t="s">
        <v>11</v>
      </c>
      <c r="H480" s="8"/>
      <c r="I480" s="7"/>
      <c r="J480" s="8"/>
      <c r="K480" s="4">
        <f t="shared" ref="K480:K483" si="169">SUM(H480:J480)</f>
        <v>0</v>
      </c>
    </row>
    <row r="481" spans="1:11" x14ac:dyDescent="0.15">
      <c r="A481" s="3" t="s">
        <v>11</v>
      </c>
      <c r="B481" s="8"/>
      <c r="C481" s="7"/>
      <c r="D481" s="8"/>
      <c r="E481" s="4">
        <f t="shared" si="167"/>
        <v>0</v>
      </c>
      <c r="F481" s="39"/>
      <c r="G481" s="34" t="s">
        <v>11</v>
      </c>
      <c r="H481" s="8"/>
      <c r="I481" s="7"/>
      <c r="J481" s="8"/>
      <c r="K481" s="4">
        <f t="shared" si="169"/>
        <v>0</v>
      </c>
    </row>
    <row r="482" spans="1:11" x14ac:dyDescent="0.15">
      <c r="A482" s="3" t="s">
        <v>11</v>
      </c>
      <c r="B482" s="8"/>
      <c r="C482" s="7"/>
      <c r="D482" s="8"/>
      <c r="E482" s="4">
        <f t="shared" si="167"/>
        <v>0</v>
      </c>
      <c r="F482" s="39"/>
      <c r="G482" s="34" t="s">
        <v>11</v>
      </c>
      <c r="H482" s="8"/>
      <c r="I482" s="7"/>
      <c r="J482" s="8"/>
      <c r="K482" s="4">
        <f t="shared" si="169"/>
        <v>0</v>
      </c>
    </row>
    <row r="483" spans="1:11" x14ac:dyDescent="0.15">
      <c r="A483" s="3" t="s">
        <v>11</v>
      </c>
      <c r="B483" s="8"/>
      <c r="C483" s="7"/>
      <c r="D483" s="8"/>
      <c r="E483" s="4">
        <f t="shared" si="167"/>
        <v>0</v>
      </c>
      <c r="F483" s="39"/>
      <c r="G483" s="34" t="s">
        <v>11</v>
      </c>
      <c r="H483" s="8"/>
      <c r="I483" s="7"/>
      <c r="J483" s="8"/>
      <c r="K483" s="4">
        <f t="shared" si="169"/>
        <v>0</v>
      </c>
    </row>
    <row r="484" spans="1:11" x14ac:dyDescent="0.15">
      <c r="A484" s="3" t="s">
        <v>11</v>
      </c>
      <c r="B484" s="8"/>
      <c r="C484" s="7"/>
      <c r="D484" s="8"/>
      <c r="E484" s="4">
        <f t="shared" si="167"/>
        <v>0</v>
      </c>
      <c r="F484" s="39"/>
      <c r="G484" s="34" t="s">
        <v>11</v>
      </c>
      <c r="H484" s="8"/>
      <c r="I484" s="7"/>
      <c r="J484" s="8"/>
      <c r="K484" s="4">
        <f t="shared" si="168"/>
        <v>0</v>
      </c>
    </row>
    <row r="485" spans="1:11" x14ac:dyDescent="0.15">
      <c r="A485" s="3" t="s">
        <v>11</v>
      </c>
      <c r="B485" s="8"/>
      <c r="C485" s="7"/>
      <c r="D485" s="8"/>
      <c r="E485" s="4">
        <f t="shared" si="167"/>
        <v>0</v>
      </c>
      <c r="F485" s="39"/>
      <c r="G485" s="34" t="s">
        <v>11</v>
      </c>
      <c r="H485" s="8"/>
      <c r="I485" s="7"/>
      <c r="J485" s="8"/>
      <c r="K485" s="4">
        <f t="shared" si="168"/>
        <v>0</v>
      </c>
    </row>
    <row r="486" spans="1:11" x14ac:dyDescent="0.15">
      <c r="A486" s="3" t="s">
        <v>11</v>
      </c>
      <c r="B486" s="8"/>
      <c r="C486" s="7"/>
      <c r="D486" s="8"/>
      <c r="E486" s="4">
        <f t="shared" si="167"/>
        <v>0</v>
      </c>
      <c r="F486" s="39"/>
      <c r="G486" s="34" t="s">
        <v>11</v>
      </c>
      <c r="H486" s="8"/>
      <c r="I486" s="7"/>
      <c r="J486" s="8"/>
      <c r="K486" s="4">
        <f t="shared" si="168"/>
        <v>0</v>
      </c>
    </row>
    <row r="487" spans="1:11" x14ac:dyDescent="0.15">
      <c r="A487" s="3" t="s">
        <v>11</v>
      </c>
      <c r="B487" s="8"/>
      <c r="C487" s="7"/>
      <c r="D487" s="8"/>
      <c r="E487" s="4">
        <f t="shared" si="165"/>
        <v>0</v>
      </c>
      <c r="F487" s="39"/>
      <c r="G487" s="34" t="s">
        <v>11</v>
      </c>
      <c r="H487" s="8"/>
      <c r="I487" s="7"/>
      <c r="J487" s="8"/>
      <c r="K487" s="4">
        <f t="shared" si="168"/>
        <v>0</v>
      </c>
    </row>
    <row r="488" spans="1:11" ht="14.25" thickBot="1" x14ac:dyDescent="0.2">
      <c r="A488" s="3" t="s">
        <v>11</v>
      </c>
      <c r="B488" s="11"/>
      <c r="C488" s="10"/>
      <c r="D488" s="11"/>
      <c r="E488" s="18">
        <f t="shared" si="165"/>
        <v>0</v>
      </c>
      <c r="G488" s="34" t="s">
        <v>11</v>
      </c>
      <c r="H488" s="11"/>
      <c r="I488" s="10"/>
      <c r="J488" s="11"/>
      <c r="K488" s="18">
        <f t="shared" si="168"/>
        <v>0</v>
      </c>
    </row>
    <row r="489" spans="1:11" ht="14.25" thickBot="1" x14ac:dyDescent="0.2">
      <c r="A489" s="21" t="s">
        <v>3</v>
      </c>
      <c r="B489" s="22">
        <f>SUM(B478:B488)</f>
        <v>13</v>
      </c>
      <c r="C489" s="22">
        <f>SUM(C478:C488)</f>
        <v>17</v>
      </c>
      <c r="D489" s="23">
        <f>SUM(D478:D488)</f>
        <v>16</v>
      </c>
      <c r="E489" s="24">
        <f t="shared" si="165"/>
        <v>46</v>
      </c>
      <c r="G489" s="35" t="s">
        <v>3</v>
      </c>
      <c r="H489" s="22">
        <f>SUM(H478:H488)</f>
        <v>58</v>
      </c>
      <c r="I489" s="22">
        <f t="shared" ref="I489:K489" si="170">SUM(I478:I488)</f>
        <v>134</v>
      </c>
      <c r="J489" s="23">
        <f t="shared" si="170"/>
        <v>154</v>
      </c>
      <c r="K489" s="24">
        <f t="shared" si="170"/>
        <v>346</v>
      </c>
    </row>
    <row r="490" spans="1:11" x14ac:dyDescent="0.15">
      <c r="A490" s="3" t="s">
        <v>270</v>
      </c>
      <c r="B490" s="6">
        <v>1</v>
      </c>
      <c r="C490" s="7"/>
      <c r="D490" s="8"/>
      <c r="E490" s="5">
        <f t="shared" ref="E490:E510" si="171">SUM(B490:D490)</f>
        <v>1</v>
      </c>
      <c r="F490" s="39">
        <v>45793</v>
      </c>
      <c r="G490" s="34"/>
      <c r="H490" s="6"/>
      <c r="I490" s="7"/>
      <c r="J490" s="8"/>
      <c r="K490" s="5">
        <f t="shared" ref="K490:K493" si="172">SUM(H490:J490)</f>
        <v>0</v>
      </c>
    </row>
    <row r="491" spans="1:11" x14ac:dyDescent="0.15">
      <c r="A491" s="3" t="s">
        <v>273</v>
      </c>
      <c r="B491" s="6">
        <v>1</v>
      </c>
      <c r="C491" s="7"/>
      <c r="D491" s="8"/>
      <c r="E491" s="5">
        <f t="shared" si="171"/>
        <v>1</v>
      </c>
      <c r="F491" s="39">
        <v>45826</v>
      </c>
      <c r="G491" s="34"/>
      <c r="H491" s="6"/>
      <c r="I491" s="7"/>
      <c r="J491" s="8"/>
      <c r="K491" s="5">
        <f t="shared" si="172"/>
        <v>0</v>
      </c>
    </row>
    <row r="492" spans="1:11" x14ac:dyDescent="0.15">
      <c r="A492" s="3"/>
      <c r="B492" s="6"/>
      <c r="C492" s="7"/>
      <c r="D492" s="8"/>
      <c r="E492" s="5">
        <f t="shared" si="171"/>
        <v>0</v>
      </c>
      <c r="F492" s="39"/>
      <c r="G492" s="34"/>
      <c r="H492" s="6"/>
      <c r="I492" s="7"/>
      <c r="J492" s="8"/>
      <c r="K492" s="5">
        <f t="shared" si="172"/>
        <v>0</v>
      </c>
    </row>
    <row r="493" spans="1:11" x14ac:dyDescent="0.15">
      <c r="A493" s="3"/>
      <c r="B493" s="6"/>
      <c r="C493" s="7"/>
      <c r="D493" s="8"/>
      <c r="E493" s="5">
        <f t="shared" si="171"/>
        <v>0</v>
      </c>
      <c r="F493" s="39"/>
      <c r="G493" s="34"/>
      <c r="H493" s="6"/>
      <c r="I493" s="7"/>
      <c r="J493" s="8"/>
      <c r="K493" s="5">
        <f t="shared" si="172"/>
        <v>0</v>
      </c>
    </row>
    <row r="494" spans="1:11" x14ac:dyDescent="0.15">
      <c r="A494" s="3"/>
      <c r="B494" s="6"/>
      <c r="C494" s="7"/>
      <c r="D494" s="8"/>
      <c r="E494" s="5">
        <f t="shared" si="171"/>
        <v>0</v>
      </c>
      <c r="F494" s="39"/>
      <c r="G494" s="34"/>
      <c r="H494" s="6"/>
      <c r="I494" s="7"/>
      <c r="J494" s="8"/>
      <c r="K494" s="5">
        <f t="shared" si="168"/>
        <v>0</v>
      </c>
    </row>
    <row r="495" spans="1:11" x14ac:dyDescent="0.15">
      <c r="A495" s="3"/>
      <c r="B495" s="6"/>
      <c r="C495" s="7"/>
      <c r="D495" s="8"/>
      <c r="E495" s="5">
        <f t="shared" si="171"/>
        <v>0</v>
      </c>
      <c r="F495" s="39"/>
      <c r="G495" s="34"/>
      <c r="H495" s="6"/>
      <c r="I495" s="7"/>
      <c r="J495" s="8"/>
      <c r="K495" s="5">
        <f t="shared" si="168"/>
        <v>0</v>
      </c>
    </row>
    <row r="496" spans="1:11" x14ac:dyDescent="0.15">
      <c r="A496" s="3"/>
      <c r="B496" s="6"/>
      <c r="C496" s="7"/>
      <c r="D496" s="8"/>
      <c r="E496" s="5">
        <f t="shared" si="171"/>
        <v>0</v>
      </c>
      <c r="F496" s="39"/>
      <c r="G496" s="34"/>
      <c r="H496" s="6"/>
      <c r="I496" s="7"/>
      <c r="J496" s="8"/>
      <c r="K496" s="5">
        <f t="shared" si="168"/>
        <v>0</v>
      </c>
    </row>
    <row r="497" spans="1:11" x14ac:dyDescent="0.15">
      <c r="A497" s="3"/>
      <c r="B497" s="6"/>
      <c r="C497" s="7"/>
      <c r="D497" s="8"/>
      <c r="E497" s="5">
        <f t="shared" si="171"/>
        <v>0</v>
      </c>
      <c r="F497" s="39"/>
      <c r="G497" s="34"/>
      <c r="H497" s="6"/>
      <c r="I497" s="7"/>
      <c r="J497" s="8"/>
      <c r="K497" s="5">
        <f t="shared" si="168"/>
        <v>0</v>
      </c>
    </row>
    <row r="498" spans="1:11" x14ac:dyDescent="0.15">
      <c r="A498" s="3"/>
      <c r="B498" s="6"/>
      <c r="C498" s="7"/>
      <c r="D498" s="8"/>
      <c r="E498" s="5">
        <f t="shared" si="171"/>
        <v>0</v>
      </c>
      <c r="F498" s="39"/>
      <c r="G498" s="34"/>
      <c r="H498" s="6"/>
      <c r="I498" s="7"/>
      <c r="J498" s="8"/>
      <c r="K498" s="5">
        <f t="shared" si="168"/>
        <v>0</v>
      </c>
    </row>
    <row r="499" spans="1:11" x14ac:dyDescent="0.15">
      <c r="A499" s="3"/>
      <c r="B499" s="6"/>
      <c r="C499" s="7"/>
      <c r="D499" s="8"/>
      <c r="E499" s="5">
        <f t="shared" si="171"/>
        <v>0</v>
      </c>
      <c r="F499" s="39"/>
      <c r="G499" s="34"/>
      <c r="H499" s="6"/>
      <c r="I499" s="7"/>
      <c r="J499" s="8"/>
      <c r="K499" s="5">
        <f t="shared" si="168"/>
        <v>0</v>
      </c>
    </row>
    <row r="500" spans="1:11" x14ac:dyDescent="0.15">
      <c r="A500" s="3"/>
      <c r="B500" s="6"/>
      <c r="C500" s="7"/>
      <c r="D500" s="8"/>
      <c r="E500" s="5">
        <f t="shared" si="171"/>
        <v>0</v>
      </c>
      <c r="F500" s="39"/>
      <c r="G500" s="34"/>
      <c r="H500" s="6"/>
      <c r="I500" s="7"/>
      <c r="J500" s="8"/>
      <c r="K500" s="5">
        <f t="shared" si="168"/>
        <v>0</v>
      </c>
    </row>
    <row r="501" spans="1:11" x14ac:dyDescent="0.15">
      <c r="A501" s="3"/>
      <c r="B501" s="6"/>
      <c r="C501" s="7"/>
      <c r="D501" s="8"/>
      <c r="E501" s="5">
        <f t="shared" si="171"/>
        <v>0</v>
      </c>
      <c r="F501" s="39"/>
      <c r="G501" s="34"/>
      <c r="H501" s="6"/>
      <c r="I501" s="7"/>
      <c r="J501" s="8"/>
      <c r="K501" s="5">
        <f t="shared" si="168"/>
        <v>0</v>
      </c>
    </row>
    <row r="502" spans="1:11" x14ac:dyDescent="0.15">
      <c r="A502" s="3"/>
      <c r="B502" s="6"/>
      <c r="C502" s="7"/>
      <c r="D502" s="8"/>
      <c r="E502" s="5">
        <f t="shared" si="171"/>
        <v>0</v>
      </c>
      <c r="F502" s="39"/>
      <c r="G502" s="34"/>
      <c r="H502" s="6"/>
      <c r="I502" s="7"/>
      <c r="J502" s="8"/>
      <c r="K502" s="5">
        <f t="shared" si="168"/>
        <v>0</v>
      </c>
    </row>
    <row r="503" spans="1:11" x14ac:dyDescent="0.15">
      <c r="A503" s="3"/>
      <c r="B503" s="6"/>
      <c r="C503" s="7"/>
      <c r="D503" s="8"/>
      <c r="E503" s="5">
        <f t="shared" si="171"/>
        <v>0</v>
      </c>
      <c r="F503" s="39"/>
      <c r="G503" s="34"/>
      <c r="H503" s="6"/>
      <c r="I503" s="7"/>
      <c r="J503" s="8"/>
      <c r="K503" s="5">
        <f t="shared" si="168"/>
        <v>0</v>
      </c>
    </row>
    <row r="504" spans="1:11" x14ac:dyDescent="0.15">
      <c r="A504" s="3"/>
      <c r="B504" s="6"/>
      <c r="C504" s="7"/>
      <c r="D504" s="8"/>
      <c r="E504" s="5">
        <f t="shared" si="171"/>
        <v>0</v>
      </c>
      <c r="F504" s="39"/>
      <c r="G504" s="34"/>
      <c r="H504" s="6"/>
      <c r="I504" s="7"/>
      <c r="J504" s="8"/>
      <c r="K504" s="5">
        <f t="shared" si="168"/>
        <v>0</v>
      </c>
    </row>
    <row r="505" spans="1:11" x14ac:dyDescent="0.15">
      <c r="A505" s="3"/>
      <c r="B505" s="6"/>
      <c r="C505" s="7"/>
      <c r="D505" s="8"/>
      <c r="E505" s="5">
        <f t="shared" si="171"/>
        <v>0</v>
      </c>
      <c r="F505" s="39"/>
      <c r="G505" s="34"/>
      <c r="H505" s="6"/>
      <c r="I505" s="7"/>
      <c r="J505" s="8"/>
      <c r="K505" s="5">
        <f t="shared" ref="K505:K513" si="173">SUM(H505:J505)</f>
        <v>0</v>
      </c>
    </row>
    <row r="506" spans="1:11" x14ac:dyDescent="0.15">
      <c r="A506" s="3"/>
      <c r="B506" s="6"/>
      <c r="C506" s="7"/>
      <c r="D506" s="8"/>
      <c r="E506" s="5">
        <f t="shared" si="171"/>
        <v>0</v>
      </c>
      <c r="F506" s="39"/>
      <c r="G506" s="34"/>
      <c r="H506" s="6"/>
      <c r="I506" s="7"/>
      <c r="J506" s="8"/>
      <c r="K506" s="5">
        <f t="shared" si="173"/>
        <v>0</v>
      </c>
    </row>
    <row r="507" spans="1:11" x14ac:dyDescent="0.15">
      <c r="A507" s="3"/>
      <c r="B507" s="6"/>
      <c r="C507" s="7"/>
      <c r="D507" s="8"/>
      <c r="E507" s="5">
        <f t="shared" si="171"/>
        <v>0</v>
      </c>
      <c r="F507" s="39"/>
      <c r="G507" s="34"/>
      <c r="H507" s="6"/>
      <c r="I507" s="7"/>
      <c r="J507" s="8"/>
      <c r="K507" s="5">
        <f t="shared" si="173"/>
        <v>0</v>
      </c>
    </row>
    <row r="508" spans="1:11" x14ac:dyDescent="0.15">
      <c r="A508" s="3"/>
      <c r="B508" s="6"/>
      <c r="C508" s="7"/>
      <c r="D508" s="8"/>
      <c r="E508" s="5">
        <f t="shared" si="171"/>
        <v>0</v>
      </c>
      <c r="F508" s="39"/>
      <c r="G508" s="34"/>
      <c r="H508" s="6"/>
      <c r="I508" s="7"/>
      <c r="J508" s="8"/>
      <c r="K508" s="5">
        <f t="shared" si="173"/>
        <v>0</v>
      </c>
    </row>
    <row r="509" spans="1:11" x14ac:dyDescent="0.15">
      <c r="A509" s="3"/>
      <c r="B509" s="6"/>
      <c r="C509" s="7"/>
      <c r="D509" s="8"/>
      <c r="E509" s="5">
        <f t="shared" si="171"/>
        <v>0</v>
      </c>
      <c r="F509" s="39"/>
      <c r="G509" s="34"/>
      <c r="H509" s="6"/>
      <c r="I509" s="7"/>
      <c r="J509" s="8"/>
      <c r="K509" s="5">
        <f t="shared" si="173"/>
        <v>0</v>
      </c>
    </row>
    <row r="510" spans="1:11" x14ac:dyDescent="0.15">
      <c r="A510" s="3"/>
      <c r="B510" s="6"/>
      <c r="C510" s="7"/>
      <c r="D510" s="8"/>
      <c r="E510" s="5">
        <f t="shared" si="171"/>
        <v>0</v>
      </c>
      <c r="F510" s="39"/>
      <c r="G510" s="34"/>
      <c r="H510" s="6"/>
      <c r="I510" s="7"/>
      <c r="J510" s="8"/>
      <c r="K510" s="5">
        <f t="shared" si="173"/>
        <v>0</v>
      </c>
    </row>
    <row r="511" spans="1:11" x14ac:dyDescent="0.15">
      <c r="A511" s="3"/>
      <c r="B511" s="6"/>
      <c r="C511" s="7"/>
      <c r="D511" s="8"/>
      <c r="E511" s="5">
        <f t="shared" si="165"/>
        <v>0</v>
      </c>
      <c r="F511" s="39"/>
      <c r="G511" s="34"/>
      <c r="H511" s="6"/>
      <c r="I511" s="7"/>
      <c r="J511" s="8"/>
      <c r="K511" s="5">
        <f t="shared" si="173"/>
        <v>0</v>
      </c>
    </row>
    <row r="512" spans="1:11" x14ac:dyDescent="0.15">
      <c r="A512" s="3"/>
      <c r="B512" s="6"/>
      <c r="C512" s="7"/>
      <c r="D512" s="8"/>
      <c r="E512" s="5">
        <f t="shared" si="165"/>
        <v>0</v>
      </c>
      <c r="F512" s="39"/>
      <c r="G512" s="34"/>
      <c r="H512" s="6"/>
      <c r="I512" s="7"/>
      <c r="J512" s="8"/>
      <c r="K512" s="5">
        <f t="shared" si="173"/>
        <v>0</v>
      </c>
    </row>
    <row r="513" spans="1:12" ht="14.25" thickBot="1" x14ac:dyDescent="0.2">
      <c r="A513" s="3"/>
      <c r="B513" s="6"/>
      <c r="C513" s="7"/>
      <c r="D513" s="8"/>
      <c r="E513" s="5">
        <f t="shared" si="165"/>
        <v>0</v>
      </c>
      <c r="F513" s="39"/>
      <c r="G513" s="34"/>
      <c r="H513" s="6"/>
      <c r="I513" s="7"/>
      <c r="J513" s="8"/>
      <c r="K513" s="5">
        <f t="shared" si="173"/>
        <v>0</v>
      </c>
    </row>
    <row r="514" spans="1:12" ht="14.25" thickBot="1" x14ac:dyDescent="0.2">
      <c r="A514" s="2" t="s">
        <v>4</v>
      </c>
      <c r="B514" s="12">
        <f>SUM(B490:B513)</f>
        <v>2</v>
      </c>
      <c r="C514" s="12">
        <f>SUM(C490:C513)</f>
        <v>0</v>
      </c>
      <c r="D514" s="12">
        <f>SUM(D490:D513)</f>
        <v>0</v>
      </c>
      <c r="E514" s="13">
        <f t="shared" si="165"/>
        <v>2</v>
      </c>
      <c r="G514" s="36" t="s">
        <v>4</v>
      </c>
      <c r="H514" s="12">
        <f>SUM(H490:H513)</f>
        <v>0</v>
      </c>
      <c r="I514" s="12">
        <f t="shared" ref="I514:K514" si="174">SUM(I490:I513)</f>
        <v>0</v>
      </c>
      <c r="J514" s="12">
        <f t="shared" si="174"/>
        <v>0</v>
      </c>
      <c r="K514" s="13">
        <f t="shared" si="174"/>
        <v>0</v>
      </c>
    </row>
    <row r="515" spans="1:12" ht="14.25" thickBot="1" x14ac:dyDescent="0.2">
      <c r="A515" s="25" t="s">
        <v>5</v>
      </c>
      <c r="B515" s="26">
        <f>B489-B514</f>
        <v>11</v>
      </c>
      <c r="C515" s="26">
        <f t="shared" ref="C515:E515" si="175">C489-C514</f>
        <v>17</v>
      </c>
      <c r="D515" s="26">
        <f t="shared" si="175"/>
        <v>16</v>
      </c>
      <c r="E515" s="24">
        <f t="shared" si="175"/>
        <v>44</v>
      </c>
      <c r="G515" s="37" t="s">
        <v>5</v>
      </c>
      <c r="H515" s="26">
        <f>H489-H514</f>
        <v>58</v>
      </c>
      <c r="I515" s="26">
        <f t="shared" ref="I515:K515" si="176">I489-I514</f>
        <v>134</v>
      </c>
      <c r="J515" s="26">
        <f t="shared" si="176"/>
        <v>154</v>
      </c>
      <c r="K515" s="24">
        <f t="shared" si="176"/>
        <v>346</v>
      </c>
      <c r="L515" s="59"/>
    </row>
    <row r="517" spans="1:12" x14ac:dyDescent="0.15">
      <c r="A517" s="94" t="s">
        <v>266</v>
      </c>
      <c r="B517" s="94"/>
      <c r="C517" s="94"/>
      <c r="D517" s="94"/>
      <c r="E517" s="94"/>
      <c r="F517" s="94"/>
      <c r="G517" s="94"/>
      <c r="H517" s="94"/>
      <c r="I517" s="94"/>
      <c r="J517" s="94"/>
      <c r="K517" s="94"/>
    </row>
    <row r="518" spans="1:12" ht="33" customHeight="1" x14ac:dyDescent="0.15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</row>
    <row r="519" spans="1:12" ht="21.75" thickBot="1" x14ac:dyDescent="0.25">
      <c r="A519" s="30" t="s">
        <v>23</v>
      </c>
      <c r="B519" s="28"/>
      <c r="C519" s="28"/>
      <c r="D519" s="28"/>
      <c r="E519" s="28"/>
      <c r="G519" s="31" t="s">
        <v>340</v>
      </c>
      <c r="H519" s="29"/>
      <c r="I519" s="29"/>
      <c r="J519" s="29"/>
      <c r="K519" s="29"/>
    </row>
    <row r="520" spans="1:12" ht="14.25" thickBot="1" x14ac:dyDescent="0.2">
      <c r="A520" s="1" t="s">
        <v>0</v>
      </c>
      <c r="B520" s="91" t="s">
        <v>10</v>
      </c>
      <c r="C520" s="91"/>
      <c r="D520" s="91"/>
      <c r="E520" s="92"/>
      <c r="G520" s="1" t="s">
        <v>0</v>
      </c>
      <c r="H520" s="91" t="s">
        <v>274</v>
      </c>
      <c r="I520" s="91"/>
      <c r="J520" s="91"/>
      <c r="K520" s="92"/>
    </row>
    <row r="521" spans="1:12" ht="14.25" thickBot="1" x14ac:dyDescent="0.2">
      <c r="A521" s="1" t="s">
        <v>1</v>
      </c>
      <c r="B521" s="2" t="s">
        <v>6</v>
      </c>
      <c r="C521" s="1" t="s">
        <v>7</v>
      </c>
      <c r="D521" s="17" t="s">
        <v>8</v>
      </c>
      <c r="E521" s="1" t="s">
        <v>2</v>
      </c>
      <c r="G521" s="33" t="s">
        <v>1</v>
      </c>
      <c r="H521" s="2" t="s">
        <v>6</v>
      </c>
      <c r="I521" s="1" t="s">
        <v>7</v>
      </c>
      <c r="J521" s="17" t="s">
        <v>8</v>
      </c>
      <c r="K521" s="1" t="s">
        <v>2</v>
      </c>
    </row>
    <row r="522" spans="1:12" x14ac:dyDescent="0.15">
      <c r="A522" s="19" t="s">
        <v>5</v>
      </c>
      <c r="B522" s="16">
        <f>B515</f>
        <v>11</v>
      </c>
      <c r="C522" s="20">
        <f>C515</f>
        <v>17</v>
      </c>
      <c r="D522" s="20">
        <f>D515</f>
        <v>16</v>
      </c>
      <c r="E522" s="15">
        <f t="shared" ref="E522:E558" si="177">SUM(B522:D522)</f>
        <v>44</v>
      </c>
      <c r="G522" s="38" t="s">
        <v>5</v>
      </c>
      <c r="H522" s="16">
        <f>H515</f>
        <v>58</v>
      </c>
      <c r="I522" s="20">
        <f t="shared" ref="I522:K522" si="178">I515</f>
        <v>134</v>
      </c>
      <c r="J522" s="20">
        <f t="shared" si="178"/>
        <v>154</v>
      </c>
      <c r="K522" s="15">
        <f t="shared" si="178"/>
        <v>346</v>
      </c>
    </row>
    <row r="523" spans="1:12" x14ac:dyDescent="0.15">
      <c r="A523" s="3" t="s">
        <v>11</v>
      </c>
      <c r="B523" s="8">
        <v>7</v>
      </c>
      <c r="C523" s="7">
        <v>7</v>
      </c>
      <c r="D523" s="8">
        <v>7</v>
      </c>
      <c r="E523" s="4">
        <f t="shared" ref="E523:E524" si="179">SUM(B523:D523)</f>
        <v>21</v>
      </c>
      <c r="F523" s="39">
        <v>45903</v>
      </c>
      <c r="G523" s="34" t="s">
        <v>11</v>
      </c>
      <c r="H523" s="8"/>
      <c r="I523" s="7"/>
      <c r="J523" s="8"/>
      <c r="K523" s="4">
        <f t="shared" ref="K523:K532" si="180">SUM(H523:J523)</f>
        <v>0</v>
      </c>
    </row>
    <row r="524" spans="1:12" x14ac:dyDescent="0.15">
      <c r="A524" s="3" t="s">
        <v>11</v>
      </c>
      <c r="B524" s="8">
        <v>15</v>
      </c>
      <c r="C524" s="7">
        <v>10</v>
      </c>
      <c r="D524" s="8">
        <v>10</v>
      </c>
      <c r="E524" s="4">
        <f t="shared" si="179"/>
        <v>35</v>
      </c>
      <c r="F524" s="39">
        <v>45940</v>
      </c>
      <c r="G524" s="34" t="s">
        <v>11</v>
      </c>
      <c r="H524" s="8"/>
      <c r="I524" s="7"/>
      <c r="J524" s="8"/>
      <c r="K524" s="4">
        <f t="shared" si="180"/>
        <v>0</v>
      </c>
    </row>
    <row r="525" spans="1:12" x14ac:dyDescent="0.15">
      <c r="A525" s="3" t="s">
        <v>11</v>
      </c>
      <c r="B525" s="8">
        <v>5</v>
      </c>
      <c r="C525" s="7">
        <v>5</v>
      </c>
      <c r="D525" s="8"/>
      <c r="E525" s="4">
        <f t="shared" si="177"/>
        <v>10</v>
      </c>
      <c r="F525" s="39">
        <v>45950</v>
      </c>
      <c r="G525" s="71" t="s">
        <v>287</v>
      </c>
      <c r="H525" s="81">
        <v>180</v>
      </c>
      <c r="I525" s="82">
        <v>140</v>
      </c>
      <c r="J525" s="81">
        <v>60</v>
      </c>
      <c r="K525" s="79">
        <f t="shared" si="180"/>
        <v>380</v>
      </c>
      <c r="L525" s="77" t="s">
        <v>315</v>
      </c>
    </row>
    <row r="526" spans="1:12" x14ac:dyDescent="0.15">
      <c r="A526" s="3" t="s">
        <v>303</v>
      </c>
      <c r="B526" s="6">
        <v>1</v>
      </c>
      <c r="C526" s="7"/>
      <c r="D526" s="8"/>
      <c r="E526" s="5">
        <f t="shared" si="177"/>
        <v>1</v>
      </c>
      <c r="F526" s="39">
        <v>45948</v>
      </c>
      <c r="G526" s="34" t="s">
        <v>11</v>
      </c>
      <c r="H526" s="8"/>
      <c r="I526" s="7"/>
      <c r="J526" s="8"/>
      <c r="K526" s="4">
        <f t="shared" ref="K526" si="181">SUM(H526:J526)</f>
        <v>0</v>
      </c>
    </row>
    <row r="527" spans="1:12" x14ac:dyDescent="0.15">
      <c r="A527" s="78" t="s">
        <v>11</v>
      </c>
      <c r="B527" s="74">
        <v>5</v>
      </c>
      <c r="C527" s="73">
        <v>10</v>
      </c>
      <c r="D527" s="74">
        <v>5</v>
      </c>
      <c r="E527" s="79">
        <f t="shared" si="177"/>
        <v>20</v>
      </c>
      <c r="F527" s="80">
        <v>45959</v>
      </c>
      <c r="G527" s="34" t="s">
        <v>11</v>
      </c>
      <c r="H527" s="8"/>
      <c r="I527" s="7"/>
      <c r="J527" s="8"/>
      <c r="K527" s="4">
        <f t="shared" si="180"/>
        <v>0</v>
      </c>
    </row>
    <row r="528" spans="1:12" x14ac:dyDescent="0.15">
      <c r="A528" s="3" t="s">
        <v>11</v>
      </c>
      <c r="B528" s="8"/>
      <c r="C528" s="7"/>
      <c r="D528" s="8"/>
      <c r="E528" s="4">
        <f t="shared" si="177"/>
        <v>0</v>
      </c>
      <c r="F528" s="39"/>
      <c r="G528" s="34" t="s">
        <v>11</v>
      </c>
      <c r="H528" s="8"/>
      <c r="I528" s="7"/>
      <c r="J528" s="8"/>
      <c r="K528" s="4">
        <f t="shared" si="180"/>
        <v>0</v>
      </c>
    </row>
    <row r="529" spans="1:12" x14ac:dyDescent="0.15">
      <c r="A529" s="3" t="s">
        <v>11</v>
      </c>
      <c r="B529" s="8"/>
      <c r="C529" s="7"/>
      <c r="D529" s="8"/>
      <c r="E529" s="4">
        <f t="shared" si="177"/>
        <v>0</v>
      </c>
      <c r="F529" s="39"/>
      <c r="G529" s="34" t="s">
        <v>11</v>
      </c>
      <c r="H529" s="8"/>
      <c r="I529" s="7"/>
      <c r="J529" s="8"/>
      <c r="K529" s="4">
        <f t="shared" si="180"/>
        <v>0</v>
      </c>
    </row>
    <row r="530" spans="1:12" x14ac:dyDescent="0.15">
      <c r="A530" s="3" t="s">
        <v>11</v>
      </c>
      <c r="B530" s="8"/>
      <c r="C530" s="7"/>
      <c r="D530" s="8"/>
      <c r="E530" s="4">
        <f t="shared" si="177"/>
        <v>0</v>
      </c>
      <c r="F530" s="39"/>
      <c r="G530" s="34" t="s">
        <v>11</v>
      </c>
      <c r="H530" s="8"/>
      <c r="I530" s="7"/>
      <c r="J530" s="8"/>
      <c r="K530" s="4">
        <f t="shared" si="180"/>
        <v>0</v>
      </c>
    </row>
    <row r="531" spans="1:12" x14ac:dyDescent="0.15">
      <c r="A531" s="3" t="s">
        <v>11</v>
      </c>
      <c r="B531" s="8"/>
      <c r="C531" s="7"/>
      <c r="D531" s="8"/>
      <c r="E531" s="4">
        <f t="shared" si="177"/>
        <v>0</v>
      </c>
      <c r="F531" s="39"/>
      <c r="G531" s="34" t="s">
        <v>11</v>
      </c>
      <c r="H531" s="8"/>
      <c r="I531" s="7"/>
      <c r="J531" s="8"/>
      <c r="K531" s="4">
        <f t="shared" si="180"/>
        <v>0</v>
      </c>
    </row>
    <row r="532" spans="1:12" ht="14.25" thickBot="1" x14ac:dyDescent="0.2">
      <c r="A532" s="3" t="s">
        <v>11</v>
      </c>
      <c r="B532" s="11"/>
      <c r="C532" s="10"/>
      <c r="D532" s="11"/>
      <c r="E532" s="18">
        <f t="shared" si="177"/>
        <v>0</v>
      </c>
      <c r="G532" s="34" t="s">
        <v>11</v>
      </c>
      <c r="H532" s="11"/>
      <c r="I532" s="10"/>
      <c r="J532" s="11"/>
      <c r="K532" s="18">
        <f t="shared" si="180"/>
        <v>0</v>
      </c>
    </row>
    <row r="533" spans="1:12" ht="14.25" thickBot="1" x14ac:dyDescent="0.2">
      <c r="A533" s="21" t="s">
        <v>3</v>
      </c>
      <c r="B533" s="22">
        <f>SUM(B522:B532)</f>
        <v>44</v>
      </c>
      <c r="C533" s="22">
        <f>SUM(C522:C532)</f>
        <v>49</v>
      </c>
      <c r="D533" s="23">
        <f>SUM(D522:D532)</f>
        <v>38</v>
      </c>
      <c r="E533" s="24">
        <f t="shared" si="177"/>
        <v>131</v>
      </c>
      <c r="G533" s="35" t="s">
        <v>3</v>
      </c>
      <c r="H533" s="22">
        <f>SUM(H522:H532)</f>
        <v>238</v>
      </c>
      <c r="I533" s="22">
        <f t="shared" ref="I533" si="182">SUM(I522:I532)</f>
        <v>274</v>
      </c>
      <c r="J533" s="23">
        <f t="shared" ref="J533" si="183">SUM(J522:J532)</f>
        <v>214</v>
      </c>
      <c r="K533" s="24">
        <f t="shared" ref="K533" si="184">SUM(K522:K532)</f>
        <v>726</v>
      </c>
    </row>
    <row r="534" spans="1:12" x14ac:dyDescent="0.15">
      <c r="A534" s="3" t="s">
        <v>294</v>
      </c>
      <c r="B534" s="6">
        <v>1</v>
      </c>
      <c r="C534" s="7"/>
      <c r="D534" s="8"/>
      <c r="E534" s="5">
        <f t="shared" ref="E534:E536" si="185">SUM(B534:D534)</f>
        <v>1</v>
      </c>
      <c r="F534" s="66">
        <v>45912</v>
      </c>
      <c r="G534" s="34" t="s">
        <v>289</v>
      </c>
      <c r="H534" s="6">
        <v>7</v>
      </c>
      <c r="I534" s="7">
        <v>7</v>
      </c>
      <c r="J534" s="8">
        <v>7</v>
      </c>
      <c r="K534" s="5">
        <f t="shared" ref="K534:K535" si="186">SUM(H534:J534)</f>
        <v>21</v>
      </c>
      <c r="L534" s="66">
        <v>45903</v>
      </c>
    </row>
    <row r="535" spans="1:12" x14ac:dyDescent="0.15">
      <c r="A535" s="34" t="s">
        <v>282</v>
      </c>
      <c r="B535" s="6">
        <v>7</v>
      </c>
      <c r="C535" s="7">
        <v>7</v>
      </c>
      <c r="D535" s="8">
        <v>7</v>
      </c>
      <c r="E535" s="5">
        <f t="shared" si="185"/>
        <v>21</v>
      </c>
      <c r="F535" s="66">
        <v>45905</v>
      </c>
      <c r="G535" s="34" t="s">
        <v>26</v>
      </c>
      <c r="H535" s="6">
        <v>15</v>
      </c>
      <c r="I535" s="7">
        <v>10</v>
      </c>
      <c r="J535" s="8">
        <v>10</v>
      </c>
      <c r="K535" s="5">
        <f t="shared" si="186"/>
        <v>35</v>
      </c>
      <c r="L535" s="66">
        <v>45940</v>
      </c>
    </row>
    <row r="536" spans="1:12" x14ac:dyDescent="0.15">
      <c r="A536" s="34" t="s">
        <v>296</v>
      </c>
      <c r="B536" s="6">
        <v>4</v>
      </c>
      <c r="C536" s="7">
        <v>4</v>
      </c>
      <c r="D536" s="8">
        <v>3</v>
      </c>
      <c r="E536" s="5">
        <f t="shared" si="185"/>
        <v>11</v>
      </c>
      <c r="F536" s="66">
        <v>45936</v>
      </c>
      <c r="G536" s="34" t="s">
        <v>26</v>
      </c>
      <c r="H536" s="6">
        <v>5</v>
      </c>
      <c r="I536" s="7">
        <v>5</v>
      </c>
      <c r="J536" s="8"/>
      <c r="K536" s="5">
        <f t="shared" ref="K536:K557" si="187">SUM(H536:J536)</f>
        <v>10</v>
      </c>
      <c r="L536" s="66">
        <v>45950</v>
      </c>
    </row>
    <row r="537" spans="1:12" x14ac:dyDescent="0.15">
      <c r="A537" s="3" t="s">
        <v>297</v>
      </c>
      <c r="B537" s="6">
        <v>3</v>
      </c>
      <c r="C537" s="7">
        <v>2</v>
      </c>
      <c r="D537" s="8">
        <v>3</v>
      </c>
      <c r="E537" s="5">
        <f t="shared" si="177"/>
        <v>8</v>
      </c>
      <c r="F537" s="66">
        <v>45933</v>
      </c>
      <c r="G537" s="34" t="s">
        <v>295</v>
      </c>
      <c r="H537" s="6">
        <v>15</v>
      </c>
      <c r="I537" s="7">
        <v>15</v>
      </c>
      <c r="J537" s="8">
        <v>15</v>
      </c>
      <c r="K537" s="5">
        <f t="shared" ref="K537" si="188">SUM(H537:J537)</f>
        <v>45</v>
      </c>
      <c r="L537" s="66">
        <v>45958</v>
      </c>
    </row>
    <row r="538" spans="1:12" x14ac:dyDescent="0.15">
      <c r="A538" s="3" t="s">
        <v>297</v>
      </c>
      <c r="B538" s="6"/>
      <c r="C538" s="7">
        <v>1</v>
      </c>
      <c r="D538" s="8"/>
      <c r="E538" s="5">
        <f t="shared" si="177"/>
        <v>1</v>
      </c>
      <c r="F538" s="66">
        <v>45940</v>
      </c>
      <c r="G538" s="71" t="s">
        <v>26</v>
      </c>
      <c r="H538" s="72">
        <v>5</v>
      </c>
      <c r="I538" s="73">
        <v>10</v>
      </c>
      <c r="J538" s="74">
        <v>5</v>
      </c>
      <c r="K538" s="75">
        <f t="shared" si="187"/>
        <v>20</v>
      </c>
      <c r="L538" s="77">
        <v>45959</v>
      </c>
    </row>
    <row r="539" spans="1:12" x14ac:dyDescent="0.15">
      <c r="A539" s="3" t="s">
        <v>297</v>
      </c>
      <c r="B539" s="6"/>
      <c r="C539" s="7">
        <v>4</v>
      </c>
      <c r="D539" s="8"/>
      <c r="E539" s="5">
        <f t="shared" si="177"/>
        <v>4</v>
      </c>
      <c r="F539" s="66">
        <v>45940</v>
      </c>
      <c r="G539" s="34"/>
      <c r="H539" s="6"/>
      <c r="I539" s="7"/>
      <c r="J539" s="8"/>
      <c r="K539" s="5">
        <f t="shared" si="187"/>
        <v>0</v>
      </c>
    </row>
    <row r="540" spans="1:12" x14ac:dyDescent="0.15">
      <c r="A540" s="3" t="s">
        <v>297</v>
      </c>
      <c r="B540" s="6">
        <v>1</v>
      </c>
      <c r="C540" s="7"/>
      <c r="D540" s="8"/>
      <c r="E540" s="5">
        <f t="shared" si="177"/>
        <v>1</v>
      </c>
      <c r="F540" s="66">
        <v>45946</v>
      </c>
      <c r="G540" s="34"/>
      <c r="H540" s="6"/>
      <c r="I540" s="7"/>
      <c r="J540" s="8"/>
      <c r="K540" s="5">
        <f t="shared" si="187"/>
        <v>0</v>
      </c>
    </row>
    <row r="541" spans="1:12" x14ac:dyDescent="0.15">
      <c r="A541" s="3" t="s">
        <v>297</v>
      </c>
      <c r="B541" s="6"/>
      <c r="C541" s="7">
        <v>2</v>
      </c>
      <c r="D541" s="8"/>
      <c r="E541" s="5">
        <f t="shared" si="177"/>
        <v>2</v>
      </c>
      <c r="F541" s="66">
        <v>45947</v>
      </c>
      <c r="G541" s="34"/>
      <c r="H541" s="6"/>
      <c r="I541" s="7"/>
      <c r="J541" s="8"/>
      <c r="K541" s="5">
        <f t="shared" si="187"/>
        <v>0</v>
      </c>
    </row>
    <row r="542" spans="1:12" x14ac:dyDescent="0.15">
      <c r="A542" s="3" t="s">
        <v>297</v>
      </c>
      <c r="B542" s="6">
        <v>3</v>
      </c>
      <c r="C542" s="7">
        <v>2</v>
      </c>
      <c r="D542" s="8"/>
      <c r="E542" s="5">
        <f t="shared" si="177"/>
        <v>5</v>
      </c>
      <c r="F542" s="66">
        <v>45947</v>
      </c>
      <c r="G542" s="34"/>
      <c r="H542" s="6"/>
      <c r="I542" s="7"/>
      <c r="J542" s="8"/>
      <c r="K542" s="5">
        <f t="shared" si="187"/>
        <v>0</v>
      </c>
    </row>
    <row r="543" spans="1:12" x14ac:dyDescent="0.15">
      <c r="A543" s="3" t="s">
        <v>302</v>
      </c>
      <c r="B543" s="6">
        <v>1</v>
      </c>
      <c r="C543" s="7"/>
      <c r="D543" s="8"/>
      <c r="E543" s="5">
        <f t="shared" si="177"/>
        <v>1</v>
      </c>
      <c r="F543" s="66">
        <v>45947</v>
      </c>
      <c r="G543" s="34"/>
      <c r="H543" s="6"/>
      <c r="I543" s="7"/>
      <c r="J543" s="8"/>
      <c r="K543" s="5">
        <f t="shared" si="187"/>
        <v>0</v>
      </c>
    </row>
    <row r="544" spans="1:12" x14ac:dyDescent="0.15">
      <c r="A544" s="3" t="s">
        <v>297</v>
      </c>
      <c r="B544" s="6">
        <v>1</v>
      </c>
      <c r="C544" s="7">
        <v>1</v>
      </c>
      <c r="D544" s="8"/>
      <c r="E544" s="5">
        <f t="shared" si="177"/>
        <v>2</v>
      </c>
      <c r="F544" s="66">
        <v>45950</v>
      </c>
      <c r="G544" s="34"/>
      <c r="H544" s="6"/>
      <c r="I544" s="7"/>
      <c r="J544" s="8"/>
      <c r="K544" s="5">
        <f t="shared" si="187"/>
        <v>0</v>
      </c>
    </row>
    <row r="545" spans="1:15" x14ac:dyDescent="0.15">
      <c r="A545" s="3" t="s">
        <v>297</v>
      </c>
      <c r="B545" s="6"/>
      <c r="C545" s="7">
        <v>1</v>
      </c>
      <c r="D545" s="8">
        <v>2</v>
      </c>
      <c r="E545" s="5">
        <f t="shared" si="177"/>
        <v>3</v>
      </c>
      <c r="F545" s="66">
        <v>45952</v>
      </c>
      <c r="G545" s="34"/>
      <c r="H545" s="6"/>
      <c r="I545" s="7"/>
      <c r="J545" s="8"/>
      <c r="K545" s="5">
        <f t="shared" si="187"/>
        <v>0</v>
      </c>
    </row>
    <row r="546" spans="1:15" x14ac:dyDescent="0.15">
      <c r="A546" s="3" t="s">
        <v>304</v>
      </c>
      <c r="B546" s="6">
        <v>-1</v>
      </c>
      <c r="C546" s="7"/>
      <c r="D546" s="8">
        <v>1</v>
      </c>
      <c r="E546" s="5">
        <f t="shared" si="177"/>
        <v>0</v>
      </c>
      <c r="F546" s="66">
        <v>45952</v>
      </c>
      <c r="G546" s="34"/>
      <c r="H546" s="6"/>
      <c r="I546" s="7"/>
      <c r="J546" s="8"/>
      <c r="K546" s="5">
        <f t="shared" si="187"/>
        <v>0</v>
      </c>
    </row>
    <row r="547" spans="1:15" x14ac:dyDescent="0.15">
      <c r="A547" s="3" t="s">
        <v>297</v>
      </c>
      <c r="B547" s="6">
        <v>1</v>
      </c>
      <c r="C547" s="7"/>
      <c r="D547" s="8">
        <v>2</v>
      </c>
      <c r="E547" s="5">
        <f t="shared" si="177"/>
        <v>3</v>
      </c>
      <c r="F547" s="66">
        <v>45954</v>
      </c>
      <c r="G547" s="34"/>
      <c r="H547" s="6"/>
      <c r="I547" s="7"/>
      <c r="J547" s="8"/>
      <c r="K547" s="5">
        <f t="shared" si="187"/>
        <v>0</v>
      </c>
    </row>
    <row r="548" spans="1:15" x14ac:dyDescent="0.15">
      <c r="A548" s="3" t="s">
        <v>297</v>
      </c>
      <c r="B548" s="6">
        <v>1</v>
      </c>
      <c r="C548" s="7"/>
      <c r="D548" s="8">
        <v>1</v>
      </c>
      <c r="E548" s="5">
        <f t="shared" si="177"/>
        <v>2</v>
      </c>
      <c r="F548" s="66">
        <v>45954</v>
      </c>
      <c r="G548" s="34"/>
      <c r="H548" s="6"/>
      <c r="I548" s="7"/>
      <c r="J548" s="8"/>
      <c r="K548" s="5">
        <f t="shared" si="187"/>
        <v>0</v>
      </c>
    </row>
    <row r="549" spans="1:15" x14ac:dyDescent="0.15">
      <c r="A549" s="3" t="s">
        <v>304</v>
      </c>
      <c r="B549" s="6">
        <v>-1</v>
      </c>
      <c r="C549" s="7">
        <v>1</v>
      </c>
      <c r="D549" s="8"/>
      <c r="E549" s="5">
        <f t="shared" si="177"/>
        <v>0</v>
      </c>
      <c r="F549" s="66">
        <v>45953</v>
      </c>
      <c r="G549" s="34"/>
      <c r="H549" s="6"/>
      <c r="I549" s="7"/>
      <c r="J549" s="8"/>
      <c r="K549" s="5">
        <f t="shared" si="187"/>
        <v>0</v>
      </c>
    </row>
    <row r="550" spans="1:15" x14ac:dyDescent="0.15">
      <c r="A550" s="3" t="s">
        <v>297</v>
      </c>
      <c r="B550" s="6"/>
      <c r="C550" s="7">
        <v>1</v>
      </c>
      <c r="D550" s="8"/>
      <c r="E550" s="5">
        <f t="shared" si="177"/>
        <v>1</v>
      </c>
      <c r="F550" s="66">
        <v>45957</v>
      </c>
      <c r="G550" s="34"/>
      <c r="H550" s="6"/>
      <c r="I550" s="7"/>
      <c r="J550" s="8"/>
      <c r="K550" s="5">
        <f t="shared" ref="K550" si="189">SUM(H550:J550)</f>
        <v>0</v>
      </c>
    </row>
    <row r="551" spans="1:15" x14ac:dyDescent="0.15">
      <c r="A551" s="3" t="s">
        <v>297</v>
      </c>
      <c r="B551" s="6"/>
      <c r="C551" s="7"/>
      <c r="D551" s="8">
        <v>1</v>
      </c>
      <c r="E551" s="5">
        <f t="shared" si="177"/>
        <v>1</v>
      </c>
      <c r="F551" s="66">
        <v>45959</v>
      </c>
      <c r="G551" s="34"/>
      <c r="H551" s="6"/>
      <c r="I551" s="7"/>
      <c r="J551" s="8"/>
      <c r="K551" s="5">
        <f t="shared" si="187"/>
        <v>0</v>
      </c>
    </row>
    <row r="552" spans="1:15" x14ac:dyDescent="0.15">
      <c r="A552" s="3" t="s">
        <v>36</v>
      </c>
      <c r="B552" s="6"/>
      <c r="C552" s="7">
        <v>1</v>
      </c>
      <c r="D552" s="8"/>
      <c r="E552" s="5">
        <f t="shared" si="177"/>
        <v>1</v>
      </c>
      <c r="F552" s="66">
        <v>45957</v>
      </c>
      <c r="G552" s="34"/>
      <c r="H552" s="6"/>
      <c r="I552" s="7"/>
      <c r="J552" s="8"/>
      <c r="K552" s="63">
        <f t="shared" si="187"/>
        <v>0</v>
      </c>
      <c r="L552" s="69" t="s">
        <v>286</v>
      </c>
      <c r="M552" s="64">
        <v>219</v>
      </c>
      <c r="N552" s="64">
        <v>217</v>
      </c>
      <c r="O552" s="64">
        <v>130</v>
      </c>
    </row>
    <row r="553" spans="1:15" x14ac:dyDescent="0.15">
      <c r="A553" s="34" t="s">
        <v>308</v>
      </c>
      <c r="B553" s="6">
        <v>3</v>
      </c>
      <c r="C553" s="7">
        <v>4</v>
      </c>
      <c r="D553" s="8">
        <v>4</v>
      </c>
      <c r="E553" s="5">
        <f t="shared" si="177"/>
        <v>11</v>
      </c>
      <c r="F553" s="66">
        <v>45961</v>
      </c>
      <c r="G553" s="71"/>
      <c r="H553" s="72"/>
      <c r="I553" s="73"/>
      <c r="J553" s="74"/>
      <c r="K553" s="75">
        <f t="shared" ref="K553" si="190">SUM(H553:J553)</f>
        <v>0</v>
      </c>
      <c r="L553" s="76"/>
    </row>
    <row r="554" spans="1:15" x14ac:dyDescent="0.15">
      <c r="A554" s="3" t="s">
        <v>297</v>
      </c>
      <c r="B554" s="6">
        <v>1</v>
      </c>
      <c r="C554" s="7"/>
      <c r="D554" s="8">
        <v>1</v>
      </c>
      <c r="E554" s="5">
        <f t="shared" si="177"/>
        <v>2</v>
      </c>
      <c r="F554" s="66">
        <v>45961</v>
      </c>
      <c r="G554" s="71" t="s">
        <v>290</v>
      </c>
      <c r="H554" s="72"/>
      <c r="I554" s="73"/>
      <c r="J554" s="74"/>
      <c r="K554" s="75">
        <f t="shared" ref="K554:K556" si="191">SUM(H554:J554)</f>
        <v>0</v>
      </c>
      <c r="L554" s="76" t="s">
        <v>292</v>
      </c>
    </row>
    <row r="555" spans="1:15" x14ac:dyDescent="0.15">
      <c r="A555" s="3" t="s">
        <v>297</v>
      </c>
      <c r="B555" s="6"/>
      <c r="C555" s="7">
        <v>1</v>
      </c>
      <c r="D555" s="8"/>
      <c r="E555" s="5">
        <f t="shared" si="177"/>
        <v>1</v>
      </c>
      <c r="F555" s="66">
        <v>45965</v>
      </c>
      <c r="G555" s="34" t="s">
        <v>278</v>
      </c>
      <c r="H555" s="6"/>
      <c r="I555" s="7"/>
      <c r="J555" s="8"/>
      <c r="K555" s="5">
        <f t="shared" si="191"/>
        <v>0</v>
      </c>
      <c r="L555" s="67" t="s">
        <v>180</v>
      </c>
    </row>
    <row r="556" spans="1:15" x14ac:dyDescent="0.15">
      <c r="A556" s="3" t="s">
        <v>297</v>
      </c>
      <c r="B556" s="6"/>
      <c r="C556" s="7">
        <v>1</v>
      </c>
      <c r="D556" s="8"/>
      <c r="E556" s="5">
        <f t="shared" si="177"/>
        <v>1</v>
      </c>
      <c r="F556" s="66">
        <v>45971</v>
      </c>
      <c r="G556" s="34" t="s">
        <v>291</v>
      </c>
      <c r="H556" s="6"/>
      <c r="I556" s="7"/>
      <c r="J556" s="8"/>
      <c r="K556" s="5">
        <f t="shared" si="191"/>
        <v>0</v>
      </c>
      <c r="L556" s="67" t="s">
        <v>293</v>
      </c>
    </row>
    <row r="557" spans="1:15" ht="14.25" thickBot="1" x14ac:dyDescent="0.2">
      <c r="A557" s="3" t="s">
        <v>311</v>
      </c>
      <c r="B557" s="6">
        <v>1</v>
      </c>
      <c r="C557" s="7"/>
      <c r="D557" s="8">
        <v>-1</v>
      </c>
      <c r="E557" s="5">
        <f t="shared" si="177"/>
        <v>0</v>
      </c>
      <c r="F557" s="66">
        <v>45968</v>
      </c>
      <c r="G557" s="34" t="s">
        <v>271</v>
      </c>
      <c r="H557" s="6"/>
      <c r="I557" s="7"/>
      <c r="J557" s="8"/>
      <c r="K557" s="5">
        <f t="shared" si="187"/>
        <v>0</v>
      </c>
      <c r="L557" s="67" t="s">
        <v>272</v>
      </c>
    </row>
    <row r="558" spans="1:15" ht="14.25" thickBot="1" x14ac:dyDescent="0.2">
      <c r="A558" s="2" t="s">
        <v>4</v>
      </c>
      <c r="B558" s="12">
        <f>SUM(B534:B557)</f>
        <v>26</v>
      </c>
      <c r="C558" s="12">
        <f>SUM(C534:C557)</f>
        <v>33</v>
      </c>
      <c r="D558" s="12">
        <f>SUM(D534:D557)</f>
        <v>24</v>
      </c>
      <c r="E558" s="13">
        <f t="shared" si="177"/>
        <v>83</v>
      </c>
      <c r="G558" s="36" t="s">
        <v>4</v>
      </c>
      <c r="H558" s="12">
        <f>SUM(H534:H557)</f>
        <v>47</v>
      </c>
      <c r="I558" s="12">
        <f t="shared" ref="I558" si="192">SUM(I534:I557)</f>
        <v>47</v>
      </c>
      <c r="J558" s="12">
        <f t="shared" ref="J558" si="193">SUM(J534:J557)</f>
        <v>37</v>
      </c>
      <c r="K558" s="13">
        <f t="shared" ref="K558" si="194">SUM(K534:K557)</f>
        <v>131</v>
      </c>
    </row>
    <row r="559" spans="1:15" ht="14.25" thickBot="1" x14ac:dyDescent="0.2">
      <c r="A559" s="25" t="s">
        <v>5</v>
      </c>
      <c r="B559" s="26">
        <f>B533-B558</f>
        <v>18</v>
      </c>
      <c r="C559" s="26">
        <f t="shared" ref="C559:E559" si="195">C533-C558</f>
        <v>16</v>
      </c>
      <c r="D559" s="26">
        <f t="shared" si="195"/>
        <v>14</v>
      </c>
      <c r="E559" s="24">
        <f t="shared" si="195"/>
        <v>48</v>
      </c>
      <c r="G559" s="37" t="s">
        <v>5</v>
      </c>
      <c r="H559" s="26">
        <f>H533-H558</f>
        <v>191</v>
      </c>
      <c r="I559" s="26">
        <f t="shared" ref="I559" si="196">I533-I558</f>
        <v>227</v>
      </c>
      <c r="J559" s="26">
        <f t="shared" ref="J559" si="197">J533-J558</f>
        <v>177</v>
      </c>
      <c r="K559" s="24">
        <f t="shared" ref="K559" si="198">K533-K558</f>
        <v>595</v>
      </c>
      <c r="L559" s="59">
        <v>1.2649999999999999</v>
      </c>
    </row>
    <row r="560" spans="1:15" x14ac:dyDescent="0.15">
      <c r="G560" s="60" t="s">
        <v>283</v>
      </c>
      <c r="H560" s="56">
        <f>H470+H427+H384+H341+H298</f>
        <v>326</v>
      </c>
      <c r="I560" s="56">
        <f>I470+I427+I384+I341+I298</f>
        <v>331</v>
      </c>
      <c r="J560" s="56">
        <f>J470+J427+J384+J341+J298</f>
        <v>221</v>
      </c>
      <c r="K560" s="56">
        <f>K470+K427+K384+K341+K298</f>
        <v>878</v>
      </c>
    </row>
    <row r="561" spans="1:12" x14ac:dyDescent="0.15">
      <c r="G561" s="60" t="s">
        <v>285</v>
      </c>
      <c r="H561" s="61">
        <f>H560/$K$560*100</f>
        <v>37.129840546697039</v>
      </c>
      <c r="I561" s="61">
        <f>I560/$K$560*100</f>
        <v>37.699316628701595</v>
      </c>
      <c r="J561" s="61">
        <f>J560/$K$560*100</f>
        <v>25.170842824601369</v>
      </c>
      <c r="K561" s="61">
        <f>K560/$K$560*100</f>
        <v>100</v>
      </c>
    </row>
    <row r="562" spans="1:12" x14ac:dyDescent="0.15">
      <c r="G562" s="62" t="s">
        <v>284</v>
      </c>
      <c r="H562" s="58">
        <f>H559/$K$559*100</f>
        <v>32.100840336134453</v>
      </c>
      <c r="I562" s="58">
        <f t="shared" ref="I562:K562" si="199">I559/$K$559*100</f>
        <v>38.15126050420168</v>
      </c>
      <c r="J562" s="58">
        <f t="shared" si="199"/>
        <v>29.747899159663866</v>
      </c>
      <c r="K562" s="58">
        <f t="shared" si="199"/>
        <v>100</v>
      </c>
    </row>
    <row r="563" spans="1:12" ht="21.75" thickBot="1" x14ac:dyDescent="0.25">
      <c r="A563" s="30" t="s">
        <v>23</v>
      </c>
      <c r="B563" s="28"/>
      <c r="C563" s="28"/>
      <c r="D563" s="28"/>
      <c r="E563" s="28"/>
      <c r="G563" s="31" t="s">
        <v>340</v>
      </c>
      <c r="H563" s="29"/>
      <c r="I563" s="29"/>
      <c r="J563" s="29"/>
      <c r="K563" s="29"/>
    </row>
    <row r="564" spans="1:12" ht="14.25" thickBot="1" x14ac:dyDescent="0.2">
      <c r="A564" s="1" t="s">
        <v>0</v>
      </c>
      <c r="B564" s="91" t="s">
        <v>10</v>
      </c>
      <c r="C564" s="91"/>
      <c r="D564" s="91"/>
      <c r="E564" s="92"/>
      <c r="G564" s="1" t="s">
        <v>0</v>
      </c>
      <c r="H564" s="91" t="s">
        <v>274</v>
      </c>
      <c r="I564" s="91"/>
      <c r="J564" s="91"/>
      <c r="K564" s="92"/>
    </row>
    <row r="565" spans="1:12" ht="14.25" thickBot="1" x14ac:dyDescent="0.2">
      <c r="A565" s="1" t="s">
        <v>1</v>
      </c>
      <c r="B565" s="2" t="s">
        <v>6</v>
      </c>
      <c r="C565" s="1" t="s">
        <v>7</v>
      </c>
      <c r="D565" s="17" t="s">
        <v>8</v>
      </c>
      <c r="E565" s="1" t="s">
        <v>2</v>
      </c>
      <c r="G565" s="33" t="s">
        <v>1</v>
      </c>
      <c r="H565" s="2" t="s">
        <v>6</v>
      </c>
      <c r="I565" s="1" t="s">
        <v>7</v>
      </c>
      <c r="J565" s="17" t="s">
        <v>8</v>
      </c>
      <c r="K565" s="1" t="s">
        <v>2</v>
      </c>
    </row>
    <row r="566" spans="1:12" x14ac:dyDescent="0.15">
      <c r="A566" s="19" t="s">
        <v>5</v>
      </c>
      <c r="B566" s="16">
        <f>B559</f>
        <v>18</v>
      </c>
      <c r="C566" s="20">
        <f>C559</f>
        <v>16</v>
      </c>
      <c r="D566" s="20">
        <f>D559</f>
        <v>14</v>
      </c>
      <c r="E566" s="15">
        <f t="shared" ref="E566:E602" si="200">SUM(B566:D566)</f>
        <v>48</v>
      </c>
      <c r="G566" s="38" t="s">
        <v>5</v>
      </c>
      <c r="H566" s="16">
        <f>H559</f>
        <v>191</v>
      </c>
      <c r="I566" s="20">
        <f t="shared" ref="I566:K566" si="201">I559</f>
        <v>227</v>
      </c>
      <c r="J566" s="20">
        <f t="shared" si="201"/>
        <v>177</v>
      </c>
      <c r="K566" s="15">
        <f t="shared" si="201"/>
        <v>595</v>
      </c>
    </row>
    <row r="567" spans="1:12" x14ac:dyDescent="0.15">
      <c r="A567" s="78" t="s">
        <v>11</v>
      </c>
      <c r="B567" s="74"/>
      <c r="C567" s="73">
        <v>5</v>
      </c>
      <c r="D567" s="74">
        <v>5</v>
      </c>
      <c r="E567" s="79">
        <f t="shared" si="200"/>
        <v>10</v>
      </c>
      <c r="F567" s="80">
        <v>45973</v>
      </c>
      <c r="G567" s="3" t="s">
        <v>11</v>
      </c>
      <c r="H567" s="8"/>
      <c r="I567" s="7"/>
      <c r="J567" s="8"/>
      <c r="K567" s="4">
        <f t="shared" ref="K567:K576" si="202">SUM(H567:J567)</f>
        <v>0</v>
      </c>
      <c r="L567" s="66"/>
    </row>
    <row r="568" spans="1:12" x14ac:dyDescent="0.15">
      <c r="A568" s="3" t="s">
        <v>11</v>
      </c>
      <c r="B568" s="8">
        <v>5</v>
      </c>
      <c r="C568" s="7">
        <v>15</v>
      </c>
      <c r="D568" s="8">
        <v>5</v>
      </c>
      <c r="E568" s="4">
        <f t="shared" si="200"/>
        <v>25</v>
      </c>
      <c r="F568" s="39">
        <v>45980</v>
      </c>
      <c r="G568" s="3" t="s">
        <v>11</v>
      </c>
      <c r="H568" s="8"/>
      <c r="I568" s="7"/>
      <c r="J568" s="8"/>
      <c r="K568" s="4">
        <f t="shared" si="202"/>
        <v>0</v>
      </c>
      <c r="L568" s="66"/>
    </row>
    <row r="569" spans="1:12" x14ac:dyDescent="0.15">
      <c r="A569" s="3" t="s">
        <v>11</v>
      </c>
      <c r="B569" s="8">
        <v>5</v>
      </c>
      <c r="C569" s="7"/>
      <c r="D569" s="8">
        <v>5</v>
      </c>
      <c r="E569" s="4">
        <f t="shared" si="200"/>
        <v>10</v>
      </c>
      <c r="F569" s="39">
        <v>45981</v>
      </c>
      <c r="G569" s="3" t="s">
        <v>11</v>
      </c>
      <c r="H569" s="8"/>
      <c r="I569" s="7"/>
      <c r="J569" s="8"/>
      <c r="K569" s="4">
        <f t="shared" si="202"/>
        <v>0</v>
      </c>
      <c r="L569" s="66"/>
    </row>
    <row r="570" spans="1:12" x14ac:dyDescent="0.15">
      <c r="A570" s="78" t="s">
        <v>11</v>
      </c>
      <c r="B570" s="74">
        <v>10</v>
      </c>
      <c r="C570" s="73">
        <v>5</v>
      </c>
      <c r="D570" s="74">
        <v>5</v>
      </c>
      <c r="E570" s="79">
        <f t="shared" si="200"/>
        <v>20</v>
      </c>
      <c r="F570" s="80">
        <v>45986</v>
      </c>
      <c r="G570" s="3" t="s">
        <v>11</v>
      </c>
      <c r="H570" s="8"/>
      <c r="I570" s="7"/>
      <c r="J570" s="8"/>
      <c r="K570" s="4">
        <f t="shared" si="202"/>
        <v>0</v>
      </c>
      <c r="L570" s="66"/>
    </row>
    <row r="571" spans="1:12" x14ac:dyDescent="0.15">
      <c r="A571" s="3" t="s">
        <v>11</v>
      </c>
      <c r="B571" s="8">
        <v>10</v>
      </c>
      <c r="C571" s="7">
        <v>10</v>
      </c>
      <c r="D571" s="8">
        <v>10</v>
      </c>
      <c r="E571" s="4">
        <f t="shared" si="200"/>
        <v>30</v>
      </c>
      <c r="F571" s="39">
        <v>45988</v>
      </c>
      <c r="G571" s="3" t="s">
        <v>11</v>
      </c>
      <c r="H571" s="8"/>
      <c r="I571" s="7"/>
      <c r="J571" s="8"/>
      <c r="K571" s="4">
        <f t="shared" si="202"/>
        <v>0</v>
      </c>
      <c r="L571" s="66"/>
    </row>
    <row r="572" spans="1:12" x14ac:dyDescent="0.15">
      <c r="A572" s="78" t="s">
        <v>11</v>
      </c>
      <c r="B572" s="74">
        <v>25</v>
      </c>
      <c r="C572" s="73">
        <v>15</v>
      </c>
      <c r="D572" s="74">
        <v>5</v>
      </c>
      <c r="E572" s="79">
        <f t="shared" si="200"/>
        <v>45</v>
      </c>
      <c r="F572" s="80">
        <v>45994</v>
      </c>
      <c r="G572" s="3" t="s">
        <v>11</v>
      </c>
      <c r="H572" s="8"/>
      <c r="I572" s="7"/>
      <c r="J572" s="8"/>
      <c r="K572" s="4">
        <f t="shared" si="202"/>
        <v>0</v>
      </c>
      <c r="L572" s="66"/>
    </row>
    <row r="573" spans="1:12" x14ac:dyDescent="0.15">
      <c r="A573" s="3" t="s">
        <v>107</v>
      </c>
      <c r="B573" s="8"/>
      <c r="C573" s="7"/>
      <c r="D573" s="8">
        <v>1</v>
      </c>
      <c r="E573" s="4">
        <f t="shared" si="200"/>
        <v>1</v>
      </c>
      <c r="F573" s="39">
        <v>46000</v>
      </c>
      <c r="G573" s="3" t="s">
        <v>11</v>
      </c>
      <c r="H573" s="8"/>
      <c r="I573" s="7"/>
      <c r="J573" s="8"/>
      <c r="K573" s="4">
        <f t="shared" si="202"/>
        <v>0</v>
      </c>
      <c r="L573" s="66"/>
    </row>
    <row r="574" spans="1:12" x14ac:dyDescent="0.15">
      <c r="A574" s="3" t="s">
        <v>11</v>
      </c>
      <c r="B574" s="8"/>
      <c r="C574" s="7"/>
      <c r="D574" s="8"/>
      <c r="E574" s="4">
        <f t="shared" si="200"/>
        <v>0</v>
      </c>
      <c r="F574" s="39"/>
      <c r="G574" s="3" t="s">
        <v>11</v>
      </c>
      <c r="H574" s="8"/>
      <c r="I574" s="7"/>
      <c r="J574" s="8"/>
      <c r="K574" s="4">
        <f t="shared" si="202"/>
        <v>0</v>
      </c>
      <c r="L574" s="66"/>
    </row>
    <row r="575" spans="1:12" x14ac:dyDescent="0.15">
      <c r="A575" s="3" t="s">
        <v>11</v>
      </c>
      <c r="B575" s="8"/>
      <c r="C575" s="7"/>
      <c r="D575" s="8"/>
      <c r="E575" s="4">
        <f t="shared" si="200"/>
        <v>0</v>
      </c>
      <c r="F575" s="39"/>
      <c r="G575" s="3" t="s">
        <v>11</v>
      </c>
      <c r="H575" s="8"/>
      <c r="I575" s="7"/>
      <c r="J575" s="8"/>
      <c r="K575" s="4">
        <f t="shared" si="202"/>
        <v>0</v>
      </c>
      <c r="L575" s="66"/>
    </row>
    <row r="576" spans="1:12" ht="14.25" thickBot="1" x14ac:dyDescent="0.2">
      <c r="A576" s="3" t="s">
        <v>11</v>
      </c>
      <c r="B576" s="11"/>
      <c r="C576" s="10"/>
      <c r="D576" s="11"/>
      <c r="E576" s="18">
        <f t="shared" si="200"/>
        <v>0</v>
      </c>
      <c r="G576" s="3" t="s">
        <v>11</v>
      </c>
      <c r="H576" s="11"/>
      <c r="I576" s="10"/>
      <c r="J576" s="11"/>
      <c r="K576" s="18">
        <f t="shared" si="202"/>
        <v>0</v>
      </c>
    </row>
    <row r="577" spans="1:12" ht="14.25" thickBot="1" x14ac:dyDescent="0.2">
      <c r="A577" s="21" t="s">
        <v>3</v>
      </c>
      <c r="B577" s="22">
        <f>SUM(B566:B576)</f>
        <v>73</v>
      </c>
      <c r="C577" s="22">
        <f>SUM(C566:C576)</f>
        <v>66</v>
      </c>
      <c r="D577" s="23">
        <f>SUM(D566:D576)</f>
        <v>50</v>
      </c>
      <c r="E577" s="24">
        <f t="shared" si="200"/>
        <v>189</v>
      </c>
      <c r="G577" s="83" t="s">
        <v>3</v>
      </c>
      <c r="H577" s="84">
        <f>SUM(H566:H576)</f>
        <v>191</v>
      </c>
      <c r="I577" s="84">
        <f t="shared" ref="I577" si="203">SUM(I566:I576)</f>
        <v>227</v>
      </c>
      <c r="J577" s="85">
        <f t="shared" ref="J577" si="204">SUM(J566:J576)</f>
        <v>177</v>
      </c>
      <c r="K577" s="86">
        <f t="shared" ref="K577" si="205">SUM(K566:K576)</f>
        <v>595</v>
      </c>
      <c r="L577" s="76"/>
    </row>
    <row r="578" spans="1:12" x14ac:dyDescent="0.15">
      <c r="A578" s="34" t="s">
        <v>312</v>
      </c>
      <c r="B578" s="6"/>
      <c r="C578" s="7">
        <v>5</v>
      </c>
      <c r="D578" s="8">
        <v>5</v>
      </c>
      <c r="E578" s="5">
        <f t="shared" si="200"/>
        <v>10</v>
      </c>
      <c r="F578" s="39">
        <v>45975</v>
      </c>
      <c r="G578" s="78" t="s">
        <v>313</v>
      </c>
      <c r="H578" s="72"/>
      <c r="I578" s="73">
        <v>5</v>
      </c>
      <c r="J578" s="74">
        <v>5</v>
      </c>
      <c r="K578" s="75">
        <f t="shared" ref="K578" si="206">SUM(H578:J578)</f>
        <v>10</v>
      </c>
      <c r="L578" s="77">
        <v>45973</v>
      </c>
    </row>
    <row r="579" spans="1:12" x14ac:dyDescent="0.15">
      <c r="A579" s="34" t="s">
        <v>314</v>
      </c>
      <c r="B579" s="6"/>
      <c r="C579" s="7">
        <v>7</v>
      </c>
      <c r="D579" s="8"/>
      <c r="E579" s="5">
        <f t="shared" si="200"/>
        <v>7</v>
      </c>
      <c r="F579" s="39">
        <v>45972</v>
      </c>
      <c r="G579" s="3" t="s">
        <v>26</v>
      </c>
      <c r="H579" s="6">
        <v>5</v>
      </c>
      <c r="I579" s="7">
        <v>15</v>
      </c>
      <c r="J579" s="8">
        <v>5</v>
      </c>
      <c r="K579" s="5">
        <f t="shared" ref="K579:K592" si="207">SUM(H579:J579)</f>
        <v>25</v>
      </c>
      <c r="L579" s="66">
        <v>45980</v>
      </c>
    </row>
    <row r="580" spans="1:12" x14ac:dyDescent="0.15">
      <c r="A580" s="3" t="s">
        <v>36</v>
      </c>
      <c r="B580" s="6"/>
      <c r="C580" s="7">
        <v>1</v>
      </c>
      <c r="D580" s="8"/>
      <c r="E580" s="5">
        <f t="shared" si="200"/>
        <v>1</v>
      </c>
      <c r="F580" s="39">
        <v>45971</v>
      </c>
      <c r="G580" s="3" t="s">
        <v>26</v>
      </c>
      <c r="H580" s="6">
        <v>5</v>
      </c>
      <c r="I580" s="7"/>
      <c r="J580" s="8">
        <v>5</v>
      </c>
      <c r="K580" s="5">
        <f t="shared" si="207"/>
        <v>10</v>
      </c>
      <c r="L580" s="66">
        <v>45981</v>
      </c>
    </row>
    <row r="581" spans="1:12" x14ac:dyDescent="0.15">
      <c r="A581" s="3" t="s">
        <v>297</v>
      </c>
      <c r="B581" s="6">
        <v>1</v>
      </c>
      <c r="C581" s="7"/>
      <c r="D581" s="8"/>
      <c r="E581" s="5">
        <f t="shared" si="200"/>
        <v>1</v>
      </c>
      <c r="F581" s="39">
        <v>45974</v>
      </c>
      <c r="G581" s="3" t="s">
        <v>26</v>
      </c>
      <c r="H581" s="6">
        <v>10</v>
      </c>
      <c r="I581" s="7">
        <v>5</v>
      </c>
      <c r="J581" s="8">
        <v>5</v>
      </c>
      <c r="K581" s="5">
        <f t="shared" si="207"/>
        <v>20</v>
      </c>
      <c r="L581" s="66">
        <v>45986</v>
      </c>
    </row>
    <row r="582" spans="1:12" x14ac:dyDescent="0.15">
      <c r="A582" s="3" t="s">
        <v>297</v>
      </c>
      <c r="B582" s="6">
        <v>1</v>
      </c>
      <c r="C582" s="7"/>
      <c r="D582" s="8">
        <v>1</v>
      </c>
      <c r="E582" s="5">
        <f t="shared" si="200"/>
        <v>2</v>
      </c>
      <c r="F582" s="39">
        <v>45975</v>
      </c>
      <c r="G582" s="3" t="s">
        <v>26</v>
      </c>
      <c r="H582" s="6">
        <v>10</v>
      </c>
      <c r="I582" s="7">
        <v>10</v>
      </c>
      <c r="J582" s="8">
        <v>10</v>
      </c>
      <c r="K582" s="5">
        <f t="shared" si="207"/>
        <v>30</v>
      </c>
      <c r="L582" s="66">
        <v>45988</v>
      </c>
    </row>
    <row r="583" spans="1:12" x14ac:dyDescent="0.15">
      <c r="A583" s="3" t="s">
        <v>297</v>
      </c>
      <c r="B583" s="6"/>
      <c r="C583" s="7"/>
      <c r="D583" s="8">
        <v>1</v>
      </c>
      <c r="E583" s="5">
        <f t="shared" si="200"/>
        <v>1</v>
      </c>
      <c r="F583" s="39">
        <v>45975</v>
      </c>
      <c r="G583" s="78" t="s">
        <v>26</v>
      </c>
      <c r="H583" s="72">
        <v>25</v>
      </c>
      <c r="I583" s="73">
        <v>15</v>
      </c>
      <c r="J583" s="74">
        <v>5</v>
      </c>
      <c r="K583" s="75">
        <f t="shared" si="207"/>
        <v>45</v>
      </c>
      <c r="L583" s="77">
        <v>45994</v>
      </c>
    </row>
    <row r="584" spans="1:12" x14ac:dyDescent="0.15">
      <c r="A584" s="3" t="s">
        <v>316</v>
      </c>
      <c r="B584" s="6">
        <v>1</v>
      </c>
      <c r="C584" s="7"/>
      <c r="D584" s="8">
        <v>-1</v>
      </c>
      <c r="E584" s="5">
        <f t="shared" si="200"/>
        <v>0</v>
      </c>
      <c r="F584" s="39">
        <v>45974</v>
      </c>
      <c r="G584" s="3"/>
      <c r="H584" s="6"/>
      <c r="I584" s="7"/>
      <c r="J584" s="8"/>
      <c r="K584" s="5">
        <f t="shared" ref="K584" si="208">SUM(H584:J584)</f>
        <v>0</v>
      </c>
      <c r="L584" s="66"/>
    </row>
    <row r="585" spans="1:12" x14ac:dyDescent="0.15">
      <c r="A585" s="3" t="s">
        <v>297</v>
      </c>
      <c r="B585" s="6">
        <v>6</v>
      </c>
      <c r="C585" s="7"/>
      <c r="D585" s="8"/>
      <c r="E585" s="5">
        <f t="shared" si="200"/>
        <v>6</v>
      </c>
      <c r="F585" s="39">
        <v>45978</v>
      </c>
      <c r="G585" s="3"/>
      <c r="H585" s="6"/>
      <c r="I585" s="7"/>
      <c r="J585" s="8"/>
      <c r="K585" s="5">
        <f t="shared" si="207"/>
        <v>0</v>
      </c>
      <c r="L585" s="66"/>
    </row>
    <row r="586" spans="1:12" x14ac:dyDescent="0.15">
      <c r="A586" s="3" t="s">
        <v>297</v>
      </c>
      <c r="B586" s="6"/>
      <c r="C586" s="7">
        <v>4</v>
      </c>
      <c r="D586" s="8">
        <v>4</v>
      </c>
      <c r="E586" s="5">
        <f t="shared" si="200"/>
        <v>8</v>
      </c>
      <c r="F586" s="39">
        <v>45980</v>
      </c>
      <c r="G586" s="3"/>
      <c r="H586" s="6"/>
      <c r="I586" s="7"/>
      <c r="J586" s="8"/>
      <c r="K586" s="5">
        <f t="shared" si="207"/>
        <v>0</v>
      </c>
      <c r="L586" s="66"/>
    </row>
    <row r="587" spans="1:12" x14ac:dyDescent="0.15">
      <c r="A587" s="3" t="s">
        <v>297</v>
      </c>
      <c r="B587" s="6">
        <v>3</v>
      </c>
      <c r="C587" s="7">
        <v>4</v>
      </c>
      <c r="D587" s="8">
        <v>3</v>
      </c>
      <c r="E587" s="5">
        <f t="shared" si="200"/>
        <v>10</v>
      </c>
      <c r="F587" s="39">
        <v>45981</v>
      </c>
      <c r="G587" s="3"/>
      <c r="H587" s="6"/>
      <c r="I587" s="7"/>
      <c r="J587" s="8"/>
      <c r="K587" s="5">
        <f t="shared" si="207"/>
        <v>0</v>
      </c>
      <c r="L587" s="66"/>
    </row>
    <row r="588" spans="1:12" x14ac:dyDescent="0.15">
      <c r="A588" s="34" t="s">
        <v>317</v>
      </c>
      <c r="B588" s="6">
        <v>6</v>
      </c>
      <c r="C588" s="7">
        <v>1</v>
      </c>
      <c r="D588" s="8">
        <v>4</v>
      </c>
      <c r="E588" s="5">
        <f t="shared" si="200"/>
        <v>11</v>
      </c>
      <c r="F588" s="39">
        <v>45986</v>
      </c>
      <c r="G588" s="3"/>
      <c r="H588" s="6"/>
      <c r="I588" s="7"/>
      <c r="J588" s="8"/>
      <c r="K588" s="5">
        <f t="shared" si="207"/>
        <v>0</v>
      </c>
      <c r="L588" s="66"/>
    </row>
    <row r="589" spans="1:12" x14ac:dyDescent="0.15">
      <c r="A589" s="3" t="s">
        <v>297</v>
      </c>
      <c r="B589" s="6">
        <v>3</v>
      </c>
      <c r="C589" s="7">
        <v>1</v>
      </c>
      <c r="D589" s="8"/>
      <c r="E589" s="5">
        <f t="shared" si="200"/>
        <v>4</v>
      </c>
      <c r="F589" s="39">
        <v>45982</v>
      </c>
      <c r="G589" s="3"/>
      <c r="H589" s="6"/>
      <c r="I589" s="7"/>
      <c r="J589" s="8"/>
      <c r="K589" s="5">
        <f t="shared" si="207"/>
        <v>0</v>
      </c>
      <c r="L589" s="66"/>
    </row>
    <row r="590" spans="1:12" x14ac:dyDescent="0.15">
      <c r="A590" s="3" t="s">
        <v>297</v>
      </c>
      <c r="B590" s="6">
        <v>2</v>
      </c>
      <c r="C590" s="7">
        <v>5</v>
      </c>
      <c r="D590" s="8"/>
      <c r="E590" s="5">
        <f t="shared" si="200"/>
        <v>7</v>
      </c>
      <c r="F590" s="39">
        <v>45986</v>
      </c>
      <c r="G590" s="3"/>
      <c r="H590" s="6"/>
      <c r="I590" s="7"/>
      <c r="J590" s="8"/>
      <c r="K590" s="5">
        <f t="shared" si="207"/>
        <v>0</v>
      </c>
      <c r="L590" s="66"/>
    </row>
    <row r="591" spans="1:12" x14ac:dyDescent="0.15">
      <c r="A591" s="3" t="s">
        <v>297</v>
      </c>
      <c r="B591" s="6">
        <v>4</v>
      </c>
      <c r="C591" s="7">
        <v>5</v>
      </c>
      <c r="D591" s="8">
        <v>3</v>
      </c>
      <c r="E591" s="5">
        <f t="shared" si="200"/>
        <v>12</v>
      </c>
      <c r="F591" s="39">
        <v>45988</v>
      </c>
      <c r="G591" s="3"/>
      <c r="H591" s="6"/>
      <c r="I591" s="7"/>
      <c r="J591" s="8"/>
      <c r="K591" s="5">
        <f t="shared" si="207"/>
        <v>0</v>
      </c>
      <c r="L591" s="66"/>
    </row>
    <row r="592" spans="1:12" x14ac:dyDescent="0.15">
      <c r="A592" s="3" t="s">
        <v>36</v>
      </c>
      <c r="B592" s="6">
        <v>1</v>
      </c>
      <c r="C592" s="7"/>
      <c r="D592" s="8"/>
      <c r="E592" s="5">
        <f t="shared" si="200"/>
        <v>1</v>
      </c>
      <c r="F592" s="39">
        <v>45986</v>
      </c>
      <c r="G592" s="3"/>
      <c r="H592" s="6"/>
      <c r="I592" s="7"/>
      <c r="J592" s="8"/>
      <c r="K592" s="5">
        <f t="shared" si="207"/>
        <v>0</v>
      </c>
      <c r="L592" s="66"/>
    </row>
    <row r="593" spans="1:13" x14ac:dyDescent="0.15">
      <c r="A593" s="3" t="s">
        <v>297</v>
      </c>
      <c r="B593" s="6"/>
      <c r="C593" s="7"/>
      <c r="D593" s="8">
        <v>1</v>
      </c>
      <c r="E593" s="5">
        <f t="shared" si="200"/>
        <v>1</v>
      </c>
      <c r="F593" s="39">
        <v>45989</v>
      </c>
      <c r="G593" s="3"/>
      <c r="H593" s="6"/>
      <c r="I593" s="7"/>
      <c r="J593" s="8"/>
      <c r="K593" s="5">
        <f t="shared" ref="K593:K594" si="209">SUM(H593:J593)</f>
        <v>0</v>
      </c>
      <c r="L593" s="66"/>
    </row>
    <row r="594" spans="1:13" x14ac:dyDescent="0.15">
      <c r="A594" s="3" t="s">
        <v>297</v>
      </c>
      <c r="B594" s="6">
        <v>7</v>
      </c>
      <c r="C594" s="7"/>
      <c r="D594" s="8">
        <v>1</v>
      </c>
      <c r="E594" s="5">
        <f t="shared" si="200"/>
        <v>8</v>
      </c>
      <c r="F594" s="39">
        <v>45989</v>
      </c>
      <c r="G594" s="3"/>
      <c r="H594" s="6"/>
      <c r="I594" s="7"/>
      <c r="J594" s="8"/>
      <c r="K594" s="5">
        <f t="shared" si="209"/>
        <v>0</v>
      </c>
      <c r="L594" s="66"/>
    </row>
    <row r="595" spans="1:13" x14ac:dyDescent="0.15">
      <c r="A595" s="34" t="s">
        <v>318</v>
      </c>
      <c r="B595" s="6">
        <v>5</v>
      </c>
      <c r="C595" s="7"/>
      <c r="D595" s="8"/>
      <c r="E595" s="5">
        <f t="shared" si="200"/>
        <v>5</v>
      </c>
      <c r="F595" s="39">
        <v>46001</v>
      </c>
      <c r="G595" s="3"/>
      <c r="H595" s="6"/>
      <c r="I595" s="7"/>
      <c r="J595" s="8"/>
      <c r="K595" s="5">
        <f t="shared" ref="K595" si="210">SUM(H595:J595)</f>
        <v>0</v>
      </c>
      <c r="L595" s="66"/>
    </row>
    <row r="596" spans="1:13" x14ac:dyDescent="0.15">
      <c r="A596" s="3" t="s">
        <v>297</v>
      </c>
      <c r="B596" s="6">
        <v>2</v>
      </c>
      <c r="C596" s="7">
        <v>1</v>
      </c>
      <c r="D596" s="8">
        <v>2</v>
      </c>
      <c r="E596" s="5">
        <f t="shared" si="200"/>
        <v>5</v>
      </c>
      <c r="F596" s="39">
        <v>45992</v>
      </c>
      <c r="G596" s="34"/>
      <c r="H596" s="6"/>
      <c r="I596" s="7"/>
      <c r="J596" s="8"/>
      <c r="K596" s="5">
        <f t="shared" ref="K596:K599" si="211">SUM(H596:J596)</f>
        <v>0</v>
      </c>
      <c r="L596" s="67"/>
    </row>
    <row r="597" spans="1:13" x14ac:dyDescent="0.15">
      <c r="A597" s="34" t="s">
        <v>319</v>
      </c>
      <c r="B597" s="6"/>
      <c r="C597" s="7">
        <v>5</v>
      </c>
      <c r="D597" s="8">
        <v>3</v>
      </c>
      <c r="E597" s="5">
        <f t="shared" si="200"/>
        <v>8</v>
      </c>
      <c r="F597" s="39">
        <v>45990</v>
      </c>
      <c r="G597" s="34" t="s">
        <v>298</v>
      </c>
      <c r="H597" s="6"/>
      <c r="I597" s="7"/>
      <c r="J597" s="8"/>
      <c r="K597" s="5">
        <f t="shared" si="211"/>
        <v>0</v>
      </c>
      <c r="L597" s="67" t="s">
        <v>191</v>
      </c>
    </row>
    <row r="598" spans="1:13" x14ac:dyDescent="0.15">
      <c r="A598" s="3" t="s">
        <v>297</v>
      </c>
      <c r="B598" s="6">
        <v>2</v>
      </c>
      <c r="C598" s="7">
        <v>1</v>
      </c>
      <c r="D598" s="8">
        <v>2</v>
      </c>
      <c r="E598" s="5">
        <f t="shared" si="200"/>
        <v>5</v>
      </c>
      <c r="F598" s="39">
        <v>45994</v>
      </c>
      <c r="G598" s="34" t="s">
        <v>299</v>
      </c>
      <c r="H598" s="6"/>
      <c r="I598" s="7"/>
      <c r="J598" s="8"/>
      <c r="K598" s="5">
        <f t="shared" si="211"/>
        <v>0</v>
      </c>
      <c r="L598" s="67" t="s">
        <v>39</v>
      </c>
    </row>
    <row r="599" spans="1:13" x14ac:dyDescent="0.15">
      <c r="A599" s="3" t="s">
        <v>326</v>
      </c>
      <c r="B599" s="6">
        <v>12</v>
      </c>
      <c r="C599" s="7">
        <v>10</v>
      </c>
      <c r="D599" s="8">
        <v>8</v>
      </c>
      <c r="E599" s="5">
        <f t="shared" ref="E599" si="212">SUM(B599:D599)</f>
        <v>30</v>
      </c>
      <c r="F599" s="87">
        <v>45996</v>
      </c>
      <c r="G599" s="34" t="s">
        <v>309</v>
      </c>
      <c r="H599" s="6"/>
      <c r="I599" s="7"/>
      <c r="J599" s="8"/>
      <c r="K599" s="5">
        <f t="shared" si="211"/>
        <v>0</v>
      </c>
      <c r="L599" s="67" t="s">
        <v>310</v>
      </c>
    </row>
    <row r="600" spans="1:13" x14ac:dyDescent="0.15">
      <c r="A600" s="3" t="s">
        <v>297</v>
      </c>
      <c r="B600" s="6"/>
      <c r="C600" s="7">
        <v>1</v>
      </c>
      <c r="D600" s="8"/>
      <c r="E600" s="5">
        <f t="shared" si="200"/>
        <v>1</v>
      </c>
      <c r="F600" s="39">
        <v>45995</v>
      </c>
      <c r="G600" s="34" t="s">
        <v>276</v>
      </c>
      <c r="H600" s="6"/>
      <c r="I600" s="7"/>
      <c r="J600" s="8"/>
      <c r="K600" s="5">
        <f t="shared" ref="K600" si="213">SUM(H600:J600)</f>
        <v>0</v>
      </c>
      <c r="L600" s="67" t="s">
        <v>277</v>
      </c>
    </row>
    <row r="601" spans="1:13" ht="14.25" thickBot="1" x14ac:dyDescent="0.2">
      <c r="A601" s="3" t="s">
        <v>297</v>
      </c>
      <c r="B601" s="6"/>
      <c r="C601" s="7">
        <v>1</v>
      </c>
      <c r="D601" s="8"/>
      <c r="E601" s="5">
        <f t="shared" si="200"/>
        <v>1</v>
      </c>
      <c r="F601" s="39">
        <v>45996</v>
      </c>
      <c r="G601" s="34" t="s">
        <v>280</v>
      </c>
      <c r="H601" s="6"/>
      <c r="I601" s="7"/>
      <c r="J601" s="8"/>
      <c r="K601" s="5">
        <f t="shared" ref="K601" si="214">SUM(H601:J601)</f>
        <v>0</v>
      </c>
      <c r="L601" s="67" t="s">
        <v>281</v>
      </c>
    </row>
    <row r="602" spans="1:13" ht="14.25" thickBot="1" x14ac:dyDescent="0.2">
      <c r="A602" s="2" t="s">
        <v>4</v>
      </c>
      <c r="B602" s="12">
        <f>SUM(B578:B601)</f>
        <v>56</v>
      </c>
      <c r="C602" s="12">
        <f>SUM(C578:C601)</f>
        <v>52</v>
      </c>
      <c r="D602" s="12">
        <f>SUM(D578:D601)</f>
        <v>37</v>
      </c>
      <c r="E602" s="13">
        <f t="shared" si="200"/>
        <v>145</v>
      </c>
      <c r="G602" s="36" t="s">
        <v>4</v>
      </c>
      <c r="H602" s="12">
        <f>SUM(H578:H601)</f>
        <v>55</v>
      </c>
      <c r="I602" s="12">
        <f t="shared" ref="I602" si="215">SUM(I578:I601)</f>
        <v>50</v>
      </c>
      <c r="J602" s="12">
        <f t="shared" ref="J602" si="216">SUM(J578:J601)</f>
        <v>35</v>
      </c>
      <c r="K602" s="13">
        <f t="shared" ref="K602" si="217">SUM(K578:K601)</f>
        <v>140</v>
      </c>
    </row>
    <row r="603" spans="1:13" ht="14.25" thickBot="1" x14ac:dyDescent="0.2">
      <c r="A603" s="25" t="s">
        <v>5</v>
      </c>
      <c r="B603" s="26">
        <f>B577-B602</f>
        <v>17</v>
      </c>
      <c r="C603" s="26">
        <f t="shared" ref="C603:E603" si="218">C577-C602</f>
        <v>14</v>
      </c>
      <c r="D603" s="26">
        <f t="shared" si="218"/>
        <v>13</v>
      </c>
      <c r="E603" s="24">
        <f t="shared" si="218"/>
        <v>44</v>
      </c>
      <c r="G603" s="37" t="s">
        <v>5</v>
      </c>
      <c r="H603" s="26">
        <f>H577-H602</f>
        <v>136</v>
      </c>
      <c r="I603" s="26">
        <f t="shared" ref="I603" si="219">I577-I602</f>
        <v>177</v>
      </c>
      <c r="J603" s="26">
        <f t="shared" ref="J603" si="220">J577-J602</f>
        <v>142</v>
      </c>
      <c r="K603" s="24">
        <f t="shared" ref="K603" si="221">K577-K602</f>
        <v>455</v>
      </c>
      <c r="M603" t="s">
        <v>279</v>
      </c>
    </row>
    <row r="607" spans="1:13" ht="21.75" thickBot="1" x14ac:dyDescent="0.25">
      <c r="A607" s="30" t="s">
        <v>23</v>
      </c>
      <c r="B607" s="28"/>
      <c r="C607" s="28"/>
      <c r="D607" s="28"/>
      <c r="E607" s="28"/>
      <c r="G607" s="31" t="s">
        <v>340</v>
      </c>
      <c r="H607" s="29"/>
      <c r="I607" s="29"/>
      <c r="J607" s="29"/>
      <c r="K607" s="29"/>
    </row>
    <row r="608" spans="1:13" ht="14.25" thickBot="1" x14ac:dyDescent="0.2">
      <c r="A608" s="1" t="s">
        <v>0</v>
      </c>
      <c r="B608" s="91" t="s">
        <v>10</v>
      </c>
      <c r="C608" s="91"/>
      <c r="D608" s="91"/>
      <c r="E608" s="92"/>
      <c r="G608" s="1" t="s">
        <v>0</v>
      </c>
      <c r="H608" s="91" t="s">
        <v>274</v>
      </c>
      <c r="I608" s="91"/>
      <c r="J608" s="91"/>
      <c r="K608" s="92"/>
    </row>
    <row r="609" spans="1:12" ht="14.25" thickBot="1" x14ac:dyDescent="0.2">
      <c r="A609" s="1" t="s">
        <v>1</v>
      </c>
      <c r="B609" s="2" t="s">
        <v>6</v>
      </c>
      <c r="C609" s="1" t="s">
        <v>7</v>
      </c>
      <c r="D609" s="17" t="s">
        <v>8</v>
      </c>
      <c r="E609" s="1" t="s">
        <v>2</v>
      </c>
      <c r="G609" s="33" t="s">
        <v>1</v>
      </c>
      <c r="H609" s="2" t="s">
        <v>6</v>
      </c>
      <c r="I609" s="1" t="s">
        <v>7</v>
      </c>
      <c r="J609" s="17" t="s">
        <v>8</v>
      </c>
      <c r="K609" s="1" t="s">
        <v>2</v>
      </c>
    </row>
    <row r="610" spans="1:12" x14ac:dyDescent="0.15">
      <c r="A610" s="19" t="s">
        <v>5</v>
      </c>
      <c r="B610" s="16">
        <f>B603</f>
        <v>17</v>
      </c>
      <c r="C610" s="20">
        <f>C603</f>
        <v>14</v>
      </c>
      <c r="D610" s="20">
        <f>D603</f>
        <v>13</v>
      </c>
      <c r="E610" s="15">
        <f t="shared" ref="E610:E646" si="222">SUM(B610:D610)</f>
        <v>44</v>
      </c>
      <c r="G610" s="38" t="s">
        <v>5</v>
      </c>
      <c r="H610" s="16">
        <f>H603</f>
        <v>136</v>
      </c>
      <c r="I610" s="20">
        <f t="shared" ref="I610:J610" si="223">I603</f>
        <v>177</v>
      </c>
      <c r="J610" s="20">
        <f t="shared" si="223"/>
        <v>142</v>
      </c>
      <c r="K610" s="15">
        <f>K603</f>
        <v>455</v>
      </c>
    </row>
    <row r="611" spans="1:12" x14ac:dyDescent="0.15">
      <c r="A611" s="78" t="s">
        <v>11</v>
      </c>
      <c r="B611" s="74">
        <v>5</v>
      </c>
      <c r="C611" s="73">
        <v>5</v>
      </c>
      <c r="D611" s="74">
        <v>5</v>
      </c>
      <c r="E611" s="79">
        <f t="shared" si="222"/>
        <v>15</v>
      </c>
      <c r="F611" s="80">
        <v>46002</v>
      </c>
      <c r="G611" s="3" t="s">
        <v>11</v>
      </c>
      <c r="H611" s="48"/>
      <c r="I611" s="49"/>
      <c r="J611" s="48"/>
      <c r="K611" s="4">
        <f t="shared" ref="K611:K620" si="224">SUM(H611:J611)</f>
        <v>0</v>
      </c>
    </row>
    <row r="612" spans="1:12" x14ac:dyDescent="0.15">
      <c r="A612" s="78" t="s">
        <v>11</v>
      </c>
      <c r="B612" s="74">
        <v>5</v>
      </c>
      <c r="C612" s="73">
        <v>10</v>
      </c>
      <c r="D612" s="74">
        <v>15</v>
      </c>
      <c r="E612" s="79">
        <f t="shared" si="222"/>
        <v>30</v>
      </c>
      <c r="F612" s="80">
        <v>46006</v>
      </c>
      <c r="G612" s="3" t="s">
        <v>11</v>
      </c>
      <c r="H612" s="48"/>
      <c r="I612" s="49"/>
      <c r="J612" s="48"/>
      <c r="K612" s="4">
        <f t="shared" si="224"/>
        <v>0</v>
      </c>
    </row>
    <row r="613" spans="1:12" x14ac:dyDescent="0.15">
      <c r="A613" s="78" t="s">
        <v>11</v>
      </c>
      <c r="B613" s="74"/>
      <c r="C613" s="73">
        <v>5</v>
      </c>
      <c r="D613" s="74">
        <v>5</v>
      </c>
      <c r="E613" s="79">
        <f t="shared" si="222"/>
        <v>10</v>
      </c>
      <c r="F613" s="80">
        <v>46006</v>
      </c>
      <c r="G613" s="3" t="s">
        <v>11</v>
      </c>
      <c r="H613" s="48"/>
      <c r="I613" s="49"/>
      <c r="J613" s="48"/>
      <c r="K613" s="4">
        <f t="shared" ref="K613" si="225">SUM(H613:J613)</f>
        <v>0</v>
      </c>
    </row>
    <row r="614" spans="1:12" x14ac:dyDescent="0.15">
      <c r="A614" s="3" t="s">
        <v>330</v>
      </c>
      <c r="B614" s="8">
        <v>1</v>
      </c>
      <c r="C614" s="7"/>
      <c r="D614" s="8"/>
      <c r="E614" s="4">
        <f t="shared" si="222"/>
        <v>1</v>
      </c>
      <c r="F614" s="40">
        <v>46002</v>
      </c>
      <c r="G614" s="3" t="s">
        <v>11</v>
      </c>
      <c r="H614" s="48"/>
      <c r="I614" s="49"/>
      <c r="J614" s="48"/>
      <c r="K614" s="4">
        <f t="shared" si="224"/>
        <v>0</v>
      </c>
    </row>
    <row r="615" spans="1:12" x14ac:dyDescent="0.15">
      <c r="A615" s="78" t="s">
        <v>11</v>
      </c>
      <c r="B615" s="74">
        <v>5</v>
      </c>
      <c r="C615" s="73">
        <v>10</v>
      </c>
      <c r="D615" s="74">
        <v>5</v>
      </c>
      <c r="E615" s="79">
        <f t="shared" si="222"/>
        <v>20</v>
      </c>
      <c r="F615" s="80">
        <v>46008</v>
      </c>
      <c r="G615" s="3" t="s">
        <v>11</v>
      </c>
      <c r="H615" s="48"/>
      <c r="I615" s="49"/>
      <c r="J615" s="48"/>
      <c r="K615" s="4">
        <f t="shared" si="224"/>
        <v>0</v>
      </c>
    </row>
    <row r="616" spans="1:12" x14ac:dyDescent="0.15">
      <c r="A616" s="78" t="s">
        <v>11</v>
      </c>
      <c r="B616" s="74">
        <v>5</v>
      </c>
      <c r="C616" s="73">
        <v>5</v>
      </c>
      <c r="D616" s="74">
        <v>5</v>
      </c>
      <c r="E616" s="79">
        <f t="shared" si="222"/>
        <v>15</v>
      </c>
      <c r="F616" s="80">
        <v>46013</v>
      </c>
      <c r="G616" s="3" t="s">
        <v>11</v>
      </c>
      <c r="H616" s="48"/>
      <c r="I616" s="49"/>
      <c r="J616" s="48"/>
      <c r="K616" s="4">
        <f t="shared" si="224"/>
        <v>0</v>
      </c>
    </row>
    <row r="617" spans="1:12" x14ac:dyDescent="0.15">
      <c r="A617" s="3" t="s">
        <v>11</v>
      </c>
      <c r="B617" s="8">
        <v>10</v>
      </c>
      <c r="C617" s="7">
        <v>15</v>
      </c>
      <c r="D617" s="8">
        <v>5</v>
      </c>
      <c r="E617" s="4">
        <f t="shared" si="222"/>
        <v>30</v>
      </c>
      <c r="F617" s="39">
        <v>46016</v>
      </c>
      <c r="G617" s="3" t="s">
        <v>11</v>
      </c>
      <c r="H617" s="48"/>
      <c r="I617" s="49"/>
      <c r="J617" s="48"/>
      <c r="K617" s="4">
        <f t="shared" si="224"/>
        <v>0</v>
      </c>
    </row>
    <row r="618" spans="1:12" x14ac:dyDescent="0.15">
      <c r="A618" s="3" t="s">
        <v>11</v>
      </c>
      <c r="B618" s="8">
        <v>10</v>
      </c>
      <c r="C618" s="7">
        <v>5</v>
      </c>
      <c r="D618" s="8">
        <v>5</v>
      </c>
      <c r="E618" s="4">
        <f t="shared" si="222"/>
        <v>20</v>
      </c>
      <c r="F618" s="39">
        <v>46030</v>
      </c>
      <c r="G618" s="3" t="s">
        <v>11</v>
      </c>
      <c r="H618" s="48"/>
      <c r="I618" s="49"/>
      <c r="J618" s="48"/>
      <c r="K618" s="4">
        <f t="shared" si="224"/>
        <v>0</v>
      </c>
    </row>
    <row r="619" spans="1:12" x14ac:dyDescent="0.15">
      <c r="A619" s="3" t="s">
        <v>11</v>
      </c>
      <c r="B619" s="8"/>
      <c r="C619" s="7">
        <v>5</v>
      </c>
      <c r="D619" s="8"/>
      <c r="E619" s="4">
        <f t="shared" si="222"/>
        <v>5</v>
      </c>
      <c r="F619" s="39">
        <v>46035</v>
      </c>
      <c r="G619" s="3" t="s">
        <v>11</v>
      </c>
      <c r="H619" s="48"/>
      <c r="I619" s="49"/>
      <c r="J619" s="48"/>
      <c r="K619" s="4">
        <f t="shared" si="224"/>
        <v>0</v>
      </c>
    </row>
    <row r="620" spans="1:12" ht="14.25" thickBot="1" x14ac:dyDescent="0.2">
      <c r="A620" s="3" t="s">
        <v>11</v>
      </c>
      <c r="B620" s="11"/>
      <c r="C620" s="10"/>
      <c r="D620" s="11"/>
      <c r="E620" s="18">
        <f t="shared" si="222"/>
        <v>0</v>
      </c>
      <c r="G620" s="3" t="s">
        <v>11</v>
      </c>
      <c r="H620" s="51"/>
      <c r="I620" s="52"/>
      <c r="J620" s="51"/>
      <c r="K620" s="18">
        <f t="shared" si="224"/>
        <v>0</v>
      </c>
    </row>
    <row r="621" spans="1:12" ht="14.25" thickBot="1" x14ac:dyDescent="0.2">
      <c r="A621" s="21" t="s">
        <v>3</v>
      </c>
      <c r="B621" s="22">
        <f>SUM(B610:B620)</f>
        <v>58</v>
      </c>
      <c r="C621" s="22">
        <f>SUM(C610:C620)</f>
        <v>74</v>
      </c>
      <c r="D621" s="23">
        <f>SUM(D610:D620)</f>
        <v>58</v>
      </c>
      <c r="E621" s="24">
        <f t="shared" si="222"/>
        <v>190</v>
      </c>
      <c r="G621" s="35" t="s">
        <v>3</v>
      </c>
      <c r="H621" s="22">
        <f>SUM(H610:H620)</f>
        <v>136</v>
      </c>
      <c r="I621" s="22">
        <f t="shared" ref="I621:K621" si="226">SUM(I610:I620)</f>
        <v>177</v>
      </c>
      <c r="J621" s="23">
        <f t="shared" si="226"/>
        <v>142</v>
      </c>
      <c r="K621" s="24">
        <f t="shared" si="226"/>
        <v>455</v>
      </c>
    </row>
    <row r="622" spans="1:12" x14ac:dyDescent="0.15">
      <c r="A622" s="3" t="s">
        <v>297</v>
      </c>
      <c r="B622" s="6">
        <v>1</v>
      </c>
      <c r="C622" s="7"/>
      <c r="D622" s="8">
        <v>1</v>
      </c>
      <c r="E622" s="5">
        <f t="shared" si="222"/>
        <v>2</v>
      </c>
      <c r="F622" s="39">
        <v>45996</v>
      </c>
      <c r="G622" s="78" t="s">
        <v>328</v>
      </c>
      <c r="H622" s="72">
        <v>5</v>
      </c>
      <c r="I622" s="73">
        <v>5</v>
      </c>
      <c r="J622" s="74">
        <v>5</v>
      </c>
      <c r="K622" s="75">
        <f t="shared" ref="K622" si="227">SUM(H622:J622)</f>
        <v>15</v>
      </c>
      <c r="L622" s="77">
        <v>46002</v>
      </c>
    </row>
    <row r="623" spans="1:12" x14ac:dyDescent="0.15">
      <c r="A623" s="3" t="s">
        <v>297</v>
      </c>
      <c r="B623" s="6"/>
      <c r="C623" s="7">
        <v>1</v>
      </c>
      <c r="D623" s="8"/>
      <c r="E623" s="5">
        <f t="shared" si="222"/>
        <v>1</v>
      </c>
      <c r="F623" s="39">
        <v>45999</v>
      </c>
      <c r="G623" s="78" t="s">
        <v>26</v>
      </c>
      <c r="H623" s="72">
        <v>5</v>
      </c>
      <c r="I623" s="73">
        <v>10</v>
      </c>
      <c r="J623" s="74">
        <v>15</v>
      </c>
      <c r="K623" s="75">
        <f t="shared" ref="K623:K636" si="228">SUM(H623:J623)</f>
        <v>30</v>
      </c>
      <c r="L623" s="77">
        <v>46006</v>
      </c>
    </row>
    <row r="624" spans="1:12" x14ac:dyDescent="0.15">
      <c r="A624" s="3" t="s">
        <v>297</v>
      </c>
      <c r="B624" s="6"/>
      <c r="C624" s="7">
        <v>1</v>
      </c>
      <c r="D624" s="8"/>
      <c r="E624" s="5">
        <f t="shared" si="222"/>
        <v>1</v>
      </c>
      <c r="F624" s="39">
        <v>46001</v>
      </c>
      <c r="G624" s="78" t="s">
        <v>26</v>
      </c>
      <c r="H624" s="72"/>
      <c r="I624" s="73">
        <v>5</v>
      </c>
      <c r="J624" s="74">
        <v>5</v>
      </c>
      <c r="K624" s="75">
        <f t="shared" si="228"/>
        <v>10</v>
      </c>
      <c r="L624" s="77">
        <v>46006</v>
      </c>
    </row>
    <row r="625" spans="1:12" x14ac:dyDescent="0.15">
      <c r="A625" s="3" t="s">
        <v>297</v>
      </c>
      <c r="B625" s="6">
        <v>4</v>
      </c>
      <c r="C625" s="7"/>
      <c r="D625" s="8"/>
      <c r="E625" s="5">
        <f t="shared" si="222"/>
        <v>4</v>
      </c>
      <c r="F625" s="39">
        <v>46002</v>
      </c>
      <c r="G625" s="78" t="s">
        <v>26</v>
      </c>
      <c r="H625" s="72">
        <v>5</v>
      </c>
      <c r="I625" s="73">
        <v>10</v>
      </c>
      <c r="J625" s="74">
        <v>5</v>
      </c>
      <c r="K625" s="75">
        <f t="shared" si="228"/>
        <v>20</v>
      </c>
      <c r="L625" s="77">
        <v>46008</v>
      </c>
    </row>
    <row r="626" spans="1:12" x14ac:dyDescent="0.15">
      <c r="A626" s="3" t="s">
        <v>297</v>
      </c>
      <c r="B626" s="6">
        <v>1</v>
      </c>
      <c r="C626" s="7"/>
      <c r="D626" s="8">
        <v>1</v>
      </c>
      <c r="E626" s="5">
        <f t="shared" si="222"/>
        <v>2</v>
      </c>
      <c r="F626" s="39">
        <v>46003</v>
      </c>
      <c r="G626" s="78" t="s">
        <v>26</v>
      </c>
      <c r="H626" s="72">
        <v>5</v>
      </c>
      <c r="I626" s="73">
        <v>5</v>
      </c>
      <c r="J626" s="74">
        <v>5</v>
      </c>
      <c r="K626" s="75">
        <f t="shared" si="228"/>
        <v>15</v>
      </c>
      <c r="L626" s="77">
        <v>46013</v>
      </c>
    </row>
    <row r="627" spans="1:12" x14ac:dyDescent="0.15">
      <c r="A627" s="3" t="s">
        <v>297</v>
      </c>
      <c r="B627" s="6"/>
      <c r="C627" s="7">
        <v>1</v>
      </c>
      <c r="D627" s="8">
        <v>1</v>
      </c>
      <c r="E627" s="5">
        <f t="shared" si="222"/>
        <v>2</v>
      </c>
      <c r="F627" s="39">
        <v>46003</v>
      </c>
      <c r="G627" s="78" t="s">
        <v>26</v>
      </c>
      <c r="H627" s="72">
        <v>10</v>
      </c>
      <c r="I627" s="73">
        <v>15</v>
      </c>
      <c r="J627" s="74">
        <v>5</v>
      </c>
      <c r="K627" s="75">
        <f t="shared" si="228"/>
        <v>30</v>
      </c>
      <c r="L627" s="77">
        <v>46016</v>
      </c>
    </row>
    <row r="628" spans="1:12" x14ac:dyDescent="0.15">
      <c r="A628" s="3" t="s">
        <v>329</v>
      </c>
      <c r="B628" s="6">
        <v>3</v>
      </c>
      <c r="C628" s="7">
        <v>10</v>
      </c>
      <c r="D628" s="8">
        <v>17</v>
      </c>
      <c r="E628" s="5">
        <f t="shared" si="222"/>
        <v>30</v>
      </c>
      <c r="F628" s="39">
        <v>46008</v>
      </c>
      <c r="G628" s="3" t="s">
        <v>26</v>
      </c>
      <c r="H628" s="6">
        <v>10</v>
      </c>
      <c r="I628" s="7">
        <v>5</v>
      </c>
      <c r="J628" s="8">
        <v>5</v>
      </c>
      <c r="K628" s="5">
        <f t="shared" si="228"/>
        <v>20</v>
      </c>
      <c r="L628" s="66">
        <v>46030</v>
      </c>
    </row>
    <row r="629" spans="1:12" x14ac:dyDescent="0.15">
      <c r="A629" s="3" t="s">
        <v>297</v>
      </c>
      <c r="B629" s="6">
        <v>4</v>
      </c>
      <c r="C629" s="7">
        <v>5</v>
      </c>
      <c r="D629" s="8">
        <v>1</v>
      </c>
      <c r="E629" s="5">
        <f t="shared" si="222"/>
        <v>10</v>
      </c>
      <c r="F629" s="39">
        <v>46006</v>
      </c>
      <c r="G629" s="3" t="s">
        <v>26</v>
      </c>
      <c r="H629" s="6"/>
      <c r="I629" s="7">
        <v>5</v>
      </c>
      <c r="J629" s="8"/>
      <c r="K629" s="5">
        <f t="shared" si="228"/>
        <v>5</v>
      </c>
      <c r="L629" s="66">
        <v>46035</v>
      </c>
    </row>
    <row r="630" spans="1:12" x14ac:dyDescent="0.15">
      <c r="A630" s="3" t="s">
        <v>297</v>
      </c>
      <c r="B630" s="6">
        <v>1</v>
      </c>
      <c r="C630" s="7">
        <v>7</v>
      </c>
      <c r="D630" s="8">
        <v>4</v>
      </c>
      <c r="E630" s="5">
        <f t="shared" si="222"/>
        <v>12</v>
      </c>
      <c r="F630" s="39">
        <v>46008</v>
      </c>
      <c r="G630" s="3"/>
      <c r="H630" s="6"/>
      <c r="I630" s="7"/>
      <c r="J630" s="8"/>
      <c r="K630" s="5">
        <f t="shared" si="228"/>
        <v>0</v>
      </c>
      <c r="L630" s="67"/>
    </row>
    <row r="631" spans="1:12" x14ac:dyDescent="0.15">
      <c r="A631" s="3" t="s">
        <v>36</v>
      </c>
      <c r="B631" s="6">
        <v>1</v>
      </c>
      <c r="C631" s="7"/>
      <c r="D631" s="8"/>
      <c r="E631" s="5">
        <f t="shared" si="222"/>
        <v>1</v>
      </c>
      <c r="F631" s="40">
        <v>46006</v>
      </c>
      <c r="G631" s="3"/>
      <c r="H631" s="6"/>
      <c r="I631" s="7"/>
      <c r="J631" s="8"/>
      <c r="K631" s="5">
        <f t="shared" si="228"/>
        <v>0</v>
      </c>
      <c r="L631" s="67"/>
    </row>
    <row r="632" spans="1:12" x14ac:dyDescent="0.15">
      <c r="A632" s="3" t="s">
        <v>297</v>
      </c>
      <c r="B632" s="6">
        <v>2</v>
      </c>
      <c r="C632" s="7">
        <v>2</v>
      </c>
      <c r="D632" s="8">
        <v>2</v>
      </c>
      <c r="E632" s="5">
        <f t="shared" si="222"/>
        <v>6</v>
      </c>
      <c r="F632" s="39">
        <v>46009</v>
      </c>
      <c r="G632" s="3"/>
      <c r="H632" s="6"/>
      <c r="I632" s="7"/>
      <c r="J632" s="8"/>
      <c r="K632" s="5">
        <f t="shared" si="228"/>
        <v>0</v>
      </c>
    </row>
    <row r="633" spans="1:12" x14ac:dyDescent="0.15">
      <c r="A633" s="3" t="s">
        <v>297</v>
      </c>
      <c r="B633" s="6">
        <v>6</v>
      </c>
      <c r="C633" s="7">
        <v>6</v>
      </c>
      <c r="D633" s="8">
        <v>3</v>
      </c>
      <c r="E633" s="5">
        <f t="shared" si="222"/>
        <v>15</v>
      </c>
      <c r="F633" s="39">
        <v>46010</v>
      </c>
      <c r="G633" s="3"/>
      <c r="H633" s="6"/>
      <c r="I633" s="7"/>
      <c r="J633" s="8"/>
      <c r="K633" s="5">
        <f t="shared" si="228"/>
        <v>0</v>
      </c>
    </row>
    <row r="634" spans="1:12" x14ac:dyDescent="0.15">
      <c r="A634" s="3" t="s">
        <v>297</v>
      </c>
      <c r="B634" s="6">
        <v>2</v>
      </c>
      <c r="C634" s="7">
        <v>3</v>
      </c>
      <c r="D634" s="8">
        <v>2</v>
      </c>
      <c r="E634" s="5">
        <f t="shared" si="222"/>
        <v>7</v>
      </c>
      <c r="F634" s="39">
        <v>46010</v>
      </c>
      <c r="G634" s="3"/>
      <c r="H634" s="6"/>
      <c r="I634" s="7"/>
      <c r="J634" s="8"/>
      <c r="K634" s="5">
        <f t="shared" si="228"/>
        <v>0</v>
      </c>
    </row>
    <row r="635" spans="1:12" x14ac:dyDescent="0.15">
      <c r="A635" s="3" t="s">
        <v>297</v>
      </c>
      <c r="B635" s="6">
        <v>1</v>
      </c>
      <c r="C635" s="7">
        <v>1</v>
      </c>
      <c r="D635" s="8">
        <v>1</v>
      </c>
      <c r="E635" s="5">
        <f t="shared" si="222"/>
        <v>3</v>
      </c>
      <c r="F635" s="39">
        <v>46013</v>
      </c>
      <c r="G635" s="3"/>
      <c r="H635" s="6"/>
      <c r="I635" s="7"/>
      <c r="J635" s="8"/>
      <c r="K635" s="5">
        <f t="shared" si="228"/>
        <v>0</v>
      </c>
    </row>
    <row r="636" spans="1:12" x14ac:dyDescent="0.15">
      <c r="A636" s="3" t="s">
        <v>297</v>
      </c>
      <c r="B636" s="6">
        <v>3</v>
      </c>
      <c r="C636" s="7">
        <v>1</v>
      </c>
      <c r="D636" s="8">
        <v>2</v>
      </c>
      <c r="E636" s="5">
        <f t="shared" si="222"/>
        <v>6</v>
      </c>
      <c r="F636" s="39">
        <v>46015</v>
      </c>
      <c r="G636" s="3"/>
      <c r="H636" s="6"/>
      <c r="I636" s="7"/>
      <c r="J636" s="8"/>
      <c r="K636" s="5">
        <f t="shared" si="228"/>
        <v>0</v>
      </c>
    </row>
    <row r="637" spans="1:12" x14ac:dyDescent="0.15">
      <c r="A637" s="3" t="s">
        <v>36</v>
      </c>
      <c r="B637" s="6"/>
      <c r="C637" s="7"/>
      <c r="D637" s="8">
        <v>1</v>
      </c>
      <c r="E637" s="5">
        <f t="shared" si="222"/>
        <v>1</v>
      </c>
      <c r="F637" s="40">
        <v>46013</v>
      </c>
      <c r="G637" s="3"/>
      <c r="H637" s="6"/>
      <c r="I637" s="7"/>
      <c r="J637" s="8"/>
      <c r="K637" s="5">
        <f t="shared" ref="K637:K643" si="229">SUM(H637:J637)</f>
        <v>0</v>
      </c>
    </row>
    <row r="638" spans="1:12" x14ac:dyDescent="0.15">
      <c r="A638" s="34" t="s">
        <v>331</v>
      </c>
      <c r="B638" s="6">
        <v>5</v>
      </c>
      <c r="C638" s="7">
        <v>5</v>
      </c>
      <c r="D638" s="8">
        <v>5</v>
      </c>
      <c r="E638" s="5">
        <f t="shared" si="222"/>
        <v>15</v>
      </c>
      <c r="F638" s="39">
        <v>46017</v>
      </c>
      <c r="G638" s="3"/>
      <c r="H638" s="6"/>
      <c r="I638" s="7"/>
      <c r="J638" s="8"/>
      <c r="K638" s="5">
        <f t="shared" si="229"/>
        <v>0</v>
      </c>
    </row>
    <row r="639" spans="1:12" x14ac:dyDescent="0.15">
      <c r="A639" s="3" t="s">
        <v>332</v>
      </c>
      <c r="B639" s="6">
        <v>3</v>
      </c>
      <c r="C639" s="7"/>
      <c r="D639" s="8"/>
      <c r="E639" s="5">
        <f t="shared" si="222"/>
        <v>3</v>
      </c>
      <c r="F639" s="39">
        <v>46017</v>
      </c>
      <c r="G639" s="3"/>
      <c r="H639" s="6"/>
      <c r="I639" s="7"/>
      <c r="J639" s="8"/>
      <c r="K639" s="5">
        <f t="shared" ref="K639" si="230">SUM(H639:J639)</f>
        <v>0</v>
      </c>
    </row>
    <row r="640" spans="1:12" x14ac:dyDescent="0.15">
      <c r="A640" s="3" t="s">
        <v>333</v>
      </c>
      <c r="B640" s="6"/>
      <c r="C640" s="7"/>
      <c r="D640" s="8">
        <v>1</v>
      </c>
      <c r="E640" s="5">
        <f t="shared" si="222"/>
        <v>1</v>
      </c>
      <c r="F640" s="39">
        <v>46017</v>
      </c>
      <c r="G640" s="3"/>
      <c r="H640" s="6"/>
      <c r="I640" s="7"/>
      <c r="J640" s="8"/>
      <c r="K640" s="5">
        <f t="shared" ref="K640:K642" si="231">SUM(H640:J640)</f>
        <v>0</v>
      </c>
    </row>
    <row r="641" spans="1:12" x14ac:dyDescent="0.15">
      <c r="A641" s="34" t="s">
        <v>334</v>
      </c>
      <c r="B641" s="6"/>
      <c r="C641" s="7">
        <v>10</v>
      </c>
      <c r="D641" s="8"/>
      <c r="E641" s="5">
        <f t="shared" si="222"/>
        <v>10</v>
      </c>
      <c r="F641" s="39">
        <v>45664</v>
      </c>
      <c r="G641" s="3"/>
      <c r="H641" s="6"/>
      <c r="I641" s="7"/>
      <c r="J641" s="8"/>
      <c r="K641" s="5">
        <f t="shared" si="231"/>
        <v>0</v>
      </c>
    </row>
    <row r="642" spans="1:12" x14ac:dyDescent="0.15">
      <c r="A642" s="3" t="s">
        <v>335</v>
      </c>
      <c r="B642" s="6">
        <v>4</v>
      </c>
      <c r="C642" s="7"/>
      <c r="D642" s="8"/>
      <c r="E642" s="5">
        <f t="shared" si="222"/>
        <v>4</v>
      </c>
      <c r="F642" s="39">
        <v>46030</v>
      </c>
      <c r="G642" s="3"/>
      <c r="H642" s="6"/>
      <c r="I642" s="7"/>
      <c r="J642" s="8"/>
      <c r="K642" s="5">
        <f t="shared" si="231"/>
        <v>0</v>
      </c>
    </row>
    <row r="643" spans="1:12" x14ac:dyDescent="0.15">
      <c r="A643" s="3" t="s">
        <v>333</v>
      </c>
      <c r="B643" s="6"/>
      <c r="C643" s="7">
        <v>4</v>
      </c>
      <c r="D643" s="8">
        <v>3</v>
      </c>
      <c r="E643" s="5">
        <f t="shared" si="222"/>
        <v>7</v>
      </c>
      <c r="F643" s="39">
        <v>46031</v>
      </c>
      <c r="G643" s="34" t="s">
        <v>327</v>
      </c>
      <c r="H643" s="6"/>
      <c r="I643" s="7"/>
      <c r="J643" s="8"/>
      <c r="K643" s="5">
        <f t="shared" si="229"/>
        <v>0</v>
      </c>
      <c r="L643" s="67" t="s">
        <v>200</v>
      </c>
    </row>
    <row r="644" spans="1:12" x14ac:dyDescent="0.15">
      <c r="A644" s="3" t="s">
        <v>333</v>
      </c>
      <c r="B644" s="6">
        <v>2</v>
      </c>
      <c r="C644" s="7">
        <v>2</v>
      </c>
      <c r="D644" s="8">
        <v>1</v>
      </c>
      <c r="E644" s="5">
        <f t="shared" si="222"/>
        <v>5</v>
      </c>
      <c r="F644" s="39">
        <v>46035</v>
      </c>
      <c r="G644" s="42" t="s">
        <v>307</v>
      </c>
      <c r="H644" s="44"/>
      <c r="I644" s="45"/>
      <c r="J644" s="46"/>
      <c r="K644" s="47">
        <f t="shared" ref="K644:K645" si="232">SUM(H644:J644)</f>
        <v>0</v>
      </c>
      <c r="L644" s="88"/>
    </row>
    <row r="645" spans="1:12" ht="14.25" thickBot="1" x14ac:dyDescent="0.2">
      <c r="A645" s="3" t="s">
        <v>333</v>
      </c>
      <c r="B645" s="6"/>
      <c r="C645" s="7">
        <v>4</v>
      </c>
      <c r="D645" s="8">
        <v>1</v>
      </c>
      <c r="E645" s="5">
        <f t="shared" si="222"/>
        <v>5</v>
      </c>
      <c r="F645" s="39">
        <v>46037</v>
      </c>
      <c r="G645" s="3" t="s">
        <v>300</v>
      </c>
      <c r="H645" s="6"/>
      <c r="I645" s="7"/>
      <c r="J645" s="8"/>
      <c r="K645" s="5">
        <f t="shared" si="232"/>
        <v>0</v>
      </c>
      <c r="L645" s="66" t="s">
        <v>301</v>
      </c>
    </row>
    <row r="646" spans="1:12" ht="14.25" thickBot="1" x14ac:dyDescent="0.2">
      <c r="A646" s="2" t="s">
        <v>4</v>
      </c>
      <c r="B646" s="12">
        <f>SUM(B622:B645)</f>
        <v>43</v>
      </c>
      <c r="C646" s="12">
        <f>SUM(C622:C645)</f>
        <v>63</v>
      </c>
      <c r="D646" s="12">
        <f>SUM(D622:D645)</f>
        <v>47</v>
      </c>
      <c r="E646" s="13">
        <f t="shared" si="222"/>
        <v>153</v>
      </c>
      <c r="G646" s="36" t="s">
        <v>4</v>
      </c>
      <c r="H646" s="12">
        <f>SUM(H622:H645)</f>
        <v>40</v>
      </c>
      <c r="I646" s="12">
        <f t="shared" ref="I646:K646" si="233">SUM(I622:I645)</f>
        <v>60</v>
      </c>
      <c r="J646" s="12">
        <f t="shared" si="233"/>
        <v>45</v>
      </c>
      <c r="K646" s="13">
        <f t="shared" si="233"/>
        <v>145</v>
      </c>
    </row>
    <row r="647" spans="1:12" ht="14.25" thickBot="1" x14ac:dyDescent="0.2">
      <c r="A647" s="25" t="s">
        <v>5</v>
      </c>
      <c r="B647" s="26">
        <f>B621-B646</f>
        <v>15</v>
      </c>
      <c r="C647" s="26">
        <f>C621-C646</f>
        <v>11</v>
      </c>
      <c r="D647" s="26">
        <f>D621-D646</f>
        <v>11</v>
      </c>
      <c r="E647" s="24">
        <f>E621-E646</f>
        <v>37</v>
      </c>
      <c r="G647" s="37" t="s">
        <v>5</v>
      </c>
      <c r="H647" s="26">
        <f>H621-H646</f>
        <v>96</v>
      </c>
      <c r="I647" s="26">
        <f t="shared" ref="I647:K647" si="234">I621-I646</f>
        <v>117</v>
      </c>
      <c r="J647" s="26">
        <f t="shared" si="234"/>
        <v>97</v>
      </c>
      <c r="K647" s="24">
        <f t="shared" si="234"/>
        <v>310</v>
      </c>
    </row>
    <row r="651" spans="1:12" ht="21.75" thickBot="1" x14ac:dyDescent="0.25">
      <c r="A651" s="30" t="s">
        <v>23</v>
      </c>
      <c r="B651" s="28"/>
      <c r="C651" s="28"/>
      <c r="D651" s="28"/>
      <c r="E651" s="28"/>
      <c r="G651" s="31" t="s">
        <v>340</v>
      </c>
      <c r="H651" s="29"/>
      <c r="I651" s="29"/>
      <c r="J651" s="29"/>
      <c r="K651" s="29"/>
    </row>
    <row r="652" spans="1:12" ht="14.25" thickBot="1" x14ac:dyDescent="0.2">
      <c r="A652" s="1" t="s">
        <v>0</v>
      </c>
      <c r="B652" s="91" t="s">
        <v>10</v>
      </c>
      <c r="C652" s="91"/>
      <c r="D652" s="91"/>
      <c r="E652" s="92"/>
      <c r="G652" s="1" t="s">
        <v>0</v>
      </c>
      <c r="H652" s="91" t="s">
        <v>274</v>
      </c>
      <c r="I652" s="91"/>
      <c r="J652" s="91"/>
      <c r="K652" s="92"/>
    </row>
    <row r="653" spans="1:12" ht="14.25" thickBot="1" x14ac:dyDescent="0.2">
      <c r="A653" s="1" t="s">
        <v>1</v>
      </c>
      <c r="B653" s="2" t="s">
        <v>6</v>
      </c>
      <c r="C653" s="1" t="s">
        <v>7</v>
      </c>
      <c r="D653" s="17" t="s">
        <v>8</v>
      </c>
      <c r="E653" s="1" t="s">
        <v>2</v>
      </c>
      <c r="G653" s="33" t="s">
        <v>1</v>
      </c>
      <c r="H653" s="2" t="s">
        <v>6</v>
      </c>
      <c r="I653" s="1" t="s">
        <v>7</v>
      </c>
      <c r="J653" s="17" t="s">
        <v>8</v>
      </c>
      <c r="K653" s="1" t="s">
        <v>2</v>
      </c>
    </row>
    <row r="654" spans="1:12" x14ac:dyDescent="0.15">
      <c r="A654" s="19" t="s">
        <v>5</v>
      </c>
      <c r="B654" s="16">
        <f>B647</f>
        <v>15</v>
      </c>
      <c r="C654" s="20">
        <f>C647</f>
        <v>11</v>
      </c>
      <c r="D654" s="20">
        <f>D647</f>
        <v>11</v>
      </c>
      <c r="E654" s="15">
        <f t="shared" ref="E654:E690" si="235">SUM(B654:D654)</f>
        <v>37</v>
      </c>
      <c r="G654" s="38" t="s">
        <v>5</v>
      </c>
      <c r="H654" s="16">
        <f>H647</f>
        <v>96</v>
      </c>
      <c r="I654" s="20">
        <f t="shared" ref="I654:J654" si="236">I647</f>
        <v>117</v>
      </c>
      <c r="J654" s="20">
        <f t="shared" si="236"/>
        <v>97</v>
      </c>
      <c r="K654" s="15">
        <f>K647</f>
        <v>310</v>
      </c>
    </row>
    <row r="655" spans="1:12" x14ac:dyDescent="0.15">
      <c r="A655" s="78" t="s">
        <v>11</v>
      </c>
      <c r="B655" s="74">
        <v>5</v>
      </c>
      <c r="C655" s="73">
        <v>10</v>
      </c>
      <c r="D655" s="74">
        <v>5</v>
      </c>
      <c r="E655" s="79">
        <f t="shared" si="235"/>
        <v>20</v>
      </c>
      <c r="F655" s="80">
        <v>46037</v>
      </c>
      <c r="G655" s="3" t="s">
        <v>11</v>
      </c>
      <c r="H655" s="48"/>
      <c r="I655" s="49"/>
      <c r="J655" s="48"/>
      <c r="K655" s="4">
        <f t="shared" ref="K655:K664" si="237">SUM(H655:J655)</f>
        <v>0</v>
      </c>
    </row>
    <row r="656" spans="1:12" x14ac:dyDescent="0.15">
      <c r="A656" s="78" t="s">
        <v>11</v>
      </c>
      <c r="B656" s="74">
        <v>5</v>
      </c>
      <c r="C656" s="73">
        <v>5</v>
      </c>
      <c r="D656" s="74"/>
      <c r="E656" s="79">
        <f t="shared" si="235"/>
        <v>10</v>
      </c>
      <c r="F656" s="80">
        <v>46041</v>
      </c>
      <c r="G656" s="3" t="s">
        <v>11</v>
      </c>
      <c r="H656" s="48"/>
      <c r="I656" s="49"/>
      <c r="J656" s="48"/>
      <c r="K656" s="4">
        <f t="shared" si="237"/>
        <v>0</v>
      </c>
    </row>
    <row r="657" spans="1:12" x14ac:dyDescent="0.15">
      <c r="A657" s="3" t="s">
        <v>107</v>
      </c>
      <c r="B657" s="8"/>
      <c r="C657" s="7">
        <v>1</v>
      </c>
      <c r="D657" s="8"/>
      <c r="E657" s="4">
        <f t="shared" si="235"/>
        <v>1</v>
      </c>
      <c r="F657" s="40">
        <v>46038</v>
      </c>
      <c r="G657" s="3" t="s">
        <v>11</v>
      </c>
      <c r="H657" s="48"/>
      <c r="I657" s="49"/>
      <c r="J657" s="48"/>
      <c r="K657" s="4">
        <f t="shared" ref="K657:K658" si="238">SUM(H657:J657)</f>
        <v>0</v>
      </c>
    </row>
    <row r="658" spans="1:12" x14ac:dyDescent="0.15">
      <c r="A658" s="3" t="s">
        <v>11</v>
      </c>
      <c r="B658" s="8">
        <v>10</v>
      </c>
      <c r="C658" s="7"/>
      <c r="D658" s="8">
        <v>5</v>
      </c>
      <c r="E658" s="4">
        <f t="shared" si="235"/>
        <v>15</v>
      </c>
      <c r="F658" s="39">
        <v>46043</v>
      </c>
      <c r="G658" s="34" t="s">
        <v>288</v>
      </c>
      <c r="H658" s="48">
        <v>180</v>
      </c>
      <c r="I658" s="49">
        <v>140</v>
      </c>
      <c r="J658" s="48">
        <v>60</v>
      </c>
      <c r="K658" s="4">
        <f t="shared" si="238"/>
        <v>380</v>
      </c>
      <c r="L658" s="66" t="s">
        <v>341</v>
      </c>
    </row>
    <row r="659" spans="1:12" x14ac:dyDescent="0.15">
      <c r="A659" s="3" t="s">
        <v>11</v>
      </c>
      <c r="B659" s="8">
        <v>10</v>
      </c>
      <c r="C659" s="7">
        <v>10</v>
      </c>
      <c r="D659" s="8">
        <v>5</v>
      </c>
      <c r="E659" s="4">
        <f t="shared" si="235"/>
        <v>25</v>
      </c>
      <c r="F659" s="39">
        <v>46051</v>
      </c>
      <c r="G659" s="3" t="s">
        <v>11</v>
      </c>
      <c r="H659" s="48"/>
      <c r="I659" s="49"/>
      <c r="J659" s="48"/>
      <c r="K659" s="4">
        <f t="shared" si="237"/>
        <v>0</v>
      </c>
    </row>
    <row r="660" spans="1:12" x14ac:dyDescent="0.15">
      <c r="A660" s="78" t="s">
        <v>11</v>
      </c>
      <c r="B660" s="74">
        <v>5</v>
      </c>
      <c r="C660" s="73">
        <v>10</v>
      </c>
      <c r="D660" s="74">
        <v>5</v>
      </c>
      <c r="E660" s="79">
        <f t="shared" si="235"/>
        <v>20</v>
      </c>
      <c r="F660" s="80">
        <v>46057</v>
      </c>
      <c r="G660" s="3" t="s">
        <v>11</v>
      </c>
      <c r="H660" s="48"/>
      <c r="I660" s="49"/>
      <c r="J660" s="48"/>
      <c r="K660" s="4">
        <f t="shared" si="237"/>
        <v>0</v>
      </c>
    </row>
    <row r="661" spans="1:12" x14ac:dyDescent="0.15">
      <c r="A661" s="78" t="s">
        <v>11</v>
      </c>
      <c r="B661" s="74"/>
      <c r="C661" s="73">
        <v>10</v>
      </c>
      <c r="D661" s="74"/>
      <c r="E661" s="79">
        <f t="shared" si="235"/>
        <v>10</v>
      </c>
      <c r="F661" s="80">
        <v>46062</v>
      </c>
      <c r="G661" s="3" t="s">
        <v>11</v>
      </c>
      <c r="H661" s="48"/>
      <c r="I661" s="49"/>
      <c r="J661" s="48"/>
      <c r="K661" s="4">
        <f t="shared" si="237"/>
        <v>0</v>
      </c>
    </row>
    <row r="662" spans="1:12" x14ac:dyDescent="0.15">
      <c r="A662" s="3" t="s">
        <v>345</v>
      </c>
      <c r="B662" s="8">
        <v>4</v>
      </c>
      <c r="C662" s="7">
        <v>7</v>
      </c>
      <c r="D662" s="8">
        <v>4</v>
      </c>
      <c r="E662" s="4">
        <f t="shared" si="235"/>
        <v>15</v>
      </c>
      <c r="F662" s="40">
        <v>46062</v>
      </c>
      <c r="G662" s="3" t="s">
        <v>11</v>
      </c>
      <c r="H662" s="48"/>
      <c r="I662" s="49"/>
      <c r="J662" s="48"/>
      <c r="K662" s="4">
        <f t="shared" si="237"/>
        <v>0</v>
      </c>
    </row>
    <row r="663" spans="1:12" x14ac:dyDescent="0.15">
      <c r="A663" s="3" t="s">
        <v>11</v>
      </c>
      <c r="B663" s="8"/>
      <c r="C663" s="7"/>
      <c r="D663" s="8"/>
      <c r="E663" s="4">
        <f t="shared" si="235"/>
        <v>0</v>
      </c>
      <c r="G663" s="3" t="s">
        <v>11</v>
      </c>
      <c r="H663" s="48"/>
      <c r="I663" s="49"/>
      <c r="J663" s="48"/>
      <c r="K663" s="4">
        <f t="shared" si="237"/>
        <v>0</v>
      </c>
    </row>
    <row r="664" spans="1:12" ht="14.25" thickBot="1" x14ac:dyDescent="0.2">
      <c r="A664" s="3" t="s">
        <v>11</v>
      </c>
      <c r="B664" s="11"/>
      <c r="C664" s="10"/>
      <c r="D664" s="11"/>
      <c r="E664" s="18">
        <f t="shared" si="235"/>
        <v>0</v>
      </c>
      <c r="G664" s="3" t="s">
        <v>11</v>
      </c>
      <c r="H664" s="51"/>
      <c r="I664" s="52"/>
      <c r="J664" s="51"/>
      <c r="K664" s="18">
        <f t="shared" si="237"/>
        <v>0</v>
      </c>
    </row>
    <row r="665" spans="1:12" ht="14.25" thickBot="1" x14ac:dyDescent="0.2">
      <c r="A665" s="21" t="s">
        <v>3</v>
      </c>
      <c r="B665" s="22">
        <f>SUM(B654:B664)</f>
        <v>54</v>
      </c>
      <c r="C665" s="22">
        <f>SUM(C654:C664)</f>
        <v>64</v>
      </c>
      <c r="D665" s="23">
        <f>SUM(D654:D664)</f>
        <v>35</v>
      </c>
      <c r="E665" s="24">
        <f t="shared" si="235"/>
        <v>153</v>
      </c>
      <c r="G665" s="35" t="s">
        <v>3</v>
      </c>
      <c r="H665" s="22">
        <f>SUM(H654:H664)</f>
        <v>276</v>
      </c>
      <c r="I665" s="22">
        <f t="shared" ref="I665:K665" si="239">SUM(I654:I664)</f>
        <v>257</v>
      </c>
      <c r="J665" s="23">
        <f t="shared" si="239"/>
        <v>157</v>
      </c>
      <c r="K665" s="24">
        <f t="shared" si="239"/>
        <v>690</v>
      </c>
    </row>
    <row r="666" spans="1:12" x14ac:dyDescent="0.15">
      <c r="A666" s="3" t="s">
        <v>36</v>
      </c>
      <c r="B666" s="6">
        <v>1</v>
      </c>
      <c r="C666" s="7"/>
      <c r="D666" s="8"/>
      <c r="E666" s="5">
        <f t="shared" ref="E666" si="240">SUM(B666:D666)</f>
        <v>1</v>
      </c>
      <c r="F666" s="40">
        <v>46035</v>
      </c>
      <c r="G666" s="78" t="s">
        <v>337</v>
      </c>
      <c r="H666" s="72">
        <v>5</v>
      </c>
      <c r="I666" s="73">
        <v>10</v>
      </c>
      <c r="J666" s="74">
        <v>5</v>
      </c>
      <c r="K666" s="75">
        <f t="shared" ref="K666:K680" si="241">SUM(H666:J666)</f>
        <v>20</v>
      </c>
      <c r="L666" s="77">
        <v>46037</v>
      </c>
    </row>
    <row r="667" spans="1:12" x14ac:dyDescent="0.15">
      <c r="A667" s="3" t="s">
        <v>336</v>
      </c>
      <c r="B667" s="6">
        <v>2</v>
      </c>
      <c r="C667" s="7"/>
      <c r="D667" s="8"/>
      <c r="E667" s="5">
        <f t="shared" si="235"/>
        <v>2</v>
      </c>
      <c r="F667" s="39">
        <v>46038</v>
      </c>
      <c r="G667" s="78" t="s">
        <v>337</v>
      </c>
      <c r="H667" s="72">
        <v>5</v>
      </c>
      <c r="I667" s="73">
        <v>5</v>
      </c>
      <c r="J667" s="74"/>
      <c r="K667" s="75">
        <f t="shared" si="241"/>
        <v>10</v>
      </c>
      <c r="L667" s="77">
        <v>46041</v>
      </c>
    </row>
    <row r="668" spans="1:12" x14ac:dyDescent="0.15">
      <c r="A668" s="3" t="s">
        <v>333</v>
      </c>
      <c r="B668" s="6">
        <v>1</v>
      </c>
      <c r="C668" s="7">
        <v>3</v>
      </c>
      <c r="D668" s="8"/>
      <c r="E668" s="5">
        <f t="shared" si="235"/>
        <v>4</v>
      </c>
      <c r="F668" s="39">
        <v>46038</v>
      </c>
      <c r="G668" s="34" t="s">
        <v>338</v>
      </c>
      <c r="H668" s="6">
        <v>30</v>
      </c>
      <c r="I668" s="7">
        <v>20</v>
      </c>
      <c r="J668" s="8">
        <v>3</v>
      </c>
      <c r="K668" s="5">
        <f t="shared" si="241"/>
        <v>53</v>
      </c>
      <c r="L668" s="66">
        <v>46041</v>
      </c>
    </row>
    <row r="669" spans="1:12" x14ac:dyDescent="0.15">
      <c r="A669" s="3" t="s">
        <v>333</v>
      </c>
      <c r="B669" s="6">
        <v>4</v>
      </c>
      <c r="C669" s="7">
        <v>4</v>
      </c>
      <c r="D669" s="8">
        <v>2</v>
      </c>
      <c r="E669" s="5">
        <f t="shared" si="235"/>
        <v>10</v>
      </c>
      <c r="F669" s="39">
        <v>46038</v>
      </c>
      <c r="G669" s="78" t="s">
        <v>337</v>
      </c>
      <c r="H669" s="72">
        <v>10</v>
      </c>
      <c r="I669" s="73"/>
      <c r="J669" s="74">
        <v>5</v>
      </c>
      <c r="K669" s="75">
        <f t="shared" si="241"/>
        <v>15</v>
      </c>
      <c r="L669" s="77">
        <v>46043</v>
      </c>
    </row>
    <row r="670" spans="1:12" x14ac:dyDescent="0.15">
      <c r="A670" s="3" t="s">
        <v>36</v>
      </c>
      <c r="B670" s="6">
        <v>1</v>
      </c>
      <c r="C670" s="7"/>
      <c r="D670" s="8"/>
      <c r="E670" s="5">
        <f t="shared" si="235"/>
        <v>1</v>
      </c>
      <c r="F670" s="39">
        <v>46037</v>
      </c>
      <c r="G670" s="3" t="s">
        <v>337</v>
      </c>
      <c r="H670" s="6">
        <v>10</v>
      </c>
      <c r="I670" s="7">
        <v>10</v>
      </c>
      <c r="J670" s="8">
        <v>5</v>
      </c>
      <c r="K670" s="5">
        <f t="shared" si="241"/>
        <v>25</v>
      </c>
      <c r="L670" s="66">
        <v>46051</v>
      </c>
    </row>
    <row r="671" spans="1:12" x14ac:dyDescent="0.15">
      <c r="A671" s="3" t="s">
        <v>333</v>
      </c>
      <c r="B671" s="6"/>
      <c r="C671" s="7">
        <v>1</v>
      </c>
      <c r="D671" s="8"/>
      <c r="E671" s="5">
        <f t="shared" si="235"/>
        <v>1</v>
      </c>
      <c r="F671" s="39">
        <v>46041</v>
      </c>
      <c r="G671" s="78" t="s">
        <v>337</v>
      </c>
      <c r="H671" s="72">
        <v>5</v>
      </c>
      <c r="I671" s="73">
        <v>10</v>
      </c>
      <c r="J671" s="74">
        <v>5</v>
      </c>
      <c r="K671" s="75">
        <f t="shared" si="241"/>
        <v>20</v>
      </c>
      <c r="L671" s="77">
        <v>46057</v>
      </c>
    </row>
    <row r="672" spans="1:12" x14ac:dyDescent="0.15">
      <c r="A672" s="34" t="s">
        <v>339</v>
      </c>
      <c r="B672" s="6">
        <v>7</v>
      </c>
      <c r="C672" s="7">
        <v>1</v>
      </c>
      <c r="D672" s="8">
        <v>7</v>
      </c>
      <c r="E672" s="5">
        <f t="shared" si="235"/>
        <v>15</v>
      </c>
      <c r="F672" s="39">
        <v>46042</v>
      </c>
      <c r="G672" s="78" t="s">
        <v>337</v>
      </c>
      <c r="H672" s="72"/>
      <c r="I672" s="73">
        <v>10</v>
      </c>
      <c r="J672" s="74"/>
      <c r="K672" s="75">
        <f t="shared" si="241"/>
        <v>10</v>
      </c>
      <c r="L672" s="77">
        <v>46062</v>
      </c>
    </row>
    <row r="673" spans="1:12" x14ac:dyDescent="0.15">
      <c r="A673" s="3" t="s">
        <v>333</v>
      </c>
      <c r="B673" s="6">
        <v>3</v>
      </c>
      <c r="C673" s="7"/>
      <c r="D673" s="8"/>
      <c r="E673" s="5">
        <f t="shared" si="235"/>
        <v>3</v>
      </c>
      <c r="F673" s="39">
        <v>46044</v>
      </c>
      <c r="G673" s="3" t="s">
        <v>344</v>
      </c>
      <c r="H673" s="6">
        <v>30</v>
      </c>
      <c r="I673" s="7">
        <v>30</v>
      </c>
      <c r="J673" s="8">
        <v>12</v>
      </c>
      <c r="K673" s="5">
        <f t="shared" si="241"/>
        <v>72</v>
      </c>
      <c r="L673" s="66">
        <v>46062</v>
      </c>
    </row>
    <row r="674" spans="1:12" x14ac:dyDescent="0.15">
      <c r="A674" s="3" t="s">
        <v>333</v>
      </c>
      <c r="B674" s="6"/>
      <c r="C674" s="7">
        <v>2</v>
      </c>
      <c r="D674" s="8">
        <v>1</v>
      </c>
      <c r="E674" s="5">
        <f t="shared" si="235"/>
        <v>3</v>
      </c>
      <c r="F674" s="39">
        <v>46045</v>
      </c>
      <c r="G674" s="3" t="s">
        <v>347</v>
      </c>
      <c r="H674" s="6">
        <v>35</v>
      </c>
      <c r="I674" s="7">
        <v>40</v>
      </c>
      <c r="J674" s="8">
        <v>20</v>
      </c>
      <c r="K674" s="5">
        <f t="shared" si="241"/>
        <v>95</v>
      </c>
      <c r="L674" s="66">
        <v>46066</v>
      </c>
    </row>
    <row r="675" spans="1:12" x14ac:dyDescent="0.15">
      <c r="A675" s="3" t="s">
        <v>333</v>
      </c>
      <c r="B675" s="6">
        <v>2</v>
      </c>
      <c r="C675" s="7"/>
      <c r="D675" s="8"/>
      <c r="E675" s="5">
        <f t="shared" si="235"/>
        <v>2</v>
      </c>
      <c r="F675" s="39">
        <v>46045</v>
      </c>
      <c r="G675" s="3"/>
      <c r="H675" s="6"/>
      <c r="I675" s="7"/>
      <c r="J675" s="8"/>
      <c r="K675" s="5">
        <f t="shared" si="241"/>
        <v>0</v>
      </c>
    </row>
    <row r="676" spans="1:12" x14ac:dyDescent="0.15">
      <c r="A676" s="3" t="s">
        <v>333</v>
      </c>
      <c r="B676" s="6">
        <v>1</v>
      </c>
      <c r="C676" s="7">
        <v>3</v>
      </c>
      <c r="D676" s="8">
        <v>1</v>
      </c>
      <c r="E676" s="5">
        <f t="shared" si="235"/>
        <v>5</v>
      </c>
      <c r="F676" s="39">
        <v>46048</v>
      </c>
      <c r="G676" s="3"/>
      <c r="H676" s="6"/>
      <c r="I676" s="7"/>
      <c r="J676" s="8"/>
      <c r="K676" s="5">
        <f t="shared" si="241"/>
        <v>0</v>
      </c>
    </row>
    <row r="677" spans="1:12" x14ac:dyDescent="0.15">
      <c r="A677" s="3" t="s">
        <v>333</v>
      </c>
      <c r="B677" s="6">
        <v>9</v>
      </c>
      <c r="C677" s="7">
        <v>9</v>
      </c>
      <c r="D677" s="8">
        <v>4</v>
      </c>
      <c r="E677" s="5">
        <f t="shared" si="235"/>
        <v>22</v>
      </c>
      <c r="F677" s="39">
        <v>46050</v>
      </c>
      <c r="G677" s="3"/>
      <c r="H677" s="6"/>
      <c r="I677" s="7"/>
      <c r="J677" s="8"/>
      <c r="K677" s="5">
        <f t="shared" si="241"/>
        <v>0</v>
      </c>
    </row>
    <row r="678" spans="1:12" x14ac:dyDescent="0.15">
      <c r="A678" s="3" t="s">
        <v>333</v>
      </c>
      <c r="B678" s="6">
        <v>1</v>
      </c>
      <c r="C678" s="7">
        <v>1</v>
      </c>
      <c r="D678" s="8"/>
      <c r="E678" s="5">
        <f t="shared" si="235"/>
        <v>2</v>
      </c>
      <c r="F678" s="39">
        <v>46051</v>
      </c>
      <c r="G678" s="3"/>
      <c r="H678" s="6"/>
      <c r="I678" s="7"/>
      <c r="J678" s="8"/>
      <c r="K678" s="5">
        <f t="shared" si="241"/>
        <v>0</v>
      </c>
    </row>
    <row r="679" spans="1:12" x14ac:dyDescent="0.15">
      <c r="A679" s="3" t="s">
        <v>333</v>
      </c>
      <c r="B679" s="6">
        <v>1</v>
      </c>
      <c r="C679" s="7">
        <v>2</v>
      </c>
      <c r="D679" s="8">
        <v>2</v>
      </c>
      <c r="E679" s="5">
        <f t="shared" si="235"/>
        <v>5</v>
      </c>
      <c r="F679" s="39">
        <v>46052</v>
      </c>
      <c r="G679" s="3"/>
      <c r="H679" s="6"/>
      <c r="I679" s="7"/>
      <c r="J679" s="8"/>
      <c r="K679" s="5">
        <f t="shared" si="241"/>
        <v>0</v>
      </c>
    </row>
    <row r="680" spans="1:12" x14ac:dyDescent="0.15">
      <c r="A680" s="3" t="s">
        <v>333</v>
      </c>
      <c r="B680" s="6">
        <v>1</v>
      </c>
      <c r="C680" s="7">
        <v>6</v>
      </c>
      <c r="D680" s="8">
        <v>1</v>
      </c>
      <c r="E680" s="5">
        <f t="shared" si="235"/>
        <v>8</v>
      </c>
      <c r="F680" s="39">
        <v>46057</v>
      </c>
      <c r="G680" s="3"/>
      <c r="H680" s="6"/>
      <c r="I680" s="7"/>
      <c r="J680" s="8"/>
      <c r="K680" s="5">
        <f t="shared" si="241"/>
        <v>0</v>
      </c>
    </row>
    <row r="681" spans="1:12" x14ac:dyDescent="0.15">
      <c r="A681" s="3" t="s">
        <v>333</v>
      </c>
      <c r="B681" s="6">
        <v>2</v>
      </c>
      <c r="C681" s="7">
        <v>1</v>
      </c>
      <c r="D681" s="8"/>
      <c r="E681" s="5">
        <f t="shared" si="235"/>
        <v>3</v>
      </c>
      <c r="F681" s="39">
        <v>46058</v>
      </c>
      <c r="G681" s="3"/>
      <c r="H681" s="6"/>
      <c r="I681" s="7"/>
      <c r="J681" s="8"/>
      <c r="K681" s="5">
        <f t="shared" ref="K681:K683" si="242">SUM(H681:J681)</f>
        <v>0</v>
      </c>
    </row>
    <row r="682" spans="1:12" x14ac:dyDescent="0.15">
      <c r="A682" s="3" t="s">
        <v>342</v>
      </c>
      <c r="B682" s="6"/>
      <c r="C682" s="7">
        <v>2</v>
      </c>
      <c r="D682" s="8"/>
      <c r="E682" s="5">
        <f t="shared" si="235"/>
        <v>2</v>
      </c>
      <c r="F682" s="39">
        <v>46059</v>
      </c>
      <c r="G682" s="3"/>
      <c r="H682" s="6"/>
      <c r="I682" s="7"/>
      <c r="J682" s="8"/>
      <c r="K682" s="5">
        <f t="shared" si="242"/>
        <v>0</v>
      </c>
    </row>
    <row r="683" spans="1:12" x14ac:dyDescent="0.15">
      <c r="A683" s="3" t="s">
        <v>333</v>
      </c>
      <c r="B683" s="6"/>
      <c r="C683" s="7">
        <v>4</v>
      </c>
      <c r="D683" s="8"/>
      <c r="E683" s="5">
        <f t="shared" si="235"/>
        <v>4</v>
      </c>
      <c r="F683" s="39">
        <v>46059</v>
      </c>
      <c r="G683" s="3"/>
      <c r="H683" s="6"/>
      <c r="I683" s="7"/>
      <c r="J683" s="8"/>
      <c r="K683" s="5">
        <f t="shared" si="242"/>
        <v>0</v>
      </c>
    </row>
    <row r="684" spans="1:12" x14ac:dyDescent="0.15">
      <c r="A684" s="34" t="s">
        <v>343</v>
      </c>
      <c r="B684" s="6">
        <v>2</v>
      </c>
      <c r="C684" s="7"/>
      <c r="D684" s="8"/>
      <c r="E684" s="5">
        <f t="shared" si="235"/>
        <v>2</v>
      </c>
      <c r="F684" s="39">
        <v>46065</v>
      </c>
      <c r="G684" s="3"/>
      <c r="H684" s="6"/>
      <c r="I684" s="7"/>
      <c r="J684" s="8"/>
      <c r="K684" s="5">
        <f t="shared" ref="K684" si="243">SUM(H684:J684)</f>
        <v>0</v>
      </c>
    </row>
    <row r="685" spans="1:12" x14ac:dyDescent="0.15">
      <c r="A685" s="3" t="s">
        <v>333</v>
      </c>
      <c r="B685" s="6"/>
      <c r="C685" s="7">
        <v>4</v>
      </c>
      <c r="D685" s="8"/>
      <c r="E685" s="5">
        <f t="shared" si="235"/>
        <v>4</v>
      </c>
      <c r="F685" s="39">
        <v>46062</v>
      </c>
      <c r="G685" s="3"/>
      <c r="H685" s="6"/>
      <c r="I685" s="7"/>
      <c r="J685" s="8"/>
      <c r="K685" s="5">
        <f t="shared" ref="K685:K686" si="244">SUM(H685:J685)</f>
        <v>0</v>
      </c>
    </row>
    <row r="686" spans="1:12" x14ac:dyDescent="0.15">
      <c r="A686" s="3" t="s">
        <v>333</v>
      </c>
      <c r="B686" s="6">
        <v>3</v>
      </c>
      <c r="C686" s="7"/>
      <c r="D686" s="8"/>
      <c r="E686" s="5">
        <f t="shared" si="235"/>
        <v>3</v>
      </c>
      <c r="F686" s="39">
        <v>46063</v>
      </c>
      <c r="G686" s="3"/>
      <c r="H686" s="6"/>
      <c r="I686" s="7"/>
      <c r="J686" s="8"/>
      <c r="K686" s="5">
        <f t="shared" si="244"/>
        <v>0</v>
      </c>
      <c r="L686" s="67"/>
    </row>
    <row r="687" spans="1:12" x14ac:dyDescent="0.15">
      <c r="A687" s="3" t="s">
        <v>333</v>
      </c>
      <c r="B687" s="6"/>
      <c r="C687" s="7">
        <v>1</v>
      </c>
      <c r="D687" s="8">
        <v>1</v>
      </c>
      <c r="E687" s="5">
        <f t="shared" si="235"/>
        <v>2</v>
      </c>
      <c r="F687" s="39">
        <v>46065</v>
      </c>
      <c r="G687" s="3" t="s">
        <v>320</v>
      </c>
      <c r="H687" s="6"/>
      <c r="I687" s="7"/>
      <c r="J687" s="8"/>
      <c r="K687" s="5">
        <f t="shared" ref="K687:K689" si="245">SUM(H687:J687)</f>
        <v>0</v>
      </c>
      <c r="L687" s="66" t="s">
        <v>321</v>
      </c>
    </row>
    <row r="688" spans="1:12" x14ac:dyDescent="0.15">
      <c r="A688" s="3" t="s">
        <v>346</v>
      </c>
      <c r="B688" s="6">
        <v>2</v>
      </c>
      <c r="C688" s="7"/>
      <c r="D688" s="8"/>
      <c r="E688" s="5">
        <f t="shared" si="235"/>
        <v>2</v>
      </c>
      <c r="F688" s="39">
        <v>46069</v>
      </c>
      <c r="G688" s="42" t="s">
        <v>305</v>
      </c>
      <c r="H688" s="44"/>
      <c r="I688" s="45"/>
      <c r="J688" s="46"/>
      <c r="K688" s="47">
        <f t="shared" si="245"/>
        <v>0</v>
      </c>
      <c r="L688" s="66"/>
    </row>
    <row r="689" spans="1:12" ht="14.25" thickBot="1" x14ac:dyDescent="0.2">
      <c r="A689" s="3" t="s">
        <v>333</v>
      </c>
      <c r="B689" s="6">
        <v>1</v>
      </c>
      <c r="C689" s="7">
        <v>1</v>
      </c>
      <c r="D689" s="8"/>
      <c r="E689" s="5">
        <f t="shared" si="235"/>
        <v>2</v>
      </c>
      <c r="F689" s="39">
        <v>46066</v>
      </c>
      <c r="G689" s="3" t="s">
        <v>306</v>
      </c>
      <c r="H689" s="6"/>
      <c r="I689" s="7"/>
      <c r="J689" s="8"/>
      <c r="K689" s="5">
        <f t="shared" si="245"/>
        <v>0</v>
      </c>
      <c r="L689" s="66" t="s">
        <v>323</v>
      </c>
    </row>
    <row r="690" spans="1:12" ht="14.25" thickBot="1" x14ac:dyDescent="0.2">
      <c r="A690" s="2" t="s">
        <v>4</v>
      </c>
      <c r="B690" s="12">
        <f>SUM(B666:B689)</f>
        <v>44</v>
      </c>
      <c r="C690" s="12">
        <f>SUM(C666:C689)</f>
        <v>45</v>
      </c>
      <c r="D690" s="12">
        <f>SUM(D666:D689)</f>
        <v>19</v>
      </c>
      <c r="E690" s="13">
        <f t="shared" si="235"/>
        <v>108</v>
      </c>
      <c r="G690" s="36" t="s">
        <v>4</v>
      </c>
      <c r="H690" s="12">
        <f>SUM(H666:H689)</f>
        <v>130</v>
      </c>
      <c r="I690" s="12">
        <f>SUM(I666:I689)</f>
        <v>135</v>
      </c>
      <c r="J690" s="12">
        <f>SUM(J666:J689)</f>
        <v>55</v>
      </c>
      <c r="K690" s="13">
        <f>SUM(K666:K689)</f>
        <v>320</v>
      </c>
    </row>
    <row r="691" spans="1:12" ht="14.25" thickBot="1" x14ac:dyDescent="0.2">
      <c r="A691" s="25" t="s">
        <v>5</v>
      </c>
      <c r="B691" s="26">
        <f>B665-B690</f>
        <v>10</v>
      </c>
      <c r="C691" s="26">
        <f>C665-C690</f>
        <v>19</v>
      </c>
      <c r="D691" s="26">
        <f>D665-D690</f>
        <v>16</v>
      </c>
      <c r="E691" s="24">
        <f>E665-E690</f>
        <v>45</v>
      </c>
      <c r="G691" s="37" t="s">
        <v>5</v>
      </c>
      <c r="H691" s="26">
        <f>H665-H690</f>
        <v>146</v>
      </c>
      <c r="I691" s="26">
        <f t="shared" ref="I691:K691" si="246">I665-I690</f>
        <v>122</v>
      </c>
      <c r="J691" s="26">
        <f t="shared" si="246"/>
        <v>102</v>
      </c>
      <c r="K691" s="24">
        <f t="shared" si="246"/>
        <v>370</v>
      </c>
    </row>
    <row r="695" spans="1:12" ht="21.75" thickBot="1" x14ac:dyDescent="0.25">
      <c r="A695" s="30" t="s">
        <v>23</v>
      </c>
      <c r="B695" s="28"/>
      <c r="C695" s="28"/>
      <c r="D695" s="28"/>
      <c r="E695" s="28"/>
      <c r="G695" s="31" t="s">
        <v>340</v>
      </c>
      <c r="H695" s="29"/>
      <c r="I695" s="29"/>
      <c r="J695" s="29"/>
      <c r="K695" s="29"/>
    </row>
    <row r="696" spans="1:12" ht="14.25" thickBot="1" x14ac:dyDescent="0.2">
      <c r="A696" s="1" t="s">
        <v>0</v>
      </c>
      <c r="B696" s="91" t="s">
        <v>10</v>
      </c>
      <c r="C696" s="91"/>
      <c r="D696" s="91"/>
      <c r="E696" s="92"/>
      <c r="G696" s="1" t="s">
        <v>0</v>
      </c>
      <c r="H696" s="91" t="s">
        <v>274</v>
      </c>
      <c r="I696" s="91"/>
      <c r="J696" s="91"/>
      <c r="K696" s="92"/>
    </row>
    <row r="697" spans="1:12" ht="14.25" thickBot="1" x14ac:dyDescent="0.2">
      <c r="A697" s="1" t="s">
        <v>1</v>
      </c>
      <c r="B697" s="2" t="s">
        <v>6</v>
      </c>
      <c r="C697" s="1" t="s">
        <v>7</v>
      </c>
      <c r="D697" s="17" t="s">
        <v>8</v>
      </c>
      <c r="E697" s="1" t="s">
        <v>2</v>
      </c>
      <c r="G697" s="33" t="s">
        <v>1</v>
      </c>
      <c r="H697" s="2" t="s">
        <v>6</v>
      </c>
      <c r="I697" s="1" t="s">
        <v>7</v>
      </c>
      <c r="J697" s="17" t="s">
        <v>8</v>
      </c>
      <c r="K697" s="1" t="s">
        <v>2</v>
      </c>
    </row>
    <row r="698" spans="1:12" x14ac:dyDescent="0.15">
      <c r="A698" s="19" t="s">
        <v>5</v>
      </c>
      <c r="B698" s="16">
        <f>B691</f>
        <v>10</v>
      </c>
      <c r="C698" s="20">
        <f>C691</f>
        <v>19</v>
      </c>
      <c r="D698" s="20">
        <f>D691</f>
        <v>16</v>
      </c>
      <c r="E698" s="15">
        <f t="shared" ref="E698:E734" si="247">SUM(B698:D698)</f>
        <v>45</v>
      </c>
      <c r="G698" s="38" t="s">
        <v>5</v>
      </c>
      <c r="H698" s="16">
        <f>H691</f>
        <v>146</v>
      </c>
      <c r="I698" s="20">
        <f t="shared" ref="I698:J698" si="248">I691</f>
        <v>122</v>
      </c>
      <c r="J698" s="20">
        <f t="shared" si="248"/>
        <v>102</v>
      </c>
      <c r="K698" s="15">
        <f>K691</f>
        <v>370</v>
      </c>
    </row>
    <row r="699" spans="1:12" x14ac:dyDescent="0.15">
      <c r="A699" s="3" t="s">
        <v>11</v>
      </c>
      <c r="B699" s="8">
        <v>5</v>
      </c>
      <c r="C699" s="7">
        <v>5</v>
      </c>
      <c r="D699" s="8"/>
      <c r="E699" s="4">
        <f t="shared" si="247"/>
        <v>10</v>
      </c>
      <c r="F699" s="39">
        <v>46080</v>
      </c>
      <c r="G699" s="3" t="s">
        <v>11</v>
      </c>
      <c r="H699" s="48"/>
      <c r="I699" s="49"/>
      <c r="J699" s="48"/>
      <c r="K699" s="4">
        <f t="shared" ref="K699:K708" si="249">SUM(H699:J699)</f>
        <v>0</v>
      </c>
    </row>
    <row r="700" spans="1:12" x14ac:dyDescent="0.15">
      <c r="A700" s="78" t="s">
        <v>11</v>
      </c>
      <c r="B700" s="74">
        <v>10</v>
      </c>
      <c r="C700" s="73">
        <v>10</v>
      </c>
      <c r="D700" s="74"/>
      <c r="E700" s="79">
        <f t="shared" si="247"/>
        <v>20</v>
      </c>
      <c r="F700" s="80">
        <v>46092</v>
      </c>
      <c r="G700" s="3" t="s">
        <v>11</v>
      </c>
      <c r="H700" s="48"/>
      <c r="I700" s="49"/>
      <c r="J700" s="48"/>
      <c r="K700" s="4">
        <f t="shared" si="249"/>
        <v>0</v>
      </c>
    </row>
    <row r="701" spans="1:12" x14ac:dyDescent="0.15">
      <c r="A701" s="3" t="s">
        <v>251</v>
      </c>
      <c r="B701" s="8">
        <v>4</v>
      </c>
      <c r="C701" s="7">
        <v>11</v>
      </c>
      <c r="D701" s="8">
        <v>5</v>
      </c>
      <c r="E701" s="4">
        <f t="shared" si="247"/>
        <v>20</v>
      </c>
      <c r="F701" s="40">
        <v>46091</v>
      </c>
      <c r="G701" s="3" t="s">
        <v>11</v>
      </c>
      <c r="H701" s="48"/>
      <c r="I701" s="49"/>
      <c r="J701" s="48"/>
      <c r="K701" s="4">
        <f t="shared" si="249"/>
        <v>0</v>
      </c>
    </row>
    <row r="702" spans="1:12" x14ac:dyDescent="0.15">
      <c r="A702" s="3" t="s">
        <v>251</v>
      </c>
      <c r="B702" s="8">
        <v>2</v>
      </c>
      <c r="C702" s="7">
        <v>3</v>
      </c>
      <c r="D702" s="8">
        <v>2</v>
      </c>
      <c r="E702" s="4">
        <f t="shared" si="247"/>
        <v>7</v>
      </c>
      <c r="F702" s="40">
        <v>46094</v>
      </c>
      <c r="G702" s="3" t="s">
        <v>11</v>
      </c>
      <c r="H702" s="48"/>
      <c r="I702" s="49"/>
      <c r="J702" s="48"/>
      <c r="K702" s="4">
        <f t="shared" ref="K702:K703" si="250">SUM(H702:J702)</f>
        <v>0</v>
      </c>
    </row>
    <row r="703" spans="1:12" x14ac:dyDescent="0.15">
      <c r="A703" s="3" t="s">
        <v>330</v>
      </c>
      <c r="B703" s="8">
        <v>1</v>
      </c>
      <c r="C703" s="7"/>
      <c r="D703" s="8">
        <v>1</v>
      </c>
      <c r="E703" s="4">
        <f t="shared" si="247"/>
        <v>2</v>
      </c>
      <c r="F703" s="40">
        <v>46094</v>
      </c>
      <c r="G703" s="3" t="s">
        <v>11</v>
      </c>
      <c r="H703" s="48"/>
      <c r="I703" s="49"/>
      <c r="J703" s="48"/>
      <c r="K703" s="4">
        <f t="shared" si="250"/>
        <v>0</v>
      </c>
    </row>
    <row r="704" spans="1:12" x14ac:dyDescent="0.15">
      <c r="A704" s="3" t="s">
        <v>357</v>
      </c>
      <c r="B704" s="6">
        <v>1</v>
      </c>
      <c r="C704" s="7"/>
      <c r="D704" s="8"/>
      <c r="E704" s="5">
        <f t="shared" ref="E704" si="251">SUM(B704:D704)</f>
        <v>1</v>
      </c>
      <c r="F704" s="39">
        <v>46106</v>
      </c>
      <c r="G704" s="3" t="s">
        <v>11</v>
      </c>
      <c r="H704" s="48"/>
      <c r="I704" s="49"/>
      <c r="J704" s="48"/>
      <c r="K704" s="4">
        <f t="shared" si="249"/>
        <v>0</v>
      </c>
    </row>
    <row r="705" spans="1:12" x14ac:dyDescent="0.15">
      <c r="A705" s="3" t="s">
        <v>363</v>
      </c>
      <c r="B705" s="8">
        <v>1</v>
      </c>
      <c r="C705" s="7"/>
      <c r="D705" s="8"/>
      <c r="E705" s="4">
        <f t="shared" si="247"/>
        <v>1</v>
      </c>
      <c r="F705" s="40">
        <v>46108</v>
      </c>
      <c r="G705" s="3" t="s">
        <v>11</v>
      </c>
      <c r="H705" s="48"/>
      <c r="I705" s="49"/>
      <c r="J705" s="48"/>
      <c r="K705" s="4">
        <f t="shared" si="249"/>
        <v>0</v>
      </c>
    </row>
    <row r="706" spans="1:12" x14ac:dyDescent="0.15">
      <c r="A706" s="3" t="s">
        <v>11</v>
      </c>
      <c r="B706" s="8"/>
      <c r="C706" s="7"/>
      <c r="D706" s="8"/>
      <c r="E706" s="4">
        <f t="shared" si="247"/>
        <v>0</v>
      </c>
      <c r="G706" s="3" t="s">
        <v>11</v>
      </c>
      <c r="H706" s="48"/>
      <c r="I706" s="49"/>
      <c r="J706" s="48"/>
      <c r="K706" s="4">
        <f t="shared" si="249"/>
        <v>0</v>
      </c>
    </row>
    <row r="707" spans="1:12" x14ac:dyDescent="0.15">
      <c r="A707" s="3" t="s">
        <v>11</v>
      </c>
      <c r="B707" s="8"/>
      <c r="C707" s="7"/>
      <c r="D707" s="8"/>
      <c r="E707" s="4">
        <f t="shared" si="247"/>
        <v>0</v>
      </c>
      <c r="G707" s="3" t="s">
        <v>11</v>
      </c>
      <c r="H707" s="48"/>
      <c r="I707" s="49"/>
      <c r="J707" s="48"/>
      <c r="K707" s="4">
        <f t="shared" si="249"/>
        <v>0</v>
      </c>
    </row>
    <row r="708" spans="1:12" ht="14.25" thickBot="1" x14ac:dyDescent="0.2">
      <c r="A708" s="3" t="s">
        <v>11</v>
      </c>
      <c r="B708" s="11"/>
      <c r="C708" s="10"/>
      <c r="D708" s="11"/>
      <c r="E708" s="18">
        <f t="shared" si="247"/>
        <v>0</v>
      </c>
      <c r="G708" s="3" t="s">
        <v>11</v>
      </c>
      <c r="H708" s="51"/>
      <c r="I708" s="52"/>
      <c r="J708" s="51"/>
      <c r="K708" s="18">
        <f t="shared" si="249"/>
        <v>0</v>
      </c>
    </row>
    <row r="709" spans="1:12" ht="14.25" thickBot="1" x14ac:dyDescent="0.2">
      <c r="A709" s="21" t="s">
        <v>3</v>
      </c>
      <c r="B709" s="22">
        <f>SUM(B698:B708)</f>
        <v>34</v>
      </c>
      <c r="C709" s="22">
        <f>SUM(C698:C708)</f>
        <v>48</v>
      </c>
      <c r="D709" s="23">
        <f>SUM(D698:D708)</f>
        <v>24</v>
      </c>
      <c r="E709" s="24">
        <f t="shared" si="247"/>
        <v>106</v>
      </c>
      <c r="G709" s="35" t="s">
        <v>3</v>
      </c>
      <c r="H709" s="22">
        <f>SUM(H698:H708)</f>
        <v>146</v>
      </c>
      <c r="I709" s="22">
        <f t="shared" ref="I709:K709" si="252">SUM(I698:I708)</f>
        <v>122</v>
      </c>
      <c r="J709" s="23">
        <f t="shared" si="252"/>
        <v>102</v>
      </c>
      <c r="K709" s="24">
        <f t="shared" si="252"/>
        <v>370</v>
      </c>
    </row>
    <row r="710" spans="1:12" x14ac:dyDescent="0.15">
      <c r="A710" s="3" t="s">
        <v>333</v>
      </c>
      <c r="B710" s="6"/>
      <c r="C710" s="7">
        <v>3</v>
      </c>
      <c r="D710" s="8">
        <v>1</v>
      </c>
      <c r="E710" s="5">
        <f t="shared" si="247"/>
        <v>4</v>
      </c>
      <c r="F710" s="39">
        <v>46069</v>
      </c>
      <c r="G710" s="3" t="s">
        <v>353</v>
      </c>
      <c r="H710" s="6">
        <v>5</v>
      </c>
      <c r="I710" s="7">
        <v>5</v>
      </c>
      <c r="J710" s="8"/>
      <c r="K710" s="5">
        <f t="shared" ref="K710:K724" si="253">SUM(H710:J710)</f>
        <v>10</v>
      </c>
      <c r="L710" s="66">
        <v>46080</v>
      </c>
    </row>
    <row r="711" spans="1:12" x14ac:dyDescent="0.15">
      <c r="A711" s="3" t="s">
        <v>333</v>
      </c>
      <c r="B711" s="6"/>
      <c r="C711" s="7">
        <v>1</v>
      </c>
      <c r="D711" s="8"/>
      <c r="E711" s="5">
        <f t="shared" si="247"/>
        <v>1</v>
      </c>
      <c r="F711" s="39">
        <v>46071</v>
      </c>
      <c r="G711" s="78" t="s">
        <v>337</v>
      </c>
      <c r="H711" s="72">
        <v>10</v>
      </c>
      <c r="I711" s="73">
        <v>10</v>
      </c>
      <c r="J711" s="74"/>
      <c r="K711" s="75">
        <f t="shared" si="253"/>
        <v>20</v>
      </c>
      <c r="L711" s="77">
        <v>46092</v>
      </c>
    </row>
    <row r="712" spans="1:12" x14ac:dyDescent="0.15">
      <c r="A712" s="3" t="s">
        <v>348</v>
      </c>
      <c r="B712" s="6"/>
      <c r="C712" s="7">
        <v>2</v>
      </c>
      <c r="D712" s="8"/>
      <c r="E712" s="5">
        <f t="shared" si="247"/>
        <v>2</v>
      </c>
      <c r="F712" s="39">
        <v>46072</v>
      </c>
      <c r="G712" s="3"/>
      <c r="H712" s="6"/>
      <c r="I712" s="7"/>
      <c r="J712" s="8"/>
      <c r="K712" s="5">
        <f t="shared" si="253"/>
        <v>0</v>
      </c>
    </row>
    <row r="713" spans="1:12" x14ac:dyDescent="0.15">
      <c r="A713" s="3" t="s">
        <v>333</v>
      </c>
      <c r="B713" s="6">
        <v>1</v>
      </c>
      <c r="C713" s="7">
        <v>1</v>
      </c>
      <c r="D713" s="8">
        <v>1</v>
      </c>
      <c r="E713" s="5">
        <f t="shared" si="247"/>
        <v>3</v>
      </c>
      <c r="F713" s="39">
        <v>46072</v>
      </c>
      <c r="G713" s="3"/>
      <c r="H713" s="6"/>
      <c r="I713" s="7"/>
      <c r="J713" s="8"/>
      <c r="K713" s="5">
        <f t="shared" si="253"/>
        <v>0</v>
      </c>
    </row>
    <row r="714" spans="1:12" x14ac:dyDescent="0.15">
      <c r="A714" s="3" t="s">
        <v>333</v>
      </c>
      <c r="B714" s="6">
        <v>1</v>
      </c>
      <c r="C714" s="7"/>
      <c r="D714" s="8">
        <v>1</v>
      </c>
      <c r="E714" s="5">
        <f t="shared" si="247"/>
        <v>2</v>
      </c>
      <c r="F714" s="39">
        <v>46073</v>
      </c>
      <c r="G714" s="3"/>
      <c r="H714" s="6"/>
      <c r="I714" s="7"/>
      <c r="J714" s="8"/>
      <c r="K714" s="5">
        <f t="shared" si="253"/>
        <v>0</v>
      </c>
    </row>
    <row r="715" spans="1:12" x14ac:dyDescent="0.15">
      <c r="A715" s="3" t="s">
        <v>333</v>
      </c>
      <c r="B715" s="6">
        <v>2</v>
      </c>
      <c r="C715" s="7"/>
      <c r="D715" s="8"/>
      <c r="E715" s="5">
        <f t="shared" si="247"/>
        <v>2</v>
      </c>
      <c r="F715" s="39">
        <v>46073</v>
      </c>
      <c r="G715" s="3"/>
      <c r="H715" s="6"/>
      <c r="I715" s="7"/>
      <c r="J715" s="8"/>
      <c r="K715" s="5">
        <f t="shared" si="253"/>
        <v>0</v>
      </c>
    </row>
    <row r="716" spans="1:12" x14ac:dyDescent="0.15">
      <c r="A716" s="3" t="s">
        <v>349</v>
      </c>
      <c r="B716" s="6"/>
      <c r="C716" s="7">
        <v>1</v>
      </c>
      <c r="D716" s="8">
        <v>-1</v>
      </c>
      <c r="E716" s="5">
        <f t="shared" si="247"/>
        <v>0</v>
      </c>
      <c r="F716" s="40">
        <v>46070</v>
      </c>
      <c r="G716" s="3"/>
      <c r="H716" s="6"/>
      <c r="I716" s="7"/>
      <c r="J716" s="8"/>
      <c r="K716" s="5">
        <f t="shared" si="253"/>
        <v>0</v>
      </c>
    </row>
    <row r="717" spans="1:12" x14ac:dyDescent="0.15">
      <c r="A717" s="3" t="s">
        <v>350</v>
      </c>
      <c r="B717" s="6"/>
      <c r="C717" s="7">
        <v>1</v>
      </c>
      <c r="D717" s="8"/>
      <c r="E717" s="5">
        <f t="shared" si="247"/>
        <v>1</v>
      </c>
      <c r="F717" s="39">
        <v>46079</v>
      </c>
      <c r="G717" s="3"/>
      <c r="H717" s="6"/>
      <c r="I717" s="7"/>
      <c r="J717" s="8"/>
      <c r="K717" s="5">
        <f t="shared" si="253"/>
        <v>0</v>
      </c>
    </row>
    <row r="718" spans="1:12" x14ac:dyDescent="0.15">
      <c r="A718" s="3" t="s">
        <v>352</v>
      </c>
      <c r="B718" s="6"/>
      <c r="C718" s="7">
        <v>2</v>
      </c>
      <c r="D718" s="8">
        <v>1</v>
      </c>
      <c r="E718" s="5">
        <f t="shared" si="247"/>
        <v>3</v>
      </c>
      <c r="F718" s="39">
        <v>46079</v>
      </c>
      <c r="G718" s="3"/>
      <c r="H718" s="6"/>
      <c r="I718" s="7"/>
      <c r="J718" s="8"/>
      <c r="K718" s="5">
        <f t="shared" si="253"/>
        <v>0</v>
      </c>
    </row>
    <row r="719" spans="1:12" x14ac:dyDescent="0.15">
      <c r="A719" s="3" t="s">
        <v>351</v>
      </c>
      <c r="B719" s="6"/>
      <c r="C719" s="7">
        <v>1</v>
      </c>
      <c r="D719" s="8"/>
      <c r="E719" s="5">
        <f t="shared" si="247"/>
        <v>1</v>
      </c>
      <c r="F719" s="39">
        <v>46086</v>
      </c>
      <c r="G719" s="3"/>
      <c r="H719" s="6"/>
      <c r="I719" s="7"/>
      <c r="J719" s="8"/>
      <c r="K719" s="5">
        <f t="shared" si="253"/>
        <v>0</v>
      </c>
    </row>
    <row r="720" spans="1:12" x14ac:dyDescent="0.15">
      <c r="A720" s="3" t="s">
        <v>297</v>
      </c>
      <c r="B720" s="6">
        <v>1</v>
      </c>
      <c r="C720" s="7"/>
      <c r="D720" s="8"/>
      <c r="E720" s="5">
        <f t="shared" si="247"/>
        <v>1</v>
      </c>
      <c r="F720" s="39">
        <v>46080</v>
      </c>
      <c r="G720" s="3"/>
      <c r="H720" s="6"/>
      <c r="I720" s="7"/>
      <c r="J720" s="8"/>
      <c r="K720" s="5">
        <f t="shared" si="253"/>
        <v>0</v>
      </c>
    </row>
    <row r="721" spans="1:12" x14ac:dyDescent="0.15">
      <c r="A721" s="3" t="s">
        <v>36</v>
      </c>
      <c r="B721" s="6"/>
      <c r="C721" s="7"/>
      <c r="D721" s="8">
        <v>1</v>
      </c>
      <c r="E721" s="5">
        <f t="shared" si="247"/>
        <v>1</v>
      </c>
      <c r="F721" s="39">
        <v>46079</v>
      </c>
      <c r="G721" s="3"/>
      <c r="H721" s="6"/>
      <c r="I721" s="7"/>
      <c r="J721" s="8"/>
      <c r="K721" s="5">
        <f t="shared" si="253"/>
        <v>0</v>
      </c>
    </row>
    <row r="722" spans="1:12" x14ac:dyDescent="0.15">
      <c r="A722" s="3" t="s">
        <v>354</v>
      </c>
      <c r="B722" s="6"/>
      <c r="C722" s="7">
        <v>1</v>
      </c>
      <c r="D722" s="8"/>
      <c r="E722" s="5">
        <f t="shared" si="247"/>
        <v>1</v>
      </c>
      <c r="F722" s="39">
        <v>46086</v>
      </c>
      <c r="G722" s="3"/>
      <c r="H722" s="6"/>
      <c r="I722" s="7"/>
      <c r="J722" s="8"/>
      <c r="K722" s="5">
        <f t="shared" si="253"/>
        <v>0</v>
      </c>
    </row>
    <row r="723" spans="1:12" x14ac:dyDescent="0.15">
      <c r="A723" s="3" t="s">
        <v>297</v>
      </c>
      <c r="B723" s="6"/>
      <c r="C723" s="7"/>
      <c r="D723" s="8">
        <v>1</v>
      </c>
      <c r="E723" s="5">
        <f t="shared" si="247"/>
        <v>1</v>
      </c>
      <c r="F723" s="39">
        <v>46087</v>
      </c>
      <c r="G723" s="3"/>
      <c r="H723" s="6"/>
      <c r="I723" s="7"/>
      <c r="J723" s="8"/>
      <c r="K723" s="5">
        <f t="shared" si="253"/>
        <v>0</v>
      </c>
    </row>
    <row r="724" spans="1:12" x14ac:dyDescent="0.15">
      <c r="A724" s="3" t="s">
        <v>297</v>
      </c>
      <c r="B724" s="6">
        <v>1</v>
      </c>
      <c r="C724" s="7">
        <v>6</v>
      </c>
      <c r="D724" s="8"/>
      <c r="E724" s="5">
        <f t="shared" si="247"/>
        <v>7</v>
      </c>
      <c r="F724" s="39">
        <v>46087</v>
      </c>
      <c r="G724" s="3"/>
      <c r="H724" s="6"/>
      <c r="I724" s="7"/>
      <c r="J724" s="8"/>
      <c r="K724" s="5">
        <f t="shared" si="253"/>
        <v>0</v>
      </c>
    </row>
    <row r="725" spans="1:12" x14ac:dyDescent="0.15">
      <c r="A725" s="3" t="s">
        <v>297</v>
      </c>
      <c r="B725" s="6">
        <v>1</v>
      </c>
      <c r="C725" s="7">
        <v>3</v>
      </c>
      <c r="D725" s="8"/>
      <c r="E725" s="5">
        <f t="shared" si="247"/>
        <v>4</v>
      </c>
      <c r="F725" s="39">
        <v>46090</v>
      </c>
      <c r="G725" s="3"/>
      <c r="H725" s="6"/>
      <c r="I725" s="7"/>
      <c r="J725" s="8"/>
      <c r="K725" s="5">
        <f t="shared" ref="K725:K731" si="254">SUM(H725:J725)</f>
        <v>0</v>
      </c>
    </row>
    <row r="726" spans="1:12" x14ac:dyDescent="0.15">
      <c r="A726" s="3" t="s">
        <v>297</v>
      </c>
      <c r="B726" s="6">
        <v>5</v>
      </c>
      <c r="C726" s="7">
        <v>1</v>
      </c>
      <c r="D726" s="8">
        <v>1</v>
      </c>
      <c r="E726" s="5">
        <f t="shared" si="247"/>
        <v>7</v>
      </c>
      <c r="F726" s="39">
        <v>46091</v>
      </c>
      <c r="G726" s="3"/>
      <c r="H726" s="6"/>
      <c r="I726" s="7"/>
      <c r="J726" s="8"/>
      <c r="K726" s="5">
        <f t="shared" si="254"/>
        <v>0</v>
      </c>
    </row>
    <row r="727" spans="1:12" x14ac:dyDescent="0.15">
      <c r="A727" s="3" t="s">
        <v>356</v>
      </c>
      <c r="B727" s="6">
        <v>1</v>
      </c>
      <c r="C727" s="7">
        <v>1</v>
      </c>
      <c r="D727" s="8"/>
      <c r="E727" s="5">
        <f t="shared" si="247"/>
        <v>2</v>
      </c>
      <c r="F727" s="39">
        <v>46094</v>
      </c>
      <c r="G727" s="3"/>
      <c r="H727" s="6"/>
      <c r="I727" s="7"/>
      <c r="J727" s="8"/>
      <c r="K727" s="5">
        <f t="shared" si="254"/>
        <v>0</v>
      </c>
    </row>
    <row r="728" spans="1:12" x14ac:dyDescent="0.15">
      <c r="A728" s="3" t="s">
        <v>297</v>
      </c>
      <c r="B728" s="6"/>
      <c r="C728" s="7"/>
      <c r="D728" s="8">
        <v>2</v>
      </c>
      <c r="E728" s="5">
        <f t="shared" si="247"/>
        <v>2</v>
      </c>
      <c r="F728" s="39">
        <v>46093</v>
      </c>
      <c r="G728" s="3"/>
      <c r="H728" s="6"/>
      <c r="I728" s="7"/>
      <c r="J728" s="8"/>
      <c r="K728" s="5">
        <f t="shared" si="254"/>
        <v>0</v>
      </c>
    </row>
    <row r="729" spans="1:12" x14ac:dyDescent="0.15">
      <c r="A729" s="3" t="s">
        <v>297</v>
      </c>
      <c r="B729" s="6"/>
      <c r="C729" s="7"/>
      <c r="D729" s="8">
        <v>1</v>
      </c>
      <c r="E729" s="5">
        <f t="shared" si="247"/>
        <v>1</v>
      </c>
      <c r="F729" s="39">
        <v>46094</v>
      </c>
      <c r="G729" s="3"/>
      <c r="H729" s="6"/>
      <c r="I729" s="7"/>
      <c r="J729" s="8"/>
      <c r="K729" s="5">
        <f t="shared" si="254"/>
        <v>0</v>
      </c>
    </row>
    <row r="730" spans="1:12" x14ac:dyDescent="0.15">
      <c r="A730" s="3" t="s">
        <v>297</v>
      </c>
      <c r="B730" s="6">
        <v>1</v>
      </c>
      <c r="C730" s="7"/>
      <c r="D730" s="8"/>
      <c r="E730" s="5">
        <f t="shared" si="247"/>
        <v>1</v>
      </c>
      <c r="F730" s="39">
        <v>46094</v>
      </c>
      <c r="G730" s="3"/>
      <c r="H730" s="6"/>
      <c r="I730" s="7"/>
      <c r="J730" s="8"/>
      <c r="K730" s="5">
        <f t="shared" si="254"/>
        <v>0</v>
      </c>
      <c r="L730" s="67"/>
    </row>
    <row r="731" spans="1:12" x14ac:dyDescent="0.15">
      <c r="A731" s="3" t="s">
        <v>297</v>
      </c>
      <c r="B731" s="6"/>
      <c r="C731" s="7"/>
      <c r="D731" s="8">
        <v>1</v>
      </c>
      <c r="E731" s="5">
        <f t="shared" si="247"/>
        <v>1</v>
      </c>
      <c r="F731" s="39">
        <v>46099</v>
      </c>
      <c r="G731" s="34" t="s">
        <v>226</v>
      </c>
      <c r="H731" s="6"/>
      <c r="I731" s="7"/>
      <c r="J731" s="8"/>
      <c r="K731" s="5">
        <f t="shared" si="254"/>
        <v>0</v>
      </c>
      <c r="L731" s="67" t="s">
        <v>228</v>
      </c>
    </row>
    <row r="732" spans="1:12" x14ac:dyDescent="0.15">
      <c r="A732" s="3" t="s">
        <v>297</v>
      </c>
      <c r="B732" s="6">
        <v>1</v>
      </c>
      <c r="C732" s="7"/>
      <c r="D732" s="8"/>
      <c r="E732" s="5">
        <f t="shared" si="247"/>
        <v>1</v>
      </c>
      <c r="F732" s="39">
        <v>46106</v>
      </c>
      <c r="G732" s="42" t="s">
        <v>324</v>
      </c>
      <c r="H732" s="44"/>
      <c r="I732" s="45"/>
      <c r="J732" s="46"/>
      <c r="K732" s="47">
        <f t="shared" ref="K732:K733" si="255">SUM(H732:J732)</f>
        <v>0</v>
      </c>
      <c r="L732" s="67"/>
    </row>
    <row r="733" spans="1:12" ht="14.25" thickBot="1" x14ac:dyDescent="0.2">
      <c r="A733" s="3" t="s">
        <v>297</v>
      </c>
      <c r="B733" s="6">
        <v>1</v>
      </c>
      <c r="C733" s="7">
        <v>1</v>
      </c>
      <c r="D733" s="8"/>
      <c r="E733" s="5">
        <f t="shared" si="247"/>
        <v>2</v>
      </c>
      <c r="F733" s="39">
        <v>46107</v>
      </c>
      <c r="G733" s="3" t="s">
        <v>322</v>
      </c>
      <c r="H733" s="6"/>
      <c r="I733" s="7"/>
      <c r="J733" s="8"/>
      <c r="K733" s="5">
        <f t="shared" si="255"/>
        <v>0</v>
      </c>
      <c r="L733" s="66" t="s">
        <v>325</v>
      </c>
    </row>
    <row r="734" spans="1:12" ht="14.25" thickBot="1" x14ac:dyDescent="0.2">
      <c r="A734" s="2" t="s">
        <v>4</v>
      </c>
      <c r="B734" s="12">
        <f>SUM(B710:B733)</f>
        <v>16</v>
      </c>
      <c r="C734" s="12">
        <f>SUM(C710:C733)</f>
        <v>25</v>
      </c>
      <c r="D734" s="12">
        <f>SUM(D710:D733)</f>
        <v>10</v>
      </c>
      <c r="E734" s="13">
        <f t="shared" si="247"/>
        <v>51</v>
      </c>
      <c r="G734" s="36" t="s">
        <v>4</v>
      </c>
      <c r="H734" s="12">
        <f>SUM(H710:H733)</f>
        <v>15</v>
      </c>
      <c r="I734" s="12">
        <f>SUM(I710:I733)</f>
        <v>15</v>
      </c>
      <c r="J734" s="12">
        <f>SUM(J710:J733)</f>
        <v>0</v>
      </c>
      <c r="K734" s="13">
        <f>SUM(K710:K733)</f>
        <v>30</v>
      </c>
    </row>
    <row r="735" spans="1:12" ht="14.25" thickBot="1" x14ac:dyDescent="0.2">
      <c r="A735" s="25" t="s">
        <v>5</v>
      </c>
      <c r="B735" s="26">
        <f>B709-B734</f>
        <v>18</v>
      </c>
      <c r="C735" s="26">
        <f>C709-C734</f>
        <v>23</v>
      </c>
      <c r="D735" s="26">
        <f>D709-D734</f>
        <v>14</v>
      </c>
      <c r="E735" s="24">
        <f>E709-E734</f>
        <v>55</v>
      </c>
      <c r="G735" s="37" t="s">
        <v>5</v>
      </c>
      <c r="H735" s="26">
        <f>H709-H734</f>
        <v>131</v>
      </c>
      <c r="I735" s="26">
        <f t="shared" ref="I735:K735" si="256">I709-I734</f>
        <v>107</v>
      </c>
      <c r="J735" s="26">
        <f t="shared" si="256"/>
        <v>102</v>
      </c>
      <c r="K735" s="24">
        <f t="shared" si="256"/>
        <v>340</v>
      </c>
      <c r="L735" s="89" t="s">
        <v>355</v>
      </c>
    </row>
    <row r="738" spans="1:11" ht="13.5" customHeight="1" x14ac:dyDescent="0.1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</row>
    <row r="739" spans="1:11" ht="14.25" customHeight="1" thickBot="1" x14ac:dyDescent="0.25">
      <c r="A739" s="30" t="s">
        <v>23</v>
      </c>
      <c r="B739" s="28"/>
      <c r="C739" s="28"/>
      <c r="D739" s="28"/>
      <c r="E739" s="28"/>
      <c r="F739" s="90"/>
      <c r="G739" s="31" t="s">
        <v>340</v>
      </c>
      <c r="H739" s="29"/>
      <c r="I739" s="29"/>
      <c r="J739" s="29"/>
      <c r="K739" s="29"/>
    </row>
    <row r="740" spans="1:11" ht="14.25" thickBot="1" x14ac:dyDescent="0.2">
      <c r="A740" s="1" t="s">
        <v>0</v>
      </c>
      <c r="B740" s="91" t="s">
        <v>10</v>
      </c>
      <c r="C740" s="91"/>
      <c r="D740" s="91"/>
      <c r="E740" s="92"/>
      <c r="G740" s="1" t="s">
        <v>0</v>
      </c>
      <c r="H740" s="91" t="s">
        <v>274</v>
      </c>
      <c r="I740" s="91"/>
      <c r="J740" s="91"/>
      <c r="K740" s="92"/>
    </row>
    <row r="741" spans="1:11" ht="14.25" thickBot="1" x14ac:dyDescent="0.2">
      <c r="A741" s="1" t="s">
        <v>1</v>
      </c>
      <c r="B741" s="2" t="s">
        <v>6</v>
      </c>
      <c r="C741" s="1" t="s">
        <v>7</v>
      </c>
      <c r="D741" s="17" t="s">
        <v>8</v>
      </c>
      <c r="E741" s="1" t="s">
        <v>2</v>
      </c>
      <c r="G741" s="33" t="s">
        <v>1</v>
      </c>
      <c r="H741" s="2" t="s">
        <v>6</v>
      </c>
      <c r="I741" s="1" t="s">
        <v>7</v>
      </c>
      <c r="J741" s="17" t="s">
        <v>8</v>
      </c>
      <c r="K741" s="1" t="s">
        <v>2</v>
      </c>
    </row>
    <row r="742" spans="1:11" x14ac:dyDescent="0.15">
      <c r="A742" s="19" t="s">
        <v>5</v>
      </c>
      <c r="B742" s="16">
        <f>B735</f>
        <v>18</v>
      </c>
      <c r="C742" s="20">
        <f>C735</f>
        <v>23</v>
      </c>
      <c r="D742" s="20">
        <f>D735</f>
        <v>14</v>
      </c>
      <c r="E742" s="15">
        <f t="shared" ref="E742:E778" si="257">SUM(B742:D742)</f>
        <v>55</v>
      </c>
      <c r="G742" s="38" t="s">
        <v>5</v>
      </c>
      <c r="H742" s="16">
        <f>H735</f>
        <v>131</v>
      </c>
      <c r="I742" s="20">
        <f t="shared" ref="I742:J742" si="258">I735</f>
        <v>107</v>
      </c>
      <c r="J742" s="20">
        <f t="shared" si="258"/>
        <v>102</v>
      </c>
      <c r="K742" s="15">
        <f>K735</f>
        <v>340</v>
      </c>
    </row>
    <row r="743" spans="1:11" x14ac:dyDescent="0.15">
      <c r="A743" s="3" t="s">
        <v>173</v>
      </c>
      <c r="B743" s="8"/>
      <c r="C743" s="7"/>
      <c r="D743" s="8">
        <v>4</v>
      </c>
      <c r="E743" s="4">
        <f t="shared" ref="E743:E744" si="259">SUM(B743:D743)</f>
        <v>4</v>
      </c>
      <c r="F743" s="40">
        <v>46160</v>
      </c>
      <c r="G743" s="3" t="s">
        <v>11</v>
      </c>
      <c r="H743" s="48"/>
      <c r="I743" s="49"/>
      <c r="J743" s="48"/>
      <c r="K743" s="4">
        <f t="shared" ref="K743:K752" si="260">SUM(H743:J743)</f>
        <v>0</v>
      </c>
    </row>
    <row r="744" spans="1:11" x14ac:dyDescent="0.15">
      <c r="A744" s="3" t="s">
        <v>11</v>
      </c>
      <c r="B744" s="8"/>
      <c r="C744" s="7"/>
      <c r="D744" s="8"/>
      <c r="E744" s="4">
        <f t="shared" si="259"/>
        <v>0</v>
      </c>
      <c r="G744" s="3" t="s">
        <v>11</v>
      </c>
      <c r="H744" s="48"/>
      <c r="I744" s="49"/>
      <c r="J744" s="48"/>
      <c r="K744" s="4">
        <f t="shared" si="260"/>
        <v>0</v>
      </c>
    </row>
    <row r="745" spans="1:11" x14ac:dyDescent="0.15">
      <c r="A745" s="3" t="s">
        <v>11</v>
      </c>
      <c r="B745" s="8"/>
      <c r="C745" s="7"/>
      <c r="D745" s="8"/>
      <c r="E745" s="4">
        <f t="shared" si="257"/>
        <v>0</v>
      </c>
      <c r="G745" s="3" t="s">
        <v>11</v>
      </c>
      <c r="H745" s="48"/>
      <c r="I745" s="49"/>
      <c r="J745" s="48"/>
      <c r="K745" s="4">
        <f t="shared" ref="K745:K747" si="261">SUM(H745:J745)</f>
        <v>0</v>
      </c>
    </row>
    <row r="746" spans="1:11" x14ac:dyDescent="0.15">
      <c r="A746" s="3" t="s">
        <v>11</v>
      </c>
      <c r="B746" s="8"/>
      <c r="C746" s="7"/>
      <c r="D746" s="8"/>
      <c r="E746" s="4">
        <f t="shared" si="257"/>
        <v>0</v>
      </c>
      <c r="G746" s="3" t="s">
        <v>11</v>
      </c>
      <c r="H746" s="48"/>
      <c r="I746" s="49"/>
      <c r="J746" s="48"/>
      <c r="K746" s="4">
        <f t="shared" si="261"/>
        <v>0</v>
      </c>
    </row>
    <row r="747" spans="1:11" x14ac:dyDescent="0.15">
      <c r="A747" s="3" t="s">
        <v>11</v>
      </c>
      <c r="B747" s="8"/>
      <c r="C747" s="7"/>
      <c r="D747" s="8"/>
      <c r="E747" s="4">
        <f t="shared" si="257"/>
        <v>0</v>
      </c>
      <c r="G747" s="3" t="s">
        <v>11</v>
      </c>
      <c r="H747" s="48"/>
      <c r="I747" s="49"/>
      <c r="J747" s="48"/>
      <c r="K747" s="4">
        <f t="shared" si="261"/>
        <v>0</v>
      </c>
    </row>
    <row r="748" spans="1:11" x14ac:dyDescent="0.15">
      <c r="A748" s="3" t="s">
        <v>11</v>
      </c>
      <c r="B748" s="8"/>
      <c r="C748" s="7"/>
      <c r="D748" s="8"/>
      <c r="E748" s="4">
        <f t="shared" si="257"/>
        <v>0</v>
      </c>
      <c r="G748" s="3" t="s">
        <v>11</v>
      </c>
      <c r="H748" s="48"/>
      <c r="I748" s="49"/>
      <c r="J748" s="48"/>
      <c r="K748" s="4">
        <f t="shared" si="260"/>
        <v>0</v>
      </c>
    </row>
    <row r="749" spans="1:11" x14ac:dyDescent="0.15">
      <c r="A749" s="3" t="s">
        <v>11</v>
      </c>
      <c r="B749" s="8"/>
      <c r="C749" s="7"/>
      <c r="D749" s="8"/>
      <c r="E749" s="4">
        <f t="shared" si="257"/>
        <v>0</v>
      </c>
      <c r="G749" s="3" t="s">
        <v>11</v>
      </c>
      <c r="H749" s="48"/>
      <c r="I749" s="49"/>
      <c r="J749" s="48"/>
      <c r="K749" s="4">
        <f t="shared" si="260"/>
        <v>0</v>
      </c>
    </row>
    <row r="750" spans="1:11" x14ac:dyDescent="0.15">
      <c r="A750" s="3" t="s">
        <v>11</v>
      </c>
      <c r="B750" s="8"/>
      <c r="C750" s="7"/>
      <c r="D750" s="8"/>
      <c r="E750" s="4">
        <f t="shared" si="257"/>
        <v>0</v>
      </c>
      <c r="G750" s="3" t="s">
        <v>11</v>
      </c>
      <c r="H750" s="48"/>
      <c r="I750" s="49"/>
      <c r="J750" s="48"/>
      <c r="K750" s="4">
        <f t="shared" si="260"/>
        <v>0</v>
      </c>
    </row>
    <row r="751" spans="1:11" x14ac:dyDescent="0.15">
      <c r="A751" s="3" t="s">
        <v>11</v>
      </c>
      <c r="B751" s="8"/>
      <c r="C751" s="7"/>
      <c r="D751" s="8"/>
      <c r="E751" s="4">
        <f t="shared" si="257"/>
        <v>0</v>
      </c>
      <c r="G751" s="3" t="s">
        <v>11</v>
      </c>
      <c r="H751" s="48"/>
      <c r="I751" s="49"/>
      <c r="J751" s="48"/>
      <c r="K751" s="4">
        <f t="shared" si="260"/>
        <v>0</v>
      </c>
    </row>
    <row r="752" spans="1:11" ht="14.25" thickBot="1" x14ac:dyDescent="0.2">
      <c r="A752" s="3" t="s">
        <v>11</v>
      </c>
      <c r="B752" s="11"/>
      <c r="C752" s="10"/>
      <c r="D752" s="11"/>
      <c r="E752" s="18">
        <f t="shared" si="257"/>
        <v>0</v>
      </c>
      <c r="G752" s="3" t="s">
        <v>11</v>
      </c>
      <c r="H752" s="51"/>
      <c r="I752" s="52"/>
      <c r="J752" s="51"/>
      <c r="K752" s="18">
        <f t="shared" si="260"/>
        <v>0</v>
      </c>
    </row>
    <row r="753" spans="1:11" ht="14.25" thickBot="1" x14ac:dyDescent="0.2">
      <c r="A753" s="21" t="s">
        <v>3</v>
      </c>
      <c r="B753" s="22">
        <f>SUM(B742:B752)</f>
        <v>18</v>
      </c>
      <c r="C753" s="22">
        <f>SUM(C742:C752)</f>
        <v>23</v>
      </c>
      <c r="D753" s="23">
        <f>SUM(D742:D752)</f>
        <v>18</v>
      </c>
      <c r="E753" s="24">
        <f t="shared" si="257"/>
        <v>59</v>
      </c>
      <c r="G753" s="35" t="s">
        <v>3</v>
      </c>
      <c r="H753" s="22">
        <f>SUM(H742:H752)</f>
        <v>131</v>
      </c>
      <c r="I753" s="22">
        <f t="shared" ref="I753:K753" si="262">SUM(I742:I752)</f>
        <v>107</v>
      </c>
      <c r="J753" s="23">
        <f t="shared" si="262"/>
        <v>102</v>
      </c>
      <c r="K753" s="24">
        <f t="shared" si="262"/>
        <v>340</v>
      </c>
    </row>
    <row r="754" spans="1:11" x14ac:dyDescent="0.15">
      <c r="A754" s="3" t="s">
        <v>297</v>
      </c>
      <c r="B754" s="6">
        <v>1</v>
      </c>
      <c r="C754" s="7"/>
      <c r="D754" s="8"/>
      <c r="E754" s="5">
        <f t="shared" ref="E754:E774" si="263">SUM(B754:D754)</f>
        <v>1</v>
      </c>
      <c r="F754" s="39">
        <v>46115</v>
      </c>
      <c r="G754" s="3"/>
      <c r="H754" s="6"/>
      <c r="I754" s="7"/>
      <c r="J754" s="8"/>
      <c r="K754" s="5">
        <f t="shared" ref="K754:K755" si="264">SUM(H754:J754)</f>
        <v>0</v>
      </c>
    </row>
    <row r="755" spans="1:11" x14ac:dyDescent="0.15">
      <c r="A755" s="3" t="s">
        <v>365</v>
      </c>
      <c r="B755" s="6">
        <v>2</v>
      </c>
      <c r="C755" s="7"/>
      <c r="D755" s="8"/>
      <c r="E755" s="5">
        <f t="shared" si="263"/>
        <v>2</v>
      </c>
      <c r="F755" s="39">
        <v>46120</v>
      </c>
      <c r="G755" s="3"/>
      <c r="H755" s="6"/>
      <c r="I755" s="7"/>
      <c r="J755" s="8"/>
      <c r="K755" s="5">
        <f t="shared" si="264"/>
        <v>0</v>
      </c>
    </row>
    <row r="756" spans="1:11" x14ac:dyDescent="0.15">
      <c r="A756" s="3" t="s">
        <v>297</v>
      </c>
      <c r="B756" s="6">
        <v>1</v>
      </c>
      <c r="C756" s="7"/>
      <c r="D756" s="8"/>
      <c r="E756" s="5">
        <f t="shared" si="263"/>
        <v>1</v>
      </c>
      <c r="F756" s="39">
        <v>46120</v>
      </c>
      <c r="G756" s="3"/>
      <c r="H756" s="6"/>
      <c r="I756" s="7"/>
      <c r="J756" s="8"/>
      <c r="K756" s="5">
        <f t="shared" ref="K756:K774" si="265">SUM(H756:J756)</f>
        <v>0</v>
      </c>
    </row>
    <row r="757" spans="1:11" x14ac:dyDescent="0.15">
      <c r="A757" s="3" t="s">
        <v>36</v>
      </c>
      <c r="B757" s="6"/>
      <c r="C757" s="7"/>
      <c r="D757" s="8">
        <v>1</v>
      </c>
      <c r="E757" s="5">
        <f t="shared" si="263"/>
        <v>1</v>
      </c>
      <c r="F757" s="40">
        <v>46140</v>
      </c>
      <c r="G757" s="3"/>
      <c r="H757" s="6"/>
      <c r="I757" s="7"/>
      <c r="J757" s="8"/>
      <c r="K757" s="5">
        <f t="shared" si="265"/>
        <v>0</v>
      </c>
    </row>
    <row r="758" spans="1:11" x14ac:dyDescent="0.15">
      <c r="A758" s="3"/>
      <c r="B758" s="6"/>
      <c r="C758" s="7"/>
      <c r="D758" s="8"/>
      <c r="E758" s="5">
        <f t="shared" si="263"/>
        <v>0</v>
      </c>
      <c r="G758" s="3"/>
      <c r="H758" s="6"/>
      <c r="I758" s="7"/>
      <c r="J758" s="8"/>
      <c r="K758" s="5">
        <f t="shared" si="265"/>
        <v>0</v>
      </c>
    </row>
    <row r="759" spans="1:11" x14ac:dyDescent="0.15">
      <c r="A759" s="3"/>
      <c r="B759" s="6"/>
      <c r="C759" s="7"/>
      <c r="D759" s="8"/>
      <c r="E759" s="5">
        <f t="shared" si="263"/>
        <v>0</v>
      </c>
      <c r="G759" s="3"/>
      <c r="H759" s="6"/>
      <c r="I759" s="7"/>
      <c r="J759" s="8"/>
      <c r="K759" s="5">
        <f t="shared" si="265"/>
        <v>0</v>
      </c>
    </row>
    <row r="760" spans="1:11" x14ac:dyDescent="0.15">
      <c r="A760" s="3"/>
      <c r="B760" s="6"/>
      <c r="C760" s="7"/>
      <c r="D760" s="8"/>
      <c r="E760" s="5">
        <f t="shared" si="263"/>
        <v>0</v>
      </c>
      <c r="G760" s="3"/>
      <c r="H760" s="6"/>
      <c r="I760" s="7"/>
      <c r="J760" s="8"/>
      <c r="K760" s="5">
        <f t="shared" si="265"/>
        <v>0</v>
      </c>
    </row>
    <row r="761" spans="1:11" x14ac:dyDescent="0.15">
      <c r="A761" s="3"/>
      <c r="B761" s="6"/>
      <c r="C761" s="7"/>
      <c r="D761" s="8"/>
      <c r="E761" s="5">
        <f t="shared" si="263"/>
        <v>0</v>
      </c>
      <c r="G761" s="3"/>
      <c r="H761" s="6"/>
      <c r="I761" s="7"/>
      <c r="J761" s="8"/>
      <c r="K761" s="5">
        <f t="shared" si="265"/>
        <v>0</v>
      </c>
    </row>
    <row r="762" spans="1:11" x14ac:dyDescent="0.15">
      <c r="A762" s="3"/>
      <c r="B762" s="6"/>
      <c r="C762" s="7"/>
      <c r="D762" s="8"/>
      <c r="E762" s="5">
        <f t="shared" si="263"/>
        <v>0</v>
      </c>
      <c r="G762" s="3"/>
      <c r="H762" s="6"/>
      <c r="I762" s="7"/>
      <c r="J762" s="8"/>
      <c r="K762" s="5">
        <f t="shared" si="265"/>
        <v>0</v>
      </c>
    </row>
    <row r="763" spans="1:11" x14ac:dyDescent="0.15">
      <c r="A763" s="3"/>
      <c r="B763" s="6"/>
      <c r="C763" s="7"/>
      <c r="D763" s="8"/>
      <c r="E763" s="5">
        <f t="shared" si="263"/>
        <v>0</v>
      </c>
      <c r="G763" s="3"/>
      <c r="H763" s="6"/>
      <c r="I763" s="7"/>
      <c r="J763" s="8"/>
      <c r="K763" s="5">
        <f t="shared" si="265"/>
        <v>0</v>
      </c>
    </row>
    <row r="764" spans="1:11" x14ac:dyDescent="0.15">
      <c r="A764" s="3"/>
      <c r="B764" s="6"/>
      <c r="C764" s="7"/>
      <c r="D764" s="8"/>
      <c r="E764" s="5">
        <f t="shared" si="263"/>
        <v>0</v>
      </c>
      <c r="G764" s="3"/>
      <c r="H764" s="6"/>
      <c r="I764" s="7"/>
      <c r="J764" s="8"/>
      <c r="K764" s="5">
        <f t="shared" si="265"/>
        <v>0</v>
      </c>
    </row>
    <row r="765" spans="1:11" x14ac:dyDescent="0.15">
      <c r="A765" s="3"/>
      <c r="B765" s="6"/>
      <c r="C765" s="7"/>
      <c r="D765" s="8"/>
      <c r="E765" s="5">
        <f t="shared" si="263"/>
        <v>0</v>
      </c>
      <c r="G765" s="3"/>
      <c r="H765" s="6"/>
      <c r="I765" s="7"/>
      <c r="J765" s="8"/>
      <c r="K765" s="5">
        <f t="shared" si="265"/>
        <v>0</v>
      </c>
    </row>
    <row r="766" spans="1:11" x14ac:dyDescent="0.15">
      <c r="A766" s="3"/>
      <c r="B766" s="6"/>
      <c r="C766" s="7"/>
      <c r="D766" s="8"/>
      <c r="E766" s="5">
        <f t="shared" si="263"/>
        <v>0</v>
      </c>
      <c r="G766" s="3"/>
      <c r="H766" s="6"/>
      <c r="I766" s="7"/>
      <c r="J766" s="8"/>
      <c r="K766" s="5">
        <f t="shared" si="265"/>
        <v>0</v>
      </c>
    </row>
    <row r="767" spans="1:11" x14ac:dyDescent="0.15">
      <c r="A767" s="3"/>
      <c r="B767" s="6"/>
      <c r="C767" s="7"/>
      <c r="D767" s="8"/>
      <c r="E767" s="5">
        <f t="shared" si="263"/>
        <v>0</v>
      </c>
      <c r="G767" s="3"/>
      <c r="H767" s="6"/>
      <c r="I767" s="7"/>
      <c r="J767" s="8"/>
      <c r="K767" s="5">
        <f t="shared" si="265"/>
        <v>0</v>
      </c>
    </row>
    <row r="768" spans="1:11" x14ac:dyDescent="0.15">
      <c r="A768" s="3"/>
      <c r="B768" s="6"/>
      <c r="C768" s="7"/>
      <c r="D768" s="8"/>
      <c r="E768" s="5">
        <f t="shared" si="263"/>
        <v>0</v>
      </c>
      <c r="G768" s="3"/>
      <c r="H768" s="6"/>
      <c r="I768" s="7"/>
      <c r="J768" s="8"/>
      <c r="K768" s="5">
        <f t="shared" si="265"/>
        <v>0</v>
      </c>
    </row>
    <row r="769" spans="1:11" x14ac:dyDescent="0.15">
      <c r="A769" s="3"/>
      <c r="B769" s="6"/>
      <c r="C769" s="7"/>
      <c r="D769" s="8"/>
      <c r="E769" s="5">
        <f t="shared" si="263"/>
        <v>0</v>
      </c>
      <c r="G769" s="3"/>
      <c r="H769" s="6"/>
      <c r="I769" s="7"/>
      <c r="J769" s="8"/>
      <c r="K769" s="5">
        <f t="shared" si="265"/>
        <v>0</v>
      </c>
    </row>
    <row r="770" spans="1:11" x14ac:dyDescent="0.15">
      <c r="A770" s="3"/>
      <c r="B770" s="6"/>
      <c r="C770" s="7"/>
      <c r="D770" s="8"/>
      <c r="E770" s="5">
        <f t="shared" si="263"/>
        <v>0</v>
      </c>
      <c r="G770" s="3"/>
      <c r="H770" s="6"/>
      <c r="I770" s="7"/>
      <c r="J770" s="8"/>
      <c r="K770" s="5">
        <f t="shared" si="265"/>
        <v>0</v>
      </c>
    </row>
    <row r="771" spans="1:11" x14ac:dyDescent="0.15">
      <c r="A771" s="3"/>
      <c r="B771" s="6"/>
      <c r="C771" s="7"/>
      <c r="D771" s="8"/>
      <c r="E771" s="5">
        <f t="shared" si="263"/>
        <v>0</v>
      </c>
      <c r="G771" s="3"/>
      <c r="H771" s="6"/>
      <c r="I771" s="7"/>
      <c r="J771" s="8"/>
      <c r="K771" s="5">
        <f t="shared" si="265"/>
        <v>0</v>
      </c>
    </row>
    <row r="772" spans="1:11" x14ac:dyDescent="0.15">
      <c r="A772" s="3"/>
      <c r="B772" s="6"/>
      <c r="C772" s="7"/>
      <c r="D772" s="8"/>
      <c r="E772" s="5">
        <f t="shared" si="263"/>
        <v>0</v>
      </c>
      <c r="G772" s="3"/>
      <c r="H772" s="6"/>
      <c r="I772" s="7"/>
      <c r="J772" s="8"/>
      <c r="K772" s="5">
        <f t="shared" si="265"/>
        <v>0</v>
      </c>
    </row>
    <row r="773" spans="1:11" x14ac:dyDescent="0.15">
      <c r="A773" s="3"/>
      <c r="B773" s="6"/>
      <c r="C773" s="7"/>
      <c r="D773" s="8"/>
      <c r="E773" s="5">
        <f t="shared" si="263"/>
        <v>0</v>
      </c>
      <c r="G773" s="3"/>
      <c r="H773" s="6"/>
      <c r="I773" s="7"/>
      <c r="J773" s="8"/>
      <c r="K773" s="5">
        <f t="shared" si="265"/>
        <v>0</v>
      </c>
    </row>
    <row r="774" spans="1:11" x14ac:dyDescent="0.15">
      <c r="A774" s="3"/>
      <c r="B774" s="6"/>
      <c r="C774" s="7"/>
      <c r="D774" s="8"/>
      <c r="E774" s="5">
        <f t="shared" si="263"/>
        <v>0</v>
      </c>
      <c r="G774" s="3"/>
      <c r="H774" s="6"/>
      <c r="I774" s="7"/>
      <c r="J774" s="8"/>
      <c r="K774" s="5">
        <f t="shared" si="265"/>
        <v>0</v>
      </c>
    </row>
    <row r="775" spans="1:11" x14ac:dyDescent="0.15">
      <c r="A775" s="3"/>
      <c r="B775" s="6"/>
      <c r="C775" s="7"/>
      <c r="D775" s="8"/>
      <c r="E775" s="5">
        <f t="shared" si="257"/>
        <v>0</v>
      </c>
      <c r="G775" s="3"/>
      <c r="H775" s="6"/>
      <c r="I775" s="7"/>
      <c r="J775" s="8"/>
      <c r="K775" s="5">
        <f t="shared" ref="K775:K777" si="266">SUM(H775:J775)</f>
        <v>0</v>
      </c>
    </row>
    <row r="776" spans="1:11" x14ac:dyDescent="0.15">
      <c r="A776" s="3"/>
      <c r="B776" s="6"/>
      <c r="C776" s="7"/>
      <c r="D776" s="8"/>
      <c r="E776" s="5">
        <f t="shared" si="257"/>
        <v>0</v>
      </c>
      <c r="G776" s="3"/>
      <c r="H776" s="6"/>
      <c r="I776" s="7"/>
      <c r="J776" s="8"/>
      <c r="K776" s="5">
        <f t="shared" si="266"/>
        <v>0</v>
      </c>
    </row>
    <row r="777" spans="1:11" ht="14.25" thickBot="1" x14ac:dyDescent="0.2">
      <c r="A777" s="3"/>
      <c r="B777" s="6"/>
      <c r="C777" s="7"/>
      <c r="D777" s="8"/>
      <c r="E777" s="5">
        <f t="shared" si="257"/>
        <v>0</v>
      </c>
      <c r="G777" s="3"/>
      <c r="H777" s="6"/>
      <c r="I777" s="7"/>
      <c r="J777" s="8"/>
      <c r="K777" s="5">
        <f t="shared" si="266"/>
        <v>0</v>
      </c>
    </row>
    <row r="778" spans="1:11" ht="14.25" thickBot="1" x14ac:dyDescent="0.2">
      <c r="A778" s="2" t="s">
        <v>4</v>
      </c>
      <c r="B778" s="12">
        <f>SUM(B754:B777)</f>
        <v>4</v>
      </c>
      <c r="C778" s="12">
        <f>SUM(C754:C777)</f>
        <v>0</v>
      </c>
      <c r="D778" s="12">
        <f>SUM(D754:D777)</f>
        <v>1</v>
      </c>
      <c r="E778" s="13">
        <f t="shared" si="257"/>
        <v>5</v>
      </c>
      <c r="G778" s="36" t="s">
        <v>4</v>
      </c>
      <c r="H778" s="12">
        <f>SUM(H754:H777)</f>
        <v>0</v>
      </c>
      <c r="I778" s="12">
        <f>SUM(I754:I777)</f>
        <v>0</v>
      </c>
      <c r="J778" s="12">
        <f>SUM(J754:J777)</f>
        <v>0</v>
      </c>
      <c r="K778" s="13">
        <f>SUM(K754:K777)</f>
        <v>0</v>
      </c>
    </row>
    <row r="779" spans="1:11" ht="14.25" thickBot="1" x14ac:dyDescent="0.2">
      <c r="A779" s="25" t="s">
        <v>5</v>
      </c>
      <c r="B779" s="26">
        <f>B753-B778</f>
        <v>14</v>
      </c>
      <c r="C779" s="26">
        <f>C753-C778</f>
        <v>23</v>
      </c>
      <c r="D779" s="26">
        <f>D753-D778</f>
        <v>17</v>
      </c>
      <c r="E779" s="24">
        <f>E753-E778</f>
        <v>54</v>
      </c>
      <c r="G779" s="37" t="s">
        <v>5</v>
      </c>
      <c r="H779" s="26">
        <f>H753-H778</f>
        <v>131</v>
      </c>
      <c r="I779" s="26">
        <f t="shared" ref="I779:K779" si="267">I753-I778</f>
        <v>107</v>
      </c>
      <c r="J779" s="26">
        <f t="shared" si="267"/>
        <v>102</v>
      </c>
      <c r="K779" s="24">
        <f t="shared" si="267"/>
        <v>340</v>
      </c>
    </row>
    <row r="780" spans="1:11" x14ac:dyDescent="0.15">
      <c r="G780" s="60" t="s">
        <v>377</v>
      </c>
      <c r="H780" s="96">
        <f>H778+H734+H690+H646+H602+H560</f>
        <v>566</v>
      </c>
      <c r="I780" s="96">
        <f t="shared" ref="I780:K780" si="268">I778+I734+I690+I646+I602+I560</f>
        <v>591</v>
      </c>
      <c r="J780" s="96">
        <f t="shared" si="268"/>
        <v>356</v>
      </c>
      <c r="K780" s="96">
        <f t="shared" si="268"/>
        <v>1513</v>
      </c>
    </row>
    <row r="781" spans="1:11" x14ac:dyDescent="0.15">
      <c r="G781" s="62" t="s">
        <v>285</v>
      </c>
      <c r="H781" s="58">
        <f>H780/$K$780*100</f>
        <v>37.409120951751483</v>
      </c>
      <c r="I781" s="58">
        <f t="shared" ref="I781:K781" si="269">I780/$K$780*100</f>
        <v>39.061467283542626</v>
      </c>
      <c r="J781" s="58">
        <f t="shared" si="269"/>
        <v>23.52941176470588</v>
      </c>
      <c r="K781" s="58">
        <f t="shared" si="269"/>
        <v>100</v>
      </c>
    </row>
    <row r="782" spans="1:11" x14ac:dyDescent="0.15">
      <c r="A782" s="93" t="s">
        <v>358</v>
      </c>
      <c r="B782" s="93"/>
      <c r="C782" s="93"/>
      <c r="D782" s="93"/>
      <c r="E782" s="93"/>
      <c r="F782" s="93"/>
      <c r="G782" s="93"/>
      <c r="H782" s="93"/>
      <c r="I782" s="93"/>
      <c r="J782" s="93"/>
      <c r="K782" s="93"/>
    </row>
    <row r="783" spans="1:11" ht="14.25" thickBot="1" x14ac:dyDescent="0.2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</row>
    <row r="784" spans="1:11" ht="14.25" thickBot="1" x14ac:dyDescent="0.2">
      <c r="A784" s="1" t="s">
        <v>0</v>
      </c>
      <c r="B784" s="91" t="s">
        <v>10</v>
      </c>
      <c r="C784" s="91"/>
      <c r="D784" s="91"/>
      <c r="E784" s="92"/>
      <c r="G784" s="1" t="s">
        <v>0</v>
      </c>
      <c r="H784" s="91" t="s">
        <v>274</v>
      </c>
      <c r="I784" s="91"/>
      <c r="J784" s="91"/>
      <c r="K784" s="92"/>
    </row>
    <row r="785" spans="1:12" ht="14.25" thickBot="1" x14ac:dyDescent="0.2">
      <c r="A785" s="1" t="s">
        <v>1</v>
      </c>
      <c r="B785" s="2" t="s">
        <v>6</v>
      </c>
      <c r="C785" s="1" t="s">
        <v>7</v>
      </c>
      <c r="D785" s="17" t="s">
        <v>8</v>
      </c>
      <c r="E785" s="1" t="s">
        <v>2</v>
      </c>
      <c r="G785" s="33" t="s">
        <v>1</v>
      </c>
      <c r="H785" s="2" t="s">
        <v>6</v>
      </c>
      <c r="I785" s="1" t="s">
        <v>7</v>
      </c>
      <c r="J785" s="17" t="s">
        <v>8</v>
      </c>
      <c r="K785" s="1" t="s">
        <v>2</v>
      </c>
    </row>
    <row r="786" spans="1:12" x14ac:dyDescent="0.15">
      <c r="A786" s="19" t="s">
        <v>5</v>
      </c>
      <c r="B786" s="16">
        <f>B779</f>
        <v>14</v>
      </c>
      <c r="C786" s="20">
        <f>C779</f>
        <v>23</v>
      </c>
      <c r="D786" s="20">
        <f>D779</f>
        <v>17</v>
      </c>
      <c r="E786" s="15">
        <f t="shared" ref="E786:E822" si="270">SUM(B786:D786)</f>
        <v>54</v>
      </c>
      <c r="G786" s="38" t="s">
        <v>5</v>
      </c>
      <c r="H786" s="16">
        <f>H779</f>
        <v>131</v>
      </c>
      <c r="I786" s="20">
        <f t="shared" ref="I786:J786" si="271">I779</f>
        <v>107</v>
      </c>
      <c r="J786" s="20">
        <f t="shared" si="271"/>
        <v>102</v>
      </c>
      <c r="K786" s="15">
        <f>K779</f>
        <v>340</v>
      </c>
    </row>
    <row r="787" spans="1:12" x14ac:dyDescent="0.15">
      <c r="A787" s="3" t="s">
        <v>11</v>
      </c>
      <c r="B787" s="8"/>
      <c r="C787" s="7"/>
      <c r="D787" s="8"/>
      <c r="E787" s="4">
        <f t="shared" si="270"/>
        <v>0</v>
      </c>
      <c r="G787" s="3" t="s">
        <v>11</v>
      </c>
      <c r="H787" s="48"/>
      <c r="I787" s="49"/>
      <c r="J787" s="48"/>
      <c r="K787" s="4">
        <f t="shared" ref="K787:K796" si="272">SUM(H787:J787)</f>
        <v>0</v>
      </c>
    </row>
    <row r="788" spans="1:12" x14ac:dyDescent="0.15">
      <c r="A788" s="3" t="s">
        <v>11</v>
      </c>
      <c r="B788" s="8"/>
      <c r="C788" s="7"/>
      <c r="D788" s="8"/>
      <c r="E788" s="4">
        <f t="shared" si="270"/>
        <v>0</v>
      </c>
      <c r="G788" s="3" t="s">
        <v>11</v>
      </c>
      <c r="H788" s="48"/>
      <c r="I788" s="49"/>
      <c r="J788" s="48"/>
      <c r="K788" s="4">
        <f t="shared" si="272"/>
        <v>0</v>
      </c>
    </row>
    <row r="789" spans="1:12" x14ac:dyDescent="0.15">
      <c r="A789" s="3" t="s">
        <v>11</v>
      </c>
      <c r="B789" s="8"/>
      <c r="C789" s="7"/>
      <c r="D789" s="8"/>
      <c r="E789" s="4">
        <f t="shared" si="270"/>
        <v>0</v>
      </c>
      <c r="G789" s="3" t="s">
        <v>359</v>
      </c>
      <c r="H789" s="48">
        <v>90</v>
      </c>
      <c r="I789" s="49">
        <v>110</v>
      </c>
      <c r="J789" s="48">
        <v>50</v>
      </c>
      <c r="K789" s="4">
        <f t="shared" si="272"/>
        <v>250</v>
      </c>
      <c r="L789" s="65" t="s">
        <v>361</v>
      </c>
    </row>
    <row r="790" spans="1:12" x14ac:dyDescent="0.15">
      <c r="A790" s="3" t="s">
        <v>11</v>
      </c>
      <c r="B790" s="8"/>
      <c r="C790" s="7"/>
      <c r="D790" s="8"/>
      <c r="E790" s="4">
        <f t="shared" si="270"/>
        <v>0</v>
      </c>
      <c r="G790" s="3" t="s">
        <v>360</v>
      </c>
      <c r="H790" s="48">
        <v>90</v>
      </c>
      <c r="I790" s="49">
        <v>110</v>
      </c>
      <c r="J790" s="48">
        <v>50</v>
      </c>
      <c r="K790" s="4">
        <f t="shared" si="272"/>
        <v>250</v>
      </c>
      <c r="L790" s="65" t="s">
        <v>362</v>
      </c>
    </row>
    <row r="791" spans="1:12" x14ac:dyDescent="0.15">
      <c r="A791" s="3" t="s">
        <v>11</v>
      </c>
      <c r="B791" s="8"/>
      <c r="C791" s="7"/>
      <c r="D791" s="8"/>
      <c r="E791" s="4">
        <f t="shared" si="270"/>
        <v>0</v>
      </c>
      <c r="G791" s="3" t="s">
        <v>11</v>
      </c>
      <c r="H791" s="48"/>
      <c r="I791" s="49"/>
      <c r="J791" s="48"/>
      <c r="K791" s="4">
        <f t="shared" si="272"/>
        <v>0</v>
      </c>
    </row>
    <row r="792" spans="1:12" x14ac:dyDescent="0.15">
      <c r="A792" s="3" t="s">
        <v>11</v>
      </c>
      <c r="B792" s="8"/>
      <c r="C792" s="7"/>
      <c r="D792" s="8"/>
      <c r="E792" s="4">
        <f t="shared" si="270"/>
        <v>0</v>
      </c>
      <c r="G792" s="3" t="s">
        <v>11</v>
      </c>
      <c r="H792" s="48"/>
      <c r="I792" s="49"/>
      <c r="J792" s="48"/>
      <c r="K792" s="4">
        <f t="shared" si="272"/>
        <v>0</v>
      </c>
    </row>
    <row r="793" spans="1:12" x14ac:dyDescent="0.15">
      <c r="A793" s="3" t="s">
        <v>11</v>
      </c>
      <c r="B793" s="8"/>
      <c r="C793" s="7"/>
      <c r="D793" s="8"/>
      <c r="E793" s="4">
        <f t="shared" si="270"/>
        <v>0</v>
      </c>
      <c r="G793" s="3" t="s">
        <v>11</v>
      </c>
      <c r="H793" s="48"/>
      <c r="I793" s="49"/>
      <c r="J793" s="48"/>
      <c r="K793" s="4">
        <f t="shared" si="272"/>
        <v>0</v>
      </c>
    </row>
    <row r="794" spans="1:12" x14ac:dyDescent="0.15">
      <c r="A794" s="3" t="s">
        <v>11</v>
      </c>
      <c r="B794" s="8"/>
      <c r="C794" s="7"/>
      <c r="D794" s="8"/>
      <c r="E794" s="4">
        <f t="shared" si="270"/>
        <v>0</v>
      </c>
      <c r="G794" s="3" t="s">
        <v>11</v>
      </c>
      <c r="H794" s="48"/>
      <c r="I794" s="49"/>
      <c r="J794" s="48"/>
      <c r="K794" s="4">
        <f t="shared" si="272"/>
        <v>0</v>
      </c>
    </row>
    <row r="795" spans="1:12" x14ac:dyDescent="0.15">
      <c r="A795" s="3" t="s">
        <v>11</v>
      </c>
      <c r="B795" s="8"/>
      <c r="C795" s="7"/>
      <c r="D795" s="8"/>
      <c r="E795" s="4">
        <f t="shared" si="270"/>
        <v>0</v>
      </c>
      <c r="G795" s="3" t="s">
        <v>11</v>
      </c>
      <c r="H795" s="48"/>
      <c r="I795" s="49"/>
      <c r="J795" s="48"/>
      <c r="K795" s="4">
        <f t="shared" si="272"/>
        <v>0</v>
      </c>
    </row>
    <row r="796" spans="1:12" ht="14.25" thickBot="1" x14ac:dyDescent="0.2">
      <c r="A796" s="3" t="s">
        <v>11</v>
      </c>
      <c r="B796" s="11"/>
      <c r="C796" s="10"/>
      <c r="D796" s="11"/>
      <c r="E796" s="18">
        <f t="shared" si="270"/>
        <v>0</v>
      </c>
      <c r="G796" s="3" t="s">
        <v>11</v>
      </c>
      <c r="H796" s="51"/>
      <c r="I796" s="52"/>
      <c r="J796" s="51"/>
      <c r="K796" s="18">
        <f t="shared" si="272"/>
        <v>0</v>
      </c>
    </row>
    <row r="797" spans="1:12" ht="14.25" thickBot="1" x14ac:dyDescent="0.2">
      <c r="A797" s="21" t="s">
        <v>3</v>
      </c>
      <c r="B797" s="22">
        <f>SUM(B786:B796)</f>
        <v>14</v>
      </c>
      <c r="C797" s="22">
        <f>SUM(C786:C796)</f>
        <v>23</v>
      </c>
      <c r="D797" s="23">
        <f>SUM(D786:D796)</f>
        <v>17</v>
      </c>
      <c r="E797" s="24">
        <f t="shared" si="270"/>
        <v>54</v>
      </c>
      <c r="G797" s="35" t="s">
        <v>3</v>
      </c>
      <c r="H797" s="22">
        <f>SUM(H786:H796)</f>
        <v>311</v>
      </c>
      <c r="I797" s="22">
        <f t="shared" ref="I797:K797" si="273">SUM(I786:I796)</f>
        <v>327</v>
      </c>
      <c r="J797" s="23">
        <f t="shared" si="273"/>
        <v>202</v>
      </c>
      <c r="K797" s="24">
        <f t="shared" si="273"/>
        <v>840</v>
      </c>
    </row>
    <row r="798" spans="1:12" x14ac:dyDescent="0.15">
      <c r="A798" s="3" t="s">
        <v>297</v>
      </c>
      <c r="B798" s="6">
        <v>1</v>
      </c>
      <c r="C798" s="7"/>
      <c r="D798" s="8"/>
      <c r="E798" s="5">
        <f t="shared" si="270"/>
        <v>1</v>
      </c>
      <c r="F798" s="39">
        <v>46115</v>
      </c>
      <c r="G798" s="3"/>
      <c r="H798" s="6"/>
      <c r="I798" s="7"/>
      <c r="J798" s="8"/>
      <c r="K798" s="5">
        <f t="shared" ref="K798:K820" si="274">SUM(H798:J798)</f>
        <v>0</v>
      </c>
    </row>
    <row r="799" spans="1:12" x14ac:dyDescent="0.15">
      <c r="A799" s="3" t="s">
        <v>297</v>
      </c>
      <c r="B799" s="6">
        <v>1</v>
      </c>
      <c r="C799" s="7"/>
      <c r="D799" s="8">
        <v>1</v>
      </c>
      <c r="E799" s="5">
        <f t="shared" si="270"/>
        <v>2</v>
      </c>
      <c r="F799" s="39">
        <v>46149</v>
      </c>
      <c r="G799" s="3"/>
      <c r="H799" s="6"/>
      <c r="I799" s="7"/>
      <c r="J799" s="8"/>
      <c r="K799" s="5">
        <f t="shared" si="274"/>
        <v>0</v>
      </c>
    </row>
    <row r="800" spans="1:12" x14ac:dyDescent="0.15">
      <c r="A800" s="3" t="s">
        <v>297</v>
      </c>
      <c r="B800" s="6">
        <v>1</v>
      </c>
      <c r="C800" s="7"/>
      <c r="D800" s="8"/>
      <c r="E800" s="5">
        <f t="shared" si="270"/>
        <v>1</v>
      </c>
      <c r="F800" s="39">
        <v>46155</v>
      </c>
      <c r="G800" s="3"/>
      <c r="H800" s="6"/>
      <c r="I800" s="7"/>
      <c r="J800" s="8"/>
      <c r="K800" s="5">
        <f t="shared" si="274"/>
        <v>0</v>
      </c>
    </row>
    <row r="801" spans="1:12" x14ac:dyDescent="0.15">
      <c r="A801" s="3"/>
      <c r="B801" s="6"/>
      <c r="C801" s="7"/>
      <c r="D801" s="8"/>
      <c r="E801" s="5">
        <f t="shared" si="270"/>
        <v>0</v>
      </c>
      <c r="F801" s="27"/>
      <c r="G801" s="3"/>
      <c r="H801" s="6"/>
      <c r="I801" s="7"/>
      <c r="J801" s="8"/>
      <c r="K801" s="5">
        <f t="shared" si="274"/>
        <v>0</v>
      </c>
    </row>
    <row r="802" spans="1:12" x14ac:dyDescent="0.15">
      <c r="A802" s="3"/>
      <c r="B802" s="6"/>
      <c r="C802" s="7"/>
      <c r="D802" s="8"/>
      <c r="E802" s="5">
        <f t="shared" si="270"/>
        <v>0</v>
      </c>
      <c r="G802" s="3"/>
      <c r="H802" s="6"/>
      <c r="I802" s="7"/>
      <c r="J802" s="8"/>
      <c r="K802" s="5">
        <f t="shared" si="274"/>
        <v>0</v>
      </c>
    </row>
    <row r="803" spans="1:12" x14ac:dyDescent="0.15">
      <c r="A803" s="3"/>
      <c r="B803" s="6"/>
      <c r="C803" s="7"/>
      <c r="D803" s="8"/>
      <c r="E803" s="5">
        <f t="shared" si="270"/>
        <v>0</v>
      </c>
      <c r="G803" s="3"/>
      <c r="H803" s="6"/>
      <c r="I803" s="7"/>
      <c r="J803" s="8"/>
      <c r="K803" s="5">
        <f t="shared" si="274"/>
        <v>0</v>
      </c>
    </row>
    <row r="804" spans="1:12" x14ac:dyDescent="0.15">
      <c r="A804" s="3"/>
      <c r="B804" s="6"/>
      <c r="C804" s="7"/>
      <c r="D804" s="8"/>
      <c r="E804" s="5">
        <f t="shared" si="270"/>
        <v>0</v>
      </c>
      <c r="G804" s="3"/>
      <c r="H804" s="6"/>
      <c r="I804" s="7"/>
      <c r="J804" s="8"/>
      <c r="K804" s="5">
        <f t="shared" si="274"/>
        <v>0</v>
      </c>
    </row>
    <row r="805" spans="1:12" x14ac:dyDescent="0.15">
      <c r="A805" s="3"/>
      <c r="B805" s="6"/>
      <c r="C805" s="7"/>
      <c r="D805" s="8"/>
      <c r="E805" s="5">
        <f t="shared" si="270"/>
        <v>0</v>
      </c>
      <c r="G805" s="3"/>
      <c r="H805" s="6"/>
      <c r="I805" s="7"/>
      <c r="J805" s="8"/>
      <c r="K805" s="5">
        <f t="shared" si="274"/>
        <v>0</v>
      </c>
    </row>
    <row r="806" spans="1:12" x14ac:dyDescent="0.15">
      <c r="A806" s="3"/>
      <c r="B806" s="6"/>
      <c r="C806" s="7"/>
      <c r="D806" s="8"/>
      <c r="E806" s="5">
        <f t="shared" si="270"/>
        <v>0</v>
      </c>
      <c r="G806" s="3"/>
      <c r="H806" s="6"/>
      <c r="I806" s="7"/>
      <c r="J806" s="8"/>
      <c r="K806" s="5">
        <f t="shared" si="274"/>
        <v>0</v>
      </c>
    </row>
    <row r="807" spans="1:12" x14ac:dyDescent="0.15">
      <c r="A807" s="3"/>
      <c r="B807" s="6"/>
      <c r="C807" s="7"/>
      <c r="D807" s="8"/>
      <c r="E807" s="5">
        <f t="shared" si="270"/>
        <v>0</v>
      </c>
      <c r="G807" s="3"/>
      <c r="H807" s="6"/>
      <c r="I807" s="7"/>
      <c r="J807" s="8"/>
      <c r="K807" s="5">
        <f t="shared" si="274"/>
        <v>0</v>
      </c>
    </row>
    <row r="808" spans="1:12" x14ac:dyDescent="0.15">
      <c r="A808" s="3"/>
      <c r="B808" s="6"/>
      <c r="C808" s="7"/>
      <c r="D808" s="8"/>
      <c r="E808" s="5">
        <f t="shared" si="270"/>
        <v>0</v>
      </c>
      <c r="G808" s="3"/>
      <c r="H808" s="6"/>
      <c r="I808" s="7"/>
      <c r="J808" s="8"/>
      <c r="K808" s="5">
        <f t="shared" si="274"/>
        <v>0</v>
      </c>
    </row>
    <row r="809" spans="1:12" x14ac:dyDescent="0.15">
      <c r="A809" s="3"/>
      <c r="B809" s="6"/>
      <c r="C809" s="7"/>
      <c r="D809" s="8"/>
      <c r="E809" s="5">
        <f t="shared" si="270"/>
        <v>0</v>
      </c>
      <c r="G809" s="3"/>
      <c r="H809" s="6"/>
      <c r="I809" s="7"/>
      <c r="J809" s="8"/>
      <c r="K809" s="5">
        <f t="shared" si="274"/>
        <v>0</v>
      </c>
    </row>
    <row r="810" spans="1:12" x14ac:dyDescent="0.15">
      <c r="A810" s="3"/>
      <c r="B810" s="6"/>
      <c r="C810" s="7"/>
      <c r="D810" s="8"/>
      <c r="E810" s="5">
        <f t="shared" si="270"/>
        <v>0</v>
      </c>
      <c r="G810" s="3"/>
      <c r="H810" s="6"/>
      <c r="I810" s="7"/>
      <c r="J810" s="8"/>
      <c r="K810" s="5">
        <f t="shared" si="274"/>
        <v>0</v>
      </c>
    </row>
    <row r="811" spans="1:12" x14ac:dyDescent="0.15">
      <c r="A811" s="3"/>
      <c r="B811" s="6"/>
      <c r="C811" s="7"/>
      <c r="D811" s="8"/>
      <c r="E811" s="5">
        <f t="shared" si="270"/>
        <v>0</v>
      </c>
      <c r="G811" s="3"/>
      <c r="H811" s="6"/>
      <c r="I811" s="7"/>
      <c r="J811" s="8"/>
      <c r="K811" s="5">
        <f t="shared" si="274"/>
        <v>0</v>
      </c>
    </row>
    <row r="812" spans="1:12" x14ac:dyDescent="0.15">
      <c r="A812" s="3"/>
      <c r="B812" s="6"/>
      <c r="C812" s="7"/>
      <c r="D812" s="8"/>
      <c r="E812" s="5">
        <f t="shared" si="270"/>
        <v>0</v>
      </c>
      <c r="G812" s="3"/>
      <c r="H812" s="6"/>
      <c r="I812" s="7"/>
      <c r="J812" s="8"/>
      <c r="K812" s="5">
        <f t="shared" si="274"/>
        <v>0</v>
      </c>
    </row>
    <row r="813" spans="1:12" x14ac:dyDescent="0.15">
      <c r="A813" s="3"/>
      <c r="B813" s="6"/>
      <c r="C813" s="7"/>
      <c r="D813" s="8"/>
      <c r="E813" s="5">
        <f t="shared" si="270"/>
        <v>0</v>
      </c>
      <c r="G813" s="3"/>
      <c r="H813" s="6">
        <v>-307</v>
      </c>
      <c r="I813" s="7">
        <v>-311</v>
      </c>
      <c r="J813" s="8">
        <v>-168</v>
      </c>
      <c r="K813" s="5">
        <f t="shared" si="274"/>
        <v>-786</v>
      </c>
    </row>
    <row r="814" spans="1:12" x14ac:dyDescent="0.15">
      <c r="A814" s="3"/>
      <c r="B814" s="6"/>
      <c r="C814" s="7"/>
      <c r="D814" s="8"/>
      <c r="E814" s="5">
        <f t="shared" si="270"/>
        <v>0</v>
      </c>
      <c r="G814" s="3"/>
      <c r="H814" s="6"/>
      <c r="I814" s="7"/>
      <c r="J814" s="8"/>
      <c r="K814" s="5">
        <f t="shared" si="274"/>
        <v>0</v>
      </c>
    </row>
    <row r="815" spans="1:12" x14ac:dyDescent="0.15">
      <c r="A815" s="3"/>
      <c r="B815" s="6"/>
      <c r="C815" s="7"/>
      <c r="D815" s="8"/>
      <c r="E815" s="5">
        <f t="shared" si="270"/>
        <v>0</v>
      </c>
      <c r="G815" s="3" t="s">
        <v>364</v>
      </c>
      <c r="H815" s="6">
        <v>29</v>
      </c>
      <c r="I815" s="7">
        <v>28</v>
      </c>
      <c r="J815" s="8">
        <v>25</v>
      </c>
      <c r="K815" s="5">
        <f t="shared" si="274"/>
        <v>82</v>
      </c>
      <c r="L815" s="65" t="s">
        <v>367</v>
      </c>
    </row>
    <row r="816" spans="1:12" x14ac:dyDescent="0.15">
      <c r="A816" s="3"/>
      <c r="B816" s="6"/>
      <c r="C816" s="7"/>
      <c r="D816" s="8"/>
      <c r="E816" s="5">
        <f t="shared" si="270"/>
        <v>0</v>
      </c>
      <c r="G816" s="3" t="s">
        <v>297</v>
      </c>
      <c r="H816" s="6">
        <v>115</v>
      </c>
      <c r="I816" s="7">
        <v>137</v>
      </c>
      <c r="J816" s="8">
        <v>74</v>
      </c>
      <c r="K816" s="5">
        <f t="shared" si="274"/>
        <v>326</v>
      </c>
      <c r="L816" s="65" t="s">
        <v>368</v>
      </c>
    </row>
    <row r="817" spans="1:12" x14ac:dyDescent="0.15">
      <c r="A817" s="3"/>
      <c r="B817" s="6"/>
      <c r="C817" s="7"/>
      <c r="D817" s="8"/>
      <c r="E817" s="5">
        <f t="shared" si="270"/>
        <v>0</v>
      </c>
      <c r="G817" s="3" t="s">
        <v>369</v>
      </c>
      <c r="H817" s="6">
        <v>11</v>
      </c>
      <c r="I817" s="7">
        <v>20</v>
      </c>
      <c r="J817" s="8">
        <v>14</v>
      </c>
      <c r="K817" s="5">
        <f t="shared" si="274"/>
        <v>45</v>
      </c>
      <c r="L817" s="65" t="s">
        <v>370</v>
      </c>
    </row>
    <row r="818" spans="1:12" x14ac:dyDescent="0.15">
      <c r="A818" s="3"/>
      <c r="B818" s="6"/>
      <c r="C818" s="7"/>
      <c r="D818" s="8"/>
      <c r="E818" s="5">
        <f t="shared" si="270"/>
        <v>0</v>
      </c>
      <c r="G818" s="3" t="s">
        <v>371</v>
      </c>
      <c r="H818" s="6">
        <v>42</v>
      </c>
      <c r="I818" s="7">
        <v>26</v>
      </c>
      <c r="J818" s="8">
        <v>15</v>
      </c>
      <c r="K818" s="5">
        <f t="shared" si="274"/>
        <v>83</v>
      </c>
      <c r="L818" s="65" t="s">
        <v>366</v>
      </c>
    </row>
    <row r="819" spans="1:12" x14ac:dyDescent="0.15">
      <c r="A819" s="3"/>
      <c r="B819" s="6"/>
      <c r="C819" s="7"/>
      <c r="D819" s="8"/>
      <c r="E819" s="5">
        <f t="shared" si="270"/>
        <v>0</v>
      </c>
      <c r="G819" s="3" t="s">
        <v>372</v>
      </c>
      <c r="H819" s="6">
        <v>55</v>
      </c>
      <c r="I819" s="7">
        <v>50</v>
      </c>
      <c r="J819" s="8">
        <v>20</v>
      </c>
      <c r="K819" s="5">
        <f t="shared" si="274"/>
        <v>125</v>
      </c>
      <c r="L819" s="67" t="s">
        <v>373</v>
      </c>
    </row>
    <row r="820" spans="1:12" x14ac:dyDescent="0.15">
      <c r="A820" s="3"/>
      <c r="B820" s="6"/>
      <c r="C820" s="7"/>
      <c r="D820" s="8"/>
      <c r="E820" s="5">
        <f t="shared" si="270"/>
        <v>0</v>
      </c>
      <c r="G820" s="3" t="s">
        <v>374</v>
      </c>
      <c r="H820" s="6">
        <v>55</v>
      </c>
      <c r="I820" s="7">
        <v>50</v>
      </c>
      <c r="J820" s="8">
        <v>20</v>
      </c>
      <c r="K820" s="5">
        <f t="shared" si="274"/>
        <v>125</v>
      </c>
      <c r="L820" s="65" t="s">
        <v>376</v>
      </c>
    </row>
    <row r="821" spans="1:12" ht="14.25" thickBot="1" x14ac:dyDescent="0.2">
      <c r="A821" s="3"/>
      <c r="B821" s="6"/>
      <c r="C821" s="7"/>
      <c r="D821" s="8"/>
      <c r="E821" s="5">
        <f t="shared" si="270"/>
        <v>0</v>
      </c>
      <c r="G821" s="3" t="s">
        <v>375</v>
      </c>
      <c r="H821" s="6"/>
      <c r="I821" s="7"/>
      <c r="J821" s="8"/>
      <c r="K821" s="5">
        <f t="shared" ref="K821" si="275">SUM(H821:J821)</f>
        <v>0</v>
      </c>
      <c r="L821" s="65" t="s">
        <v>376</v>
      </c>
    </row>
    <row r="822" spans="1:12" ht="14.25" thickBot="1" x14ac:dyDescent="0.2">
      <c r="A822" s="2" t="s">
        <v>4</v>
      </c>
      <c r="B822" s="12">
        <f>SUM(B798:B821)</f>
        <v>3</v>
      </c>
      <c r="C822" s="12">
        <f>SUM(C798:C821)</f>
        <v>0</v>
      </c>
      <c r="D822" s="12">
        <f>SUM(D798:D821)</f>
        <v>1</v>
      </c>
      <c r="E822" s="13">
        <f t="shared" si="270"/>
        <v>4</v>
      </c>
      <c r="G822" s="36" t="s">
        <v>4</v>
      </c>
      <c r="H822" s="12">
        <f>SUM(H798:H821)</f>
        <v>0</v>
      </c>
      <c r="I822" s="12">
        <f>SUM(I798:I821)</f>
        <v>0</v>
      </c>
      <c r="J822" s="12">
        <f>SUM(J798:J821)</f>
        <v>0</v>
      </c>
      <c r="K822" s="13">
        <f>SUM(K798:K821)</f>
        <v>0</v>
      </c>
    </row>
    <row r="823" spans="1:12" ht="14.25" thickBot="1" x14ac:dyDescent="0.2">
      <c r="A823" s="25" t="s">
        <v>5</v>
      </c>
      <c r="B823" s="26">
        <f>B797-B822</f>
        <v>11</v>
      </c>
      <c r="C823" s="26">
        <f>C797-C822</f>
        <v>23</v>
      </c>
      <c r="D823" s="26">
        <f>D797-D822</f>
        <v>16</v>
      </c>
      <c r="E823" s="24">
        <f>E797-E822</f>
        <v>50</v>
      </c>
      <c r="G823" s="37" t="s">
        <v>5</v>
      </c>
      <c r="H823" s="26">
        <f>H797-H822</f>
        <v>311</v>
      </c>
      <c r="I823" s="26">
        <f t="shared" ref="I823:K823" si="276">I797-I822</f>
        <v>327</v>
      </c>
      <c r="J823" s="26">
        <f t="shared" si="276"/>
        <v>202</v>
      </c>
      <c r="K823" s="24">
        <f t="shared" si="276"/>
        <v>840</v>
      </c>
    </row>
    <row r="824" spans="1:12" x14ac:dyDescent="0.15">
      <c r="G824" s="55" t="s">
        <v>284</v>
      </c>
      <c r="H824" s="61">
        <f>H823/$K$823*100</f>
        <v>37.023809523809526</v>
      </c>
      <c r="I824" s="61">
        <f t="shared" ref="I824:K824" si="277">I823/$K$823*100</f>
        <v>38.928571428571431</v>
      </c>
      <c r="J824" s="61">
        <f t="shared" si="277"/>
        <v>24.047619047619047</v>
      </c>
      <c r="K824" s="61">
        <f t="shared" si="277"/>
        <v>100</v>
      </c>
    </row>
    <row r="825" spans="1:12" x14ac:dyDescent="0.15">
      <c r="G825" s="97" t="s">
        <v>285</v>
      </c>
      <c r="H825" s="58">
        <v>37.4</v>
      </c>
      <c r="I825" s="58">
        <v>39.1</v>
      </c>
      <c r="J825" s="58">
        <v>23.5</v>
      </c>
      <c r="K825" s="58">
        <f>SUM(H825:J825)</f>
        <v>100</v>
      </c>
    </row>
    <row r="826" spans="1:12" x14ac:dyDescent="0.15">
      <c r="H826">
        <f>H778+H734+H690+H646+H602</f>
        <v>240</v>
      </c>
      <c r="I826">
        <f t="shared" ref="I826:K826" si="278">I778+I734+I690+I646+I602</f>
        <v>260</v>
      </c>
      <c r="J826">
        <f t="shared" si="278"/>
        <v>135</v>
      </c>
      <c r="K826">
        <f t="shared" si="278"/>
        <v>635</v>
      </c>
    </row>
  </sheetData>
  <mergeCells count="41">
    <mergeCell ref="H260:K260"/>
    <mergeCell ref="B174:E174"/>
    <mergeCell ref="H174:K174"/>
    <mergeCell ref="B131:E131"/>
    <mergeCell ref="H131:K131"/>
    <mergeCell ref="B476:E476"/>
    <mergeCell ref="H476:K476"/>
    <mergeCell ref="B217:E217"/>
    <mergeCell ref="H217:K217"/>
    <mergeCell ref="B432:E432"/>
    <mergeCell ref="H432:K432"/>
    <mergeCell ref="B389:E389"/>
    <mergeCell ref="H389:K389"/>
    <mergeCell ref="G258:K258"/>
    <mergeCell ref="B346:E346"/>
    <mergeCell ref="H346:K346"/>
    <mergeCell ref="B260:E260"/>
    <mergeCell ref="B2:E2"/>
    <mergeCell ref="B45:E45"/>
    <mergeCell ref="H45:K45"/>
    <mergeCell ref="H2:K2"/>
    <mergeCell ref="B88:E88"/>
    <mergeCell ref="H88:K88"/>
    <mergeCell ref="B564:E564"/>
    <mergeCell ref="H564:K564"/>
    <mergeCell ref="A517:K518"/>
    <mergeCell ref="B303:E303"/>
    <mergeCell ref="H303:K303"/>
    <mergeCell ref="B520:E520"/>
    <mergeCell ref="H520:K520"/>
    <mergeCell ref="H784:K784"/>
    <mergeCell ref="H740:K740"/>
    <mergeCell ref="B608:E608"/>
    <mergeCell ref="B652:E652"/>
    <mergeCell ref="B696:E696"/>
    <mergeCell ref="B740:E740"/>
    <mergeCell ref="B784:E784"/>
    <mergeCell ref="H608:K608"/>
    <mergeCell ref="H652:K652"/>
    <mergeCell ref="H696:K696"/>
    <mergeCell ref="A782:K783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ベスト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2026-06-11T05:08:52Z</dcterms:modified>
</cp:coreProperties>
</file>