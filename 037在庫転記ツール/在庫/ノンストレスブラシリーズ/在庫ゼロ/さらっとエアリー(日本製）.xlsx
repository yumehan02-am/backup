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30" windowWidth="19200" windowHeight="12090"/>
  </bookViews>
  <sheets>
    <sheet name="Sheet1" sheetId="1" r:id="rId1"/>
    <sheet name="Sheet2" sheetId="2" r:id="rId2"/>
    <sheet name="追加案" sheetId="3" r:id="rId3"/>
  </sheets>
  <calcPr calcId="145621" concurrentCalc="0"/>
</workbook>
</file>

<file path=xl/calcChain.xml><?xml version="1.0" encoding="utf-8"?>
<calcChain xmlns="http://schemas.openxmlformats.org/spreadsheetml/2006/main">
  <c r="B525" i="1" l="1"/>
  <c r="B526" i="1"/>
  <c r="B532" i="1"/>
  <c r="B537" i="1"/>
  <c r="C532" i="1"/>
  <c r="C537" i="1"/>
  <c r="D532" i="1"/>
  <c r="D537" i="1"/>
  <c r="E532" i="1"/>
  <c r="E537" i="1"/>
  <c r="F532" i="1"/>
  <c r="F537" i="1"/>
  <c r="G532" i="1"/>
  <c r="G537" i="1"/>
  <c r="H532" i="1"/>
  <c r="H537" i="1"/>
  <c r="I532" i="1"/>
  <c r="I537" i="1"/>
  <c r="J532" i="1"/>
  <c r="J537" i="1"/>
  <c r="K537" i="1"/>
  <c r="B558" i="1"/>
  <c r="C558" i="1"/>
  <c r="D558" i="1"/>
  <c r="E558" i="1"/>
  <c r="F558" i="1"/>
  <c r="G558" i="1"/>
  <c r="H558" i="1"/>
  <c r="I558" i="1"/>
  <c r="J558" i="1"/>
  <c r="K558" i="1"/>
  <c r="K559" i="1"/>
  <c r="J559" i="1"/>
  <c r="I559" i="1"/>
  <c r="H559" i="1"/>
  <c r="G559" i="1"/>
  <c r="F559" i="1"/>
  <c r="E559" i="1"/>
  <c r="D559" i="1"/>
  <c r="C559" i="1"/>
  <c r="B559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6" i="1"/>
  <c r="K535" i="1"/>
  <c r="K534" i="1"/>
  <c r="K533" i="1"/>
  <c r="K532" i="1"/>
  <c r="B9" i="1"/>
  <c r="B30" i="1"/>
  <c r="B31" i="1"/>
  <c r="B37" i="1"/>
  <c r="B42" i="1"/>
  <c r="B63" i="1"/>
  <c r="B64" i="1"/>
  <c r="B70" i="1"/>
  <c r="B75" i="1"/>
  <c r="B96" i="1"/>
  <c r="B97" i="1"/>
  <c r="B103" i="1"/>
  <c r="B108" i="1"/>
  <c r="B129" i="1"/>
  <c r="B130" i="1"/>
  <c r="B136" i="1"/>
  <c r="B141" i="1"/>
  <c r="B162" i="1"/>
  <c r="B163" i="1"/>
  <c r="B169" i="1"/>
  <c r="B174" i="1"/>
  <c r="B195" i="1"/>
  <c r="B196" i="1"/>
  <c r="B202" i="1"/>
  <c r="B207" i="1"/>
  <c r="B228" i="1"/>
  <c r="B229" i="1"/>
  <c r="B235" i="1"/>
  <c r="B240" i="1"/>
  <c r="B261" i="1"/>
  <c r="B262" i="1"/>
  <c r="B268" i="1"/>
  <c r="B273" i="1"/>
  <c r="B294" i="1"/>
  <c r="B295" i="1"/>
  <c r="B301" i="1"/>
  <c r="B306" i="1"/>
  <c r="B327" i="1"/>
  <c r="B328" i="1"/>
  <c r="B334" i="1"/>
  <c r="B339" i="1"/>
  <c r="B360" i="1"/>
  <c r="B361" i="1"/>
  <c r="B367" i="1"/>
  <c r="B372" i="1"/>
  <c r="B393" i="1"/>
  <c r="B394" i="1"/>
  <c r="B400" i="1"/>
  <c r="B405" i="1"/>
  <c r="B426" i="1"/>
  <c r="B427" i="1"/>
  <c r="B433" i="1"/>
  <c r="B438" i="1"/>
  <c r="B459" i="1"/>
  <c r="B460" i="1"/>
  <c r="B466" i="1"/>
  <c r="B471" i="1"/>
  <c r="B492" i="1"/>
  <c r="B493" i="1"/>
  <c r="B499" i="1"/>
  <c r="B504" i="1"/>
  <c r="C9" i="1"/>
  <c r="C30" i="1"/>
  <c r="C31" i="1"/>
  <c r="C37" i="1"/>
  <c r="C42" i="1"/>
  <c r="C63" i="1"/>
  <c r="C64" i="1"/>
  <c r="C70" i="1"/>
  <c r="C75" i="1"/>
  <c r="C96" i="1"/>
  <c r="C97" i="1"/>
  <c r="C103" i="1"/>
  <c r="C108" i="1"/>
  <c r="C129" i="1"/>
  <c r="C130" i="1"/>
  <c r="C136" i="1"/>
  <c r="C141" i="1"/>
  <c r="C162" i="1"/>
  <c r="C163" i="1"/>
  <c r="C169" i="1"/>
  <c r="C174" i="1"/>
  <c r="C195" i="1"/>
  <c r="C196" i="1"/>
  <c r="C202" i="1"/>
  <c r="C207" i="1"/>
  <c r="C228" i="1"/>
  <c r="C229" i="1"/>
  <c r="C235" i="1"/>
  <c r="C240" i="1"/>
  <c r="C261" i="1"/>
  <c r="C262" i="1"/>
  <c r="C268" i="1"/>
  <c r="C273" i="1"/>
  <c r="C294" i="1"/>
  <c r="C295" i="1"/>
  <c r="C301" i="1"/>
  <c r="C306" i="1"/>
  <c r="C327" i="1"/>
  <c r="C328" i="1"/>
  <c r="C334" i="1"/>
  <c r="C339" i="1"/>
  <c r="C360" i="1"/>
  <c r="C361" i="1"/>
  <c r="C367" i="1"/>
  <c r="C372" i="1"/>
  <c r="C393" i="1"/>
  <c r="C394" i="1"/>
  <c r="C400" i="1"/>
  <c r="C405" i="1"/>
  <c r="C426" i="1"/>
  <c r="C427" i="1"/>
  <c r="C433" i="1"/>
  <c r="C438" i="1"/>
  <c r="C459" i="1"/>
  <c r="C460" i="1"/>
  <c r="C466" i="1"/>
  <c r="C471" i="1"/>
  <c r="C492" i="1"/>
  <c r="C493" i="1"/>
  <c r="C499" i="1"/>
  <c r="C504" i="1"/>
  <c r="D9" i="1"/>
  <c r="D30" i="1"/>
  <c r="D31" i="1"/>
  <c r="D37" i="1"/>
  <c r="D42" i="1"/>
  <c r="D63" i="1"/>
  <c r="D64" i="1"/>
  <c r="D70" i="1"/>
  <c r="D75" i="1"/>
  <c r="D96" i="1"/>
  <c r="D97" i="1"/>
  <c r="D103" i="1"/>
  <c r="D108" i="1"/>
  <c r="D129" i="1"/>
  <c r="D130" i="1"/>
  <c r="D136" i="1"/>
  <c r="D141" i="1"/>
  <c r="D162" i="1"/>
  <c r="D163" i="1"/>
  <c r="D169" i="1"/>
  <c r="D174" i="1"/>
  <c r="D195" i="1"/>
  <c r="D196" i="1"/>
  <c r="D202" i="1"/>
  <c r="D207" i="1"/>
  <c r="D228" i="1"/>
  <c r="D229" i="1"/>
  <c r="D235" i="1"/>
  <c r="D240" i="1"/>
  <c r="D261" i="1"/>
  <c r="D262" i="1"/>
  <c r="D268" i="1"/>
  <c r="D273" i="1"/>
  <c r="D294" i="1"/>
  <c r="D295" i="1"/>
  <c r="D301" i="1"/>
  <c r="D306" i="1"/>
  <c r="D327" i="1"/>
  <c r="D328" i="1"/>
  <c r="D334" i="1"/>
  <c r="D339" i="1"/>
  <c r="D360" i="1"/>
  <c r="D361" i="1"/>
  <c r="D367" i="1"/>
  <c r="D372" i="1"/>
  <c r="D393" i="1"/>
  <c r="D394" i="1"/>
  <c r="D400" i="1"/>
  <c r="D405" i="1"/>
  <c r="D426" i="1"/>
  <c r="D427" i="1"/>
  <c r="D433" i="1"/>
  <c r="D438" i="1"/>
  <c r="D459" i="1"/>
  <c r="D460" i="1"/>
  <c r="D466" i="1"/>
  <c r="D471" i="1"/>
  <c r="D492" i="1"/>
  <c r="D493" i="1"/>
  <c r="D499" i="1"/>
  <c r="D504" i="1"/>
  <c r="E492" i="1"/>
  <c r="E9" i="1"/>
  <c r="E30" i="1"/>
  <c r="E31" i="1"/>
  <c r="E37" i="1"/>
  <c r="E42" i="1"/>
  <c r="E63" i="1"/>
  <c r="E64" i="1"/>
  <c r="E70" i="1"/>
  <c r="E75" i="1"/>
  <c r="E96" i="1"/>
  <c r="E97" i="1"/>
  <c r="E103" i="1"/>
  <c r="E108" i="1"/>
  <c r="E129" i="1"/>
  <c r="E130" i="1"/>
  <c r="E136" i="1"/>
  <c r="E141" i="1"/>
  <c r="E162" i="1"/>
  <c r="E163" i="1"/>
  <c r="E169" i="1"/>
  <c r="E174" i="1"/>
  <c r="E195" i="1"/>
  <c r="E196" i="1"/>
  <c r="E202" i="1"/>
  <c r="E207" i="1"/>
  <c r="E228" i="1"/>
  <c r="E229" i="1"/>
  <c r="E235" i="1"/>
  <c r="E240" i="1"/>
  <c r="E261" i="1"/>
  <c r="E262" i="1"/>
  <c r="E268" i="1"/>
  <c r="E273" i="1"/>
  <c r="E294" i="1"/>
  <c r="E295" i="1"/>
  <c r="E301" i="1"/>
  <c r="E306" i="1"/>
  <c r="E327" i="1"/>
  <c r="E328" i="1"/>
  <c r="E334" i="1"/>
  <c r="E339" i="1"/>
  <c r="E360" i="1"/>
  <c r="E361" i="1"/>
  <c r="E367" i="1"/>
  <c r="E372" i="1"/>
  <c r="E393" i="1"/>
  <c r="E394" i="1"/>
  <c r="E400" i="1"/>
  <c r="E405" i="1"/>
  <c r="E426" i="1"/>
  <c r="E427" i="1"/>
  <c r="E433" i="1"/>
  <c r="E438" i="1"/>
  <c r="E459" i="1"/>
  <c r="E460" i="1"/>
  <c r="E466" i="1"/>
  <c r="E471" i="1"/>
  <c r="E493" i="1"/>
  <c r="E499" i="1"/>
  <c r="E504" i="1"/>
  <c r="F9" i="1"/>
  <c r="F30" i="1"/>
  <c r="F31" i="1"/>
  <c r="F37" i="1"/>
  <c r="F42" i="1"/>
  <c r="F63" i="1"/>
  <c r="F64" i="1"/>
  <c r="F70" i="1"/>
  <c r="F75" i="1"/>
  <c r="F96" i="1"/>
  <c r="F97" i="1"/>
  <c r="F103" i="1"/>
  <c r="F108" i="1"/>
  <c r="F129" i="1"/>
  <c r="F130" i="1"/>
  <c r="F136" i="1"/>
  <c r="F141" i="1"/>
  <c r="F162" i="1"/>
  <c r="F163" i="1"/>
  <c r="F169" i="1"/>
  <c r="F174" i="1"/>
  <c r="F195" i="1"/>
  <c r="F196" i="1"/>
  <c r="F202" i="1"/>
  <c r="F207" i="1"/>
  <c r="F228" i="1"/>
  <c r="F229" i="1"/>
  <c r="F235" i="1"/>
  <c r="F240" i="1"/>
  <c r="F261" i="1"/>
  <c r="F262" i="1"/>
  <c r="F268" i="1"/>
  <c r="F273" i="1"/>
  <c r="F294" i="1"/>
  <c r="F295" i="1"/>
  <c r="F301" i="1"/>
  <c r="F306" i="1"/>
  <c r="F327" i="1"/>
  <c r="F328" i="1"/>
  <c r="F334" i="1"/>
  <c r="F339" i="1"/>
  <c r="F360" i="1"/>
  <c r="F361" i="1"/>
  <c r="F367" i="1"/>
  <c r="F372" i="1"/>
  <c r="F393" i="1"/>
  <c r="F394" i="1"/>
  <c r="F400" i="1"/>
  <c r="F405" i="1"/>
  <c r="F426" i="1"/>
  <c r="F427" i="1"/>
  <c r="F433" i="1"/>
  <c r="F438" i="1"/>
  <c r="F459" i="1"/>
  <c r="F460" i="1"/>
  <c r="F466" i="1"/>
  <c r="F471" i="1"/>
  <c r="F492" i="1"/>
  <c r="F493" i="1"/>
  <c r="F499" i="1"/>
  <c r="F504" i="1"/>
  <c r="G9" i="1"/>
  <c r="G30" i="1"/>
  <c r="G31" i="1"/>
  <c r="G37" i="1"/>
  <c r="G42" i="1"/>
  <c r="G63" i="1"/>
  <c r="G64" i="1"/>
  <c r="G70" i="1"/>
  <c r="G75" i="1"/>
  <c r="G96" i="1"/>
  <c r="G97" i="1"/>
  <c r="G103" i="1"/>
  <c r="G108" i="1"/>
  <c r="G129" i="1"/>
  <c r="G130" i="1"/>
  <c r="G136" i="1"/>
  <c r="G141" i="1"/>
  <c r="G162" i="1"/>
  <c r="G163" i="1"/>
  <c r="G169" i="1"/>
  <c r="G174" i="1"/>
  <c r="G195" i="1"/>
  <c r="G196" i="1"/>
  <c r="G202" i="1"/>
  <c r="G207" i="1"/>
  <c r="G228" i="1"/>
  <c r="G229" i="1"/>
  <c r="G235" i="1"/>
  <c r="G240" i="1"/>
  <c r="G261" i="1"/>
  <c r="G262" i="1"/>
  <c r="G268" i="1"/>
  <c r="G273" i="1"/>
  <c r="G294" i="1"/>
  <c r="G295" i="1"/>
  <c r="G301" i="1"/>
  <c r="G306" i="1"/>
  <c r="G327" i="1"/>
  <c r="G328" i="1"/>
  <c r="G334" i="1"/>
  <c r="G339" i="1"/>
  <c r="G360" i="1"/>
  <c r="G361" i="1"/>
  <c r="G367" i="1"/>
  <c r="G372" i="1"/>
  <c r="G393" i="1"/>
  <c r="G394" i="1"/>
  <c r="G400" i="1"/>
  <c r="G405" i="1"/>
  <c r="G426" i="1"/>
  <c r="G427" i="1"/>
  <c r="G433" i="1"/>
  <c r="G438" i="1"/>
  <c r="G459" i="1"/>
  <c r="G460" i="1"/>
  <c r="G466" i="1"/>
  <c r="G471" i="1"/>
  <c r="G492" i="1"/>
  <c r="G493" i="1"/>
  <c r="G499" i="1"/>
  <c r="G504" i="1"/>
  <c r="H492" i="1"/>
  <c r="H9" i="1"/>
  <c r="H30" i="1"/>
  <c r="H31" i="1"/>
  <c r="H37" i="1"/>
  <c r="H42" i="1"/>
  <c r="H63" i="1"/>
  <c r="H64" i="1"/>
  <c r="H70" i="1"/>
  <c r="H75" i="1"/>
  <c r="H96" i="1"/>
  <c r="H97" i="1"/>
  <c r="H103" i="1"/>
  <c r="H108" i="1"/>
  <c r="H129" i="1"/>
  <c r="H130" i="1"/>
  <c r="H136" i="1"/>
  <c r="H141" i="1"/>
  <c r="H162" i="1"/>
  <c r="H163" i="1"/>
  <c r="H169" i="1"/>
  <c r="H174" i="1"/>
  <c r="H195" i="1"/>
  <c r="H196" i="1"/>
  <c r="H202" i="1"/>
  <c r="H207" i="1"/>
  <c r="H228" i="1"/>
  <c r="H229" i="1"/>
  <c r="H235" i="1"/>
  <c r="H240" i="1"/>
  <c r="H261" i="1"/>
  <c r="H262" i="1"/>
  <c r="H268" i="1"/>
  <c r="H273" i="1"/>
  <c r="H294" i="1"/>
  <c r="H295" i="1"/>
  <c r="H301" i="1"/>
  <c r="H306" i="1"/>
  <c r="H327" i="1"/>
  <c r="H328" i="1"/>
  <c r="H334" i="1"/>
  <c r="H339" i="1"/>
  <c r="H360" i="1"/>
  <c r="H361" i="1"/>
  <c r="H367" i="1"/>
  <c r="H372" i="1"/>
  <c r="H393" i="1"/>
  <c r="H394" i="1"/>
  <c r="H400" i="1"/>
  <c r="H405" i="1"/>
  <c r="H426" i="1"/>
  <c r="H427" i="1"/>
  <c r="H433" i="1"/>
  <c r="H438" i="1"/>
  <c r="H459" i="1"/>
  <c r="H460" i="1"/>
  <c r="H466" i="1"/>
  <c r="H471" i="1"/>
  <c r="H493" i="1"/>
  <c r="H499" i="1"/>
  <c r="H504" i="1"/>
  <c r="I9" i="1"/>
  <c r="I30" i="1"/>
  <c r="I31" i="1"/>
  <c r="I37" i="1"/>
  <c r="I42" i="1"/>
  <c r="I63" i="1"/>
  <c r="I64" i="1"/>
  <c r="I70" i="1"/>
  <c r="I75" i="1"/>
  <c r="I96" i="1"/>
  <c r="I97" i="1"/>
  <c r="I103" i="1"/>
  <c r="I108" i="1"/>
  <c r="I129" i="1"/>
  <c r="I130" i="1"/>
  <c r="I136" i="1"/>
  <c r="I141" i="1"/>
  <c r="I162" i="1"/>
  <c r="I163" i="1"/>
  <c r="I169" i="1"/>
  <c r="I174" i="1"/>
  <c r="I195" i="1"/>
  <c r="I196" i="1"/>
  <c r="I202" i="1"/>
  <c r="I207" i="1"/>
  <c r="I228" i="1"/>
  <c r="I229" i="1"/>
  <c r="I235" i="1"/>
  <c r="I240" i="1"/>
  <c r="I261" i="1"/>
  <c r="I262" i="1"/>
  <c r="I268" i="1"/>
  <c r="I273" i="1"/>
  <c r="I294" i="1"/>
  <c r="I295" i="1"/>
  <c r="I301" i="1"/>
  <c r="I306" i="1"/>
  <c r="I327" i="1"/>
  <c r="I328" i="1"/>
  <c r="I334" i="1"/>
  <c r="I339" i="1"/>
  <c r="I360" i="1"/>
  <c r="I361" i="1"/>
  <c r="I367" i="1"/>
  <c r="I372" i="1"/>
  <c r="I393" i="1"/>
  <c r="I394" i="1"/>
  <c r="I400" i="1"/>
  <c r="I405" i="1"/>
  <c r="I426" i="1"/>
  <c r="I427" i="1"/>
  <c r="I433" i="1"/>
  <c r="I438" i="1"/>
  <c r="I459" i="1"/>
  <c r="I460" i="1"/>
  <c r="I466" i="1"/>
  <c r="I471" i="1"/>
  <c r="I492" i="1"/>
  <c r="I493" i="1"/>
  <c r="I499" i="1"/>
  <c r="I504" i="1"/>
  <c r="J492" i="1"/>
  <c r="J9" i="1"/>
  <c r="J30" i="1"/>
  <c r="J31" i="1"/>
  <c r="J37" i="1"/>
  <c r="J42" i="1"/>
  <c r="J63" i="1"/>
  <c r="J64" i="1"/>
  <c r="J70" i="1"/>
  <c r="J75" i="1"/>
  <c r="J96" i="1"/>
  <c r="J97" i="1"/>
  <c r="J103" i="1"/>
  <c r="J108" i="1"/>
  <c r="J129" i="1"/>
  <c r="J130" i="1"/>
  <c r="J136" i="1"/>
  <c r="J141" i="1"/>
  <c r="J162" i="1"/>
  <c r="J163" i="1"/>
  <c r="J169" i="1"/>
  <c r="J174" i="1"/>
  <c r="J195" i="1"/>
  <c r="J196" i="1"/>
  <c r="J202" i="1"/>
  <c r="J207" i="1"/>
  <c r="J228" i="1"/>
  <c r="J229" i="1"/>
  <c r="J235" i="1"/>
  <c r="J240" i="1"/>
  <c r="J261" i="1"/>
  <c r="J262" i="1"/>
  <c r="J268" i="1"/>
  <c r="J273" i="1"/>
  <c r="J294" i="1"/>
  <c r="J295" i="1"/>
  <c r="J301" i="1"/>
  <c r="J306" i="1"/>
  <c r="J327" i="1"/>
  <c r="J328" i="1"/>
  <c r="J334" i="1"/>
  <c r="J339" i="1"/>
  <c r="J360" i="1"/>
  <c r="J361" i="1"/>
  <c r="J367" i="1"/>
  <c r="J372" i="1"/>
  <c r="J393" i="1"/>
  <c r="J394" i="1"/>
  <c r="J400" i="1"/>
  <c r="J405" i="1"/>
  <c r="J426" i="1"/>
  <c r="J427" i="1"/>
  <c r="J433" i="1"/>
  <c r="J438" i="1"/>
  <c r="J459" i="1"/>
  <c r="J460" i="1"/>
  <c r="J466" i="1"/>
  <c r="J471" i="1"/>
  <c r="J493" i="1"/>
  <c r="J499" i="1"/>
  <c r="J504" i="1"/>
  <c r="K504" i="1"/>
  <c r="C525" i="1"/>
  <c r="D525" i="1"/>
  <c r="E525" i="1"/>
  <c r="F525" i="1"/>
  <c r="G525" i="1"/>
  <c r="H525" i="1"/>
  <c r="I525" i="1"/>
  <c r="J525" i="1"/>
  <c r="K525" i="1"/>
  <c r="K526" i="1"/>
  <c r="J526" i="1"/>
  <c r="I526" i="1"/>
  <c r="H526" i="1"/>
  <c r="G526" i="1"/>
  <c r="F526" i="1"/>
  <c r="E526" i="1"/>
  <c r="D526" i="1"/>
  <c r="C526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3" i="1"/>
  <c r="K502" i="1"/>
  <c r="K501" i="1"/>
  <c r="K500" i="1"/>
  <c r="K499" i="1"/>
  <c r="O9" i="1"/>
  <c r="O30" i="1"/>
  <c r="O31" i="1"/>
  <c r="O37" i="1"/>
  <c r="O42" i="1"/>
  <c r="O63" i="1"/>
  <c r="O64" i="1"/>
  <c r="O70" i="1"/>
  <c r="O75" i="1"/>
  <c r="O96" i="1"/>
  <c r="O97" i="1"/>
  <c r="O103" i="1"/>
  <c r="O108" i="1"/>
  <c r="O129" i="1"/>
  <c r="O130" i="1"/>
  <c r="O136" i="1"/>
  <c r="O141" i="1"/>
  <c r="O162" i="1"/>
  <c r="O163" i="1"/>
  <c r="O169" i="1"/>
  <c r="O174" i="1"/>
  <c r="O195" i="1"/>
  <c r="O196" i="1"/>
  <c r="O202" i="1"/>
  <c r="O207" i="1"/>
  <c r="O228" i="1"/>
  <c r="O229" i="1"/>
  <c r="O235" i="1"/>
  <c r="O240" i="1"/>
  <c r="O261" i="1"/>
  <c r="O262" i="1"/>
  <c r="O268" i="1"/>
  <c r="O273" i="1"/>
  <c r="O294" i="1"/>
  <c r="O295" i="1"/>
  <c r="O301" i="1"/>
  <c r="O306" i="1"/>
  <c r="O327" i="1"/>
  <c r="O328" i="1"/>
  <c r="O334" i="1"/>
  <c r="O339" i="1"/>
  <c r="O360" i="1"/>
  <c r="O361" i="1"/>
  <c r="O367" i="1"/>
  <c r="O372" i="1"/>
  <c r="O393" i="1"/>
  <c r="O394" i="1"/>
  <c r="O400" i="1"/>
  <c r="O405" i="1"/>
  <c r="O426" i="1"/>
  <c r="O427" i="1"/>
  <c r="O433" i="1"/>
  <c r="O438" i="1"/>
  <c r="O459" i="1"/>
  <c r="O460" i="1"/>
  <c r="O466" i="1"/>
  <c r="O471" i="1"/>
  <c r="P9" i="1"/>
  <c r="P30" i="1"/>
  <c r="P31" i="1"/>
  <c r="P37" i="1"/>
  <c r="P42" i="1"/>
  <c r="P63" i="1"/>
  <c r="P64" i="1"/>
  <c r="P70" i="1"/>
  <c r="P75" i="1"/>
  <c r="P96" i="1"/>
  <c r="P97" i="1"/>
  <c r="P103" i="1"/>
  <c r="P108" i="1"/>
  <c r="P129" i="1"/>
  <c r="P130" i="1"/>
  <c r="P136" i="1"/>
  <c r="P141" i="1"/>
  <c r="P162" i="1"/>
  <c r="P163" i="1"/>
  <c r="P169" i="1"/>
  <c r="P174" i="1"/>
  <c r="P195" i="1"/>
  <c r="P196" i="1"/>
  <c r="P202" i="1"/>
  <c r="P207" i="1"/>
  <c r="P228" i="1"/>
  <c r="P229" i="1"/>
  <c r="P235" i="1"/>
  <c r="P240" i="1"/>
  <c r="P261" i="1"/>
  <c r="P262" i="1"/>
  <c r="P268" i="1"/>
  <c r="P273" i="1"/>
  <c r="P294" i="1"/>
  <c r="P295" i="1"/>
  <c r="P301" i="1"/>
  <c r="P306" i="1"/>
  <c r="P327" i="1"/>
  <c r="P328" i="1"/>
  <c r="P334" i="1"/>
  <c r="P339" i="1"/>
  <c r="P360" i="1"/>
  <c r="P361" i="1"/>
  <c r="P367" i="1"/>
  <c r="P372" i="1"/>
  <c r="P393" i="1"/>
  <c r="P394" i="1"/>
  <c r="P400" i="1"/>
  <c r="P405" i="1"/>
  <c r="P426" i="1"/>
  <c r="P427" i="1"/>
  <c r="P433" i="1"/>
  <c r="P438" i="1"/>
  <c r="P459" i="1"/>
  <c r="P460" i="1"/>
  <c r="P466" i="1"/>
  <c r="P471" i="1"/>
  <c r="Q9" i="1"/>
  <c r="Q30" i="1"/>
  <c r="Q31" i="1"/>
  <c r="Q37" i="1"/>
  <c r="Q42" i="1"/>
  <c r="Q63" i="1"/>
  <c r="Q64" i="1"/>
  <c r="Q70" i="1"/>
  <c r="Q75" i="1"/>
  <c r="Q96" i="1"/>
  <c r="Q97" i="1"/>
  <c r="Q103" i="1"/>
  <c r="Q108" i="1"/>
  <c r="Q129" i="1"/>
  <c r="Q130" i="1"/>
  <c r="Q136" i="1"/>
  <c r="Q141" i="1"/>
  <c r="Q162" i="1"/>
  <c r="Q163" i="1"/>
  <c r="Q169" i="1"/>
  <c r="Q174" i="1"/>
  <c r="Q195" i="1"/>
  <c r="Q196" i="1"/>
  <c r="Q202" i="1"/>
  <c r="Q207" i="1"/>
  <c r="Q228" i="1"/>
  <c r="Q229" i="1"/>
  <c r="Q235" i="1"/>
  <c r="Q240" i="1"/>
  <c r="Q261" i="1"/>
  <c r="Q262" i="1"/>
  <c r="Q268" i="1"/>
  <c r="Q273" i="1"/>
  <c r="Q294" i="1"/>
  <c r="Q295" i="1"/>
  <c r="Q301" i="1"/>
  <c r="Q306" i="1"/>
  <c r="Q327" i="1"/>
  <c r="Q328" i="1"/>
  <c r="Q334" i="1"/>
  <c r="Q339" i="1"/>
  <c r="Q360" i="1"/>
  <c r="Q361" i="1"/>
  <c r="Q367" i="1"/>
  <c r="Q372" i="1"/>
  <c r="Q393" i="1"/>
  <c r="Q394" i="1"/>
  <c r="Q400" i="1"/>
  <c r="Q405" i="1"/>
  <c r="Q426" i="1"/>
  <c r="Q427" i="1"/>
  <c r="Q433" i="1"/>
  <c r="Q438" i="1"/>
  <c r="Q459" i="1"/>
  <c r="Q460" i="1"/>
  <c r="Q466" i="1"/>
  <c r="Q471" i="1"/>
  <c r="R9" i="1"/>
  <c r="R30" i="1"/>
  <c r="R31" i="1"/>
  <c r="R37" i="1"/>
  <c r="R42" i="1"/>
  <c r="R63" i="1"/>
  <c r="R64" i="1"/>
  <c r="R70" i="1"/>
  <c r="R75" i="1"/>
  <c r="R96" i="1"/>
  <c r="R97" i="1"/>
  <c r="R103" i="1"/>
  <c r="R108" i="1"/>
  <c r="R129" i="1"/>
  <c r="R130" i="1"/>
  <c r="R136" i="1"/>
  <c r="R141" i="1"/>
  <c r="R162" i="1"/>
  <c r="R163" i="1"/>
  <c r="R169" i="1"/>
  <c r="R174" i="1"/>
  <c r="R195" i="1"/>
  <c r="R196" i="1"/>
  <c r="R202" i="1"/>
  <c r="R207" i="1"/>
  <c r="R228" i="1"/>
  <c r="R229" i="1"/>
  <c r="R235" i="1"/>
  <c r="R240" i="1"/>
  <c r="R261" i="1"/>
  <c r="R262" i="1"/>
  <c r="R268" i="1"/>
  <c r="R273" i="1"/>
  <c r="R294" i="1"/>
  <c r="R295" i="1"/>
  <c r="R301" i="1"/>
  <c r="R306" i="1"/>
  <c r="R327" i="1"/>
  <c r="R328" i="1"/>
  <c r="R334" i="1"/>
  <c r="R339" i="1"/>
  <c r="R360" i="1"/>
  <c r="R361" i="1"/>
  <c r="R367" i="1"/>
  <c r="R372" i="1"/>
  <c r="R393" i="1"/>
  <c r="R394" i="1"/>
  <c r="R400" i="1"/>
  <c r="R405" i="1"/>
  <c r="R426" i="1"/>
  <c r="R427" i="1"/>
  <c r="R433" i="1"/>
  <c r="R438" i="1"/>
  <c r="R459" i="1"/>
  <c r="R460" i="1"/>
  <c r="R466" i="1"/>
  <c r="R471" i="1"/>
  <c r="S9" i="1"/>
  <c r="S30" i="1"/>
  <c r="S31" i="1"/>
  <c r="S37" i="1"/>
  <c r="S42" i="1"/>
  <c r="S63" i="1"/>
  <c r="S64" i="1"/>
  <c r="S70" i="1"/>
  <c r="S75" i="1"/>
  <c r="S96" i="1"/>
  <c r="S97" i="1"/>
  <c r="S103" i="1"/>
  <c r="S108" i="1"/>
  <c r="S129" i="1"/>
  <c r="S130" i="1"/>
  <c r="S136" i="1"/>
  <c r="S141" i="1"/>
  <c r="S162" i="1"/>
  <c r="S163" i="1"/>
  <c r="S169" i="1"/>
  <c r="S174" i="1"/>
  <c r="S195" i="1"/>
  <c r="S196" i="1"/>
  <c r="S202" i="1"/>
  <c r="S207" i="1"/>
  <c r="S228" i="1"/>
  <c r="S229" i="1"/>
  <c r="S235" i="1"/>
  <c r="S240" i="1"/>
  <c r="S261" i="1"/>
  <c r="S262" i="1"/>
  <c r="S268" i="1"/>
  <c r="S273" i="1"/>
  <c r="S294" i="1"/>
  <c r="S295" i="1"/>
  <c r="S301" i="1"/>
  <c r="S306" i="1"/>
  <c r="S327" i="1"/>
  <c r="S328" i="1"/>
  <c r="S334" i="1"/>
  <c r="S339" i="1"/>
  <c r="S360" i="1"/>
  <c r="S361" i="1"/>
  <c r="S367" i="1"/>
  <c r="S372" i="1"/>
  <c r="S393" i="1"/>
  <c r="S394" i="1"/>
  <c r="S400" i="1"/>
  <c r="S405" i="1"/>
  <c r="S426" i="1"/>
  <c r="S427" i="1"/>
  <c r="S433" i="1"/>
  <c r="S438" i="1"/>
  <c r="S459" i="1"/>
  <c r="S460" i="1"/>
  <c r="S466" i="1"/>
  <c r="S471" i="1"/>
  <c r="T9" i="1"/>
  <c r="T30" i="1"/>
  <c r="T31" i="1"/>
  <c r="T37" i="1"/>
  <c r="T42" i="1"/>
  <c r="T63" i="1"/>
  <c r="T64" i="1"/>
  <c r="T70" i="1"/>
  <c r="T75" i="1"/>
  <c r="T96" i="1"/>
  <c r="T97" i="1"/>
  <c r="T103" i="1"/>
  <c r="T108" i="1"/>
  <c r="T129" i="1"/>
  <c r="T130" i="1"/>
  <c r="T136" i="1"/>
  <c r="T141" i="1"/>
  <c r="T162" i="1"/>
  <c r="T163" i="1"/>
  <c r="T169" i="1"/>
  <c r="T174" i="1"/>
  <c r="T195" i="1"/>
  <c r="T196" i="1"/>
  <c r="T202" i="1"/>
  <c r="T207" i="1"/>
  <c r="T228" i="1"/>
  <c r="T229" i="1"/>
  <c r="T235" i="1"/>
  <c r="T240" i="1"/>
  <c r="T261" i="1"/>
  <c r="T262" i="1"/>
  <c r="T268" i="1"/>
  <c r="T273" i="1"/>
  <c r="T294" i="1"/>
  <c r="T295" i="1"/>
  <c r="T301" i="1"/>
  <c r="T306" i="1"/>
  <c r="T327" i="1"/>
  <c r="T328" i="1"/>
  <c r="T334" i="1"/>
  <c r="T339" i="1"/>
  <c r="T360" i="1"/>
  <c r="T361" i="1"/>
  <c r="T367" i="1"/>
  <c r="T372" i="1"/>
  <c r="T393" i="1"/>
  <c r="T394" i="1"/>
  <c r="T400" i="1"/>
  <c r="T405" i="1"/>
  <c r="T426" i="1"/>
  <c r="T427" i="1"/>
  <c r="T433" i="1"/>
  <c r="T438" i="1"/>
  <c r="T459" i="1"/>
  <c r="T460" i="1"/>
  <c r="T466" i="1"/>
  <c r="T471" i="1"/>
  <c r="U9" i="1"/>
  <c r="U30" i="1"/>
  <c r="U31" i="1"/>
  <c r="U37" i="1"/>
  <c r="U42" i="1"/>
  <c r="U63" i="1"/>
  <c r="U64" i="1"/>
  <c r="U70" i="1"/>
  <c r="U75" i="1"/>
  <c r="U96" i="1"/>
  <c r="U97" i="1"/>
  <c r="U103" i="1"/>
  <c r="U108" i="1"/>
  <c r="U129" i="1"/>
  <c r="U130" i="1"/>
  <c r="U136" i="1"/>
  <c r="U141" i="1"/>
  <c r="U162" i="1"/>
  <c r="U163" i="1"/>
  <c r="U169" i="1"/>
  <c r="U174" i="1"/>
  <c r="U195" i="1"/>
  <c r="U196" i="1"/>
  <c r="U202" i="1"/>
  <c r="U207" i="1"/>
  <c r="U228" i="1"/>
  <c r="U229" i="1"/>
  <c r="U235" i="1"/>
  <c r="U240" i="1"/>
  <c r="U261" i="1"/>
  <c r="U262" i="1"/>
  <c r="U268" i="1"/>
  <c r="U273" i="1"/>
  <c r="U294" i="1"/>
  <c r="U295" i="1"/>
  <c r="U301" i="1"/>
  <c r="U306" i="1"/>
  <c r="U327" i="1"/>
  <c r="U328" i="1"/>
  <c r="U334" i="1"/>
  <c r="U339" i="1"/>
  <c r="U360" i="1"/>
  <c r="U361" i="1"/>
  <c r="U367" i="1"/>
  <c r="U372" i="1"/>
  <c r="U393" i="1"/>
  <c r="U394" i="1"/>
  <c r="U400" i="1"/>
  <c r="U405" i="1"/>
  <c r="U426" i="1"/>
  <c r="U427" i="1"/>
  <c r="U433" i="1"/>
  <c r="U438" i="1"/>
  <c r="U459" i="1"/>
  <c r="U460" i="1"/>
  <c r="U466" i="1"/>
  <c r="U471" i="1"/>
  <c r="V9" i="1"/>
  <c r="V30" i="1"/>
  <c r="V31" i="1"/>
  <c r="V37" i="1"/>
  <c r="V42" i="1"/>
  <c r="V63" i="1"/>
  <c r="V64" i="1"/>
  <c r="V70" i="1"/>
  <c r="V75" i="1"/>
  <c r="V96" i="1"/>
  <c r="V97" i="1"/>
  <c r="V103" i="1"/>
  <c r="V108" i="1"/>
  <c r="V129" i="1"/>
  <c r="V130" i="1"/>
  <c r="V136" i="1"/>
  <c r="V141" i="1"/>
  <c r="V162" i="1"/>
  <c r="V163" i="1"/>
  <c r="V169" i="1"/>
  <c r="V174" i="1"/>
  <c r="V195" i="1"/>
  <c r="V196" i="1"/>
  <c r="V202" i="1"/>
  <c r="V207" i="1"/>
  <c r="V228" i="1"/>
  <c r="V229" i="1"/>
  <c r="V235" i="1"/>
  <c r="V240" i="1"/>
  <c r="V261" i="1"/>
  <c r="V262" i="1"/>
  <c r="V268" i="1"/>
  <c r="V273" i="1"/>
  <c r="V294" i="1"/>
  <c r="V295" i="1"/>
  <c r="V301" i="1"/>
  <c r="V306" i="1"/>
  <c r="V327" i="1"/>
  <c r="V328" i="1"/>
  <c r="V334" i="1"/>
  <c r="V339" i="1"/>
  <c r="V360" i="1"/>
  <c r="V361" i="1"/>
  <c r="V367" i="1"/>
  <c r="V372" i="1"/>
  <c r="V393" i="1"/>
  <c r="V394" i="1"/>
  <c r="V400" i="1"/>
  <c r="V405" i="1"/>
  <c r="V426" i="1"/>
  <c r="V427" i="1"/>
  <c r="V433" i="1"/>
  <c r="V438" i="1"/>
  <c r="V459" i="1"/>
  <c r="V460" i="1"/>
  <c r="V466" i="1"/>
  <c r="V471" i="1"/>
  <c r="W9" i="1"/>
  <c r="W30" i="1"/>
  <c r="W31" i="1"/>
  <c r="W37" i="1"/>
  <c r="W42" i="1"/>
  <c r="W63" i="1"/>
  <c r="W64" i="1"/>
  <c r="W70" i="1"/>
  <c r="W75" i="1"/>
  <c r="W96" i="1"/>
  <c r="W97" i="1"/>
  <c r="W103" i="1"/>
  <c r="W108" i="1"/>
  <c r="W129" i="1"/>
  <c r="W130" i="1"/>
  <c r="W136" i="1"/>
  <c r="W141" i="1"/>
  <c r="W162" i="1"/>
  <c r="W163" i="1"/>
  <c r="W169" i="1"/>
  <c r="W174" i="1"/>
  <c r="W195" i="1"/>
  <c r="W196" i="1"/>
  <c r="W202" i="1"/>
  <c r="W207" i="1"/>
  <c r="W228" i="1"/>
  <c r="W229" i="1"/>
  <c r="W235" i="1"/>
  <c r="W240" i="1"/>
  <c r="W261" i="1"/>
  <c r="W262" i="1"/>
  <c r="W268" i="1"/>
  <c r="W273" i="1"/>
  <c r="W294" i="1"/>
  <c r="W295" i="1"/>
  <c r="W301" i="1"/>
  <c r="W306" i="1"/>
  <c r="W327" i="1"/>
  <c r="W328" i="1"/>
  <c r="W334" i="1"/>
  <c r="W339" i="1"/>
  <c r="W360" i="1"/>
  <c r="W361" i="1"/>
  <c r="W367" i="1"/>
  <c r="W372" i="1"/>
  <c r="W393" i="1"/>
  <c r="W394" i="1"/>
  <c r="W400" i="1"/>
  <c r="W405" i="1"/>
  <c r="W426" i="1"/>
  <c r="W427" i="1"/>
  <c r="W433" i="1"/>
  <c r="W438" i="1"/>
  <c r="W459" i="1"/>
  <c r="W460" i="1"/>
  <c r="W466" i="1"/>
  <c r="W471" i="1"/>
  <c r="X471" i="1"/>
  <c r="O492" i="1"/>
  <c r="P492" i="1"/>
  <c r="Q492" i="1"/>
  <c r="R492" i="1"/>
  <c r="S492" i="1"/>
  <c r="T492" i="1"/>
  <c r="U492" i="1"/>
  <c r="V492" i="1"/>
  <c r="W492" i="1"/>
  <c r="X492" i="1"/>
  <c r="X493" i="1"/>
  <c r="W493" i="1"/>
  <c r="V493" i="1"/>
  <c r="U493" i="1"/>
  <c r="T493" i="1"/>
  <c r="S493" i="1"/>
  <c r="R493" i="1"/>
  <c r="Q493" i="1"/>
  <c r="P493" i="1"/>
  <c r="O493" i="1"/>
  <c r="K471" i="1"/>
  <c r="K492" i="1"/>
  <c r="K493" i="1"/>
  <c r="X491" i="1"/>
  <c r="K491" i="1"/>
  <c r="X490" i="1"/>
  <c r="K490" i="1"/>
  <c r="X489" i="1"/>
  <c r="K489" i="1"/>
  <c r="X488" i="1"/>
  <c r="K488" i="1"/>
  <c r="X487" i="1"/>
  <c r="K487" i="1"/>
  <c r="X486" i="1"/>
  <c r="K486" i="1"/>
  <c r="X485" i="1"/>
  <c r="K485" i="1"/>
  <c r="X484" i="1"/>
  <c r="K484" i="1"/>
  <c r="X483" i="1"/>
  <c r="K483" i="1"/>
  <c r="X482" i="1"/>
  <c r="K482" i="1"/>
  <c r="X481" i="1"/>
  <c r="K481" i="1"/>
  <c r="X480" i="1"/>
  <c r="K480" i="1"/>
  <c r="X479" i="1"/>
  <c r="K479" i="1"/>
  <c r="X478" i="1"/>
  <c r="K478" i="1"/>
  <c r="X477" i="1"/>
  <c r="K477" i="1"/>
  <c r="X476" i="1"/>
  <c r="K476" i="1"/>
  <c r="X475" i="1"/>
  <c r="K475" i="1"/>
  <c r="X474" i="1"/>
  <c r="K474" i="1"/>
  <c r="X473" i="1"/>
  <c r="K473" i="1"/>
  <c r="X472" i="1"/>
  <c r="K472" i="1"/>
  <c r="X470" i="1"/>
  <c r="K470" i="1"/>
  <c r="X469" i="1"/>
  <c r="K469" i="1"/>
  <c r="X468" i="1"/>
  <c r="K468" i="1"/>
  <c r="X467" i="1"/>
  <c r="K467" i="1"/>
  <c r="X466" i="1"/>
  <c r="K466" i="1"/>
  <c r="X458" i="1"/>
  <c r="K458" i="1"/>
  <c r="X457" i="1"/>
  <c r="K457" i="1"/>
  <c r="X456" i="1"/>
  <c r="K456" i="1"/>
  <c r="X455" i="1"/>
  <c r="K455" i="1"/>
  <c r="X454" i="1"/>
  <c r="K454" i="1"/>
  <c r="X453" i="1"/>
  <c r="K453" i="1"/>
  <c r="X452" i="1"/>
  <c r="K452" i="1"/>
  <c r="X451" i="1"/>
  <c r="K451" i="1"/>
  <c r="X450" i="1"/>
  <c r="K450" i="1"/>
  <c r="X449" i="1"/>
  <c r="K449" i="1"/>
  <c r="X448" i="1"/>
  <c r="K448" i="1"/>
  <c r="X447" i="1"/>
  <c r="K447" i="1"/>
  <c r="X446" i="1"/>
  <c r="K446" i="1"/>
  <c r="X445" i="1"/>
  <c r="K445" i="1"/>
  <c r="X444" i="1"/>
  <c r="K444" i="1"/>
  <c r="X443" i="1"/>
  <c r="K443" i="1"/>
  <c r="X442" i="1"/>
  <c r="K442" i="1"/>
  <c r="X441" i="1"/>
  <c r="K441" i="1"/>
  <c r="X440" i="1"/>
  <c r="K440" i="1"/>
  <c r="X439" i="1"/>
  <c r="K439" i="1"/>
  <c r="X437" i="1"/>
  <c r="K437" i="1"/>
  <c r="X436" i="1"/>
  <c r="K436" i="1"/>
  <c r="X435" i="1"/>
  <c r="K435" i="1"/>
  <c r="X434" i="1"/>
  <c r="K434" i="1"/>
  <c r="X425" i="1"/>
  <c r="K425" i="1"/>
  <c r="X424" i="1"/>
  <c r="K424" i="1"/>
  <c r="X423" i="1"/>
  <c r="K423" i="1"/>
  <c r="X422" i="1"/>
  <c r="K422" i="1"/>
  <c r="X421" i="1"/>
  <c r="K421" i="1"/>
  <c r="X420" i="1"/>
  <c r="K420" i="1"/>
  <c r="X419" i="1"/>
  <c r="K419" i="1"/>
  <c r="X418" i="1"/>
  <c r="K418" i="1"/>
  <c r="X417" i="1"/>
  <c r="K417" i="1"/>
  <c r="X416" i="1"/>
  <c r="K416" i="1"/>
  <c r="X415" i="1"/>
  <c r="K415" i="1"/>
  <c r="X414" i="1"/>
  <c r="K414" i="1"/>
  <c r="X413" i="1"/>
  <c r="K413" i="1"/>
  <c r="X412" i="1"/>
  <c r="K412" i="1"/>
  <c r="X411" i="1"/>
  <c r="K411" i="1"/>
  <c r="X410" i="1"/>
  <c r="K410" i="1"/>
  <c r="X409" i="1"/>
  <c r="K409" i="1"/>
  <c r="X408" i="1"/>
  <c r="K408" i="1"/>
  <c r="X407" i="1"/>
  <c r="K407" i="1"/>
  <c r="X406" i="1"/>
  <c r="K406" i="1"/>
  <c r="X404" i="1"/>
  <c r="K404" i="1"/>
  <c r="X403" i="1"/>
  <c r="K403" i="1"/>
  <c r="X402" i="1"/>
  <c r="K402" i="1"/>
  <c r="X401" i="1"/>
  <c r="K401" i="1"/>
  <c r="X37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1" i="1"/>
  <c r="X370" i="1"/>
  <c r="X369" i="1"/>
  <c r="X368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1" i="1"/>
  <c r="K370" i="1"/>
  <c r="K369" i="1"/>
  <c r="K368" i="1"/>
  <c r="W360" i="3"/>
  <c r="V360" i="3"/>
  <c r="U360" i="3"/>
  <c r="T360" i="3"/>
  <c r="S360" i="3"/>
  <c r="R360" i="3"/>
  <c r="Q360" i="3"/>
  <c r="P360" i="3"/>
  <c r="O360" i="3"/>
  <c r="J360" i="3"/>
  <c r="I360" i="3"/>
  <c r="H360" i="3"/>
  <c r="G360" i="3"/>
  <c r="F360" i="3"/>
  <c r="E360" i="3"/>
  <c r="D360" i="3"/>
  <c r="C360" i="3"/>
  <c r="B360" i="3"/>
  <c r="X359" i="3"/>
  <c r="K359" i="3"/>
  <c r="X358" i="3"/>
  <c r="K358" i="3"/>
  <c r="X357" i="3"/>
  <c r="K357" i="3"/>
  <c r="X356" i="3"/>
  <c r="K356" i="3"/>
  <c r="X355" i="3"/>
  <c r="K355" i="3"/>
  <c r="X354" i="3"/>
  <c r="K354" i="3"/>
  <c r="X353" i="3"/>
  <c r="K353" i="3"/>
  <c r="X352" i="3"/>
  <c r="K352" i="3"/>
  <c r="X351" i="3"/>
  <c r="K351" i="3"/>
  <c r="X350" i="3"/>
  <c r="K350" i="3"/>
  <c r="X349" i="3"/>
  <c r="K349" i="3"/>
  <c r="X348" i="3"/>
  <c r="K348" i="3"/>
  <c r="X347" i="3"/>
  <c r="K347" i="3"/>
  <c r="X346" i="3"/>
  <c r="K346" i="3"/>
  <c r="X345" i="3"/>
  <c r="K345" i="3"/>
  <c r="X344" i="3"/>
  <c r="K344" i="3"/>
  <c r="X343" i="3"/>
  <c r="K343" i="3"/>
  <c r="X342" i="3"/>
  <c r="K342" i="3"/>
  <c r="X341" i="3"/>
  <c r="K341" i="3"/>
  <c r="X340" i="3"/>
  <c r="K340" i="3"/>
  <c r="X338" i="3"/>
  <c r="K338" i="3"/>
  <c r="X337" i="3"/>
  <c r="K337" i="3"/>
  <c r="X336" i="3"/>
  <c r="K336" i="3"/>
  <c r="X335" i="3"/>
  <c r="K335" i="3"/>
  <c r="W327" i="3"/>
  <c r="V327" i="3"/>
  <c r="U327" i="3"/>
  <c r="T327" i="3"/>
  <c r="S327" i="3"/>
  <c r="R327" i="3"/>
  <c r="Q327" i="3"/>
  <c r="P327" i="3"/>
  <c r="O327" i="3"/>
  <c r="J327" i="3"/>
  <c r="I327" i="3"/>
  <c r="H327" i="3"/>
  <c r="G327" i="3"/>
  <c r="F327" i="3"/>
  <c r="E327" i="3"/>
  <c r="D327" i="3"/>
  <c r="C327" i="3"/>
  <c r="B327" i="3"/>
  <c r="X326" i="3"/>
  <c r="K326" i="3"/>
  <c r="X325" i="3"/>
  <c r="K325" i="3"/>
  <c r="X324" i="3"/>
  <c r="K324" i="3"/>
  <c r="X323" i="3"/>
  <c r="K323" i="3"/>
  <c r="X322" i="3"/>
  <c r="K322" i="3"/>
  <c r="X321" i="3"/>
  <c r="K321" i="3"/>
  <c r="X320" i="3"/>
  <c r="K320" i="3"/>
  <c r="X319" i="3"/>
  <c r="K319" i="3"/>
  <c r="X318" i="3"/>
  <c r="K318" i="3"/>
  <c r="X317" i="3"/>
  <c r="K317" i="3"/>
  <c r="X316" i="3"/>
  <c r="K316" i="3"/>
  <c r="X315" i="3"/>
  <c r="K315" i="3"/>
  <c r="X314" i="3"/>
  <c r="K314" i="3"/>
  <c r="X313" i="3"/>
  <c r="K313" i="3"/>
  <c r="X312" i="3"/>
  <c r="K312" i="3"/>
  <c r="X311" i="3"/>
  <c r="K311" i="3"/>
  <c r="X310" i="3"/>
  <c r="K310" i="3"/>
  <c r="X309" i="3"/>
  <c r="K309" i="3"/>
  <c r="X308" i="3"/>
  <c r="K308" i="3"/>
  <c r="X307" i="3"/>
  <c r="K307" i="3"/>
  <c r="X305" i="3"/>
  <c r="K305" i="3"/>
  <c r="X304" i="3"/>
  <c r="K304" i="3"/>
  <c r="X303" i="3"/>
  <c r="K303" i="3"/>
  <c r="X302" i="3"/>
  <c r="K302" i="3"/>
  <c r="W294" i="3"/>
  <c r="V294" i="3"/>
  <c r="U294" i="3"/>
  <c r="T294" i="3"/>
  <c r="S294" i="3"/>
  <c r="R294" i="3"/>
  <c r="Q294" i="3"/>
  <c r="P294" i="3"/>
  <c r="O294" i="3"/>
  <c r="J294" i="3"/>
  <c r="I294" i="3"/>
  <c r="H294" i="3"/>
  <c r="G294" i="3"/>
  <c r="F294" i="3"/>
  <c r="E294" i="3"/>
  <c r="D294" i="3"/>
  <c r="C294" i="3"/>
  <c r="B294" i="3"/>
  <c r="X293" i="3"/>
  <c r="K293" i="3"/>
  <c r="X292" i="3"/>
  <c r="K292" i="3"/>
  <c r="X291" i="3"/>
  <c r="K291" i="3"/>
  <c r="X290" i="3"/>
  <c r="K290" i="3"/>
  <c r="X289" i="3"/>
  <c r="K289" i="3"/>
  <c r="X288" i="3"/>
  <c r="K288" i="3"/>
  <c r="X287" i="3"/>
  <c r="K287" i="3"/>
  <c r="X286" i="3"/>
  <c r="K286" i="3"/>
  <c r="X285" i="3"/>
  <c r="K285" i="3"/>
  <c r="X284" i="3"/>
  <c r="K284" i="3"/>
  <c r="X283" i="3"/>
  <c r="K283" i="3"/>
  <c r="X282" i="3"/>
  <c r="K282" i="3"/>
  <c r="X281" i="3"/>
  <c r="K281" i="3"/>
  <c r="X280" i="3"/>
  <c r="K280" i="3"/>
  <c r="X279" i="3"/>
  <c r="K279" i="3"/>
  <c r="X278" i="3"/>
  <c r="K278" i="3"/>
  <c r="X277" i="3"/>
  <c r="K277" i="3"/>
  <c r="X276" i="3"/>
  <c r="K276" i="3"/>
  <c r="X275" i="3"/>
  <c r="K275" i="3"/>
  <c r="X274" i="3"/>
  <c r="K274" i="3"/>
  <c r="X272" i="3"/>
  <c r="K272" i="3"/>
  <c r="X271" i="3"/>
  <c r="K271" i="3"/>
  <c r="X270" i="3"/>
  <c r="K270" i="3"/>
  <c r="X269" i="3"/>
  <c r="K269" i="3"/>
  <c r="W261" i="3"/>
  <c r="V261" i="3"/>
  <c r="U261" i="3"/>
  <c r="T261" i="3"/>
  <c r="S261" i="3"/>
  <c r="R261" i="3"/>
  <c r="Q261" i="3"/>
  <c r="P261" i="3"/>
  <c r="O261" i="3"/>
  <c r="J261" i="3"/>
  <c r="I261" i="3"/>
  <c r="H261" i="3"/>
  <c r="G261" i="3"/>
  <c r="F261" i="3"/>
  <c r="E261" i="3"/>
  <c r="D261" i="3"/>
  <c r="C261" i="3"/>
  <c r="B261" i="3"/>
  <c r="X260" i="3"/>
  <c r="K260" i="3"/>
  <c r="X259" i="3"/>
  <c r="K259" i="3"/>
  <c r="X258" i="3"/>
  <c r="K258" i="3"/>
  <c r="X257" i="3"/>
  <c r="K257" i="3"/>
  <c r="X256" i="3"/>
  <c r="K256" i="3"/>
  <c r="X255" i="3"/>
  <c r="K255" i="3"/>
  <c r="X254" i="3"/>
  <c r="K254" i="3"/>
  <c r="X253" i="3"/>
  <c r="K253" i="3"/>
  <c r="X252" i="3"/>
  <c r="K252" i="3"/>
  <c r="X251" i="3"/>
  <c r="K251" i="3"/>
  <c r="X250" i="3"/>
  <c r="K250" i="3"/>
  <c r="X249" i="3"/>
  <c r="K249" i="3"/>
  <c r="X248" i="3"/>
  <c r="K248" i="3"/>
  <c r="X247" i="3"/>
  <c r="K247" i="3"/>
  <c r="X246" i="3"/>
  <c r="K246" i="3"/>
  <c r="X245" i="3"/>
  <c r="K245" i="3"/>
  <c r="X244" i="3"/>
  <c r="K244" i="3"/>
  <c r="X243" i="3"/>
  <c r="K243" i="3"/>
  <c r="X242" i="3"/>
  <c r="K242" i="3"/>
  <c r="X241" i="3"/>
  <c r="K241" i="3"/>
  <c r="X239" i="3"/>
  <c r="K239" i="3"/>
  <c r="X238" i="3"/>
  <c r="K238" i="3"/>
  <c r="X237" i="3"/>
  <c r="K237" i="3"/>
  <c r="X236" i="3"/>
  <c r="K236" i="3"/>
  <c r="W228" i="3"/>
  <c r="V228" i="3"/>
  <c r="U228" i="3"/>
  <c r="T228" i="3"/>
  <c r="S228" i="3"/>
  <c r="R228" i="3"/>
  <c r="Q228" i="3"/>
  <c r="P228" i="3"/>
  <c r="O228" i="3"/>
  <c r="J228" i="3"/>
  <c r="I228" i="3"/>
  <c r="H228" i="3"/>
  <c r="G228" i="3"/>
  <c r="F228" i="3"/>
  <c r="E228" i="3"/>
  <c r="D228" i="3"/>
  <c r="C228" i="3"/>
  <c r="B228" i="3"/>
  <c r="X227" i="3"/>
  <c r="K227" i="3"/>
  <c r="X226" i="3"/>
  <c r="K226" i="3"/>
  <c r="X225" i="3"/>
  <c r="K225" i="3"/>
  <c r="X224" i="3"/>
  <c r="K224" i="3"/>
  <c r="X223" i="3"/>
  <c r="K223" i="3"/>
  <c r="X222" i="3"/>
  <c r="K222" i="3"/>
  <c r="X221" i="3"/>
  <c r="K221" i="3"/>
  <c r="X220" i="3"/>
  <c r="K220" i="3"/>
  <c r="X219" i="3"/>
  <c r="K219" i="3"/>
  <c r="X218" i="3"/>
  <c r="K218" i="3"/>
  <c r="X217" i="3"/>
  <c r="K217" i="3"/>
  <c r="X216" i="3"/>
  <c r="K216" i="3"/>
  <c r="X215" i="3"/>
  <c r="K215" i="3"/>
  <c r="X214" i="3"/>
  <c r="K214" i="3"/>
  <c r="X213" i="3"/>
  <c r="K213" i="3"/>
  <c r="X212" i="3"/>
  <c r="K212" i="3"/>
  <c r="X211" i="3"/>
  <c r="K211" i="3"/>
  <c r="X210" i="3"/>
  <c r="K210" i="3"/>
  <c r="X209" i="3"/>
  <c r="K209" i="3"/>
  <c r="X208" i="3"/>
  <c r="K208" i="3"/>
  <c r="X206" i="3"/>
  <c r="K206" i="3"/>
  <c r="X205" i="3"/>
  <c r="K205" i="3"/>
  <c r="X204" i="3"/>
  <c r="K204" i="3"/>
  <c r="X203" i="3"/>
  <c r="K203" i="3"/>
  <c r="W195" i="3"/>
  <c r="V195" i="3"/>
  <c r="U195" i="3"/>
  <c r="T195" i="3"/>
  <c r="S195" i="3"/>
  <c r="R195" i="3"/>
  <c r="Q195" i="3"/>
  <c r="P195" i="3"/>
  <c r="O195" i="3"/>
  <c r="J195" i="3"/>
  <c r="I195" i="3"/>
  <c r="H195" i="3"/>
  <c r="G195" i="3"/>
  <c r="F195" i="3"/>
  <c r="E195" i="3"/>
  <c r="D195" i="3"/>
  <c r="C195" i="3"/>
  <c r="B195" i="3"/>
  <c r="X194" i="3"/>
  <c r="K194" i="3"/>
  <c r="X193" i="3"/>
  <c r="K193" i="3"/>
  <c r="X192" i="3"/>
  <c r="K192" i="3"/>
  <c r="X191" i="3"/>
  <c r="K191" i="3"/>
  <c r="X190" i="3"/>
  <c r="K190" i="3"/>
  <c r="X189" i="3"/>
  <c r="K189" i="3"/>
  <c r="X188" i="3"/>
  <c r="K188" i="3"/>
  <c r="X187" i="3"/>
  <c r="K187" i="3"/>
  <c r="X186" i="3"/>
  <c r="K186" i="3"/>
  <c r="X185" i="3"/>
  <c r="K185" i="3"/>
  <c r="X184" i="3"/>
  <c r="K184" i="3"/>
  <c r="X183" i="3"/>
  <c r="K183" i="3"/>
  <c r="X182" i="3"/>
  <c r="K182" i="3"/>
  <c r="X181" i="3"/>
  <c r="K181" i="3"/>
  <c r="X180" i="3"/>
  <c r="K180" i="3"/>
  <c r="X179" i="3"/>
  <c r="K179" i="3"/>
  <c r="X178" i="3"/>
  <c r="K178" i="3"/>
  <c r="X177" i="3"/>
  <c r="K177" i="3"/>
  <c r="X176" i="3"/>
  <c r="K176" i="3"/>
  <c r="X175" i="3"/>
  <c r="K175" i="3"/>
  <c r="X173" i="3"/>
  <c r="K173" i="3"/>
  <c r="X172" i="3"/>
  <c r="K172" i="3"/>
  <c r="X171" i="3"/>
  <c r="K171" i="3"/>
  <c r="X170" i="3"/>
  <c r="K170" i="3"/>
  <c r="W162" i="3"/>
  <c r="V162" i="3"/>
  <c r="U162" i="3"/>
  <c r="T162" i="3"/>
  <c r="S162" i="3"/>
  <c r="R162" i="3"/>
  <c r="Q162" i="3"/>
  <c r="P162" i="3"/>
  <c r="O162" i="3"/>
  <c r="J162" i="3"/>
  <c r="I162" i="3"/>
  <c r="H162" i="3"/>
  <c r="G162" i="3"/>
  <c r="F162" i="3"/>
  <c r="E162" i="3"/>
  <c r="D162" i="3"/>
  <c r="C162" i="3"/>
  <c r="B162" i="3"/>
  <c r="X161" i="3"/>
  <c r="K161" i="3"/>
  <c r="X160" i="3"/>
  <c r="K160" i="3"/>
  <c r="X159" i="3"/>
  <c r="K159" i="3"/>
  <c r="X158" i="3"/>
  <c r="K158" i="3"/>
  <c r="X157" i="3"/>
  <c r="K157" i="3"/>
  <c r="X156" i="3"/>
  <c r="K156" i="3"/>
  <c r="X155" i="3"/>
  <c r="K155" i="3"/>
  <c r="X154" i="3"/>
  <c r="K154" i="3"/>
  <c r="X153" i="3"/>
  <c r="K153" i="3"/>
  <c r="X152" i="3"/>
  <c r="K152" i="3"/>
  <c r="X151" i="3"/>
  <c r="K151" i="3"/>
  <c r="X150" i="3"/>
  <c r="K150" i="3"/>
  <c r="X149" i="3"/>
  <c r="K149" i="3"/>
  <c r="X148" i="3"/>
  <c r="K148" i="3"/>
  <c r="X147" i="3"/>
  <c r="K147" i="3"/>
  <c r="X146" i="3"/>
  <c r="K146" i="3"/>
  <c r="X145" i="3"/>
  <c r="K145" i="3"/>
  <c r="X144" i="3"/>
  <c r="K144" i="3"/>
  <c r="X143" i="3"/>
  <c r="K143" i="3"/>
  <c r="X142" i="3"/>
  <c r="K142" i="3"/>
  <c r="X140" i="3"/>
  <c r="K140" i="3"/>
  <c r="X139" i="3"/>
  <c r="K139" i="3"/>
  <c r="X138" i="3"/>
  <c r="K138" i="3"/>
  <c r="X137" i="3"/>
  <c r="K137" i="3"/>
  <c r="W129" i="3"/>
  <c r="V129" i="3"/>
  <c r="U129" i="3"/>
  <c r="T129" i="3"/>
  <c r="S129" i="3"/>
  <c r="R129" i="3"/>
  <c r="Q129" i="3"/>
  <c r="P129" i="3"/>
  <c r="O129" i="3"/>
  <c r="J129" i="3"/>
  <c r="I129" i="3"/>
  <c r="H129" i="3"/>
  <c r="G129" i="3"/>
  <c r="F129" i="3"/>
  <c r="E129" i="3"/>
  <c r="D129" i="3"/>
  <c r="C129" i="3"/>
  <c r="B129" i="3"/>
  <c r="X128" i="3"/>
  <c r="K128" i="3"/>
  <c r="X127" i="3"/>
  <c r="K127" i="3"/>
  <c r="X126" i="3"/>
  <c r="K126" i="3"/>
  <c r="X125" i="3"/>
  <c r="K125" i="3"/>
  <c r="X124" i="3"/>
  <c r="K124" i="3"/>
  <c r="X123" i="3"/>
  <c r="K123" i="3"/>
  <c r="X122" i="3"/>
  <c r="K122" i="3"/>
  <c r="X121" i="3"/>
  <c r="K121" i="3"/>
  <c r="X120" i="3"/>
  <c r="K120" i="3"/>
  <c r="X119" i="3"/>
  <c r="K119" i="3"/>
  <c r="X118" i="3"/>
  <c r="K118" i="3"/>
  <c r="X117" i="3"/>
  <c r="K117" i="3"/>
  <c r="X116" i="3"/>
  <c r="K116" i="3"/>
  <c r="X115" i="3"/>
  <c r="K115" i="3"/>
  <c r="X114" i="3"/>
  <c r="K114" i="3"/>
  <c r="X113" i="3"/>
  <c r="K113" i="3"/>
  <c r="X112" i="3"/>
  <c r="K112" i="3"/>
  <c r="X111" i="3"/>
  <c r="K111" i="3"/>
  <c r="X110" i="3"/>
  <c r="K110" i="3"/>
  <c r="X109" i="3"/>
  <c r="K109" i="3"/>
  <c r="X107" i="3"/>
  <c r="K107" i="3"/>
  <c r="X106" i="3"/>
  <c r="K106" i="3"/>
  <c r="X105" i="3"/>
  <c r="K105" i="3"/>
  <c r="X104" i="3"/>
  <c r="K104" i="3"/>
  <c r="W96" i="3"/>
  <c r="V96" i="3"/>
  <c r="U96" i="3"/>
  <c r="T96" i="3"/>
  <c r="S96" i="3"/>
  <c r="R96" i="3"/>
  <c r="Q96" i="3"/>
  <c r="P96" i="3"/>
  <c r="O96" i="3"/>
  <c r="J96" i="3"/>
  <c r="I96" i="3"/>
  <c r="H96" i="3"/>
  <c r="G96" i="3"/>
  <c r="F96" i="3"/>
  <c r="E96" i="3"/>
  <c r="D96" i="3"/>
  <c r="C96" i="3"/>
  <c r="B96" i="3"/>
  <c r="X95" i="3"/>
  <c r="K95" i="3"/>
  <c r="X94" i="3"/>
  <c r="K94" i="3"/>
  <c r="X93" i="3"/>
  <c r="K93" i="3"/>
  <c r="X92" i="3"/>
  <c r="K92" i="3"/>
  <c r="X91" i="3"/>
  <c r="K91" i="3"/>
  <c r="X90" i="3"/>
  <c r="K90" i="3"/>
  <c r="X89" i="3"/>
  <c r="K89" i="3"/>
  <c r="X88" i="3"/>
  <c r="K88" i="3"/>
  <c r="X87" i="3"/>
  <c r="K87" i="3"/>
  <c r="X86" i="3"/>
  <c r="K86" i="3"/>
  <c r="X85" i="3"/>
  <c r="K85" i="3"/>
  <c r="X84" i="3"/>
  <c r="K84" i="3"/>
  <c r="X83" i="3"/>
  <c r="K83" i="3"/>
  <c r="X82" i="3"/>
  <c r="K82" i="3"/>
  <c r="X81" i="3"/>
  <c r="K81" i="3"/>
  <c r="X80" i="3"/>
  <c r="K80" i="3"/>
  <c r="X79" i="3"/>
  <c r="K79" i="3"/>
  <c r="X78" i="3"/>
  <c r="K78" i="3"/>
  <c r="X77" i="3"/>
  <c r="K77" i="3"/>
  <c r="X76" i="3"/>
  <c r="K76" i="3"/>
  <c r="X74" i="3"/>
  <c r="K74" i="3"/>
  <c r="X73" i="3"/>
  <c r="K73" i="3"/>
  <c r="X72" i="3"/>
  <c r="K72" i="3"/>
  <c r="X71" i="3"/>
  <c r="K71" i="3"/>
  <c r="W63" i="3"/>
  <c r="V63" i="3"/>
  <c r="U63" i="3"/>
  <c r="T63" i="3"/>
  <c r="S63" i="3"/>
  <c r="R63" i="3"/>
  <c r="Q63" i="3"/>
  <c r="P63" i="3"/>
  <c r="O63" i="3"/>
  <c r="J63" i="3"/>
  <c r="I63" i="3"/>
  <c r="H63" i="3"/>
  <c r="G63" i="3"/>
  <c r="F63" i="3"/>
  <c r="E63" i="3"/>
  <c r="D63" i="3"/>
  <c r="C63" i="3"/>
  <c r="B63" i="3"/>
  <c r="X62" i="3"/>
  <c r="K62" i="3"/>
  <c r="X61" i="3"/>
  <c r="K61" i="3"/>
  <c r="X60" i="3"/>
  <c r="K60" i="3"/>
  <c r="X59" i="3"/>
  <c r="K59" i="3"/>
  <c r="X58" i="3"/>
  <c r="K58" i="3"/>
  <c r="X57" i="3"/>
  <c r="K57" i="3"/>
  <c r="X56" i="3"/>
  <c r="K56" i="3"/>
  <c r="X55" i="3"/>
  <c r="K55" i="3"/>
  <c r="X54" i="3"/>
  <c r="K54" i="3"/>
  <c r="X53" i="3"/>
  <c r="K53" i="3"/>
  <c r="X52" i="3"/>
  <c r="K52" i="3"/>
  <c r="X51" i="3"/>
  <c r="K51" i="3"/>
  <c r="X50" i="3"/>
  <c r="K50" i="3"/>
  <c r="X49" i="3"/>
  <c r="K49" i="3"/>
  <c r="X48" i="3"/>
  <c r="K48" i="3"/>
  <c r="X47" i="3"/>
  <c r="K47" i="3"/>
  <c r="X46" i="3"/>
  <c r="K46" i="3"/>
  <c r="X45" i="3"/>
  <c r="K45" i="3"/>
  <c r="X44" i="3"/>
  <c r="K44" i="3"/>
  <c r="X43" i="3"/>
  <c r="K43" i="3"/>
  <c r="X41" i="3"/>
  <c r="K41" i="3"/>
  <c r="X40" i="3"/>
  <c r="K40" i="3"/>
  <c r="X39" i="3"/>
  <c r="K39" i="3"/>
  <c r="X38" i="3"/>
  <c r="K38" i="3"/>
  <c r="W30" i="3"/>
  <c r="V30" i="3"/>
  <c r="U30" i="3"/>
  <c r="T30" i="3"/>
  <c r="S30" i="3"/>
  <c r="R30" i="3"/>
  <c r="Q30" i="3"/>
  <c r="P30" i="3"/>
  <c r="O30" i="3"/>
  <c r="J30" i="3"/>
  <c r="I30" i="3"/>
  <c r="H30" i="3"/>
  <c r="G30" i="3"/>
  <c r="F30" i="3"/>
  <c r="E30" i="3"/>
  <c r="D30" i="3"/>
  <c r="C30" i="3"/>
  <c r="B30" i="3"/>
  <c r="X29" i="3"/>
  <c r="K29" i="3"/>
  <c r="X28" i="3"/>
  <c r="K28" i="3"/>
  <c r="X27" i="3"/>
  <c r="K27" i="3"/>
  <c r="X26" i="3"/>
  <c r="K26" i="3"/>
  <c r="X25" i="3"/>
  <c r="K25" i="3"/>
  <c r="X24" i="3"/>
  <c r="K24" i="3"/>
  <c r="X23" i="3"/>
  <c r="K23" i="3"/>
  <c r="X22" i="3"/>
  <c r="K22" i="3"/>
  <c r="X21" i="3"/>
  <c r="K21" i="3"/>
  <c r="X20" i="3"/>
  <c r="K20" i="3"/>
  <c r="X19" i="3"/>
  <c r="K19" i="3"/>
  <c r="X18" i="3"/>
  <c r="K18" i="3"/>
  <c r="X17" i="3"/>
  <c r="K17" i="3"/>
  <c r="X16" i="3"/>
  <c r="K16" i="3"/>
  <c r="X15" i="3"/>
  <c r="K15" i="3"/>
  <c r="X14" i="3"/>
  <c r="K14" i="3"/>
  <c r="X13" i="3"/>
  <c r="K13" i="3"/>
  <c r="X12" i="3"/>
  <c r="K12" i="3"/>
  <c r="X11" i="3"/>
  <c r="K11" i="3"/>
  <c r="X10" i="3"/>
  <c r="K10" i="3"/>
  <c r="W9" i="3"/>
  <c r="V9" i="3"/>
  <c r="U9" i="3"/>
  <c r="T9" i="3"/>
  <c r="T31" i="3"/>
  <c r="T37" i="3"/>
  <c r="T42" i="3"/>
  <c r="T64" i="3"/>
  <c r="T70" i="3"/>
  <c r="T75" i="3"/>
  <c r="T97" i="3"/>
  <c r="T103" i="3"/>
  <c r="T108" i="3"/>
  <c r="T130" i="3"/>
  <c r="T136" i="3"/>
  <c r="T141" i="3"/>
  <c r="T163" i="3"/>
  <c r="T169" i="3"/>
  <c r="T174" i="3"/>
  <c r="T196" i="3"/>
  <c r="T202" i="3"/>
  <c r="T207" i="3"/>
  <c r="T229" i="3"/>
  <c r="T235" i="3"/>
  <c r="T240" i="3"/>
  <c r="T262" i="3"/>
  <c r="T268" i="3"/>
  <c r="T273" i="3"/>
  <c r="T295" i="3"/>
  <c r="T301" i="3"/>
  <c r="T306" i="3"/>
  <c r="T328" i="3"/>
  <c r="T334" i="3"/>
  <c r="T339" i="3"/>
  <c r="T361" i="3"/>
  <c r="S9" i="3"/>
  <c r="R9" i="3"/>
  <c r="Q9" i="3"/>
  <c r="Q31" i="3"/>
  <c r="Q37" i="3"/>
  <c r="Q42" i="3"/>
  <c r="Q64" i="3"/>
  <c r="Q70" i="3"/>
  <c r="Q75" i="3"/>
  <c r="Q97" i="3"/>
  <c r="Q103" i="3"/>
  <c r="Q108" i="3"/>
  <c r="Q130" i="3"/>
  <c r="Q136" i="3"/>
  <c r="Q141" i="3"/>
  <c r="Q163" i="3"/>
  <c r="Q169" i="3"/>
  <c r="Q174" i="3"/>
  <c r="Q196" i="3"/>
  <c r="Q202" i="3"/>
  <c r="Q207" i="3"/>
  <c r="Q229" i="3"/>
  <c r="Q235" i="3"/>
  <c r="Q240" i="3"/>
  <c r="Q262" i="3"/>
  <c r="Q268" i="3"/>
  <c r="Q273" i="3"/>
  <c r="Q295" i="3"/>
  <c r="Q301" i="3"/>
  <c r="Q306" i="3"/>
  <c r="Q328" i="3"/>
  <c r="Q334" i="3"/>
  <c r="Q339" i="3"/>
  <c r="Q361" i="3"/>
  <c r="P9" i="3"/>
  <c r="P31" i="3"/>
  <c r="P37" i="3"/>
  <c r="P42" i="3"/>
  <c r="P64" i="3"/>
  <c r="P70" i="3"/>
  <c r="P75" i="3"/>
  <c r="P97" i="3"/>
  <c r="P103" i="3"/>
  <c r="P108" i="3"/>
  <c r="P130" i="3"/>
  <c r="P136" i="3"/>
  <c r="P141" i="3"/>
  <c r="P163" i="3"/>
  <c r="P169" i="3"/>
  <c r="P174" i="3"/>
  <c r="P196" i="3"/>
  <c r="P202" i="3"/>
  <c r="P207" i="3"/>
  <c r="P229" i="3"/>
  <c r="P235" i="3"/>
  <c r="P240" i="3"/>
  <c r="P262" i="3"/>
  <c r="P268" i="3"/>
  <c r="P273" i="3"/>
  <c r="P295" i="3"/>
  <c r="P301" i="3"/>
  <c r="P306" i="3"/>
  <c r="P328" i="3"/>
  <c r="P334" i="3"/>
  <c r="P339" i="3"/>
  <c r="P361" i="3"/>
  <c r="O9" i="3"/>
  <c r="J9" i="3"/>
  <c r="I9" i="3"/>
  <c r="H9" i="3"/>
  <c r="H31" i="3"/>
  <c r="H37" i="3"/>
  <c r="H42" i="3"/>
  <c r="H64" i="3"/>
  <c r="H70" i="3"/>
  <c r="H75" i="3"/>
  <c r="H97" i="3"/>
  <c r="H103" i="3"/>
  <c r="H108" i="3"/>
  <c r="H130" i="3"/>
  <c r="H136" i="3"/>
  <c r="H141" i="3"/>
  <c r="H163" i="3"/>
  <c r="H169" i="3"/>
  <c r="H174" i="3"/>
  <c r="H196" i="3"/>
  <c r="H202" i="3"/>
  <c r="H207" i="3"/>
  <c r="H229" i="3"/>
  <c r="H235" i="3"/>
  <c r="H240" i="3"/>
  <c r="H262" i="3"/>
  <c r="H268" i="3"/>
  <c r="H273" i="3"/>
  <c r="H295" i="3"/>
  <c r="H301" i="3"/>
  <c r="H306" i="3"/>
  <c r="H328" i="3"/>
  <c r="H334" i="3"/>
  <c r="H339" i="3"/>
  <c r="H361" i="3"/>
  <c r="G9" i="3"/>
  <c r="F9" i="3"/>
  <c r="E9" i="3"/>
  <c r="D9" i="3"/>
  <c r="D31" i="3"/>
  <c r="D37" i="3"/>
  <c r="D42" i="3"/>
  <c r="D64" i="3"/>
  <c r="D70" i="3"/>
  <c r="D75" i="3"/>
  <c r="D97" i="3"/>
  <c r="D103" i="3"/>
  <c r="D108" i="3"/>
  <c r="D130" i="3"/>
  <c r="D136" i="3"/>
  <c r="D141" i="3"/>
  <c r="D163" i="3"/>
  <c r="D169" i="3"/>
  <c r="D174" i="3"/>
  <c r="D196" i="3"/>
  <c r="D202" i="3"/>
  <c r="D207" i="3"/>
  <c r="D229" i="3"/>
  <c r="D235" i="3"/>
  <c r="D240" i="3"/>
  <c r="D262" i="3"/>
  <c r="D268" i="3"/>
  <c r="D273" i="3"/>
  <c r="D295" i="3"/>
  <c r="D301" i="3"/>
  <c r="D306" i="3"/>
  <c r="D328" i="3"/>
  <c r="D334" i="3"/>
  <c r="D339" i="3"/>
  <c r="D361" i="3"/>
  <c r="C9" i="3"/>
  <c r="B9" i="3"/>
  <c r="X8" i="3"/>
  <c r="K8" i="3"/>
  <c r="X7" i="3"/>
  <c r="K7" i="3"/>
  <c r="X6" i="3"/>
  <c r="K6" i="3"/>
  <c r="X5" i="3"/>
  <c r="K5" i="3"/>
  <c r="X4" i="3"/>
  <c r="K4" i="3"/>
  <c r="K195" i="3"/>
  <c r="X327" i="3"/>
  <c r="X162" i="3"/>
  <c r="K294" i="3"/>
  <c r="F329" i="3"/>
  <c r="K327" i="3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8" i="1"/>
  <c r="X337" i="1"/>
  <c r="X336" i="1"/>
  <c r="X335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8" i="1"/>
  <c r="K337" i="1"/>
  <c r="K336" i="1"/>
  <c r="K335" i="1"/>
  <c r="K304" i="1"/>
  <c r="X326" i="1"/>
  <c r="K326" i="1"/>
  <c r="X325" i="1"/>
  <c r="K325" i="1"/>
  <c r="X324" i="1"/>
  <c r="K324" i="1"/>
  <c r="X323" i="1"/>
  <c r="K323" i="1"/>
  <c r="X322" i="1"/>
  <c r="K322" i="1"/>
  <c r="X321" i="1"/>
  <c r="K321" i="1"/>
  <c r="X320" i="1"/>
  <c r="K320" i="1"/>
  <c r="X319" i="1"/>
  <c r="K319" i="1"/>
  <c r="X318" i="1"/>
  <c r="K318" i="1"/>
  <c r="X317" i="1"/>
  <c r="K317" i="1"/>
  <c r="X316" i="1"/>
  <c r="K316" i="1"/>
  <c r="X315" i="1"/>
  <c r="K315" i="1"/>
  <c r="X314" i="1"/>
  <c r="K314" i="1"/>
  <c r="X313" i="1"/>
  <c r="K313" i="1"/>
  <c r="X312" i="1"/>
  <c r="K312" i="1"/>
  <c r="X311" i="1"/>
  <c r="K311" i="1"/>
  <c r="X310" i="1"/>
  <c r="K310" i="1"/>
  <c r="X309" i="1"/>
  <c r="K309" i="1"/>
  <c r="X308" i="1"/>
  <c r="K308" i="1"/>
  <c r="X307" i="1"/>
  <c r="K307" i="1"/>
  <c r="X305" i="1"/>
  <c r="K305" i="1"/>
  <c r="X304" i="1"/>
  <c r="X303" i="1"/>
  <c r="K303" i="1"/>
  <c r="X302" i="1"/>
  <c r="K302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2" i="1"/>
  <c r="X271" i="1"/>
  <c r="X270" i="1"/>
  <c r="X269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2" i="1"/>
  <c r="K271" i="1"/>
  <c r="K270" i="1"/>
  <c r="K269" i="1"/>
  <c r="K244" i="1"/>
  <c r="K245" i="1"/>
  <c r="X260" i="1"/>
  <c r="X241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39" i="1"/>
  <c r="X238" i="1"/>
  <c r="X237" i="1"/>
  <c r="X236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3" i="1"/>
  <c r="K242" i="1"/>
  <c r="K241" i="1"/>
  <c r="K239" i="1"/>
  <c r="K238" i="1"/>
  <c r="K237" i="1"/>
  <c r="K236" i="1"/>
  <c r="K205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6" i="1"/>
  <c r="X205" i="1"/>
  <c r="X204" i="1"/>
  <c r="X203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6" i="1"/>
  <c r="K204" i="1"/>
  <c r="K203" i="1"/>
  <c r="X175" i="1"/>
  <c r="X194" i="1"/>
  <c r="K194" i="1"/>
  <c r="X193" i="1"/>
  <c r="K193" i="1"/>
  <c r="X192" i="1"/>
  <c r="K192" i="1"/>
  <c r="X191" i="1"/>
  <c r="K191" i="1"/>
  <c r="X190" i="1"/>
  <c r="K190" i="1"/>
  <c r="X189" i="1"/>
  <c r="K189" i="1"/>
  <c r="X188" i="1"/>
  <c r="K188" i="1"/>
  <c r="X187" i="1"/>
  <c r="K187" i="1"/>
  <c r="X186" i="1"/>
  <c r="K186" i="1"/>
  <c r="X185" i="1"/>
  <c r="K185" i="1"/>
  <c r="X184" i="1"/>
  <c r="K184" i="1"/>
  <c r="X183" i="1"/>
  <c r="K183" i="1"/>
  <c r="X182" i="1"/>
  <c r="K182" i="1"/>
  <c r="X181" i="1"/>
  <c r="K181" i="1"/>
  <c r="X180" i="1"/>
  <c r="K180" i="1"/>
  <c r="X179" i="1"/>
  <c r="K179" i="1"/>
  <c r="X178" i="1"/>
  <c r="K178" i="1"/>
  <c r="X177" i="1"/>
  <c r="K177" i="1"/>
  <c r="X176" i="1"/>
  <c r="K176" i="1"/>
  <c r="K175" i="1"/>
  <c r="X173" i="1"/>
  <c r="K173" i="1"/>
  <c r="X172" i="1"/>
  <c r="K172" i="1"/>
  <c r="X171" i="1"/>
  <c r="K171" i="1"/>
  <c r="X170" i="1"/>
  <c r="K170" i="1"/>
  <c r="X161" i="1"/>
  <c r="K161" i="1"/>
  <c r="X160" i="1"/>
  <c r="K160" i="1"/>
  <c r="X159" i="1"/>
  <c r="K159" i="1"/>
  <c r="X158" i="1"/>
  <c r="K158" i="1"/>
  <c r="X157" i="1"/>
  <c r="K157" i="1"/>
  <c r="X156" i="1"/>
  <c r="K156" i="1"/>
  <c r="X155" i="1"/>
  <c r="K155" i="1"/>
  <c r="X154" i="1"/>
  <c r="K154" i="1"/>
  <c r="X153" i="1"/>
  <c r="K153" i="1"/>
  <c r="X152" i="1"/>
  <c r="K152" i="1"/>
  <c r="X151" i="1"/>
  <c r="K151" i="1"/>
  <c r="X150" i="1"/>
  <c r="K150" i="1"/>
  <c r="X149" i="1"/>
  <c r="K149" i="1"/>
  <c r="X148" i="1"/>
  <c r="K148" i="1"/>
  <c r="X147" i="1"/>
  <c r="K147" i="1"/>
  <c r="X146" i="1"/>
  <c r="K146" i="1"/>
  <c r="X145" i="1"/>
  <c r="K145" i="1"/>
  <c r="X144" i="1"/>
  <c r="K144" i="1"/>
  <c r="X143" i="1"/>
  <c r="K143" i="1"/>
  <c r="X142" i="1"/>
  <c r="K142" i="1"/>
  <c r="X140" i="1"/>
  <c r="K140" i="1"/>
  <c r="X139" i="1"/>
  <c r="K139" i="1"/>
  <c r="X138" i="1"/>
  <c r="K138" i="1"/>
  <c r="X137" i="1"/>
  <c r="K137" i="1"/>
  <c r="K89" i="1"/>
  <c r="K109" i="1"/>
  <c r="X128" i="1"/>
  <c r="K128" i="1"/>
  <c r="X127" i="1"/>
  <c r="K127" i="1"/>
  <c r="X126" i="1"/>
  <c r="K126" i="1"/>
  <c r="X125" i="1"/>
  <c r="K125" i="1"/>
  <c r="X124" i="1"/>
  <c r="K124" i="1"/>
  <c r="X123" i="1"/>
  <c r="K123" i="1"/>
  <c r="X122" i="1"/>
  <c r="K122" i="1"/>
  <c r="X121" i="1"/>
  <c r="K121" i="1"/>
  <c r="X120" i="1"/>
  <c r="K120" i="1"/>
  <c r="X119" i="1"/>
  <c r="K119" i="1"/>
  <c r="X118" i="1"/>
  <c r="K118" i="1"/>
  <c r="X117" i="1"/>
  <c r="K117" i="1"/>
  <c r="X116" i="1"/>
  <c r="K116" i="1"/>
  <c r="X115" i="1"/>
  <c r="K115" i="1"/>
  <c r="X114" i="1"/>
  <c r="K114" i="1"/>
  <c r="X113" i="1"/>
  <c r="K113" i="1"/>
  <c r="X112" i="1"/>
  <c r="K112" i="1"/>
  <c r="X111" i="1"/>
  <c r="K111" i="1"/>
  <c r="X110" i="1"/>
  <c r="K110" i="1"/>
  <c r="X109" i="1"/>
  <c r="X107" i="1"/>
  <c r="K107" i="1"/>
  <c r="X106" i="1"/>
  <c r="K106" i="1"/>
  <c r="X105" i="1"/>
  <c r="K105" i="1"/>
  <c r="X104" i="1"/>
  <c r="K104" i="1"/>
  <c r="K73" i="1"/>
  <c r="X195" i="1"/>
  <c r="X77" i="1"/>
  <c r="X94" i="1"/>
  <c r="X76" i="1"/>
  <c r="X95" i="1"/>
  <c r="K95" i="1"/>
  <c r="K94" i="1"/>
  <c r="X93" i="1"/>
  <c r="K93" i="1"/>
  <c r="X92" i="1"/>
  <c r="K92" i="1"/>
  <c r="X91" i="1"/>
  <c r="K91" i="1"/>
  <c r="X90" i="1"/>
  <c r="K90" i="1"/>
  <c r="X89" i="1"/>
  <c r="X88" i="1"/>
  <c r="K88" i="1"/>
  <c r="X87" i="1"/>
  <c r="K87" i="1"/>
  <c r="X86" i="1"/>
  <c r="K86" i="1"/>
  <c r="X85" i="1"/>
  <c r="K85" i="1"/>
  <c r="X84" i="1"/>
  <c r="K84" i="1"/>
  <c r="X83" i="1"/>
  <c r="K83" i="1"/>
  <c r="X82" i="1"/>
  <c r="K82" i="1"/>
  <c r="X81" i="1"/>
  <c r="K81" i="1"/>
  <c r="X80" i="1"/>
  <c r="K80" i="1"/>
  <c r="X79" i="1"/>
  <c r="K79" i="1"/>
  <c r="X78" i="1"/>
  <c r="K78" i="1"/>
  <c r="K77" i="1"/>
  <c r="K76" i="1"/>
  <c r="X74" i="1"/>
  <c r="K74" i="1"/>
  <c r="X73" i="1"/>
  <c r="X72" i="1"/>
  <c r="K72" i="1"/>
  <c r="X71" i="1"/>
  <c r="K71" i="1"/>
  <c r="X40" i="1"/>
  <c r="K56" i="1"/>
  <c r="X43" i="1"/>
  <c r="X61" i="1"/>
  <c r="K62" i="1"/>
  <c r="K61" i="1"/>
  <c r="K60" i="1"/>
  <c r="K59" i="1"/>
  <c r="K58" i="1"/>
  <c r="K57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1" i="1"/>
  <c r="K40" i="1"/>
  <c r="K39" i="1"/>
  <c r="K38" i="1"/>
  <c r="X62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1" i="1"/>
  <c r="X39" i="1"/>
  <c r="X38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8" i="1"/>
  <c r="X7" i="1"/>
  <c r="X6" i="1"/>
  <c r="X5" i="1"/>
  <c r="X4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8" i="1"/>
  <c r="K7" i="1"/>
  <c r="K6" i="1"/>
  <c r="K5" i="1"/>
  <c r="K4" i="1"/>
  <c r="D329" i="3"/>
  <c r="X459" i="1"/>
  <c r="K459" i="1"/>
  <c r="K360" i="3"/>
  <c r="X360" i="3"/>
  <c r="K228" i="3"/>
  <c r="X294" i="3"/>
  <c r="X30" i="3"/>
  <c r="X228" i="3"/>
  <c r="X96" i="3"/>
  <c r="K63" i="3"/>
  <c r="K129" i="3"/>
  <c r="H329" i="3"/>
  <c r="B329" i="3"/>
  <c r="J329" i="3"/>
  <c r="X261" i="1"/>
  <c r="X195" i="3"/>
  <c r="K261" i="3"/>
  <c r="X261" i="3"/>
  <c r="E329" i="3"/>
  <c r="G329" i="1"/>
  <c r="C31" i="3"/>
  <c r="C37" i="3"/>
  <c r="C42" i="3"/>
  <c r="W31" i="3"/>
  <c r="W37" i="3"/>
  <c r="W42" i="3"/>
  <c r="W64" i="3"/>
  <c r="W70" i="3"/>
  <c r="W75" i="3"/>
  <c r="W97" i="3"/>
  <c r="W103" i="3"/>
  <c r="W108" i="3"/>
  <c r="W130" i="3"/>
  <c r="W136" i="3"/>
  <c r="W141" i="3"/>
  <c r="W163" i="3"/>
  <c r="W169" i="3"/>
  <c r="W174" i="3"/>
  <c r="W196" i="3"/>
  <c r="W202" i="3"/>
  <c r="W207" i="3"/>
  <c r="W229" i="3"/>
  <c r="W235" i="3"/>
  <c r="W240" i="3"/>
  <c r="W262" i="3"/>
  <c r="W268" i="3"/>
  <c r="W273" i="3"/>
  <c r="W295" i="3"/>
  <c r="W301" i="3"/>
  <c r="W306" i="3"/>
  <c r="W328" i="3"/>
  <c r="W334" i="3"/>
  <c r="W339" i="3"/>
  <c r="W361" i="3"/>
  <c r="B31" i="3"/>
  <c r="B37" i="3"/>
  <c r="B42" i="3"/>
  <c r="B64" i="3"/>
  <c r="B70" i="3"/>
  <c r="B75" i="3"/>
  <c r="B97" i="3"/>
  <c r="B103" i="3"/>
  <c r="B108" i="3"/>
  <c r="B130" i="3"/>
  <c r="B136" i="3"/>
  <c r="F31" i="3"/>
  <c r="F37" i="3"/>
  <c r="F42" i="3"/>
  <c r="F64" i="3"/>
  <c r="F70" i="3"/>
  <c r="F75" i="3"/>
  <c r="F97" i="3"/>
  <c r="F103" i="3"/>
  <c r="F108" i="3"/>
  <c r="F130" i="3"/>
  <c r="F136" i="3"/>
  <c r="F141" i="3"/>
  <c r="F163" i="3"/>
  <c r="F169" i="3"/>
  <c r="F174" i="3"/>
  <c r="F196" i="3"/>
  <c r="F202" i="3"/>
  <c r="F207" i="3"/>
  <c r="F229" i="3"/>
  <c r="F235" i="3"/>
  <c r="F240" i="3"/>
  <c r="F262" i="3"/>
  <c r="F268" i="3"/>
  <c r="F273" i="3"/>
  <c r="F295" i="3"/>
  <c r="F301" i="3"/>
  <c r="F306" i="3"/>
  <c r="F328" i="3"/>
  <c r="F334" i="3"/>
  <c r="F339" i="3"/>
  <c r="F361" i="3"/>
  <c r="J31" i="3"/>
  <c r="J37" i="3"/>
  <c r="J42" i="3"/>
  <c r="J64" i="3"/>
  <c r="J70" i="3"/>
  <c r="J75" i="3"/>
  <c r="J97" i="3"/>
  <c r="J103" i="3"/>
  <c r="J108" i="3"/>
  <c r="J130" i="3"/>
  <c r="J136" i="3"/>
  <c r="J141" i="3"/>
  <c r="J163" i="3"/>
  <c r="J169" i="3"/>
  <c r="J174" i="3"/>
  <c r="J196" i="3"/>
  <c r="J202" i="3"/>
  <c r="J207" i="3"/>
  <c r="J229" i="3"/>
  <c r="J235" i="3"/>
  <c r="J240" i="3"/>
  <c r="J262" i="3"/>
  <c r="J268" i="3"/>
  <c r="J273" i="3"/>
  <c r="J295" i="3"/>
  <c r="J301" i="3"/>
  <c r="J306" i="3"/>
  <c r="J328" i="3"/>
  <c r="J334" i="3"/>
  <c r="J339" i="3"/>
  <c r="J361" i="3"/>
  <c r="R31" i="3"/>
  <c r="R37" i="3"/>
  <c r="R42" i="3"/>
  <c r="R64" i="3"/>
  <c r="R70" i="3"/>
  <c r="R75" i="3"/>
  <c r="R97" i="3"/>
  <c r="R103" i="3"/>
  <c r="R108" i="3"/>
  <c r="R130" i="3"/>
  <c r="R136" i="3"/>
  <c r="R141" i="3"/>
  <c r="R163" i="3"/>
  <c r="R169" i="3"/>
  <c r="R174" i="3"/>
  <c r="R196" i="3"/>
  <c r="R202" i="3"/>
  <c r="R207" i="3"/>
  <c r="R229" i="3"/>
  <c r="R235" i="3"/>
  <c r="R240" i="3"/>
  <c r="R262" i="3"/>
  <c r="R268" i="3"/>
  <c r="R273" i="3"/>
  <c r="R295" i="3"/>
  <c r="R301" i="3"/>
  <c r="R306" i="3"/>
  <c r="R328" i="3"/>
  <c r="R334" i="3"/>
  <c r="R339" i="3"/>
  <c r="R361" i="3"/>
  <c r="V31" i="3"/>
  <c r="V37" i="3"/>
  <c r="V42" i="3"/>
  <c r="V64" i="3"/>
  <c r="V70" i="3"/>
  <c r="V75" i="3"/>
  <c r="V97" i="3"/>
  <c r="V103" i="3"/>
  <c r="V108" i="3"/>
  <c r="V130" i="3"/>
  <c r="V136" i="3"/>
  <c r="V141" i="3"/>
  <c r="V163" i="3"/>
  <c r="V169" i="3"/>
  <c r="V174" i="3"/>
  <c r="V196" i="3"/>
  <c r="V202" i="3"/>
  <c r="V207" i="3"/>
  <c r="V229" i="3"/>
  <c r="V235" i="3"/>
  <c r="V240" i="3"/>
  <c r="V262" i="3"/>
  <c r="V268" i="3"/>
  <c r="V273" i="3"/>
  <c r="V295" i="3"/>
  <c r="V301" i="3"/>
  <c r="V306" i="3"/>
  <c r="V328" i="3"/>
  <c r="V334" i="3"/>
  <c r="V339" i="3"/>
  <c r="V361" i="3"/>
  <c r="X63" i="3"/>
  <c r="K426" i="1"/>
  <c r="X426" i="1"/>
  <c r="K360" i="1"/>
  <c r="K195" i="1"/>
  <c r="K63" i="1"/>
  <c r="K294" i="1"/>
  <c r="K162" i="1"/>
  <c r="K129" i="1"/>
  <c r="X228" i="1"/>
  <c r="X63" i="1"/>
  <c r="X9" i="1"/>
  <c r="K30" i="3"/>
  <c r="K96" i="3"/>
  <c r="X129" i="3"/>
  <c r="F329" i="1"/>
  <c r="I329" i="3"/>
  <c r="K162" i="3"/>
  <c r="J329" i="1"/>
  <c r="K228" i="1"/>
  <c r="K96" i="1"/>
  <c r="K327" i="1"/>
  <c r="H329" i="1"/>
  <c r="K30" i="1"/>
  <c r="E329" i="1"/>
  <c r="C329" i="1"/>
  <c r="X129" i="1"/>
  <c r="C329" i="3"/>
  <c r="G329" i="3"/>
  <c r="X393" i="1"/>
  <c r="E31" i="3"/>
  <c r="E37" i="3"/>
  <c r="E42" i="3"/>
  <c r="E64" i="3"/>
  <c r="E70" i="3"/>
  <c r="E75" i="3"/>
  <c r="E97" i="3"/>
  <c r="E103" i="3"/>
  <c r="E108" i="3"/>
  <c r="E130" i="3"/>
  <c r="E136" i="3"/>
  <c r="E141" i="3"/>
  <c r="E163" i="3"/>
  <c r="E169" i="3"/>
  <c r="E174" i="3"/>
  <c r="E196" i="3"/>
  <c r="E202" i="3"/>
  <c r="E207" i="3"/>
  <c r="E229" i="3"/>
  <c r="E235" i="3"/>
  <c r="E240" i="3"/>
  <c r="E262" i="3"/>
  <c r="E268" i="3"/>
  <c r="E273" i="3"/>
  <c r="E295" i="3"/>
  <c r="E301" i="3"/>
  <c r="E306" i="3"/>
  <c r="E328" i="3"/>
  <c r="E334" i="3"/>
  <c r="E339" i="3"/>
  <c r="E361" i="3"/>
  <c r="G31" i="3"/>
  <c r="G37" i="3"/>
  <c r="G42" i="3"/>
  <c r="G64" i="3"/>
  <c r="G70" i="3"/>
  <c r="G75" i="3"/>
  <c r="G97" i="3"/>
  <c r="G103" i="3"/>
  <c r="G108" i="3"/>
  <c r="G130" i="3"/>
  <c r="G136" i="3"/>
  <c r="G141" i="3"/>
  <c r="G163" i="3"/>
  <c r="G169" i="3"/>
  <c r="G174" i="3"/>
  <c r="G196" i="3"/>
  <c r="G202" i="3"/>
  <c r="G207" i="3"/>
  <c r="G229" i="3"/>
  <c r="G235" i="3"/>
  <c r="G240" i="3"/>
  <c r="G262" i="3"/>
  <c r="G268" i="3"/>
  <c r="G273" i="3"/>
  <c r="G295" i="3"/>
  <c r="G301" i="3"/>
  <c r="G306" i="3"/>
  <c r="G328" i="3"/>
  <c r="G334" i="3"/>
  <c r="G339" i="3"/>
  <c r="G361" i="3"/>
  <c r="I31" i="3"/>
  <c r="I37" i="3"/>
  <c r="I42" i="3"/>
  <c r="I64" i="3"/>
  <c r="I70" i="3"/>
  <c r="I75" i="3"/>
  <c r="I97" i="3"/>
  <c r="I103" i="3"/>
  <c r="I108" i="3"/>
  <c r="I130" i="3"/>
  <c r="I136" i="3"/>
  <c r="I141" i="3"/>
  <c r="I163" i="3"/>
  <c r="I169" i="3"/>
  <c r="I174" i="3"/>
  <c r="I196" i="3"/>
  <c r="I202" i="3"/>
  <c r="I207" i="3"/>
  <c r="I229" i="3"/>
  <c r="I235" i="3"/>
  <c r="I240" i="3"/>
  <c r="I262" i="3"/>
  <c r="I268" i="3"/>
  <c r="I273" i="3"/>
  <c r="I295" i="3"/>
  <c r="I301" i="3"/>
  <c r="I306" i="3"/>
  <c r="I328" i="3"/>
  <c r="I334" i="3"/>
  <c r="I339" i="3"/>
  <c r="I361" i="3"/>
  <c r="O31" i="3"/>
  <c r="O37" i="3"/>
  <c r="O42" i="3"/>
  <c r="S31" i="3"/>
  <c r="S37" i="3"/>
  <c r="S42" i="3"/>
  <c r="S64" i="3"/>
  <c r="S70" i="3"/>
  <c r="S75" i="3"/>
  <c r="S97" i="3"/>
  <c r="S103" i="3"/>
  <c r="S108" i="3"/>
  <c r="S130" i="3"/>
  <c r="S136" i="3"/>
  <c r="S141" i="3"/>
  <c r="S163" i="3"/>
  <c r="S169" i="3"/>
  <c r="S174" i="3"/>
  <c r="S196" i="3"/>
  <c r="S202" i="3"/>
  <c r="S207" i="3"/>
  <c r="S229" i="3"/>
  <c r="S235" i="3"/>
  <c r="S240" i="3"/>
  <c r="S262" i="3"/>
  <c r="S268" i="3"/>
  <c r="S273" i="3"/>
  <c r="S295" i="3"/>
  <c r="S301" i="3"/>
  <c r="S306" i="3"/>
  <c r="S328" i="3"/>
  <c r="S334" i="3"/>
  <c r="S339" i="3"/>
  <c r="S361" i="3"/>
  <c r="U31" i="3"/>
  <c r="U37" i="3"/>
  <c r="U42" i="3"/>
  <c r="U64" i="3"/>
  <c r="U70" i="3"/>
  <c r="U75" i="3"/>
  <c r="U97" i="3"/>
  <c r="U103" i="3"/>
  <c r="U108" i="3"/>
  <c r="U130" i="3"/>
  <c r="U136" i="3"/>
  <c r="U141" i="3"/>
  <c r="U163" i="3"/>
  <c r="U169" i="3"/>
  <c r="U174" i="3"/>
  <c r="U196" i="3"/>
  <c r="U202" i="3"/>
  <c r="U207" i="3"/>
  <c r="U229" i="3"/>
  <c r="U235" i="3"/>
  <c r="U240" i="3"/>
  <c r="U262" i="3"/>
  <c r="U268" i="3"/>
  <c r="U273" i="3"/>
  <c r="U295" i="3"/>
  <c r="U301" i="3"/>
  <c r="U306" i="3"/>
  <c r="U328" i="3"/>
  <c r="U334" i="3"/>
  <c r="U339" i="3"/>
  <c r="U361" i="3"/>
  <c r="I329" i="1"/>
  <c r="D329" i="1"/>
  <c r="B329" i="1"/>
  <c r="X360" i="1"/>
  <c r="K9" i="3"/>
  <c r="K31" i="3"/>
  <c r="K9" i="1"/>
  <c r="K31" i="1"/>
  <c r="X96" i="1"/>
  <c r="K261" i="1"/>
  <c r="X294" i="1"/>
  <c r="X327" i="1"/>
  <c r="X162" i="1"/>
  <c r="X30" i="1"/>
  <c r="X31" i="1"/>
  <c r="X9" i="3"/>
  <c r="K393" i="1"/>
  <c r="B141" i="3"/>
  <c r="C64" i="3"/>
  <c r="C70" i="3"/>
  <c r="K329" i="3"/>
  <c r="I330" i="3"/>
  <c r="X31" i="3"/>
  <c r="X37" i="1"/>
  <c r="K42" i="1"/>
  <c r="K64" i="1"/>
  <c r="K329" i="1"/>
  <c r="J330" i="1"/>
  <c r="K37" i="1"/>
  <c r="K75" i="1"/>
  <c r="K97" i="1"/>
  <c r="X37" i="3"/>
  <c r="K37" i="3"/>
  <c r="K42" i="3"/>
  <c r="K64" i="3"/>
  <c r="K70" i="1"/>
  <c r="K330" i="3"/>
  <c r="D330" i="3"/>
  <c r="K103" i="1"/>
  <c r="O64" i="3"/>
  <c r="O70" i="3"/>
  <c r="X42" i="3"/>
  <c r="X64" i="3"/>
  <c r="H330" i="1"/>
  <c r="G330" i="1"/>
  <c r="X42" i="1"/>
  <c r="X64" i="1"/>
  <c r="B163" i="3"/>
  <c r="B169" i="3"/>
  <c r="C75" i="3"/>
  <c r="K70" i="3"/>
  <c r="K108" i="1"/>
  <c r="K130" i="1"/>
  <c r="K330" i="1"/>
  <c r="E330" i="1"/>
  <c r="C330" i="1"/>
  <c r="E330" i="3"/>
  <c r="G330" i="3"/>
  <c r="F330" i="3"/>
  <c r="C330" i="3"/>
  <c r="B330" i="3"/>
  <c r="J330" i="3"/>
  <c r="H330" i="3"/>
  <c r="B330" i="1"/>
  <c r="D330" i="1"/>
  <c r="F330" i="1"/>
  <c r="I330" i="1"/>
  <c r="X70" i="1"/>
  <c r="X70" i="3"/>
  <c r="O75" i="3"/>
  <c r="K136" i="1"/>
  <c r="C97" i="3"/>
  <c r="C103" i="3"/>
  <c r="K75" i="3"/>
  <c r="K97" i="3"/>
  <c r="B174" i="3"/>
  <c r="O97" i="3"/>
  <c r="O103" i="3"/>
  <c r="X75" i="3"/>
  <c r="X97" i="3"/>
  <c r="X75" i="1"/>
  <c r="X97" i="1"/>
  <c r="B196" i="3"/>
  <c r="B202" i="3"/>
  <c r="C108" i="3"/>
  <c r="K103" i="3"/>
  <c r="K141" i="1"/>
  <c r="K163" i="1"/>
  <c r="X103" i="1"/>
  <c r="X103" i="3"/>
  <c r="O108" i="3"/>
  <c r="K169" i="1"/>
  <c r="C130" i="3"/>
  <c r="C136" i="3"/>
  <c r="K108" i="3"/>
  <c r="K130" i="3"/>
  <c r="B207" i="3"/>
  <c r="X108" i="1"/>
  <c r="X130" i="1"/>
  <c r="O130" i="3"/>
  <c r="O136" i="3"/>
  <c r="X108" i="3"/>
  <c r="X130" i="3"/>
  <c r="B229" i="3"/>
  <c r="B235" i="3"/>
  <c r="C141" i="3"/>
  <c r="K136" i="3"/>
  <c r="K174" i="1"/>
  <c r="K196" i="1"/>
  <c r="O141" i="3"/>
  <c r="X136" i="3"/>
  <c r="X136" i="1"/>
  <c r="K202" i="1"/>
  <c r="C163" i="3"/>
  <c r="C169" i="3"/>
  <c r="K141" i="3"/>
  <c r="K163" i="3"/>
  <c r="B240" i="3"/>
  <c r="X141" i="1"/>
  <c r="X163" i="1"/>
  <c r="O163" i="3"/>
  <c r="O169" i="3"/>
  <c r="X141" i="3"/>
  <c r="X163" i="3"/>
  <c r="B262" i="3"/>
  <c r="B268" i="3"/>
  <c r="C174" i="3"/>
  <c r="K169" i="3"/>
  <c r="K207" i="1"/>
  <c r="K229" i="1"/>
  <c r="O174" i="3"/>
  <c r="X169" i="3"/>
  <c r="X169" i="1"/>
  <c r="K235" i="1"/>
  <c r="C196" i="3"/>
  <c r="C202" i="3"/>
  <c r="K174" i="3"/>
  <c r="K196" i="3"/>
  <c r="B273" i="3"/>
  <c r="X174" i="1"/>
  <c r="X196" i="1"/>
  <c r="O196" i="3"/>
  <c r="O202" i="3"/>
  <c r="X174" i="3"/>
  <c r="X196" i="3"/>
  <c r="B295" i="3"/>
  <c r="B301" i="3"/>
  <c r="C207" i="3"/>
  <c r="K202" i="3"/>
  <c r="K240" i="1"/>
  <c r="K262" i="1"/>
  <c r="X202" i="3"/>
  <c r="O207" i="3"/>
  <c r="X202" i="1"/>
  <c r="K268" i="1"/>
  <c r="C229" i="3"/>
  <c r="C235" i="3"/>
  <c r="K207" i="3"/>
  <c r="K229" i="3"/>
  <c r="B306" i="3"/>
  <c r="O229" i="3"/>
  <c r="O235" i="3"/>
  <c r="X207" i="3"/>
  <c r="X229" i="3"/>
  <c r="X207" i="1"/>
  <c r="X229" i="1"/>
  <c r="B328" i="3"/>
  <c r="B334" i="3"/>
  <c r="C240" i="3"/>
  <c r="K235" i="3"/>
  <c r="K273" i="1"/>
  <c r="K295" i="1"/>
  <c r="X235" i="1"/>
  <c r="X235" i="3"/>
  <c r="O240" i="3"/>
  <c r="K301" i="1"/>
  <c r="C262" i="3"/>
  <c r="C268" i="3"/>
  <c r="K240" i="3"/>
  <c r="K262" i="3"/>
  <c r="B339" i="3"/>
  <c r="X240" i="3"/>
  <c r="X262" i="3"/>
  <c r="O262" i="3"/>
  <c r="O268" i="3"/>
  <c r="X240" i="1"/>
  <c r="X262" i="1"/>
  <c r="B361" i="3"/>
  <c r="C273" i="3"/>
  <c r="K268" i="3"/>
  <c r="K306" i="1"/>
  <c r="K328" i="1"/>
  <c r="X268" i="3"/>
  <c r="O273" i="3"/>
  <c r="X268" i="1"/>
  <c r="K334" i="1"/>
  <c r="C295" i="3"/>
  <c r="C301" i="3"/>
  <c r="K273" i="3"/>
  <c r="K295" i="3"/>
  <c r="O295" i="3"/>
  <c r="O301" i="3"/>
  <c r="X273" i="3"/>
  <c r="X295" i="3"/>
  <c r="X273" i="1"/>
  <c r="X295" i="1"/>
  <c r="C306" i="3"/>
  <c r="K301" i="3"/>
  <c r="K339" i="1"/>
  <c r="K361" i="1"/>
  <c r="K367" i="1"/>
  <c r="X301" i="1"/>
  <c r="X301" i="3"/>
  <c r="O306" i="3"/>
  <c r="C328" i="3"/>
  <c r="C334" i="3"/>
  <c r="K306" i="3"/>
  <c r="K328" i="3"/>
  <c r="X306" i="1"/>
  <c r="X328" i="1"/>
  <c r="K372" i="1"/>
  <c r="K394" i="1"/>
  <c r="O328" i="3"/>
  <c r="O334" i="3"/>
  <c r="X306" i="3"/>
  <c r="X328" i="3"/>
  <c r="C339" i="3"/>
  <c r="K334" i="3"/>
  <c r="K400" i="1"/>
  <c r="O339" i="3"/>
  <c r="X334" i="3"/>
  <c r="X334" i="1"/>
  <c r="C361" i="3"/>
  <c r="K339" i="3"/>
  <c r="K361" i="3"/>
  <c r="K405" i="1"/>
  <c r="K427" i="1"/>
  <c r="X339" i="1"/>
  <c r="X361" i="1"/>
  <c r="O361" i="3"/>
  <c r="X339" i="3"/>
  <c r="X361" i="3"/>
  <c r="K433" i="1"/>
  <c r="X367" i="1"/>
  <c r="K438" i="1"/>
  <c r="K460" i="1"/>
  <c r="X372" i="1"/>
  <c r="X394" i="1"/>
  <c r="X400" i="1"/>
  <c r="X405" i="1"/>
  <c r="X427" i="1"/>
  <c r="X433" i="1"/>
  <c r="X438" i="1"/>
  <c r="X460" i="1"/>
</calcChain>
</file>

<file path=xl/sharedStrings.xml><?xml version="1.0" encoding="utf-8"?>
<sst xmlns="http://schemas.openxmlformats.org/spreadsheetml/2006/main" count="1845" uniqueCount="230">
  <si>
    <t>カラー</t>
  </si>
  <si>
    <t>日付</t>
    <rPh sb="0" eb="2">
      <t>ヒヅケ</t>
    </rPh>
    <phoneticPr fontId="3"/>
  </si>
  <si>
    <t>サイズ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</si>
  <si>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</si>
  <si>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</si>
  <si>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</si>
  <si>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</si>
  <si>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</si>
  <si>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</si>
  <si>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</si>
  <si>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</si>
  <si>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</si>
  <si>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計</t>
    <rPh sb="0" eb="1">
      <t>ケイ</t>
    </rPh>
    <phoneticPr fontId="3"/>
  </si>
  <si>
    <t>初回</t>
    <rPh sb="0" eb="2">
      <t>ショカイ</t>
    </rPh>
    <phoneticPr fontId="3"/>
  </si>
  <si>
    <t>追加２</t>
    <rPh sb="0" eb="2">
      <t>ツイカ</t>
    </rPh>
    <phoneticPr fontId="3"/>
  </si>
  <si>
    <t>追加３</t>
    <rPh sb="0" eb="2">
      <t>ツイカ</t>
    </rPh>
    <phoneticPr fontId="3"/>
  </si>
  <si>
    <t>追加４</t>
    <rPh sb="0" eb="2">
      <t>ツイカ</t>
    </rPh>
    <phoneticPr fontId="3"/>
  </si>
  <si>
    <t>残数</t>
    <rPh sb="0" eb="2">
      <t>ザンスウ</t>
    </rPh>
    <phoneticPr fontId="3"/>
  </si>
  <si>
    <t>総数</t>
    <rPh sb="0" eb="2">
      <t>ソウスウ</t>
    </rPh>
    <phoneticPr fontId="3"/>
  </si>
  <si>
    <t>出荷数</t>
    <rPh sb="0" eb="2">
      <t>シュッカ</t>
    </rPh>
    <rPh sb="2" eb="3">
      <t>スウ</t>
    </rPh>
    <phoneticPr fontId="3"/>
  </si>
  <si>
    <t>ベージュ</t>
    <phoneticPr fontId="3"/>
  </si>
  <si>
    <t>さらっとエアリー　ゼクー在庫</t>
    <rPh sb="12" eb="14">
      <t>ザイコ</t>
    </rPh>
    <phoneticPr fontId="3"/>
  </si>
  <si>
    <t>さらっとエアリー　　夢販在庫</t>
    <rPh sb="10" eb="11">
      <t>ユメ</t>
    </rPh>
    <rPh sb="11" eb="12">
      <t>ハン</t>
    </rPh>
    <rPh sb="12" eb="14">
      <t>ザイコ</t>
    </rPh>
    <phoneticPr fontId="3"/>
  </si>
  <si>
    <t>追加５</t>
    <rPh sb="0" eb="2">
      <t>ツイカ</t>
    </rPh>
    <phoneticPr fontId="3"/>
  </si>
  <si>
    <t>Metao</t>
    <phoneticPr fontId="1"/>
  </si>
  <si>
    <t>夢販持ち帰り</t>
    <rPh sb="0" eb="1">
      <t>ユメ</t>
    </rPh>
    <rPh sb="1" eb="2">
      <t>ハン</t>
    </rPh>
    <rPh sb="2" eb="3">
      <t>モ</t>
    </rPh>
    <rPh sb="4" eb="5">
      <t>カエ</t>
    </rPh>
    <phoneticPr fontId="1"/>
  </si>
  <si>
    <t>ディノス16夏sample</t>
    <rPh sb="6" eb="7">
      <t>ナツ</t>
    </rPh>
    <phoneticPr fontId="1"/>
  </si>
  <si>
    <t>ネット</t>
    <phoneticPr fontId="1"/>
  </si>
  <si>
    <t>ネット</t>
    <phoneticPr fontId="1"/>
  </si>
  <si>
    <t>夢販</t>
    <rPh sb="0" eb="1">
      <t>ユメ</t>
    </rPh>
    <rPh sb="1" eb="2">
      <t>ハン</t>
    </rPh>
    <phoneticPr fontId="1"/>
  </si>
  <si>
    <t>海渡サンプル</t>
    <rPh sb="0" eb="2">
      <t>カイト</t>
    </rPh>
    <phoneticPr fontId="1"/>
  </si>
  <si>
    <t>ネット</t>
    <phoneticPr fontId="1"/>
  </si>
  <si>
    <t>ネット</t>
    <phoneticPr fontId="1"/>
  </si>
  <si>
    <t>海渡</t>
    <rPh sb="0" eb="2">
      <t>カイト</t>
    </rPh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</si>
  <si>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</si>
  <si>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</si>
  <si>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</si>
  <si>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</si>
  <si>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ディノスホルマリン検査用</t>
    <rPh sb="9" eb="11">
      <t>ケンサ</t>
    </rPh>
    <rPh sb="11" eb="12">
      <t>ヨウ</t>
    </rPh>
    <phoneticPr fontId="1"/>
  </si>
  <si>
    <t>ロイヤルS</t>
    <phoneticPr fontId="1"/>
  </si>
  <si>
    <t>ネット</t>
    <phoneticPr fontId="1"/>
  </si>
  <si>
    <t>ディノス事前搬入</t>
    <rPh sb="4" eb="8">
      <t>ジゼンハンニュウ</t>
    </rPh>
    <phoneticPr fontId="1"/>
  </si>
  <si>
    <t>IEI2P</t>
    <phoneticPr fontId="1"/>
  </si>
  <si>
    <t>夢販</t>
    <rPh sb="0" eb="1">
      <t>ユメ</t>
    </rPh>
    <rPh sb="1" eb="2">
      <t>ハン</t>
    </rPh>
    <phoneticPr fontId="1"/>
  </si>
  <si>
    <t>ネット</t>
    <phoneticPr fontId="1"/>
  </si>
  <si>
    <t>丸藤（グリーン）sample</t>
    <rPh sb="0" eb="2">
      <t>マルフジ</t>
    </rPh>
    <phoneticPr fontId="1"/>
  </si>
  <si>
    <t>ネット</t>
    <phoneticPr fontId="1"/>
  </si>
  <si>
    <t>ネット</t>
    <phoneticPr fontId="1"/>
  </si>
  <si>
    <t>ディノスサンプル返却</t>
    <rPh sb="8" eb="10">
      <t>ヘンキャク</t>
    </rPh>
    <phoneticPr fontId="1"/>
  </si>
  <si>
    <t>夢販</t>
    <rPh sb="0" eb="1">
      <t>ユメ</t>
    </rPh>
    <rPh sb="1" eb="2">
      <t>ハン</t>
    </rPh>
    <phoneticPr fontId="1"/>
  </si>
  <si>
    <t>ネット</t>
    <phoneticPr fontId="1"/>
  </si>
  <si>
    <t>IEI返品</t>
    <rPh sb="3" eb="5">
      <t>ヘンピン</t>
    </rPh>
    <phoneticPr fontId="1"/>
  </si>
  <si>
    <t>セシールサンプル</t>
    <phoneticPr fontId="1"/>
  </si>
  <si>
    <t>ｾｼｰﾙ事前確認用sample</t>
    <rPh sb="4" eb="6">
      <t>ジゼン</t>
    </rPh>
    <rPh sb="6" eb="8">
      <t>カクニン</t>
    </rPh>
    <rPh sb="8" eb="9">
      <t>ヨウ</t>
    </rPh>
    <phoneticPr fontId="1"/>
  </si>
  <si>
    <t>ディノス</t>
    <phoneticPr fontId="1"/>
  </si>
  <si>
    <t>ネット</t>
    <phoneticPr fontId="1"/>
  </si>
  <si>
    <t>IEI返品</t>
    <rPh sb="3" eb="5">
      <t>ヘンピン</t>
    </rPh>
    <phoneticPr fontId="1"/>
  </si>
  <si>
    <t>追加4</t>
    <rPh sb="0" eb="2">
      <t>ツイカ</t>
    </rPh>
    <phoneticPr fontId="3"/>
  </si>
  <si>
    <t>ディノス16秋（継続）</t>
    <rPh sb="6" eb="7">
      <t>アキ</t>
    </rPh>
    <rPh sb="8" eb="10">
      <t>ケイゾク</t>
    </rPh>
    <phoneticPr fontId="1"/>
  </si>
  <si>
    <t>セシール</t>
    <phoneticPr fontId="1"/>
  </si>
  <si>
    <t>ネット</t>
    <phoneticPr fontId="1"/>
  </si>
  <si>
    <t>ディノス</t>
    <phoneticPr fontId="1"/>
  </si>
  <si>
    <t>夢販</t>
    <rPh sb="0" eb="1">
      <t>ユメ</t>
    </rPh>
    <rPh sb="1" eb="2">
      <t>ハン</t>
    </rPh>
    <phoneticPr fontId="1"/>
  </si>
  <si>
    <t>ディノス返品</t>
    <rPh sb="4" eb="6">
      <t>ヘンピン</t>
    </rPh>
    <phoneticPr fontId="1"/>
  </si>
  <si>
    <t>千趣会NET</t>
    <rPh sb="0" eb="3">
      <t>センシュカイ</t>
    </rPh>
    <phoneticPr fontId="1"/>
  </si>
  <si>
    <t>ネット</t>
    <phoneticPr fontId="1"/>
  </si>
  <si>
    <t>ネット</t>
    <phoneticPr fontId="1"/>
  </si>
  <si>
    <t>ロイヤルS</t>
    <phoneticPr fontId="1"/>
  </si>
  <si>
    <t>ディノス</t>
    <phoneticPr fontId="1"/>
  </si>
  <si>
    <t>ネット</t>
    <phoneticPr fontId="1"/>
  </si>
  <si>
    <t>ネット</t>
    <phoneticPr fontId="1"/>
  </si>
  <si>
    <t>ロイヤルS</t>
    <phoneticPr fontId="1"/>
  </si>
  <si>
    <t>ネット</t>
    <phoneticPr fontId="1"/>
  </si>
  <si>
    <t>ネット</t>
    <phoneticPr fontId="1"/>
  </si>
  <si>
    <t>ネット</t>
    <phoneticPr fontId="1"/>
  </si>
  <si>
    <t>再生</t>
    <rPh sb="0" eb="2">
      <t>サイセイ</t>
    </rPh>
    <phoneticPr fontId="3"/>
  </si>
  <si>
    <t>トラスト＆カンパニー</t>
    <phoneticPr fontId="1"/>
  </si>
  <si>
    <t>アイフォーレサンプル</t>
    <phoneticPr fontId="1"/>
  </si>
  <si>
    <t>ネット</t>
    <phoneticPr fontId="1"/>
  </si>
  <si>
    <t>ネット</t>
    <phoneticPr fontId="1"/>
  </si>
  <si>
    <t>ディノス返品</t>
    <rPh sb="4" eb="6">
      <t>ヘンピン</t>
    </rPh>
    <phoneticPr fontId="1"/>
  </si>
  <si>
    <t>ネット</t>
    <phoneticPr fontId="1"/>
  </si>
  <si>
    <t>IEI</t>
    <phoneticPr fontId="3"/>
  </si>
  <si>
    <t>IEI交換</t>
    <rPh sb="3" eb="5">
      <t>コウカン</t>
    </rPh>
    <phoneticPr fontId="1"/>
  </si>
  <si>
    <t>ネット</t>
    <phoneticPr fontId="1"/>
  </si>
  <si>
    <t>ディノス</t>
    <phoneticPr fontId="1"/>
  </si>
  <si>
    <t>ネット</t>
    <phoneticPr fontId="1"/>
  </si>
  <si>
    <t>セシール</t>
    <phoneticPr fontId="1"/>
  </si>
  <si>
    <t>追加5</t>
    <rPh sb="0" eb="2">
      <t>ツイカ</t>
    </rPh>
    <phoneticPr fontId="3"/>
  </si>
  <si>
    <t>ディノス返品</t>
    <rPh sb="4" eb="6">
      <t>ヘンピン</t>
    </rPh>
    <phoneticPr fontId="1"/>
  </si>
  <si>
    <t>ネット</t>
    <phoneticPr fontId="1"/>
  </si>
  <si>
    <t>ネット</t>
    <phoneticPr fontId="1"/>
  </si>
  <si>
    <t>千趣会</t>
    <rPh sb="0" eb="3">
      <t>センシュカイ</t>
    </rPh>
    <phoneticPr fontId="1"/>
  </si>
  <si>
    <t>セシール</t>
    <phoneticPr fontId="1"/>
  </si>
  <si>
    <t>追加3</t>
    <rPh sb="0" eb="2">
      <t>ツイカ</t>
    </rPh>
    <phoneticPr fontId="3"/>
  </si>
  <si>
    <t>夢販</t>
    <rPh sb="0" eb="1">
      <t>ユメ</t>
    </rPh>
    <rPh sb="1" eb="2">
      <t>ハン</t>
    </rPh>
    <phoneticPr fontId="1"/>
  </si>
  <si>
    <t>ジャパンシンイ</t>
    <phoneticPr fontId="1"/>
  </si>
  <si>
    <t>ネット</t>
    <phoneticPr fontId="1"/>
  </si>
  <si>
    <t>ディノス</t>
    <phoneticPr fontId="1"/>
  </si>
  <si>
    <t>ネット</t>
    <phoneticPr fontId="1"/>
  </si>
  <si>
    <t>ロイヤルS返品</t>
    <rPh sb="5" eb="7">
      <t>ヘンピン</t>
    </rPh>
    <phoneticPr fontId="3"/>
  </si>
  <si>
    <t>ネット</t>
    <phoneticPr fontId="1"/>
  </si>
  <si>
    <t>ディノス</t>
    <phoneticPr fontId="1"/>
  </si>
  <si>
    <t>ネット</t>
    <phoneticPr fontId="1"/>
  </si>
  <si>
    <t>セシール返品</t>
    <rPh sb="4" eb="6">
      <t>ヘンピン</t>
    </rPh>
    <phoneticPr fontId="1"/>
  </si>
  <si>
    <t>IEI2P</t>
    <phoneticPr fontId="1"/>
  </si>
  <si>
    <t>ディノス返品</t>
    <rPh sb="4" eb="6">
      <t>ヘンピン</t>
    </rPh>
    <phoneticPr fontId="1"/>
  </si>
  <si>
    <t>千趣会返品</t>
    <rPh sb="0" eb="3">
      <t>センシュカイ</t>
    </rPh>
    <rPh sb="3" eb="5">
      <t>ヘンピン</t>
    </rPh>
    <phoneticPr fontId="1"/>
  </si>
  <si>
    <t>ネット</t>
    <phoneticPr fontId="1"/>
  </si>
  <si>
    <t>ネット</t>
    <phoneticPr fontId="1"/>
  </si>
  <si>
    <t>ディノス返品</t>
    <rPh sb="4" eb="6">
      <t>ヘンピン</t>
    </rPh>
    <phoneticPr fontId="1"/>
  </si>
  <si>
    <t>ディノス</t>
    <phoneticPr fontId="1"/>
  </si>
  <si>
    <t>夢販</t>
    <rPh sb="0" eb="1">
      <t>ユメ</t>
    </rPh>
    <rPh sb="1" eb="2">
      <t>ハン</t>
    </rPh>
    <phoneticPr fontId="1"/>
  </si>
  <si>
    <t>ネット</t>
    <phoneticPr fontId="1"/>
  </si>
  <si>
    <t>ネット</t>
    <phoneticPr fontId="1"/>
  </si>
  <si>
    <t>ネット</t>
    <phoneticPr fontId="1"/>
  </si>
  <si>
    <t>夢みつけ隊</t>
    <rPh sb="0" eb="1">
      <t>ユメ</t>
    </rPh>
    <rPh sb="4" eb="5">
      <t>タイ</t>
    </rPh>
    <phoneticPr fontId="1"/>
  </si>
  <si>
    <t>セシール返品</t>
    <rPh sb="4" eb="6">
      <t>ヘンピン</t>
    </rPh>
    <phoneticPr fontId="3"/>
  </si>
  <si>
    <t>ディノス返品</t>
    <rPh sb="4" eb="6">
      <t>ヘンピン</t>
    </rPh>
    <phoneticPr fontId="3"/>
  </si>
  <si>
    <t>ネット</t>
    <phoneticPr fontId="1"/>
  </si>
  <si>
    <t>ネット</t>
    <phoneticPr fontId="1"/>
  </si>
  <si>
    <t>ネット</t>
    <phoneticPr fontId="1"/>
  </si>
  <si>
    <t>アイフォーレ1P</t>
    <phoneticPr fontId="1"/>
  </si>
  <si>
    <t>アイフォーレ2P</t>
  </si>
  <si>
    <t>セシール返品</t>
    <rPh sb="4" eb="6">
      <t>ヘンピン</t>
    </rPh>
    <phoneticPr fontId="1"/>
  </si>
  <si>
    <t>ネット</t>
    <phoneticPr fontId="1"/>
  </si>
  <si>
    <t>ディノス</t>
    <phoneticPr fontId="1"/>
  </si>
  <si>
    <t>ワンズ</t>
    <phoneticPr fontId="1"/>
  </si>
  <si>
    <t>ディノス返品</t>
    <rPh sb="4" eb="6">
      <t>ヘンピン</t>
    </rPh>
    <phoneticPr fontId="1"/>
  </si>
  <si>
    <t>ネット</t>
    <phoneticPr fontId="1"/>
  </si>
  <si>
    <t>ネット</t>
    <phoneticPr fontId="1"/>
  </si>
  <si>
    <t>夢みつけ隊</t>
    <rPh sb="0" eb="1">
      <t>ユメ</t>
    </rPh>
    <rPh sb="4" eb="5">
      <t>タイ</t>
    </rPh>
    <phoneticPr fontId="1"/>
  </si>
  <si>
    <t>IEI返品</t>
    <rPh sb="3" eb="5">
      <t>ヘンピン</t>
    </rPh>
    <phoneticPr fontId="3"/>
  </si>
  <si>
    <t>ネット</t>
    <phoneticPr fontId="1"/>
  </si>
  <si>
    <t>IEI交換</t>
    <rPh sb="3" eb="5">
      <t>コウカン</t>
    </rPh>
    <phoneticPr fontId="3"/>
  </si>
  <si>
    <t>ディノス</t>
    <phoneticPr fontId="1"/>
  </si>
  <si>
    <t>ネット</t>
    <phoneticPr fontId="1"/>
  </si>
  <si>
    <t>ワンズ</t>
    <phoneticPr fontId="1"/>
  </si>
  <si>
    <t>アイフォーレ返品</t>
    <rPh sb="6" eb="8">
      <t>ヘンピン</t>
    </rPh>
    <phoneticPr fontId="1"/>
  </si>
  <si>
    <t>ネット</t>
    <phoneticPr fontId="1"/>
  </si>
  <si>
    <t>ネット</t>
    <phoneticPr fontId="1"/>
  </si>
  <si>
    <t>夢隊返品</t>
    <rPh sb="0" eb="1">
      <t>ユメ</t>
    </rPh>
    <rPh sb="1" eb="2">
      <t>タイ</t>
    </rPh>
    <rPh sb="2" eb="4">
      <t>ヘンピン</t>
    </rPh>
    <phoneticPr fontId="3"/>
  </si>
  <si>
    <t>IEI交換</t>
    <rPh sb="3" eb="5">
      <t>コウカン</t>
    </rPh>
    <phoneticPr fontId="1"/>
  </si>
  <si>
    <t>ディノス</t>
    <phoneticPr fontId="1"/>
  </si>
  <si>
    <t>アイフォーレ</t>
    <phoneticPr fontId="1"/>
  </si>
  <si>
    <t>夢販</t>
    <rPh sb="0" eb="2">
      <t>ユメハン</t>
    </rPh>
    <phoneticPr fontId="1"/>
  </si>
  <si>
    <t>ネット</t>
    <phoneticPr fontId="1"/>
  </si>
  <si>
    <t>ネット</t>
    <phoneticPr fontId="1"/>
  </si>
  <si>
    <t>ワンズ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</si>
  <si>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</si>
  <si>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</si>
  <si>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</si>
  <si>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</si>
  <si>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アイフォーレ返品</t>
    <rPh sb="6" eb="8">
      <t>ヘンピン</t>
    </rPh>
    <phoneticPr fontId="3"/>
  </si>
  <si>
    <t>8/31調整</t>
    <rPh sb="4" eb="6">
      <t>チョウセイ</t>
    </rPh>
    <phoneticPr fontId="1"/>
  </si>
  <si>
    <t>IEI交換</t>
    <rPh sb="3" eb="5">
      <t>コウカン</t>
    </rPh>
    <phoneticPr fontId="1"/>
  </si>
  <si>
    <t>ディノス（池端さん）</t>
    <rPh sb="5" eb="7">
      <t>イケハタ</t>
    </rPh>
    <phoneticPr fontId="1"/>
  </si>
  <si>
    <t>Metao</t>
    <phoneticPr fontId="1"/>
  </si>
  <si>
    <t>Metao</t>
    <phoneticPr fontId="1"/>
  </si>
  <si>
    <t>ネット</t>
    <phoneticPr fontId="1"/>
  </si>
  <si>
    <t>ネット</t>
    <phoneticPr fontId="1"/>
  </si>
  <si>
    <t>ディノス</t>
    <phoneticPr fontId="1"/>
  </si>
  <si>
    <t>夢販</t>
    <rPh sb="0" eb="2">
      <t>ユメハン</t>
    </rPh>
    <phoneticPr fontId="1"/>
  </si>
  <si>
    <t>ネット</t>
    <phoneticPr fontId="1"/>
  </si>
  <si>
    <t>Metao</t>
    <phoneticPr fontId="1"/>
  </si>
  <si>
    <t>ネット</t>
    <phoneticPr fontId="1"/>
  </si>
  <si>
    <t>ネット</t>
    <phoneticPr fontId="1"/>
  </si>
  <si>
    <t>構成比</t>
    <rPh sb="0" eb="3">
      <t>コウセイヒ</t>
    </rPh>
    <phoneticPr fontId="1"/>
  </si>
  <si>
    <t>数量</t>
    <rPh sb="0" eb="2">
      <t>スウリョウ</t>
    </rPh>
    <phoneticPr fontId="1"/>
  </si>
  <si>
    <t>Metao</t>
    <phoneticPr fontId="1"/>
  </si>
  <si>
    <t>Metao</t>
    <phoneticPr fontId="1"/>
  </si>
  <si>
    <t>Metao</t>
    <phoneticPr fontId="1"/>
  </si>
  <si>
    <t>夢販</t>
    <rPh sb="0" eb="2">
      <t>ユメハン</t>
    </rPh>
    <phoneticPr fontId="1"/>
  </si>
  <si>
    <t>Metao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</si>
  <si>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</si>
  <si>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</si>
  <si>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</si>
  <si>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</si>
  <si>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</si>
  <si>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</si>
  <si>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</si>
  <si>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ネット</t>
    <phoneticPr fontId="1"/>
  </si>
  <si>
    <t>Metao</t>
    <phoneticPr fontId="1"/>
  </si>
  <si>
    <t>Metao</t>
    <phoneticPr fontId="1"/>
  </si>
  <si>
    <t>ネット</t>
    <phoneticPr fontId="1"/>
  </si>
  <si>
    <t>Metao</t>
    <phoneticPr fontId="1"/>
  </si>
  <si>
    <t>ネット</t>
    <phoneticPr fontId="1"/>
  </si>
  <si>
    <t>棚卸調整</t>
    <rPh sb="0" eb="4">
      <t>タナオロシチョウセイ</t>
    </rPh>
    <phoneticPr fontId="1"/>
  </si>
  <si>
    <t>Metao</t>
    <phoneticPr fontId="1"/>
  </si>
  <si>
    <t>Metao</t>
    <phoneticPr fontId="1"/>
  </si>
  <si>
    <t>アイフォーレサンプル返却</t>
    <rPh sb="10" eb="12">
      <t>ヘンキャク</t>
    </rPh>
    <phoneticPr fontId="1"/>
  </si>
  <si>
    <t>ネット</t>
    <phoneticPr fontId="1"/>
  </si>
  <si>
    <t>ネット</t>
    <phoneticPr fontId="1"/>
  </si>
  <si>
    <t>ネット</t>
    <phoneticPr fontId="1"/>
  </si>
  <si>
    <t>Metao</t>
    <phoneticPr fontId="1"/>
  </si>
  <si>
    <t>Metao</t>
    <phoneticPr fontId="1"/>
  </si>
  <si>
    <t>追加</t>
    <rPh sb="0" eb="2">
      <t>ツイカ</t>
    </rPh>
    <phoneticPr fontId="1"/>
  </si>
  <si>
    <t>夢販</t>
    <phoneticPr fontId="1"/>
  </si>
  <si>
    <t>ネット</t>
    <phoneticPr fontId="1"/>
  </si>
  <si>
    <t>Metao</t>
    <phoneticPr fontId="1"/>
  </si>
  <si>
    <t>ネット</t>
    <phoneticPr fontId="1"/>
  </si>
  <si>
    <t>Metao</t>
    <phoneticPr fontId="1"/>
  </si>
  <si>
    <t>Metao</t>
    <phoneticPr fontId="1"/>
  </si>
  <si>
    <t>ネット</t>
    <phoneticPr fontId="1"/>
  </si>
  <si>
    <t>ネット</t>
    <phoneticPr fontId="1"/>
  </si>
  <si>
    <t>Metao</t>
    <phoneticPr fontId="1"/>
  </si>
  <si>
    <t>Metao</t>
    <phoneticPr fontId="1"/>
  </si>
  <si>
    <t>IEI2P</t>
    <phoneticPr fontId="1"/>
  </si>
  <si>
    <t>調整</t>
    <rPh sb="0" eb="2">
      <t>チョウセイ</t>
    </rPh>
    <phoneticPr fontId="1"/>
  </si>
  <si>
    <t>ネット</t>
    <phoneticPr fontId="1"/>
  </si>
  <si>
    <t>ネット</t>
    <phoneticPr fontId="1"/>
  </si>
  <si>
    <t>Metao</t>
    <phoneticPr fontId="1"/>
  </si>
  <si>
    <t>ディノス</t>
    <phoneticPr fontId="1"/>
  </si>
  <si>
    <t>ネット</t>
    <phoneticPr fontId="1"/>
  </si>
  <si>
    <t>Metao</t>
    <phoneticPr fontId="1"/>
  </si>
  <si>
    <t>Metao</t>
    <phoneticPr fontId="1"/>
  </si>
  <si>
    <t>夢企覚販売</t>
    <rPh sb="0" eb="5">
      <t>ユメ</t>
    </rPh>
    <phoneticPr fontId="1"/>
  </si>
  <si>
    <t>調整</t>
    <rPh sb="0" eb="2">
      <t>チョウセイ</t>
    </rPh>
    <phoneticPr fontId="1"/>
  </si>
  <si>
    <t>ディノス</t>
    <phoneticPr fontId="1"/>
  </si>
  <si>
    <t>丸藤（グリーン）sample返却</t>
    <rPh sb="0" eb="2">
      <t>マルフジ</t>
    </rPh>
    <rPh sb="14" eb="16">
      <t>ヘンキャク</t>
    </rPh>
    <phoneticPr fontId="1"/>
  </si>
  <si>
    <t>Metao</t>
    <phoneticPr fontId="1"/>
  </si>
  <si>
    <t>追加</t>
    <rPh sb="0" eb="2">
      <t>ツイカ</t>
    </rPh>
    <phoneticPr fontId="3"/>
  </si>
  <si>
    <t>ディノス</t>
    <phoneticPr fontId="1"/>
  </si>
  <si>
    <t>Metao</t>
    <phoneticPr fontId="1"/>
  </si>
  <si>
    <t>Metao</t>
    <phoneticPr fontId="1"/>
  </si>
  <si>
    <t>ネット</t>
    <phoneticPr fontId="1"/>
  </si>
  <si>
    <t>ネット</t>
    <phoneticPr fontId="1"/>
  </si>
  <si>
    <t>ネット</t>
    <phoneticPr fontId="1"/>
  </si>
  <si>
    <t>調整</t>
    <rPh sb="0" eb="2">
      <t>チョウセイ</t>
    </rPh>
    <phoneticPr fontId="1"/>
  </si>
  <si>
    <t>ネット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</si>
</sst>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7" formatCode="0.0_ "/>
  </numFmts>
  <fonts count="1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6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7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1" applyBorder="1" applyAlignment="1">
      <alignment horizontal="center"/>
    </xf>
    <xf numFmtId="0" fontId="4" fillId="0" borderId="6" xfId="1" applyBorder="1" applyAlignment="1">
      <alignment horizontal="center"/>
    </xf>
    <xf numFmtId="0" fontId="4" fillId="0" borderId="3" xfId="1" applyBorder="1" applyAlignment="1">
      <alignment horizontal="center"/>
    </xf>
    <xf numFmtId="0" fontId="4" fillId="0" borderId="4" xfId="1" applyBorder="1" applyAlignment="1">
      <alignment horizontal="center"/>
    </xf>
    <xf numFmtId="0" fontId="4" fillId="0" borderId="7" xfId="1" applyBorder="1" applyAlignment="1">
      <alignment horizontal="center"/>
    </xf>
    <xf numFmtId="0" fontId="4" fillId="0" borderId="8" xfId="1" applyBorder="1" applyAlignment="1">
      <alignment horizontal="center"/>
    </xf>
    <xf numFmtId="0" fontId="4" fillId="0" borderId="10" xfId="1" applyFont="1" applyFill="1" applyBorder="1" applyAlignment="1">
      <alignment horizontal="center"/>
    </xf>
    <xf numFmtId="0" fontId="4" fillId="0" borderId="11" xfId="1" applyFont="1" applyFill="1" applyBorder="1"/>
    <xf numFmtId="0" fontId="4" fillId="0" borderId="12" xfId="1" applyFont="1" applyFill="1" applyBorder="1"/>
    <xf numFmtId="0" fontId="4" fillId="0" borderId="13" xfId="1" applyFont="1" applyFill="1" applyBorder="1"/>
    <xf numFmtId="176" fontId="4" fillId="0" borderId="14" xfId="1" applyNumberFormat="1" applyFont="1" applyBorder="1"/>
    <xf numFmtId="0" fontId="4" fillId="2" borderId="10" xfId="1" applyFont="1" applyFill="1" applyBorder="1"/>
    <xf numFmtId="0" fontId="4" fillId="0" borderId="15" xfId="1" applyFont="1" applyFill="1" applyBorder="1" applyAlignment="1">
      <alignment horizontal="center"/>
    </xf>
    <xf numFmtId="0" fontId="4" fillId="0" borderId="16" xfId="1" applyFont="1" applyFill="1" applyBorder="1"/>
    <xf numFmtId="0" fontId="4" fillId="0" borderId="17" xfId="1" applyFont="1" applyFill="1" applyBorder="1"/>
    <xf numFmtId="0" fontId="4" fillId="0" borderId="18" xfId="1" applyFont="1" applyFill="1" applyBorder="1"/>
    <xf numFmtId="0" fontId="4" fillId="2" borderId="15" xfId="1" applyFont="1" applyFill="1" applyBorder="1"/>
    <xf numFmtId="176" fontId="4" fillId="0" borderId="19" xfId="1" applyNumberFormat="1" applyFont="1" applyBorder="1"/>
    <xf numFmtId="0" fontId="4" fillId="0" borderId="10" xfId="1" applyFont="1" applyBorder="1" applyAlignment="1">
      <alignment horizontal="center"/>
    </xf>
    <xf numFmtId="0" fontId="4" fillId="0" borderId="20" xfId="1" applyFont="1" applyFill="1" applyBorder="1"/>
    <xf numFmtId="176" fontId="4" fillId="0" borderId="21" xfId="1" applyNumberFormat="1" applyFont="1" applyBorder="1"/>
    <xf numFmtId="0" fontId="4" fillId="2" borderId="2" xfId="1" applyFill="1" applyBorder="1"/>
    <xf numFmtId="0" fontId="4" fillId="2" borderId="3" xfId="1" applyFill="1" applyBorder="1"/>
    <xf numFmtId="0" fontId="4" fillId="2" borderId="4" xfId="1" applyFill="1" applyBorder="1"/>
    <xf numFmtId="0" fontId="4" fillId="2" borderId="25" xfId="1" applyFont="1" applyFill="1" applyBorder="1"/>
    <xf numFmtId="0" fontId="4" fillId="0" borderId="26" xfId="1" applyFont="1" applyBorder="1"/>
    <xf numFmtId="0" fontId="4" fillId="0" borderId="27" xfId="1" applyFont="1" applyBorder="1" applyAlignment="1">
      <alignment horizontal="center"/>
    </xf>
    <xf numFmtId="0" fontId="4" fillId="0" borderId="28" xfId="1" applyFont="1" applyBorder="1"/>
    <xf numFmtId="0" fontId="4" fillId="0" borderId="29" xfId="1" applyFont="1" applyBorder="1"/>
    <xf numFmtId="0" fontId="4" fillId="0" borderId="12" xfId="1" applyFont="1" applyBorder="1"/>
    <xf numFmtId="0" fontId="4" fillId="0" borderId="30" xfId="1" applyFont="1" applyBorder="1"/>
    <xf numFmtId="0" fontId="4" fillId="0" borderId="13" xfId="1" applyFont="1" applyBorder="1"/>
    <xf numFmtId="0" fontId="4" fillId="2" borderId="27" xfId="1" applyFont="1" applyFill="1" applyBorder="1"/>
    <xf numFmtId="0" fontId="4" fillId="0" borderId="31" xfId="1" applyFont="1" applyBorder="1"/>
    <xf numFmtId="176" fontId="4" fillId="0" borderId="9" xfId="1" applyNumberFormat="1" applyFont="1" applyBorder="1"/>
    <xf numFmtId="0" fontId="4" fillId="2" borderId="1" xfId="1" applyFill="1" applyBorder="1"/>
    <xf numFmtId="0" fontId="4" fillId="0" borderId="25" xfId="1" applyBorder="1" applyAlignment="1">
      <alignment horizontal="center"/>
    </xf>
    <xf numFmtId="0" fontId="4" fillId="2" borderId="32" xfId="1" applyFill="1" applyBorder="1"/>
    <xf numFmtId="0" fontId="4" fillId="2" borderId="33" xfId="1" applyFill="1" applyBorder="1"/>
    <xf numFmtId="0" fontId="4" fillId="0" borderId="34" xfId="1" applyFont="1" applyBorder="1"/>
    <xf numFmtId="0" fontId="4" fillId="0" borderId="22" xfId="1" applyFont="1" applyBorder="1"/>
    <xf numFmtId="0" fontId="4" fillId="0" borderId="23" xfId="1" applyFont="1" applyBorder="1"/>
    <xf numFmtId="0" fontId="4" fillId="0" borderId="24" xfId="1" applyFont="1" applyBorder="1"/>
    <xf numFmtId="0" fontId="4" fillId="2" borderId="9" xfId="1" applyFont="1" applyFill="1" applyBorder="1"/>
    <xf numFmtId="0" fontId="6" fillId="0" borderId="28" xfId="1" applyFont="1" applyBorder="1"/>
    <xf numFmtId="0" fontId="6" fillId="0" borderId="29" xfId="1" applyFont="1" applyBorder="1"/>
    <xf numFmtId="0" fontId="6" fillId="0" borderId="30" xfId="1" applyFont="1" applyBorder="1"/>
    <xf numFmtId="0" fontId="6" fillId="2" borderId="27" xfId="1" applyFont="1" applyFill="1" applyBorder="1"/>
    <xf numFmtId="0" fontId="4" fillId="2" borderId="5" xfId="1" applyFont="1" applyFill="1" applyBorder="1"/>
    <xf numFmtId="0" fontId="7" fillId="0" borderId="10" xfId="1" applyFont="1" applyBorder="1" applyAlignment="1">
      <alignment horizontal="center"/>
    </xf>
    <xf numFmtId="0" fontId="6" fillId="0" borderId="10" xfId="1" applyFont="1" applyFill="1" applyBorder="1" applyAlignment="1">
      <alignment horizontal="center"/>
    </xf>
    <xf numFmtId="0" fontId="6" fillId="2" borderId="5" xfId="1" applyFont="1" applyFill="1" applyBorder="1"/>
    <xf numFmtId="176" fontId="6" fillId="0" borderId="14" xfId="1" applyNumberFormat="1" applyFont="1" applyBorder="1"/>
    <xf numFmtId="0" fontId="6" fillId="0" borderId="36" xfId="1" applyFont="1" applyFill="1" applyBorder="1"/>
    <xf numFmtId="0" fontId="6" fillId="0" borderId="35" xfId="1" applyFont="1" applyFill="1" applyBorder="1"/>
    <xf numFmtId="0" fontId="8" fillId="0" borderId="10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37" xfId="1" applyFont="1" applyFill="1" applyBorder="1"/>
    <xf numFmtId="0" fontId="4" fillId="0" borderId="35" xfId="1" applyFont="1" applyFill="1" applyBorder="1"/>
    <xf numFmtId="0" fontId="4" fillId="0" borderId="38" xfId="1" applyFont="1" applyFill="1" applyBorder="1"/>
    <xf numFmtId="176" fontId="4" fillId="0" borderId="39" xfId="1" applyNumberFormat="1" applyFont="1" applyBorder="1"/>
    <xf numFmtId="176" fontId="6" fillId="0" borderId="21" xfId="1" applyNumberFormat="1" applyFont="1" applyBorder="1"/>
    <xf numFmtId="0" fontId="8" fillId="0" borderId="27" xfId="1" applyFont="1" applyBorder="1" applyAlignment="1">
      <alignment horizontal="center"/>
    </xf>
    <xf numFmtId="0" fontId="9" fillId="0" borderId="27" xfId="1" applyFont="1" applyBorder="1" applyAlignment="1">
      <alignment horizontal="center"/>
    </xf>
    <xf numFmtId="0" fontId="7" fillId="0" borderId="27" xfId="1" applyFont="1" applyBorder="1" applyAlignment="1">
      <alignment horizontal="center"/>
    </xf>
    <xf numFmtId="0" fontId="4" fillId="0" borderId="11" xfId="1" applyFont="1" applyBorder="1"/>
    <xf numFmtId="0" fontId="4" fillId="0" borderId="21" xfId="1" applyFont="1" applyBorder="1"/>
    <xf numFmtId="0" fontId="4" fillId="0" borderId="42" xfId="1" applyFont="1" applyBorder="1"/>
    <xf numFmtId="0" fontId="4" fillId="0" borderId="40" xfId="1" applyFont="1" applyBorder="1"/>
    <xf numFmtId="0" fontId="4" fillId="0" borderId="32" xfId="1" applyFont="1" applyBorder="1"/>
    <xf numFmtId="0" fontId="4" fillId="0" borderId="33" xfId="1" applyFont="1" applyBorder="1"/>
    <xf numFmtId="176" fontId="4" fillId="0" borderId="41" xfId="1" applyNumberFormat="1" applyFont="1" applyBorder="1"/>
    <xf numFmtId="0" fontId="11" fillId="0" borderId="0" xfId="0" applyFont="1">
      <alignment vertical="center"/>
    </xf>
    <xf numFmtId="0" fontId="9" fillId="0" borderId="10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2" borderId="2" xfId="1" applyFont="1" applyFill="1" applyBorder="1"/>
    <xf numFmtId="0" fontId="4" fillId="2" borderId="3" xfId="1" applyFont="1" applyFill="1" applyBorder="1"/>
    <xf numFmtId="0" fontId="4" fillId="2" borderId="4" xfId="1" applyFont="1" applyFill="1" applyBorder="1"/>
    <xf numFmtId="0" fontId="4" fillId="0" borderId="36" xfId="1" applyFont="1" applyFill="1" applyBorder="1"/>
    <xf numFmtId="177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6" fillId="2" borderId="43" xfId="1" applyFont="1" applyFill="1" applyBorder="1"/>
    <xf numFmtId="0" fontId="4" fillId="2" borderId="36" xfId="1" applyFont="1" applyFill="1" applyBorder="1"/>
    <xf numFmtId="0" fontId="4" fillId="2" borderId="44" xfId="1" applyFont="1" applyFill="1" applyBorder="1"/>
    <xf numFmtId="176" fontId="6" fillId="0" borderId="5" xfId="1" applyNumberFormat="1" applyFont="1" applyBorder="1"/>
    <xf numFmtId="176" fontId="4" fillId="0" borderId="10" xfId="1" applyNumberFormat="1" applyFont="1" applyBorder="1"/>
    <xf numFmtId="0" fontId="4" fillId="2" borderId="45" xfId="1" applyFont="1" applyFill="1" applyBorder="1"/>
    <xf numFmtId="56" fontId="12" fillId="0" borderId="0" xfId="0" applyNumberFormat="1" applyFont="1">
      <alignment vertical="center"/>
    </xf>
    <xf numFmtId="0" fontId="6" fillId="0" borderId="10" xfId="1" applyFont="1" applyBorder="1" applyAlignment="1">
      <alignment horizontal="center"/>
    </xf>
    <xf numFmtId="0" fontId="6" fillId="0" borderId="11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6" fillId="2" borderId="36" xfId="1" applyFont="1" applyFill="1" applyBorder="1"/>
    <xf numFmtId="176" fontId="6" fillId="0" borderId="10" xfId="1" applyNumberFormat="1" applyFont="1" applyBorder="1"/>
    <xf numFmtId="0" fontId="6" fillId="0" borderId="27" xfId="1" applyFont="1" applyBorder="1" applyAlignment="1">
      <alignment horizont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4" fillId="3" borderId="1" xfId="1" applyFill="1" applyBorder="1" applyAlignment="1">
      <alignment horizontal="center"/>
    </xf>
    <xf numFmtId="0" fontId="4" fillId="3" borderId="6" xfId="1" applyFill="1" applyBorder="1" applyAlignment="1">
      <alignment horizontal="center"/>
    </xf>
    <xf numFmtId="0" fontId="4" fillId="3" borderId="3" xfId="1" applyFill="1" applyBorder="1" applyAlignment="1">
      <alignment horizontal="center"/>
    </xf>
    <xf numFmtId="0" fontId="4" fillId="3" borderId="4" xfId="1" applyFill="1" applyBorder="1" applyAlignment="1">
      <alignment horizontal="center"/>
    </xf>
    <xf numFmtId="0" fontId="4" fillId="3" borderId="7" xfId="1" applyFill="1" applyBorder="1" applyAlignment="1">
      <alignment horizontal="center"/>
    </xf>
    <xf numFmtId="0" fontId="4" fillId="3" borderId="8" xfId="1" applyFill="1" applyBorder="1" applyAlignment="1">
      <alignment horizontal="center"/>
    </xf>
    <xf numFmtId="0" fontId="6" fillId="3" borderId="10" xfId="1" applyFont="1" applyFill="1" applyBorder="1" applyAlignment="1">
      <alignment horizontal="center"/>
    </xf>
    <xf numFmtId="0" fontId="6" fillId="3" borderId="36" xfId="1" applyFont="1" applyFill="1" applyBorder="1"/>
    <xf numFmtId="0" fontId="6" fillId="3" borderId="35" xfId="1" applyFont="1" applyFill="1" applyBorder="1"/>
    <xf numFmtId="0" fontId="6" fillId="3" borderId="5" xfId="1" applyFont="1" applyFill="1" applyBorder="1"/>
    <xf numFmtId="176" fontId="6" fillId="3" borderId="14" xfId="1" applyNumberFormat="1" applyFont="1" applyFill="1" applyBorder="1"/>
    <xf numFmtId="0" fontId="4" fillId="3" borderId="10" xfId="1" applyFont="1" applyFill="1" applyBorder="1" applyAlignment="1">
      <alignment horizontal="center"/>
    </xf>
    <xf numFmtId="0" fontId="4" fillId="3" borderId="11" xfId="1" applyFont="1" applyFill="1" applyBorder="1"/>
    <xf numFmtId="0" fontId="4" fillId="3" borderId="12" xfId="1" applyFont="1" applyFill="1" applyBorder="1"/>
    <xf numFmtId="0" fontId="4" fillId="3" borderId="13" xfId="1" applyFont="1" applyFill="1" applyBorder="1"/>
    <xf numFmtId="0" fontId="4" fillId="3" borderId="10" xfId="1" applyFont="1" applyFill="1" applyBorder="1"/>
    <xf numFmtId="176" fontId="4" fillId="3" borderId="14" xfId="1" applyNumberFormat="1" applyFont="1" applyFill="1" applyBorder="1"/>
    <xf numFmtId="0" fontId="4" fillId="3" borderId="15" xfId="1" applyFont="1" applyFill="1" applyBorder="1"/>
    <xf numFmtId="176" fontId="4" fillId="3" borderId="19" xfId="1" applyNumberFormat="1" applyFont="1" applyFill="1" applyBorder="1"/>
    <xf numFmtId="176" fontId="4" fillId="3" borderId="21" xfId="1" applyNumberFormat="1" applyFont="1" applyFill="1" applyBorder="1"/>
    <xf numFmtId="0" fontId="4" fillId="3" borderId="22" xfId="1" applyFont="1" applyFill="1" applyBorder="1"/>
    <xf numFmtId="0" fontId="4" fillId="3" borderId="23" xfId="1" applyFont="1" applyFill="1" applyBorder="1"/>
    <xf numFmtId="0" fontId="4" fillId="3" borderId="24" xfId="1" applyFont="1" applyFill="1" applyBorder="1"/>
    <xf numFmtId="0" fontId="4" fillId="3" borderId="9" xfId="1" applyFont="1" applyFill="1" applyBorder="1"/>
    <xf numFmtId="0" fontId="4" fillId="3" borderId="2" xfId="1" applyFill="1" applyBorder="1"/>
    <xf numFmtId="0" fontId="4" fillId="3" borderId="3" xfId="1" applyFill="1" applyBorder="1"/>
    <xf numFmtId="0" fontId="4" fillId="3" borderId="4" xfId="1" applyFill="1" applyBorder="1"/>
    <xf numFmtId="0" fontId="4" fillId="3" borderId="25" xfId="1" applyFont="1" applyFill="1" applyBorder="1"/>
    <xf numFmtId="0" fontId="4" fillId="3" borderId="26" xfId="1" applyFont="1" applyFill="1" applyBorder="1"/>
    <xf numFmtId="0" fontId="6" fillId="3" borderId="27" xfId="1" applyFont="1" applyFill="1" applyBorder="1" applyAlignment="1">
      <alignment horizontal="center"/>
    </xf>
    <xf numFmtId="0" fontId="6" fillId="3" borderId="11" xfId="1" applyFont="1" applyFill="1" applyBorder="1"/>
    <xf numFmtId="0" fontId="6" fillId="3" borderId="12" xfId="1" applyFont="1" applyFill="1" applyBorder="1"/>
    <xf numFmtId="0" fontId="6" fillId="3" borderId="10" xfId="1" applyFont="1" applyFill="1" applyBorder="1"/>
    <xf numFmtId="0" fontId="4" fillId="3" borderId="27" xfId="1" applyFont="1" applyFill="1" applyBorder="1" applyAlignment="1">
      <alignment horizontal="center"/>
    </xf>
    <xf numFmtId="0" fontId="4" fillId="3" borderId="31" xfId="1" applyFont="1" applyFill="1" applyBorder="1"/>
    <xf numFmtId="0" fontId="4" fillId="3" borderId="28" xfId="1" applyFont="1" applyFill="1" applyBorder="1"/>
    <xf numFmtId="0" fontId="4" fillId="3" borderId="29" xfId="1" applyFont="1" applyFill="1" applyBorder="1"/>
    <xf numFmtId="0" fontId="4" fillId="3" borderId="30" xfId="1" applyFont="1" applyFill="1" applyBorder="1"/>
    <xf numFmtId="0" fontId="4" fillId="3" borderId="27" xfId="1" applyFont="1" applyFill="1" applyBorder="1"/>
    <xf numFmtId="0" fontId="9" fillId="3" borderId="27" xfId="1" applyFont="1" applyFill="1" applyBorder="1" applyAlignment="1">
      <alignment horizontal="center"/>
    </xf>
    <xf numFmtId="0" fontId="10" fillId="3" borderId="27" xfId="1" applyFont="1" applyFill="1" applyBorder="1" applyAlignment="1">
      <alignment horizontal="center"/>
    </xf>
    <xf numFmtId="0" fontId="6" fillId="3" borderId="28" xfId="1" applyFont="1" applyFill="1" applyBorder="1"/>
    <xf numFmtId="0" fontId="6" fillId="3" borderId="29" xfId="1" applyFont="1" applyFill="1" applyBorder="1"/>
    <xf numFmtId="0" fontId="6" fillId="3" borderId="30" xfId="1" applyFont="1" applyFill="1" applyBorder="1"/>
    <xf numFmtId="0" fontId="6" fillId="3" borderId="27" xfId="1" applyFont="1" applyFill="1" applyBorder="1"/>
    <xf numFmtId="176" fontId="6" fillId="3" borderId="21" xfId="1" applyNumberFormat="1" applyFont="1" applyFill="1" applyBorder="1"/>
    <xf numFmtId="0" fontId="4" fillId="3" borderId="1" xfId="1" applyFill="1" applyBorder="1"/>
    <xf numFmtId="0" fontId="4" fillId="3" borderId="25" xfId="1" applyFill="1" applyBorder="1" applyAlignment="1">
      <alignment horizontal="center"/>
    </xf>
    <xf numFmtId="0" fontId="4" fillId="3" borderId="32" xfId="1" applyFill="1" applyBorder="1"/>
    <xf numFmtId="0" fontId="4" fillId="3" borderId="33" xfId="1" applyFill="1" applyBorder="1"/>
    <xf numFmtId="0" fontId="4" fillId="3" borderId="34" xfId="1" applyFont="1" applyFill="1" applyBorder="1"/>
    <xf numFmtId="0" fontId="6" fillId="3" borderId="15" xfId="1" applyFont="1" applyFill="1" applyBorder="1"/>
    <xf numFmtId="176" fontId="6" fillId="3" borderId="19" xfId="1" applyNumberFormat="1" applyFont="1" applyFill="1" applyBorder="1"/>
    <xf numFmtId="0" fontId="6" fillId="0" borderId="13" xfId="1" applyFont="1" applyBorder="1"/>
    <xf numFmtId="0" fontId="6" fillId="0" borderId="12" xfId="1" applyFont="1" applyBorder="1"/>
    <xf numFmtId="0" fontId="6" fillId="0" borderId="20" xfId="1" applyFont="1" applyFill="1" applyBorder="1"/>
    <xf numFmtId="0" fontId="4" fillId="3" borderId="16" xfId="1" applyFont="1" applyFill="1" applyBorder="1"/>
    <xf numFmtId="0" fontId="4" fillId="3" borderId="17" xfId="1" applyFont="1" applyFill="1" applyBorder="1"/>
    <xf numFmtId="0" fontId="4" fillId="3" borderId="18" xfId="1" applyFont="1" applyFill="1" applyBorder="1"/>
    <xf numFmtId="0" fontId="6" fillId="3" borderId="31" xfId="1" applyFont="1" applyFill="1" applyBorder="1"/>
    <xf numFmtId="0" fontId="6" fillId="3" borderId="21" xfId="1" applyFont="1" applyFill="1" applyBorder="1"/>
    <xf numFmtId="0" fontId="6" fillId="3" borderId="20" xfId="1" applyFont="1" applyFill="1" applyBorder="1"/>
    <xf numFmtId="0" fontId="4" fillId="0" borderId="5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4" xfId="1" applyFont="1" applyBorder="1" applyAlignment="1"/>
    <xf numFmtId="0" fontId="4" fillId="0" borderId="15" xfId="1" applyBorder="1" applyAlignment="1">
      <alignment horizontal="center" vertical="center"/>
    </xf>
    <xf numFmtId="0" fontId="5" fillId="3" borderId="2" xfId="1" applyFont="1" applyFill="1" applyBorder="1" applyAlignment="1">
      <alignment horizontal="center"/>
    </xf>
    <xf numFmtId="0" fontId="5" fillId="3" borderId="3" xfId="1" applyFont="1" applyFill="1" applyBorder="1" applyAlignment="1">
      <alignment horizontal="center"/>
    </xf>
    <xf numFmtId="0" fontId="5" fillId="3" borderId="4" xfId="1" applyFont="1" applyFill="1" applyBorder="1" applyAlignment="1">
      <alignment horizontal="center"/>
    </xf>
    <xf numFmtId="0" fontId="5" fillId="3" borderId="4" xfId="1" applyFont="1" applyFill="1" applyBorder="1" applyAlignment="1"/>
    <xf numFmtId="0" fontId="4" fillId="3" borderId="5" xfId="1" applyFill="1" applyBorder="1" applyAlignment="1">
      <alignment horizontal="center" vertical="center"/>
    </xf>
    <xf numFmtId="0" fontId="4" fillId="3" borderId="9" xfId="1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59"/>
  <sheetViews>
    <sheetView tabSelected="1" topLeftCell="A531" workbookViewId="0">
      <selection activeCell="L549" sqref="L549"/>
    </sheetView>
  </sheetViews>
  <sheetFormatPr defaultRowHeight="13.5"/>
  <cols>
    <col min="1" max="1" width="19.25" customWidth="1"/>
    <col min="12" max="12" width="9.25" bestFit="1" customWidth="1"/>
    <col min="14" max="14" width="15" customWidth="1"/>
    <col min="25" max="25" width="9.25" bestFit="1" customWidth="1"/>
  </cols>
  <sheetData>
    <row r="1" spans="1:25" ht="19.5" thickBot="1">
      <c r="A1" s="1" t="s">
        <v>22</v>
      </c>
      <c r="N1" s="1" t="s">
        <v>21</v>
      </c>
    </row>
    <row r="2" spans="1:25" ht="19.5" thickBot="1">
      <c r="A2" s="2" t="s">
        <v>0</v>
      </c>
      <c r="B2" s="163" t="s">
        <v>20</v>
      </c>
      <c r="C2" s="164"/>
      <c r="D2" s="164"/>
      <c r="E2" s="164"/>
      <c r="F2" s="164"/>
      <c r="G2" s="164"/>
      <c r="H2" s="165"/>
      <c r="I2" s="165"/>
      <c r="J2" s="165"/>
      <c r="K2" s="166"/>
      <c r="L2" s="161" t="s">
        <v>1</v>
      </c>
      <c r="N2" s="2" t="s">
        <v>0</v>
      </c>
      <c r="O2" s="163" t="s">
        <v>20</v>
      </c>
      <c r="P2" s="164"/>
      <c r="Q2" s="164"/>
      <c r="R2" s="164"/>
      <c r="S2" s="164"/>
      <c r="T2" s="164"/>
      <c r="U2" s="165"/>
      <c r="V2" s="165"/>
      <c r="W2" s="165"/>
      <c r="X2" s="166"/>
      <c r="Y2" s="161" t="s">
        <v>1</v>
      </c>
    </row>
    <row r="3" spans="1:25" ht="14.25" thickBot="1">
      <c r="A3" s="2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4" t="s">
        <v>9</v>
      </c>
      <c r="I3" s="6" t="s">
        <v>10</v>
      </c>
      <c r="J3" s="5" t="s">
        <v>11</v>
      </c>
      <c r="K3" s="7" t="s">
        <v>12</v>
      </c>
      <c r="L3" s="162"/>
      <c r="N3" s="2" t="s">
        <v>2</v>
      </c>
      <c r="O3" s="3" t="s">
        <v>3</v>
      </c>
      <c r="P3" s="4" t="s">
        <v>4</v>
      </c>
      <c r="Q3" s="4" t="s">
        <v>5</v>
      </c>
      <c r="R3" s="4" t="s">
        <v>6</v>
      </c>
      <c r="S3" s="4" t="s">
        <v>7</v>
      </c>
      <c r="T3" s="5" t="s">
        <v>8</v>
      </c>
      <c r="U3" s="4" t="s">
        <v>9</v>
      </c>
      <c r="V3" s="6" t="s">
        <v>10</v>
      </c>
      <c r="W3" s="5" t="s">
        <v>11</v>
      </c>
      <c r="X3" s="7" t="s">
        <v>12</v>
      </c>
      <c r="Y3" s="162"/>
    </row>
    <row r="4" spans="1:25">
      <c r="A4" s="8" t="s">
        <v>13</v>
      </c>
      <c r="B4" s="9">
        <v>3</v>
      </c>
      <c r="C4" s="10">
        <v>3</v>
      </c>
      <c r="D4" s="10">
        <v>3</v>
      </c>
      <c r="E4" s="10">
        <v>3</v>
      </c>
      <c r="F4" s="10">
        <v>3</v>
      </c>
      <c r="G4" s="11">
        <v>3</v>
      </c>
      <c r="H4" s="11">
        <v>3</v>
      </c>
      <c r="I4" s="11">
        <v>3</v>
      </c>
      <c r="J4" s="11">
        <v>3</v>
      </c>
      <c r="K4" s="50">
        <f t="shared" ref="K4:K29" si="0">SUM(B4:J4)</f>
        <v>27</v>
      </c>
      <c r="L4" s="12">
        <v>42310</v>
      </c>
      <c r="N4" s="8" t="s">
        <v>13</v>
      </c>
      <c r="O4" s="9">
        <v>250</v>
      </c>
      <c r="P4" s="10">
        <v>140</v>
      </c>
      <c r="Q4" s="10">
        <v>80</v>
      </c>
      <c r="R4" s="10">
        <v>513</v>
      </c>
      <c r="S4" s="10">
        <v>432</v>
      </c>
      <c r="T4" s="11">
        <v>130</v>
      </c>
      <c r="U4" s="11">
        <v>130</v>
      </c>
      <c r="V4" s="11">
        <v>170</v>
      </c>
      <c r="W4" s="11">
        <v>160</v>
      </c>
      <c r="X4" s="50">
        <f t="shared" ref="X4:X29" si="1">SUM(O4:W4)</f>
        <v>2005</v>
      </c>
      <c r="Y4" s="12">
        <v>42313</v>
      </c>
    </row>
    <row r="5" spans="1:25">
      <c r="A5" s="8" t="s">
        <v>14</v>
      </c>
      <c r="B5" s="9"/>
      <c r="C5" s="10"/>
      <c r="D5" s="10"/>
      <c r="E5" s="10"/>
      <c r="F5" s="10"/>
      <c r="G5" s="11"/>
      <c r="H5" s="11"/>
      <c r="I5" s="11"/>
      <c r="J5" s="11">
        <v>3</v>
      </c>
      <c r="K5" s="13">
        <f t="shared" si="0"/>
        <v>3</v>
      </c>
      <c r="L5" s="12">
        <v>42324</v>
      </c>
      <c r="N5" s="8" t="s">
        <v>14</v>
      </c>
      <c r="O5" s="9">
        <v>50</v>
      </c>
      <c r="P5" s="10"/>
      <c r="Q5" s="10"/>
      <c r="R5" s="10">
        <v>100</v>
      </c>
      <c r="S5" s="10">
        <v>100</v>
      </c>
      <c r="T5" s="11"/>
      <c r="U5" s="11"/>
      <c r="V5" s="11">
        <v>50</v>
      </c>
      <c r="W5" s="11"/>
      <c r="X5" s="13">
        <f t="shared" si="1"/>
        <v>300</v>
      </c>
      <c r="Y5" s="12">
        <v>42313</v>
      </c>
    </row>
    <row r="6" spans="1:25">
      <c r="A6" s="14" t="s">
        <v>15</v>
      </c>
      <c r="B6" s="15"/>
      <c r="C6" s="16"/>
      <c r="D6" s="16"/>
      <c r="E6" s="16">
        <v>5</v>
      </c>
      <c r="F6" s="16">
        <v>3</v>
      </c>
      <c r="G6" s="17"/>
      <c r="H6" s="17"/>
      <c r="I6" s="17"/>
      <c r="J6" s="17"/>
      <c r="K6" s="18">
        <f t="shared" si="0"/>
        <v>8</v>
      </c>
      <c r="L6" s="19">
        <v>42327</v>
      </c>
      <c r="N6" s="14" t="s">
        <v>15</v>
      </c>
      <c r="O6" s="15"/>
      <c r="P6" s="16"/>
      <c r="Q6" s="16"/>
      <c r="R6" s="16"/>
      <c r="S6" s="16"/>
      <c r="T6" s="17"/>
      <c r="U6" s="17"/>
      <c r="V6" s="17"/>
      <c r="W6" s="17"/>
      <c r="X6" s="18">
        <f t="shared" si="1"/>
        <v>0</v>
      </c>
      <c r="Y6" s="19"/>
    </row>
    <row r="7" spans="1:25">
      <c r="A7" s="20" t="s">
        <v>16</v>
      </c>
      <c r="B7" s="9">
        <v>3</v>
      </c>
      <c r="C7" s="10">
        <v>3</v>
      </c>
      <c r="D7" s="10"/>
      <c r="E7" s="10">
        <v>5</v>
      </c>
      <c r="F7" s="10">
        <v>5</v>
      </c>
      <c r="G7" s="10"/>
      <c r="H7" s="10"/>
      <c r="I7" s="10">
        <v>2</v>
      </c>
      <c r="J7" s="21"/>
      <c r="K7" s="13">
        <f>SUM(B7:J7)</f>
        <v>18</v>
      </c>
      <c r="L7" s="22">
        <v>42342</v>
      </c>
      <c r="N7" s="20" t="s">
        <v>16</v>
      </c>
      <c r="O7" s="9"/>
      <c r="P7" s="10"/>
      <c r="Q7" s="10"/>
      <c r="R7" s="10"/>
      <c r="S7" s="10"/>
      <c r="T7" s="10"/>
      <c r="U7" s="10"/>
      <c r="V7" s="10"/>
      <c r="W7" s="21"/>
      <c r="X7" s="13">
        <f t="shared" si="1"/>
        <v>0</v>
      </c>
      <c r="Y7" s="22"/>
    </row>
    <row r="8" spans="1:25" ht="14.25" thickBot="1">
      <c r="A8" s="20" t="s">
        <v>23</v>
      </c>
      <c r="B8" s="42"/>
      <c r="C8" s="43">
        <v>5</v>
      </c>
      <c r="D8" s="43"/>
      <c r="E8" s="43"/>
      <c r="F8" s="43"/>
      <c r="G8" s="43">
        <v>3</v>
      </c>
      <c r="H8" s="43"/>
      <c r="I8" s="43"/>
      <c r="J8" s="44"/>
      <c r="K8" s="45">
        <f>SUM(B8:J8)</f>
        <v>8</v>
      </c>
      <c r="L8" s="19">
        <v>42353</v>
      </c>
      <c r="N8" s="20" t="s">
        <v>23</v>
      </c>
      <c r="O8" s="42"/>
      <c r="P8" s="43"/>
      <c r="Q8" s="43"/>
      <c r="R8" s="43"/>
      <c r="S8" s="43"/>
      <c r="T8" s="43"/>
      <c r="U8" s="43"/>
      <c r="V8" s="43"/>
      <c r="W8" s="44"/>
      <c r="X8" s="45">
        <f t="shared" si="1"/>
        <v>0</v>
      </c>
      <c r="Y8" s="19"/>
    </row>
    <row r="9" spans="1:25" ht="14.25" thickBot="1">
      <c r="A9" s="2" t="s">
        <v>18</v>
      </c>
      <c r="B9" s="23">
        <f>SUM(B4:B8)</f>
        <v>6</v>
      </c>
      <c r="C9" s="24">
        <f t="shared" ref="C9:J9" si="2">SUM(C4:C8)</f>
        <v>11</v>
      </c>
      <c r="D9" s="24">
        <f t="shared" si="2"/>
        <v>3</v>
      </c>
      <c r="E9" s="24">
        <f t="shared" si="2"/>
        <v>13</v>
      </c>
      <c r="F9" s="24">
        <f t="shared" si="2"/>
        <v>11</v>
      </c>
      <c r="G9" s="25">
        <f t="shared" si="2"/>
        <v>6</v>
      </c>
      <c r="H9" s="25">
        <f t="shared" si="2"/>
        <v>3</v>
      </c>
      <c r="I9" s="25">
        <f t="shared" si="2"/>
        <v>5</v>
      </c>
      <c r="J9" s="25">
        <f t="shared" si="2"/>
        <v>6</v>
      </c>
      <c r="K9" s="26">
        <f t="shared" si="0"/>
        <v>64</v>
      </c>
      <c r="L9" s="27"/>
      <c r="N9" s="2" t="s">
        <v>18</v>
      </c>
      <c r="O9" s="23">
        <f t="shared" ref="O9:W9" si="3">SUM(O4:O8)</f>
        <v>300</v>
      </c>
      <c r="P9" s="24">
        <f t="shared" si="3"/>
        <v>140</v>
      </c>
      <c r="Q9" s="24">
        <f t="shared" si="3"/>
        <v>80</v>
      </c>
      <c r="R9" s="24">
        <f t="shared" si="3"/>
        <v>613</v>
      </c>
      <c r="S9" s="24">
        <f t="shared" si="3"/>
        <v>532</v>
      </c>
      <c r="T9" s="25">
        <f t="shared" si="3"/>
        <v>130</v>
      </c>
      <c r="U9" s="25">
        <f t="shared" si="3"/>
        <v>130</v>
      </c>
      <c r="V9" s="25">
        <f t="shared" si="3"/>
        <v>220</v>
      </c>
      <c r="W9" s="25">
        <f t="shared" si="3"/>
        <v>160</v>
      </c>
      <c r="X9" s="26">
        <f t="shared" si="1"/>
        <v>2305</v>
      </c>
      <c r="Y9" s="27"/>
    </row>
    <row r="10" spans="1:25" ht="16.5" customHeight="1">
      <c r="A10" s="28" t="s">
        <v>27</v>
      </c>
      <c r="B10" s="29"/>
      <c r="C10" s="30"/>
      <c r="D10" s="30"/>
      <c r="E10" s="31"/>
      <c r="F10" s="31"/>
      <c r="G10" s="32"/>
      <c r="H10" s="33"/>
      <c r="I10" s="33"/>
      <c r="J10" s="33">
        <v>1</v>
      </c>
      <c r="K10" s="34">
        <f t="shared" si="0"/>
        <v>1</v>
      </c>
      <c r="L10" s="12">
        <v>42312</v>
      </c>
      <c r="N10" s="28" t="s">
        <v>24</v>
      </c>
      <c r="O10" s="29">
        <v>150</v>
      </c>
      <c r="P10" s="30">
        <v>60</v>
      </c>
      <c r="Q10" s="30">
        <v>30</v>
      </c>
      <c r="R10" s="31">
        <v>280</v>
      </c>
      <c r="S10" s="31">
        <v>200</v>
      </c>
      <c r="T10" s="32">
        <v>60</v>
      </c>
      <c r="U10" s="33">
        <v>60</v>
      </c>
      <c r="V10" s="33">
        <v>90</v>
      </c>
      <c r="W10" s="33">
        <v>70</v>
      </c>
      <c r="X10" s="34">
        <f t="shared" si="1"/>
        <v>1000</v>
      </c>
      <c r="Y10" s="12">
        <v>42313</v>
      </c>
    </row>
    <row r="11" spans="1:25" ht="16.5" customHeight="1">
      <c r="A11" s="51" t="s">
        <v>26</v>
      </c>
      <c r="B11" s="29"/>
      <c r="C11" s="30"/>
      <c r="D11" s="30"/>
      <c r="E11" s="30"/>
      <c r="F11" s="30">
        <v>1</v>
      </c>
      <c r="G11" s="32"/>
      <c r="H11" s="32"/>
      <c r="I11" s="32"/>
      <c r="J11" s="32"/>
      <c r="K11" s="34">
        <f t="shared" si="0"/>
        <v>1</v>
      </c>
      <c r="L11" s="22">
        <v>42313</v>
      </c>
      <c r="N11" s="20" t="s">
        <v>25</v>
      </c>
      <c r="O11" s="29">
        <v>3</v>
      </c>
      <c r="P11" s="30">
        <v>3</v>
      </c>
      <c r="Q11" s="30">
        <v>3</v>
      </c>
      <c r="R11" s="30">
        <v>3</v>
      </c>
      <c r="S11" s="30">
        <v>3</v>
      </c>
      <c r="T11" s="32">
        <v>3</v>
      </c>
      <c r="U11" s="32">
        <v>3</v>
      </c>
      <c r="V11" s="32">
        <v>3</v>
      </c>
      <c r="W11" s="32">
        <v>3</v>
      </c>
      <c r="X11" s="34">
        <f t="shared" si="1"/>
        <v>27</v>
      </c>
      <c r="Y11" s="22">
        <v>42310</v>
      </c>
    </row>
    <row r="12" spans="1:25" ht="16.5" customHeight="1">
      <c r="A12" s="20" t="s">
        <v>28</v>
      </c>
      <c r="B12" s="29"/>
      <c r="C12" s="30"/>
      <c r="D12" s="30"/>
      <c r="E12" s="30"/>
      <c r="F12" s="30"/>
      <c r="G12" s="32"/>
      <c r="H12" s="32"/>
      <c r="I12" s="32"/>
      <c r="J12" s="32">
        <v>1</v>
      </c>
      <c r="K12" s="34">
        <f t="shared" si="0"/>
        <v>1</v>
      </c>
      <c r="L12" s="22">
        <v>42313</v>
      </c>
      <c r="N12" s="20" t="s">
        <v>29</v>
      </c>
      <c r="O12" s="29"/>
      <c r="P12" s="30"/>
      <c r="Q12" s="30"/>
      <c r="R12" s="30"/>
      <c r="S12" s="30"/>
      <c r="T12" s="32"/>
      <c r="U12" s="32"/>
      <c r="V12" s="32"/>
      <c r="W12" s="32">
        <v>3</v>
      </c>
      <c r="X12" s="34">
        <f t="shared" si="1"/>
        <v>3</v>
      </c>
      <c r="Y12" s="22">
        <v>42324</v>
      </c>
    </row>
    <row r="13" spans="1:25" ht="16.5" customHeight="1">
      <c r="A13" s="20" t="s">
        <v>27</v>
      </c>
      <c r="B13" s="29"/>
      <c r="C13" s="30"/>
      <c r="D13" s="30"/>
      <c r="E13" s="30"/>
      <c r="F13" s="30"/>
      <c r="G13" s="32"/>
      <c r="H13" s="33"/>
      <c r="I13" s="32"/>
      <c r="J13" s="32">
        <v>1</v>
      </c>
      <c r="K13" s="34">
        <f t="shared" si="0"/>
        <v>1</v>
      </c>
      <c r="L13" s="22">
        <v>42313</v>
      </c>
      <c r="N13" s="20" t="s">
        <v>29</v>
      </c>
      <c r="O13" s="29"/>
      <c r="P13" s="30"/>
      <c r="Q13" s="30"/>
      <c r="R13" s="30">
        <v>5</v>
      </c>
      <c r="S13" s="30">
        <v>3</v>
      </c>
      <c r="T13" s="32"/>
      <c r="U13" s="33"/>
      <c r="V13" s="32"/>
      <c r="W13" s="32"/>
      <c r="X13" s="34">
        <f t="shared" si="1"/>
        <v>8</v>
      </c>
      <c r="Y13" s="22">
        <v>42328</v>
      </c>
    </row>
    <row r="14" spans="1:25" ht="16.5" customHeight="1">
      <c r="A14" s="20" t="s">
        <v>27</v>
      </c>
      <c r="B14" s="29"/>
      <c r="C14" s="30"/>
      <c r="D14" s="30"/>
      <c r="E14" s="30">
        <v>1</v>
      </c>
      <c r="F14" s="30"/>
      <c r="G14" s="32"/>
      <c r="H14" s="32"/>
      <c r="I14" s="32"/>
      <c r="J14" s="32"/>
      <c r="K14" s="34">
        <f t="shared" si="0"/>
        <v>1</v>
      </c>
      <c r="L14" s="22">
        <v>42319</v>
      </c>
      <c r="N14" s="20" t="s">
        <v>29</v>
      </c>
      <c r="O14" s="29">
        <v>3</v>
      </c>
      <c r="P14" s="30">
        <v>3</v>
      </c>
      <c r="Q14" s="30"/>
      <c r="R14" s="30">
        <v>5</v>
      </c>
      <c r="S14" s="30">
        <v>5</v>
      </c>
      <c r="T14" s="32"/>
      <c r="U14" s="32"/>
      <c r="V14" s="32">
        <v>2</v>
      </c>
      <c r="W14" s="32"/>
      <c r="X14" s="34">
        <f t="shared" si="1"/>
        <v>18</v>
      </c>
      <c r="Y14" s="22">
        <v>42342</v>
      </c>
    </row>
    <row r="15" spans="1:25" ht="16.5" customHeight="1">
      <c r="A15" s="20" t="s">
        <v>31</v>
      </c>
      <c r="B15" s="29"/>
      <c r="C15" s="30"/>
      <c r="D15" s="30"/>
      <c r="E15" s="30">
        <v>1</v>
      </c>
      <c r="F15" s="30"/>
      <c r="G15" s="32"/>
      <c r="H15" s="33"/>
      <c r="I15" s="33"/>
      <c r="J15" s="33"/>
      <c r="K15" s="34">
        <f t="shared" si="0"/>
        <v>1</v>
      </c>
      <c r="L15" s="22">
        <v>42324</v>
      </c>
      <c r="N15" s="20" t="s">
        <v>29</v>
      </c>
      <c r="O15" s="29"/>
      <c r="P15" s="30">
        <v>5</v>
      </c>
      <c r="Q15" s="30"/>
      <c r="R15" s="30"/>
      <c r="S15" s="30"/>
      <c r="T15" s="32">
        <v>3</v>
      </c>
      <c r="U15" s="33"/>
      <c r="V15" s="33"/>
      <c r="W15" s="33"/>
      <c r="X15" s="34">
        <f t="shared" si="1"/>
        <v>8</v>
      </c>
      <c r="Y15" s="22">
        <v>42353</v>
      </c>
    </row>
    <row r="16" spans="1:25" ht="16.5" customHeight="1">
      <c r="A16" s="28" t="s">
        <v>30</v>
      </c>
      <c r="B16" s="29"/>
      <c r="C16" s="30"/>
      <c r="D16" s="30"/>
      <c r="E16" s="31"/>
      <c r="F16" s="31">
        <v>1</v>
      </c>
      <c r="G16" s="32"/>
      <c r="H16" s="33"/>
      <c r="I16" s="33"/>
      <c r="J16" s="33"/>
      <c r="K16" s="34">
        <f t="shared" si="0"/>
        <v>1</v>
      </c>
      <c r="L16" s="22">
        <v>42325</v>
      </c>
      <c r="N16" s="20" t="s">
        <v>29</v>
      </c>
      <c r="O16" s="29">
        <v>3</v>
      </c>
      <c r="P16" s="30"/>
      <c r="Q16" s="30"/>
      <c r="R16" s="31">
        <v>3</v>
      </c>
      <c r="S16" s="31">
        <v>6</v>
      </c>
      <c r="T16" s="32"/>
      <c r="U16" s="33"/>
      <c r="V16" s="33">
        <v>3</v>
      </c>
      <c r="W16" s="33">
        <v>3</v>
      </c>
      <c r="X16" s="34">
        <f t="shared" si="1"/>
        <v>18</v>
      </c>
      <c r="Y16" s="22">
        <v>42390</v>
      </c>
    </row>
    <row r="17" spans="1:25" ht="16.5" customHeight="1">
      <c r="A17" s="28" t="s">
        <v>32</v>
      </c>
      <c r="B17" s="35"/>
      <c r="C17" s="31"/>
      <c r="D17" s="31"/>
      <c r="E17" s="31"/>
      <c r="F17" s="31"/>
      <c r="G17" s="33">
        <v>1</v>
      </c>
      <c r="H17" s="33"/>
      <c r="I17" s="33"/>
      <c r="J17" s="33"/>
      <c r="K17" s="34">
        <f t="shared" si="0"/>
        <v>1</v>
      </c>
      <c r="L17" s="22">
        <v>42325</v>
      </c>
      <c r="N17" s="28"/>
      <c r="O17" s="35"/>
      <c r="P17" s="31"/>
      <c r="Q17" s="31"/>
      <c r="R17" s="31"/>
      <c r="S17" s="31"/>
      <c r="T17" s="33"/>
      <c r="U17" s="33"/>
      <c r="V17" s="33"/>
      <c r="W17" s="33"/>
      <c r="X17" s="34">
        <f t="shared" si="1"/>
        <v>0</v>
      </c>
      <c r="Y17" s="22"/>
    </row>
    <row r="18" spans="1:25" ht="16.5" customHeight="1">
      <c r="A18" s="28" t="s">
        <v>27</v>
      </c>
      <c r="B18" s="35"/>
      <c r="C18" s="31"/>
      <c r="D18" s="31"/>
      <c r="E18" s="31">
        <v>2</v>
      </c>
      <c r="F18" s="31"/>
      <c r="G18" s="33"/>
      <c r="H18" s="33"/>
      <c r="I18" s="33"/>
      <c r="J18" s="33"/>
      <c r="K18" s="34">
        <f t="shared" si="0"/>
        <v>2</v>
      </c>
      <c r="L18" s="22">
        <v>42328</v>
      </c>
      <c r="N18" s="28"/>
      <c r="O18" s="35"/>
      <c r="P18" s="31"/>
      <c r="Q18" s="31"/>
      <c r="R18" s="31"/>
      <c r="S18" s="31"/>
      <c r="T18" s="33"/>
      <c r="U18" s="33"/>
      <c r="V18" s="33"/>
      <c r="W18" s="33"/>
      <c r="X18" s="34">
        <f t="shared" si="1"/>
        <v>0</v>
      </c>
      <c r="Y18" s="22"/>
    </row>
    <row r="19" spans="1:25" ht="16.5" customHeight="1">
      <c r="A19" s="28" t="s">
        <v>27</v>
      </c>
      <c r="B19" s="35"/>
      <c r="C19" s="31">
        <v>1</v>
      </c>
      <c r="D19" s="31"/>
      <c r="E19" s="31"/>
      <c r="F19" s="31"/>
      <c r="G19" s="33"/>
      <c r="H19" s="33"/>
      <c r="I19" s="33"/>
      <c r="J19" s="33"/>
      <c r="K19" s="34">
        <f t="shared" si="0"/>
        <v>1</v>
      </c>
      <c r="L19" s="22">
        <v>42334</v>
      </c>
      <c r="N19" s="28"/>
      <c r="O19" s="35"/>
      <c r="P19" s="31"/>
      <c r="Q19" s="31"/>
      <c r="R19" s="31"/>
      <c r="S19" s="31"/>
      <c r="T19" s="33"/>
      <c r="U19" s="33"/>
      <c r="V19" s="33"/>
      <c r="W19" s="33"/>
      <c r="X19" s="34">
        <f t="shared" si="1"/>
        <v>0</v>
      </c>
      <c r="Y19" s="22"/>
    </row>
    <row r="20" spans="1:25" ht="16.5" customHeight="1">
      <c r="A20" s="28" t="s">
        <v>27</v>
      </c>
      <c r="B20" s="29"/>
      <c r="C20" s="30"/>
      <c r="D20" s="30"/>
      <c r="E20" s="30"/>
      <c r="F20" s="30"/>
      <c r="G20" s="32"/>
      <c r="H20" s="32"/>
      <c r="I20" s="32">
        <v>1</v>
      </c>
      <c r="J20" s="32"/>
      <c r="K20" s="34">
        <f t="shared" si="0"/>
        <v>1</v>
      </c>
      <c r="L20" s="22">
        <v>42336</v>
      </c>
      <c r="N20" s="28"/>
      <c r="O20" s="29"/>
      <c r="P20" s="30"/>
      <c r="Q20" s="30"/>
      <c r="R20" s="30"/>
      <c r="S20" s="30"/>
      <c r="T20" s="32"/>
      <c r="U20" s="32"/>
      <c r="V20" s="32"/>
      <c r="W20" s="32"/>
      <c r="X20" s="34">
        <f t="shared" si="1"/>
        <v>0</v>
      </c>
      <c r="Y20" s="22"/>
    </row>
    <row r="21" spans="1:25" ht="16.5" customHeight="1">
      <c r="A21" s="28" t="s">
        <v>34</v>
      </c>
      <c r="B21" s="35"/>
      <c r="C21" s="31"/>
      <c r="D21" s="31"/>
      <c r="E21" s="31"/>
      <c r="F21" s="31"/>
      <c r="G21" s="33"/>
      <c r="H21" s="33"/>
      <c r="I21" s="33">
        <v>1</v>
      </c>
      <c r="J21" s="33"/>
      <c r="K21" s="34">
        <f t="shared" si="0"/>
        <v>1</v>
      </c>
      <c r="L21" s="22">
        <v>42338</v>
      </c>
      <c r="N21" s="28"/>
      <c r="O21" s="35"/>
      <c r="P21" s="31"/>
      <c r="Q21" s="31"/>
      <c r="R21" s="31"/>
      <c r="S21" s="31"/>
      <c r="T21" s="33"/>
      <c r="U21" s="33"/>
      <c r="V21" s="33"/>
      <c r="W21" s="33"/>
      <c r="X21" s="34">
        <f t="shared" si="1"/>
        <v>0</v>
      </c>
      <c r="Y21" s="22"/>
    </row>
    <row r="22" spans="1:25" ht="16.5" customHeight="1">
      <c r="A22" s="28" t="s">
        <v>33</v>
      </c>
      <c r="B22" s="29">
        <v>3</v>
      </c>
      <c r="C22" s="30">
        <v>3</v>
      </c>
      <c r="D22" s="30"/>
      <c r="E22" s="30">
        <v>5</v>
      </c>
      <c r="F22" s="30">
        <v>5</v>
      </c>
      <c r="G22" s="32"/>
      <c r="H22" s="33"/>
      <c r="I22" s="33"/>
      <c r="J22" s="33"/>
      <c r="K22" s="34">
        <f t="shared" si="0"/>
        <v>16</v>
      </c>
      <c r="L22" s="22">
        <v>42347</v>
      </c>
      <c r="N22" s="28"/>
      <c r="O22" s="29"/>
      <c r="P22" s="30"/>
      <c r="Q22" s="30"/>
      <c r="R22" s="30"/>
      <c r="S22" s="30"/>
      <c r="T22" s="32"/>
      <c r="U22" s="33"/>
      <c r="V22" s="33"/>
      <c r="W22" s="33"/>
      <c r="X22" s="34">
        <f t="shared" si="1"/>
        <v>0</v>
      </c>
      <c r="Y22" s="22"/>
    </row>
    <row r="23" spans="1:25" ht="16.5" customHeight="1">
      <c r="A23" s="28" t="s">
        <v>35</v>
      </c>
      <c r="B23" s="35"/>
      <c r="C23" s="31">
        <v>2</v>
      </c>
      <c r="D23" s="31"/>
      <c r="E23" s="31"/>
      <c r="F23" s="31"/>
      <c r="G23" s="33"/>
      <c r="H23" s="33"/>
      <c r="I23" s="33"/>
      <c r="J23" s="33"/>
      <c r="K23" s="34">
        <f t="shared" si="0"/>
        <v>2</v>
      </c>
      <c r="L23" s="22">
        <v>42350</v>
      </c>
      <c r="N23" s="28"/>
      <c r="O23" s="35"/>
      <c r="P23" s="31"/>
      <c r="Q23" s="31"/>
      <c r="R23" s="31"/>
      <c r="S23" s="31"/>
      <c r="T23" s="33"/>
      <c r="U23" s="33"/>
      <c r="V23" s="33"/>
      <c r="W23" s="33"/>
      <c r="X23" s="34">
        <f t="shared" si="1"/>
        <v>0</v>
      </c>
      <c r="Y23" s="22"/>
    </row>
    <row r="24" spans="1:25" ht="16.5" customHeight="1">
      <c r="A24" s="28" t="s">
        <v>27</v>
      </c>
      <c r="B24" s="35"/>
      <c r="C24" s="31"/>
      <c r="D24" s="31"/>
      <c r="E24" s="31"/>
      <c r="F24" s="31"/>
      <c r="G24" s="33">
        <v>2</v>
      </c>
      <c r="H24" s="33"/>
      <c r="I24" s="33"/>
      <c r="J24" s="33"/>
      <c r="K24" s="34">
        <f t="shared" si="0"/>
        <v>2</v>
      </c>
      <c r="L24" s="22">
        <v>42354</v>
      </c>
      <c r="N24" s="28"/>
      <c r="O24" s="35"/>
      <c r="P24" s="31"/>
      <c r="Q24" s="31"/>
      <c r="R24" s="31"/>
      <c r="S24" s="31"/>
      <c r="T24" s="33"/>
      <c r="U24" s="33"/>
      <c r="V24" s="33"/>
      <c r="W24" s="33"/>
      <c r="X24" s="34">
        <f t="shared" si="1"/>
        <v>0</v>
      </c>
      <c r="Y24" s="22"/>
    </row>
    <row r="25" spans="1:25" ht="16.5" customHeight="1">
      <c r="A25" s="28" t="s">
        <v>27</v>
      </c>
      <c r="B25" s="29"/>
      <c r="C25" s="30"/>
      <c r="D25" s="30"/>
      <c r="E25" s="30"/>
      <c r="F25" s="30"/>
      <c r="G25" s="32"/>
      <c r="H25" s="32"/>
      <c r="I25" s="32">
        <v>1</v>
      </c>
      <c r="J25" s="32">
        <v>1</v>
      </c>
      <c r="K25" s="34">
        <f t="shared" si="0"/>
        <v>2</v>
      </c>
      <c r="L25" s="22">
        <v>42362</v>
      </c>
      <c r="N25" s="28"/>
      <c r="O25" s="29"/>
      <c r="P25" s="30"/>
      <c r="Q25" s="30"/>
      <c r="R25" s="30"/>
      <c r="S25" s="30"/>
      <c r="T25" s="32"/>
      <c r="U25" s="32"/>
      <c r="V25" s="32"/>
      <c r="W25" s="32"/>
      <c r="X25" s="34">
        <f t="shared" si="1"/>
        <v>0</v>
      </c>
      <c r="Y25" s="22"/>
    </row>
    <row r="26" spans="1:25" ht="16.5" customHeight="1">
      <c r="A26" s="28" t="s">
        <v>27</v>
      </c>
      <c r="B26" s="29"/>
      <c r="C26" s="30">
        <v>1</v>
      </c>
      <c r="D26" s="30"/>
      <c r="E26" s="30"/>
      <c r="F26" s="30"/>
      <c r="G26" s="32"/>
      <c r="H26" s="32"/>
      <c r="I26" s="32"/>
      <c r="J26" s="32"/>
      <c r="K26" s="34">
        <f t="shared" si="0"/>
        <v>1</v>
      </c>
      <c r="L26" s="19">
        <v>42363</v>
      </c>
      <c r="N26" s="28"/>
      <c r="O26" s="29"/>
      <c r="P26" s="30"/>
      <c r="Q26" s="30"/>
      <c r="R26" s="30"/>
      <c r="S26" s="30"/>
      <c r="T26" s="32"/>
      <c r="U26" s="32"/>
      <c r="V26" s="32"/>
      <c r="W26" s="32"/>
      <c r="X26" s="34">
        <f t="shared" si="1"/>
        <v>0</v>
      </c>
      <c r="Y26" s="19"/>
    </row>
    <row r="27" spans="1:25" ht="16.5" customHeight="1">
      <c r="A27" s="28" t="s">
        <v>27</v>
      </c>
      <c r="B27" s="29"/>
      <c r="C27" s="30"/>
      <c r="D27" s="30"/>
      <c r="E27" s="30"/>
      <c r="F27" s="30">
        <v>1</v>
      </c>
      <c r="G27" s="32"/>
      <c r="H27" s="32"/>
      <c r="I27" s="32"/>
      <c r="J27" s="32"/>
      <c r="K27" s="34">
        <f t="shared" si="0"/>
        <v>1</v>
      </c>
      <c r="L27" s="19">
        <v>42376</v>
      </c>
      <c r="N27" s="28"/>
      <c r="O27" s="29"/>
      <c r="P27" s="30"/>
      <c r="Q27" s="30"/>
      <c r="R27" s="30"/>
      <c r="S27" s="30"/>
      <c r="T27" s="32"/>
      <c r="U27" s="32"/>
      <c r="V27" s="32"/>
      <c r="W27" s="32"/>
      <c r="X27" s="34">
        <f t="shared" si="1"/>
        <v>0</v>
      </c>
      <c r="Y27" s="19"/>
    </row>
    <row r="28" spans="1:25" ht="16.5" customHeight="1">
      <c r="A28" s="28" t="s">
        <v>27</v>
      </c>
      <c r="B28" s="29"/>
      <c r="C28" s="30"/>
      <c r="D28" s="30"/>
      <c r="E28" s="30"/>
      <c r="F28" s="30"/>
      <c r="G28" s="32"/>
      <c r="H28" s="32"/>
      <c r="I28" s="32">
        <v>1</v>
      </c>
      <c r="J28" s="32"/>
      <c r="K28" s="34">
        <f t="shared" si="0"/>
        <v>1</v>
      </c>
      <c r="L28" s="19">
        <v>42381</v>
      </c>
      <c r="N28" s="20"/>
      <c r="O28" s="29"/>
      <c r="P28" s="30"/>
      <c r="Q28" s="30"/>
      <c r="R28" s="30"/>
      <c r="S28" s="30"/>
      <c r="T28" s="32"/>
      <c r="U28" s="32"/>
      <c r="V28" s="32"/>
      <c r="W28" s="32"/>
      <c r="X28" s="34">
        <f t="shared" si="1"/>
        <v>0</v>
      </c>
      <c r="Y28" s="19"/>
    </row>
    <row r="29" spans="1:25" ht="16.5" customHeight="1" thickBot="1">
      <c r="A29" s="28" t="s">
        <v>36</v>
      </c>
      <c r="B29" s="29"/>
      <c r="C29" s="30"/>
      <c r="D29" s="30"/>
      <c r="E29" s="31">
        <v>1</v>
      </c>
      <c r="F29" s="31"/>
      <c r="G29" s="32"/>
      <c r="H29" s="33"/>
      <c r="I29" s="33"/>
      <c r="J29" s="33"/>
      <c r="K29" s="34">
        <f t="shared" si="0"/>
        <v>1</v>
      </c>
      <c r="L29" s="36">
        <v>42384</v>
      </c>
      <c r="N29" s="28"/>
      <c r="O29" s="29"/>
      <c r="P29" s="30"/>
      <c r="Q29" s="30"/>
      <c r="R29" s="31"/>
      <c r="S29" s="31"/>
      <c r="T29" s="32"/>
      <c r="U29" s="33"/>
      <c r="V29" s="33"/>
      <c r="W29" s="33"/>
      <c r="X29" s="34">
        <f t="shared" si="1"/>
        <v>0</v>
      </c>
      <c r="Y29" s="36"/>
    </row>
    <row r="30" spans="1:25" ht="16.5" customHeight="1" thickBot="1">
      <c r="A30" s="2" t="s">
        <v>19</v>
      </c>
      <c r="B30" s="23">
        <f t="shared" ref="B30:J30" si="4">SUM(B10:B29)</f>
        <v>3</v>
      </c>
      <c r="C30" s="24">
        <f t="shared" si="4"/>
        <v>7</v>
      </c>
      <c r="D30" s="24">
        <f t="shared" si="4"/>
        <v>0</v>
      </c>
      <c r="E30" s="24">
        <f t="shared" si="4"/>
        <v>10</v>
      </c>
      <c r="F30" s="24">
        <f t="shared" si="4"/>
        <v>8</v>
      </c>
      <c r="G30" s="25">
        <f t="shared" si="4"/>
        <v>3</v>
      </c>
      <c r="H30" s="25">
        <f t="shared" si="4"/>
        <v>0</v>
      </c>
      <c r="I30" s="25">
        <f t="shared" si="4"/>
        <v>4</v>
      </c>
      <c r="J30" s="25">
        <f t="shared" si="4"/>
        <v>4</v>
      </c>
      <c r="K30" s="37">
        <f>SUM(B30:J30)</f>
        <v>39</v>
      </c>
      <c r="L30" s="27"/>
      <c r="N30" s="2" t="s">
        <v>19</v>
      </c>
      <c r="O30" s="23">
        <f t="shared" ref="O30:W30" si="5">SUM(O10:O29)</f>
        <v>159</v>
      </c>
      <c r="P30" s="24">
        <f t="shared" si="5"/>
        <v>71</v>
      </c>
      <c r="Q30" s="24">
        <f t="shared" si="5"/>
        <v>33</v>
      </c>
      <c r="R30" s="24">
        <f t="shared" si="5"/>
        <v>296</v>
      </c>
      <c r="S30" s="24">
        <f t="shared" si="5"/>
        <v>217</v>
      </c>
      <c r="T30" s="25">
        <f t="shared" si="5"/>
        <v>66</v>
      </c>
      <c r="U30" s="25">
        <f t="shared" si="5"/>
        <v>63</v>
      </c>
      <c r="V30" s="25">
        <f t="shared" si="5"/>
        <v>98</v>
      </c>
      <c r="W30" s="25">
        <f t="shared" si="5"/>
        <v>79</v>
      </c>
      <c r="X30" s="37">
        <f>SUM(O30:W30)</f>
        <v>1082</v>
      </c>
      <c r="Y30" s="27"/>
    </row>
    <row r="31" spans="1:25" ht="16.5" customHeight="1" thickBot="1">
      <c r="A31" s="38" t="s">
        <v>17</v>
      </c>
      <c r="B31" s="39">
        <f>B9-B30</f>
        <v>3</v>
      </c>
      <c r="C31" s="39">
        <f t="shared" ref="C31:K31" si="6">C9-C30</f>
        <v>4</v>
      </c>
      <c r="D31" s="39">
        <f t="shared" si="6"/>
        <v>3</v>
      </c>
      <c r="E31" s="39">
        <f t="shared" si="6"/>
        <v>3</v>
      </c>
      <c r="F31" s="39">
        <f t="shared" si="6"/>
        <v>3</v>
      </c>
      <c r="G31" s="39">
        <f t="shared" si="6"/>
        <v>3</v>
      </c>
      <c r="H31" s="39">
        <f t="shared" si="6"/>
        <v>3</v>
      </c>
      <c r="I31" s="39">
        <f t="shared" si="6"/>
        <v>1</v>
      </c>
      <c r="J31" s="40">
        <f t="shared" si="6"/>
        <v>2</v>
      </c>
      <c r="K31" s="37">
        <f t="shared" si="6"/>
        <v>25</v>
      </c>
      <c r="L31" s="41"/>
      <c r="N31" s="38" t="s">
        <v>17</v>
      </c>
      <c r="O31" s="39">
        <f>O9-O30</f>
        <v>141</v>
      </c>
      <c r="P31" s="39">
        <f t="shared" ref="P31:X31" si="7">P9-P30</f>
        <v>69</v>
      </c>
      <c r="Q31" s="39">
        <f t="shared" si="7"/>
        <v>47</v>
      </c>
      <c r="R31" s="39">
        <f t="shared" si="7"/>
        <v>317</v>
      </c>
      <c r="S31" s="39">
        <f t="shared" si="7"/>
        <v>315</v>
      </c>
      <c r="T31" s="39">
        <f t="shared" si="7"/>
        <v>64</v>
      </c>
      <c r="U31" s="39">
        <f t="shared" si="7"/>
        <v>67</v>
      </c>
      <c r="V31" s="39">
        <f t="shared" si="7"/>
        <v>122</v>
      </c>
      <c r="W31" s="40">
        <f t="shared" si="7"/>
        <v>81</v>
      </c>
      <c r="X31" s="37">
        <f t="shared" si="7"/>
        <v>1223</v>
      </c>
      <c r="Y31" s="41"/>
    </row>
    <row r="34" spans="1:25" ht="19.5" thickBot="1">
      <c r="A34" s="1" t="s">
        <v>22</v>
      </c>
      <c r="N34" s="1" t="s">
        <v>21</v>
      </c>
    </row>
    <row r="35" spans="1:25" ht="19.5" thickBot="1">
      <c r="A35" s="2" t="s">
        <v>0</v>
      </c>
      <c r="B35" s="163" t="s">
        <v>20</v>
      </c>
      <c r="C35" s="164"/>
      <c r="D35" s="164"/>
      <c r="E35" s="164"/>
      <c r="F35" s="164"/>
      <c r="G35" s="164"/>
      <c r="H35" s="165"/>
      <c r="I35" s="165"/>
      <c r="J35" s="165"/>
      <c r="K35" s="166"/>
      <c r="L35" s="161" t="s">
        <v>1</v>
      </c>
      <c r="N35" s="2" t="s">
        <v>0</v>
      </c>
      <c r="O35" s="163" t="s">
        <v>20</v>
      </c>
      <c r="P35" s="164"/>
      <c r="Q35" s="164"/>
      <c r="R35" s="164"/>
      <c r="S35" s="164"/>
      <c r="T35" s="164"/>
      <c r="U35" s="165"/>
      <c r="V35" s="165"/>
      <c r="W35" s="165"/>
      <c r="X35" s="166"/>
      <c r="Y35" s="161" t="s">
        <v>1</v>
      </c>
    </row>
    <row r="36" spans="1:25" ht="14.25" thickBot="1">
      <c r="A36" s="2" t="s">
        <v>2</v>
      </c>
      <c r="B36" s="3" t="s">
        <v>3</v>
      </c>
      <c r="C36" s="4" t="s">
        <v>4</v>
      </c>
      <c r="D36" s="4" t="s">
        <v>5</v>
      </c>
      <c r="E36" s="4" t="s">
        <v>6</v>
      </c>
      <c r="F36" s="4" t="s">
        <v>7</v>
      </c>
      <c r="G36" s="5" t="s">
        <v>8</v>
      </c>
      <c r="H36" s="4" t="s">
        <v>9</v>
      </c>
      <c r="I36" s="6" t="s">
        <v>10</v>
      </c>
      <c r="J36" s="5" t="s">
        <v>11</v>
      </c>
      <c r="K36" s="7" t="s">
        <v>12</v>
      </c>
      <c r="L36" s="162"/>
      <c r="N36" s="2" t="s">
        <v>2</v>
      </c>
      <c r="O36" s="3" t="s">
        <v>3</v>
      </c>
      <c r="P36" s="4" t="s">
        <v>4</v>
      </c>
      <c r="Q36" s="4" t="s">
        <v>5</v>
      </c>
      <c r="R36" s="4" t="s">
        <v>6</v>
      </c>
      <c r="S36" s="4" t="s">
        <v>7</v>
      </c>
      <c r="T36" s="5" t="s">
        <v>8</v>
      </c>
      <c r="U36" s="4" t="s">
        <v>9</v>
      </c>
      <c r="V36" s="6" t="s">
        <v>10</v>
      </c>
      <c r="W36" s="5" t="s">
        <v>11</v>
      </c>
      <c r="X36" s="7" t="s">
        <v>12</v>
      </c>
      <c r="Y36" s="162"/>
    </row>
    <row r="37" spans="1:25">
      <c r="A37" s="52" t="s">
        <v>17</v>
      </c>
      <c r="B37" s="55">
        <f>B31</f>
        <v>3</v>
      </c>
      <c r="C37" s="56">
        <f>C31</f>
        <v>4</v>
      </c>
      <c r="D37" s="56">
        <f t="shared" ref="D37:J37" si="8">D31</f>
        <v>3</v>
      </c>
      <c r="E37" s="56">
        <f t="shared" si="8"/>
        <v>3</v>
      </c>
      <c r="F37" s="56">
        <f t="shared" si="8"/>
        <v>3</v>
      </c>
      <c r="G37" s="56">
        <f t="shared" si="8"/>
        <v>3</v>
      </c>
      <c r="H37" s="56">
        <f t="shared" si="8"/>
        <v>3</v>
      </c>
      <c r="I37" s="56">
        <f t="shared" si="8"/>
        <v>1</v>
      </c>
      <c r="J37" s="56">
        <f t="shared" si="8"/>
        <v>2</v>
      </c>
      <c r="K37" s="53">
        <f t="shared" ref="K37:K39" si="9">SUM(B37:J37)</f>
        <v>25</v>
      </c>
      <c r="L37" s="54"/>
      <c r="N37" s="52" t="s">
        <v>17</v>
      </c>
      <c r="O37" s="55">
        <f>O31</f>
        <v>141</v>
      </c>
      <c r="P37" s="56">
        <f>P31</f>
        <v>69</v>
      </c>
      <c r="Q37" s="56">
        <f t="shared" ref="Q37:W37" si="10">Q31</f>
        <v>47</v>
      </c>
      <c r="R37" s="56">
        <f t="shared" si="10"/>
        <v>317</v>
      </c>
      <c r="S37" s="56">
        <f t="shared" si="10"/>
        <v>315</v>
      </c>
      <c r="T37" s="56">
        <f t="shared" si="10"/>
        <v>64</v>
      </c>
      <c r="U37" s="56">
        <f t="shared" si="10"/>
        <v>67</v>
      </c>
      <c r="V37" s="56">
        <f t="shared" si="10"/>
        <v>122</v>
      </c>
      <c r="W37" s="56">
        <f t="shared" si="10"/>
        <v>81</v>
      </c>
      <c r="X37" s="53">
        <f t="shared" ref="X37:X62" si="11">SUM(O37:W37)</f>
        <v>1223</v>
      </c>
      <c r="Y37" s="54"/>
    </row>
    <row r="38" spans="1:25">
      <c r="A38" s="8" t="s">
        <v>14</v>
      </c>
      <c r="B38" s="9">
        <v>3</v>
      </c>
      <c r="C38" s="10"/>
      <c r="D38" s="10"/>
      <c r="E38" s="10">
        <v>3</v>
      </c>
      <c r="F38" s="10">
        <v>6</v>
      </c>
      <c r="G38" s="11"/>
      <c r="H38" s="11"/>
      <c r="I38" s="11">
        <v>3</v>
      </c>
      <c r="J38" s="11">
        <v>3</v>
      </c>
      <c r="K38" s="13">
        <f t="shared" si="9"/>
        <v>18</v>
      </c>
      <c r="L38" s="12">
        <v>42390</v>
      </c>
      <c r="N38" s="8" t="s">
        <v>14</v>
      </c>
      <c r="O38" s="9"/>
      <c r="P38" s="10"/>
      <c r="Q38" s="10"/>
      <c r="R38" s="10"/>
      <c r="S38" s="10"/>
      <c r="T38" s="11"/>
      <c r="U38" s="11"/>
      <c r="V38" s="11"/>
      <c r="W38" s="11"/>
      <c r="X38" s="13">
        <f t="shared" si="11"/>
        <v>0</v>
      </c>
      <c r="Y38" s="12"/>
    </row>
    <row r="39" spans="1:25">
      <c r="A39" s="14" t="s">
        <v>15</v>
      </c>
      <c r="B39" s="15">
        <v>5</v>
      </c>
      <c r="C39" s="16">
        <v>5</v>
      </c>
      <c r="D39" s="16">
        <v>5</v>
      </c>
      <c r="E39" s="16">
        <v>5</v>
      </c>
      <c r="F39" s="16">
        <v>5</v>
      </c>
      <c r="G39" s="17">
        <v>10</v>
      </c>
      <c r="H39" s="17">
        <v>10</v>
      </c>
      <c r="I39" s="17">
        <v>15</v>
      </c>
      <c r="J39" s="17">
        <v>10</v>
      </c>
      <c r="K39" s="18">
        <f t="shared" si="9"/>
        <v>70</v>
      </c>
      <c r="L39" s="19">
        <v>42419</v>
      </c>
      <c r="N39" s="8" t="s">
        <v>15</v>
      </c>
      <c r="O39" s="15"/>
      <c r="P39" s="16"/>
      <c r="Q39" s="16"/>
      <c r="R39" s="16"/>
      <c r="S39" s="16"/>
      <c r="T39" s="17"/>
      <c r="U39" s="17"/>
      <c r="V39" s="17"/>
      <c r="W39" s="17"/>
      <c r="X39" s="18">
        <f t="shared" si="11"/>
        <v>0</v>
      </c>
      <c r="Y39" s="19"/>
    </row>
    <row r="40" spans="1:25">
      <c r="A40" s="20" t="s">
        <v>16</v>
      </c>
      <c r="B40" s="9"/>
      <c r="C40" s="10"/>
      <c r="D40" s="10">
        <v>5</v>
      </c>
      <c r="E40" s="10">
        <v>5</v>
      </c>
      <c r="F40" s="10">
        <v>10</v>
      </c>
      <c r="G40" s="10">
        <v>5</v>
      </c>
      <c r="H40" s="10">
        <v>5</v>
      </c>
      <c r="I40" s="10"/>
      <c r="J40" s="21"/>
      <c r="K40" s="13">
        <f>SUM(B40:J40)</f>
        <v>30</v>
      </c>
      <c r="L40" s="22">
        <v>42425</v>
      </c>
      <c r="N40" s="8" t="s">
        <v>16</v>
      </c>
      <c r="O40" s="9"/>
      <c r="P40" s="10"/>
      <c r="Q40" s="10"/>
      <c r="R40" s="10"/>
      <c r="S40" s="10"/>
      <c r="T40" s="10"/>
      <c r="U40" s="10"/>
      <c r="V40" s="10"/>
      <c r="W40" s="21"/>
      <c r="X40" s="18">
        <f t="shared" si="11"/>
        <v>0</v>
      </c>
      <c r="Y40" s="22"/>
    </row>
    <row r="41" spans="1:25" ht="14.25" thickBot="1">
      <c r="A41" s="20" t="s">
        <v>23</v>
      </c>
      <c r="B41" s="42"/>
      <c r="C41" s="43"/>
      <c r="D41" s="43"/>
      <c r="E41" s="43">
        <v>5</v>
      </c>
      <c r="F41" s="43"/>
      <c r="G41" s="43"/>
      <c r="H41" s="43">
        <v>10</v>
      </c>
      <c r="I41" s="43">
        <v>5</v>
      </c>
      <c r="J41" s="44"/>
      <c r="K41" s="45">
        <f>SUM(B41:J41)</f>
        <v>20</v>
      </c>
      <c r="L41" s="19">
        <v>42427</v>
      </c>
      <c r="N41" s="20" t="s">
        <v>23</v>
      </c>
      <c r="O41" s="42"/>
      <c r="P41" s="43"/>
      <c r="Q41" s="43"/>
      <c r="R41" s="43"/>
      <c r="S41" s="43"/>
      <c r="T41" s="43"/>
      <c r="U41" s="43"/>
      <c r="V41" s="43"/>
      <c r="W41" s="44"/>
      <c r="X41" s="45">
        <f t="shared" si="11"/>
        <v>0</v>
      </c>
      <c r="Y41" s="19"/>
    </row>
    <row r="42" spans="1:25" ht="14.25" thickBot="1">
      <c r="A42" s="2" t="s">
        <v>18</v>
      </c>
      <c r="B42" s="23">
        <f>SUM(B37:B41)</f>
        <v>11</v>
      </c>
      <c r="C42" s="24">
        <f t="shared" ref="C42:J42" si="12">SUM(C37:C41)</f>
        <v>9</v>
      </c>
      <c r="D42" s="24">
        <f t="shared" si="12"/>
        <v>13</v>
      </c>
      <c r="E42" s="24">
        <f t="shared" si="12"/>
        <v>21</v>
      </c>
      <c r="F42" s="24">
        <f t="shared" si="12"/>
        <v>24</v>
      </c>
      <c r="G42" s="25">
        <f t="shared" si="12"/>
        <v>18</v>
      </c>
      <c r="H42" s="25">
        <f t="shared" si="12"/>
        <v>28</v>
      </c>
      <c r="I42" s="25">
        <f t="shared" si="12"/>
        <v>24</v>
      </c>
      <c r="J42" s="25">
        <f t="shared" si="12"/>
        <v>15</v>
      </c>
      <c r="K42" s="26">
        <f t="shared" ref="K42:K62" si="13">SUM(B42:J42)</f>
        <v>163</v>
      </c>
      <c r="L42" s="27"/>
      <c r="N42" s="2" t="s">
        <v>18</v>
      </c>
      <c r="O42" s="23">
        <f t="shared" ref="O42:W42" si="14">SUM(O37:O41)</f>
        <v>141</v>
      </c>
      <c r="P42" s="24">
        <f t="shared" si="14"/>
        <v>69</v>
      </c>
      <c r="Q42" s="24">
        <f t="shared" si="14"/>
        <v>47</v>
      </c>
      <c r="R42" s="24">
        <f t="shared" si="14"/>
        <v>317</v>
      </c>
      <c r="S42" s="24">
        <f t="shared" si="14"/>
        <v>315</v>
      </c>
      <c r="T42" s="25">
        <f t="shared" si="14"/>
        <v>64</v>
      </c>
      <c r="U42" s="25">
        <f t="shared" si="14"/>
        <v>67</v>
      </c>
      <c r="V42" s="25">
        <f t="shared" si="14"/>
        <v>122</v>
      </c>
      <c r="W42" s="25">
        <f t="shared" si="14"/>
        <v>81</v>
      </c>
      <c r="X42" s="26">
        <f t="shared" si="11"/>
        <v>1223</v>
      </c>
      <c r="Y42" s="27"/>
    </row>
    <row r="43" spans="1:25">
      <c r="A43" s="28" t="s">
        <v>37</v>
      </c>
      <c r="B43" s="29"/>
      <c r="C43" s="30"/>
      <c r="D43" s="30"/>
      <c r="E43" s="31"/>
      <c r="F43" s="31">
        <v>2</v>
      </c>
      <c r="G43" s="32"/>
      <c r="H43" s="33"/>
      <c r="I43" s="33"/>
      <c r="J43" s="33"/>
      <c r="K43" s="34">
        <f t="shared" si="13"/>
        <v>2</v>
      </c>
      <c r="L43" s="12">
        <v>42385</v>
      </c>
      <c r="N43" s="58" t="s">
        <v>43</v>
      </c>
      <c r="O43" s="59">
        <v>5</v>
      </c>
      <c r="P43" s="60">
        <v>5</v>
      </c>
      <c r="Q43" s="60">
        <v>5</v>
      </c>
      <c r="R43" s="60">
        <v>5</v>
      </c>
      <c r="S43" s="60">
        <v>5</v>
      </c>
      <c r="T43" s="61">
        <v>10</v>
      </c>
      <c r="U43" s="61">
        <v>10</v>
      </c>
      <c r="V43" s="61">
        <v>15</v>
      </c>
      <c r="W43" s="61">
        <v>10</v>
      </c>
      <c r="X43" s="50">
        <f t="shared" si="11"/>
        <v>70</v>
      </c>
      <c r="Y43" s="62">
        <v>42419</v>
      </c>
    </row>
    <row r="44" spans="1:25">
      <c r="A44" s="28" t="s">
        <v>40</v>
      </c>
      <c r="B44" s="29"/>
      <c r="C44" s="30"/>
      <c r="D44" s="30"/>
      <c r="E44" s="30"/>
      <c r="F44" s="30">
        <v>1</v>
      </c>
      <c r="G44" s="32"/>
      <c r="H44" s="32"/>
      <c r="I44" s="32"/>
      <c r="J44" s="32"/>
      <c r="K44" s="34">
        <f t="shared" si="13"/>
        <v>1</v>
      </c>
      <c r="L44" s="22">
        <v>42387</v>
      </c>
      <c r="N44" s="28" t="s">
        <v>29</v>
      </c>
      <c r="O44" s="29"/>
      <c r="P44" s="30"/>
      <c r="Q44" s="30">
        <v>5</v>
      </c>
      <c r="R44" s="30">
        <v>5</v>
      </c>
      <c r="S44" s="30">
        <v>10</v>
      </c>
      <c r="T44" s="32">
        <v>5</v>
      </c>
      <c r="U44" s="32">
        <v>5</v>
      </c>
      <c r="V44" s="32"/>
      <c r="W44" s="32"/>
      <c r="X44" s="34">
        <f t="shared" si="11"/>
        <v>30</v>
      </c>
      <c r="Y44" s="12">
        <v>42425</v>
      </c>
    </row>
    <row r="45" spans="1:25">
      <c r="A45" s="57" t="s">
        <v>38</v>
      </c>
      <c r="B45" s="29">
        <v>1</v>
      </c>
      <c r="C45" s="30"/>
      <c r="D45" s="30"/>
      <c r="E45" s="30"/>
      <c r="F45" s="30"/>
      <c r="G45" s="32"/>
      <c r="H45" s="32"/>
      <c r="I45" s="32"/>
      <c r="J45" s="32"/>
      <c r="K45" s="34">
        <f t="shared" si="13"/>
        <v>1</v>
      </c>
      <c r="L45" s="22">
        <v>42390</v>
      </c>
      <c r="N45" s="28" t="s">
        <v>29</v>
      </c>
      <c r="O45" s="29"/>
      <c r="P45" s="30"/>
      <c r="Q45" s="30"/>
      <c r="R45" s="30">
        <v>5</v>
      </c>
      <c r="S45" s="30"/>
      <c r="T45" s="32"/>
      <c r="U45" s="32">
        <v>10</v>
      </c>
      <c r="V45" s="32">
        <v>5</v>
      </c>
      <c r="W45" s="32"/>
      <c r="X45" s="34">
        <f t="shared" si="11"/>
        <v>20</v>
      </c>
      <c r="Y45" s="22">
        <v>42427</v>
      </c>
    </row>
    <row r="46" spans="1:25">
      <c r="A46" s="20" t="s">
        <v>44</v>
      </c>
      <c r="B46" s="29"/>
      <c r="C46" s="30"/>
      <c r="D46" s="30"/>
      <c r="E46" s="30"/>
      <c r="F46" s="30"/>
      <c r="G46" s="32"/>
      <c r="H46" s="33"/>
      <c r="I46" s="32"/>
      <c r="J46" s="32">
        <v>1</v>
      </c>
      <c r="K46" s="34">
        <f t="shared" si="13"/>
        <v>1</v>
      </c>
      <c r="L46" s="22">
        <v>42397</v>
      </c>
      <c r="N46" s="28"/>
      <c r="O46" s="29"/>
      <c r="P46" s="30"/>
      <c r="Q46" s="30"/>
      <c r="R46" s="30"/>
      <c r="S46" s="30"/>
      <c r="T46" s="32"/>
      <c r="U46" s="33"/>
      <c r="V46" s="32"/>
      <c r="W46" s="32"/>
      <c r="X46" s="34">
        <f t="shared" si="11"/>
        <v>0</v>
      </c>
      <c r="Y46" s="22"/>
    </row>
    <row r="47" spans="1:25">
      <c r="A47" s="20" t="s">
        <v>42</v>
      </c>
      <c r="B47" s="29"/>
      <c r="C47" s="30"/>
      <c r="D47" s="30"/>
      <c r="E47" s="30"/>
      <c r="F47" s="30"/>
      <c r="G47" s="32">
        <v>4</v>
      </c>
      <c r="H47" s="32">
        <v>4</v>
      </c>
      <c r="I47" s="32">
        <v>8</v>
      </c>
      <c r="J47" s="32">
        <v>2</v>
      </c>
      <c r="K47" s="34">
        <f t="shared" si="13"/>
        <v>18</v>
      </c>
      <c r="L47" s="22">
        <v>42422</v>
      </c>
      <c r="N47" s="20"/>
      <c r="O47" s="29"/>
      <c r="P47" s="30"/>
      <c r="Q47" s="30"/>
      <c r="R47" s="30"/>
      <c r="S47" s="30"/>
      <c r="T47" s="32"/>
      <c r="U47" s="32"/>
      <c r="V47" s="32"/>
      <c r="W47" s="32"/>
      <c r="X47" s="34">
        <f t="shared" si="11"/>
        <v>0</v>
      </c>
      <c r="Y47" s="22"/>
    </row>
    <row r="48" spans="1:25">
      <c r="A48" s="20" t="s">
        <v>42</v>
      </c>
      <c r="B48" s="29"/>
      <c r="C48" s="30"/>
      <c r="D48" s="30">
        <v>2</v>
      </c>
      <c r="E48" s="30">
        <v>4</v>
      </c>
      <c r="F48" s="30">
        <v>6</v>
      </c>
      <c r="G48" s="32">
        <v>2</v>
      </c>
      <c r="H48" s="33">
        <v>4</v>
      </c>
      <c r="I48" s="33"/>
      <c r="J48" s="33"/>
      <c r="K48" s="34">
        <f t="shared" si="13"/>
        <v>18</v>
      </c>
      <c r="L48" s="22">
        <v>42426</v>
      </c>
      <c r="N48" s="20"/>
      <c r="O48" s="29"/>
      <c r="P48" s="30"/>
      <c r="Q48" s="30"/>
      <c r="R48" s="30"/>
      <c r="S48" s="30"/>
      <c r="T48" s="32"/>
      <c r="U48" s="33"/>
      <c r="V48" s="33"/>
      <c r="W48" s="33"/>
      <c r="X48" s="34">
        <f t="shared" si="11"/>
        <v>0</v>
      </c>
      <c r="Y48" s="22"/>
    </row>
    <row r="49" spans="1:25">
      <c r="A49" s="28" t="s">
        <v>46</v>
      </c>
      <c r="B49" s="29"/>
      <c r="C49" s="30"/>
      <c r="D49" s="30"/>
      <c r="E49" s="31"/>
      <c r="F49" s="31">
        <v>1</v>
      </c>
      <c r="G49" s="32"/>
      <c r="H49" s="33"/>
      <c r="I49" s="33"/>
      <c r="J49" s="33"/>
      <c r="K49" s="34">
        <f t="shared" si="13"/>
        <v>1</v>
      </c>
      <c r="L49" s="22">
        <v>42424</v>
      </c>
      <c r="N49" s="28"/>
      <c r="O49" s="29"/>
      <c r="P49" s="30"/>
      <c r="Q49" s="30"/>
      <c r="R49" s="31"/>
      <c r="S49" s="31"/>
      <c r="T49" s="32"/>
      <c r="U49" s="33"/>
      <c r="V49" s="33"/>
      <c r="W49" s="33"/>
      <c r="X49" s="34">
        <f t="shared" si="11"/>
        <v>0</v>
      </c>
      <c r="Y49" s="22"/>
    </row>
    <row r="50" spans="1:25">
      <c r="A50" s="20" t="s">
        <v>42</v>
      </c>
      <c r="B50" s="35"/>
      <c r="C50" s="31"/>
      <c r="D50" s="31"/>
      <c r="E50" s="31">
        <v>4</v>
      </c>
      <c r="F50" s="31"/>
      <c r="G50" s="33"/>
      <c r="H50" s="33">
        <v>8</v>
      </c>
      <c r="I50" s="33">
        <v>6</v>
      </c>
      <c r="J50" s="33"/>
      <c r="K50" s="34">
        <f t="shared" si="13"/>
        <v>18</v>
      </c>
      <c r="L50" s="22">
        <v>42429</v>
      </c>
      <c r="N50" s="28"/>
      <c r="O50" s="35"/>
      <c r="P50" s="31"/>
      <c r="Q50" s="31"/>
      <c r="R50" s="31"/>
      <c r="S50" s="31"/>
      <c r="T50" s="33"/>
      <c r="U50" s="33"/>
      <c r="V50" s="33"/>
      <c r="W50" s="33"/>
      <c r="X50" s="34">
        <f t="shared" si="11"/>
        <v>0</v>
      </c>
      <c r="Y50" s="22"/>
    </row>
    <row r="51" spans="1:25">
      <c r="A51" s="64" t="s">
        <v>45</v>
      </c>
      <c r="B51" s="35"/>
      <c r="C51" s="31">
        <v>1</v>
      </c>
      <c r="D51" s="31"/>
      <c r="E51" s="31"/>
      <c r="F51" s="31"/>
      <c r="G51" s="33"/>
      <c r="H51" s="33"/>
      <c r="I51" s="33"/>
      <c r="J51" s="33"/>
      <c r="K51" s="34">
        <f t="shared" si="13"/>
        <v>1</v>
      </c>
      <c r="L51" s="22">
        <v>42429</v>
      </c>
      <c r="N51" s="28"/>
      <c r="O51" s="35"/>
      <c r="P51" s="31"/>
      <c r="Q51" s="31"/>
      <c r="R51" s="31"/>
      <c r="S51" s="31"/>
      <c r="T51" s="33"/>
      <c r="U51" s="33"/>
      <c r="V51" s="33"/>
      <c r="W51" s="33"/>
      <c r="X51" s="34">
        <f t="shared" si="11"/>
        <v>0</v>
      </c>
      <c r="Y51" s="22"/>
    </row>
    <row r="52" spans="1:25">
      <c r="A52" s="28" t="s">
        <v>47</v>
      </c>
      <c r="B52" s="35"/>
      <c r="C52" s="31"/>
      <c r="D52" s="31"/>
      <c r="E52" s="31"/>
      <c r="F52" s="31"/>
      <c r="G52" s="33">
        <v>1</v>
      </c>
      <c r="H52" s="33"/>
      <c r="I52" s="33"/>
      <c r="J52" s="33"/>
      <c r="K52" s="34">
        <f t="shared" si="13"/>
        <v>1</v>
      </c>
      <c r="L52" s="22">
        <v>42425</v>
      </c>
      <c r="N52" s="28"/>
      <c r="O52" s="35"/>
      <c r="P52" s="31"/>
      <c r="Q52" s="31"/>
      <c r="R52" s="31"/>
      <c r="S52" s="31"/>
      <c r="T52" s="33"/>
      <c r="U52" s="33"/>
      <c r="V52" s="33"/>
      <c r="W52" s="33"/>
      <c r="X52" s="34">
        <f t="shared" si="11"/>
        <v>0</v>
      </c>
      <c r="Y52" s="22"/>
    </row>
    <row r="53" spans="1:25">
      <c r="A53" s="28" t="s">
        <v>27</v>
      </c>
      <c r="B53" s="29"/>
      <c r="C53" s="30"/>
      <c r="D53" s="30"/>
      <c r="E53" s="30"/>
      <c r="F53" s="30">
        <v>2</v>
      </c>
      <c r="G53" s="32">
        <v>1</v>
      </c>
      <c r="H53" s="32"/>
      <c r="I53" s="32"/>
      <c r="J53" s="32"/>
      <c r="K53" s="34">
        <f t="shared" si="13"/>
        <v>3</v>
      </c>
      <c r="L53" s="22">
        <v>42426</v>
      </c>
      <c r="N53" s="28"/>
      <c r="O53" s="29"/>
      <c r="P53" s="30"/>
      <c r="Q53" s="30"/>
      <c r="R53" s="30"/>
      <c r="S53" s="30"/>
      <c r="T53" s="32"/>
      <c r="U53" s="32"/>
      <c r="V53" s="32"/>
      <c r="W53" s="32"/>
      <c r="X53" s="34">
        <f t="shared" si="11"/>
        <v>0</v>
      </c>
      <c r="Y53" s="22"/>
    </row>
    <row r="54" spans="1:25">
      <c r="A54" s="28" t="s">
        <v>50</v>
      </c>
      <c r="B54" s="35"/>
      <c r="C54" s="31"/>
      <c r="D54" s="31"/>
      <c r="E54" s="31"/>
      <c r="F54" s="31"/>
      <c r="G54" s="33"/>
      <c r="H54" s="33"/>
      <c r="I54" s="33"/>
      <c r="J54" s="33">
        <v>1</v>
      </c>
      <c r="K54" s="34">
        <f t="shared" si="13"/>
        <v>1</v>
      </c>
      <c r="L54" s="22">
        <v>42427</v>
      </c>
      <c r="N54" s="28"/>
      <c r="O54" s="35"/>
      <c r="P54" s="31"/>
      <c r="Q54" s="31"/>
      <c r="R54" s="31"/>
      <c r="S54" s="31"/>
      <c r="T54" s="33"/>
      <c r="U54" s="33"/>
      <c r="V54" s="33"/>
      <c r="W54" s="33"/>
      <c r="X54" s="34">
        <f t="shared" si="11"/>
        <v>0</v>
      </c>
      <c r="Y54" s="22"/>
    </row>
    <row r="55" spans="1:25">
      <c r="A55" s="20" t="s">
        <v>42</v>
      </c>
      <c r="B55" s="29">
        <v>4</v>
      </c>
      <c r="C55" s="30"/>
      <c r="D55" s="30"/>
      <c r="E55" s="30"/>
      <c r="F55" s="30"/>
      <c r="G55" s="32"/>
      <c r="H55" s="33"/>
      <c r="I55" s="33"/>
      <c r="J55" s="33">
        <v>4</v>
      </c>
      <c r="K55" s="34">
        <f t="shared" si="13"/>
        <v>8</v>
      </c>
      <c r="L55" s="22">
        <v>42432</v>
      </c>
      <c r="N55" s="28"/>
      <c r="O55" s="29"/>
      <c r="P55" s="30"/>
      <c r="Q55" s="30"/>
      <c r="R55" s="30"/>
      <c r="S55" s="30"/>
      <c r="T55" s="32"/>
      <c r="U55" s="33"/>
      <c r="V55" s="33"/>
      <c r="W55" s="33"/>
      <c r="X55" s="34">
        <f t="shared" si="11"/>
        <v>0</v>
      </c>
      <c r="Y55" s="22"/>
    </row>
    <row r="56" spans="1:25">
      <c r="A56" s="65" t="s">
        <v>41</v>
      </c>
      <c r="B56" s="29">
        <v>5</v>
      </c>
      <c r="C56" s="30">
        <v>5</v>
      </c>
      <c r="D56" s="30">
        <v>5</v>
      </c>
      <c r="E56" s="30">
        <v>5</v>
      </c>
      <c r="F56" s="30">
        <v>5</v>
      </c>
      <c r="G56" s="32">
        <v>5</v>
      </c>
      <c r="H56" s="32">
        <v>5</v>
      </c>
      <c r="I56" s="32">
        <v>5</v>
      </c>
      <c r="J56" s="32">
        <v>5</v>
      </c>
      <c r="K56" s="34">
        <f t="shared" ref="K56" si="15">SUM(B56:J56)</f>
        <v>45</v>
      </c>
      <c r="L56" s="19">
        <v>42431</v>
      </c>
      <c r="N56" s="28"/>
      <c r="O56" s="35"/>
      <c r="P56" s="31"/>
      <c r="Q56" s="31"/>
      <c r="R56" s="31"/>
      <c r="S56" s="31"/>
      <c r="T56" s="33"/>
      <c r="U56" s="33"/>
      <c r="V56" s="33"/>
      <c r="W56" s="33"/>
      <c r="X56" s="34">
        <f t="shared" si="11"/>
        <v>0</v>
      </c>
      <c r="Y56" s="22"/>
    </row>
    <row r="57" spans="1:25">
      <c r="A57" s="66" t="s">
        <v>48</v>
      </c>
      <c r="B57" s="35"/>
      <c r="C57" s="31"/>
      <c r="D57" s="31"/>
      <c r="E57" s="31"/>
      <c r="F57" s="31">
        <v>-1</v>
      </c>
      <c r="G57" s="33"/>
      <c r="H57" s="33"/>
      <c r="I57" s="33"/>
      <c r="J57" s="33"/>
      <c r="K57" s="34">
        <f t="shared" si="13"/>
        <v>-1</v>
      </c>
      <c r="L57" s="22">
        <v>42430</v>
      </c>
      <c r="N57" s="28"/>
      <c r="O57" s="35"/>
      <c r="P57" s="31"/>
      <c r="Q57" s="31"/>
      <c r="R57" s="31"/>
      <c r="S57" s="31"/>
      <c r="T57" s="33"/>
      <c r="U57" s="33"/>
      <c r="V57" s="33"/>
      <c r="W57" s="33"/>
      <c r="X57" s="34">
        <f t="shared" si="11"/>
        <v>0</v>
      </c>
      <c r="Y57" s="22"/>
    </row>
    <row r="58" spans="1:25">
      <c r="A58" s="28" t="s">
        <v>27</v>
      </c>
      <c r="B58" s="29"/>
      <c r="C58" s="30">
        <v>2</v>
      </c>
      <c r="D58" s="30"/>
      <c r="E58" s="30"/>
      <c r="F58" s="30"/>
      <c r="G58" s="32"/>
      <c r="H58" s="32"/>
      <c r="I58" s="32"/>
      <c r="J58" s="32"/>
      <c r="K58" s="34">
        <f t="shared" si="13"/>
        <v>2</v>
      </c>
      <c r="L58" s="22">
        <v>42432</v>
      </c>
      <c r="N58" s="28"/>
      <c r="O58" s="29"/>
      <c r="P58" s="30"/>
      <c r="Q58" s="30"/>
      <c r="R58" s="30"/>
      <c r="S58" s="30"/>
      <c r="T58" s="32"/>
      <c r="U58" s="32"/>
      <c r="V58" s="32"/>
      <c r="W58" s="32"/>
      <c r="X58" s="34">
        <f t="shared" si="11"/>
        <v>0</v>
      </c>
      <c r="Y58" s="22"/>
    </row>
    <row r="59" spans="1:25">
      <c r="A59" s="28"/>
      <c r="B59" s="29"/>
      <c r="C59" s="30"/>
      <c r="D59" s="30"/>
      <c r="E59" s="30"/>
      <c r="F59" s="30"/>
      <c r="G59" s="32"/>
      <c r="H59" s="32"/>
      <c r="I59" s="32"/>
      <c r="J59" s="32"/>
      <c r="K59" s="34">
        <f t="shared" si="13"/>
        <v>0</v>
      </c>
      <c r="L59" s="19"/>
      <c r="N59" s="28"/>
      <c r="O59" s="29"/>
      <c r="P59" s="30"/>
      <c r="Q59" s="30"/>
      <c r="R59" s="30"/>
      <c r="S59" s="30"/>
      <c r="T59" s="32"/>
      <c r="U59" s="32"/>
      <c r="V59" s="32"/>
      <c r="W59" s="32"/>
      <c r="X59" s="34">
        <f t="shared" si="11"/>
        <v>0</v>
      </c>
      <c r="Y59" s="19"/>
    </row>
    <row r="60" spans="1:25">
      <c r="A60" s="65"/>
      <c r="B60" s="29"/>
      <c r="C60" s="30"/>
      <c r="D60" s="30"/>
      <c r="E60" s="30"/>
      <c r="F60" s="30"/>
      <c r="G60" s="32"/>
      <c r="H60" s="32"/>
      <c r="I60" s="32"/>
      <c r="J60" s="32"/>
      <c r="K60" s="34">
        <f t="shared" si="13"/>
        <v>0</v>
      </c>
      <c r="L60" s="19"/>
      <c r="N60" s="28"/>
      <c r="O60" s="29"/>
      <c r="P60" s="30"/>
      <c r="Q60" s="30"/>
      <c r="R60" s="30"/>
      <c r="S60" s="30"/>
      <c r="T60" s="32"/>
      <c r="U60" s="32"/>
      <c r="V60" s="32"/>
      <c r="W60" s="32"/>
      <c r="X60" s="34">
        <f t="shared" si="11"/>
        <v>0</v>
      </c>
      <c r="Y60" s="19"/>
    </row>
    <row r="61" spans="1:25">
      <c r="A61" s="20"/>
      <c r="B61" s="29"/>
      <c r="C61" s="30"/>
      <c r="D61" s="30"/>
      <c r="E61" s="30"/>
      <c r="F61" s="30"/>
      <c r="G61" s="32"/>
      <c r="H61" s="32"/>
      <c r="I61" s="32"/>
      <c r="J61" s="32"/>
      <c r="K61" s="34">
        <f t="shared" si="13"/>
        <v>0</v>
      </c>
      <c r="L61" s="19"/>
      <c r="N61" s="28"/>
      <c r="O61" s="29"/>
      <c r="P61" s="30"/>
      <c r="Q61" s="30"/>
      <c r="R61" s="30"/>
      <c r="S61" s="30"/>
      <c r="T61" s="32"/>
      <c r="U61" s="32"/>
      <c r="V61" s="32"/>
      <c r="W61" s="32"/>
      <c r="X61" s="34">
        <f t="shared" si="11"/>
        <v>0</v>
      </c>
      <c r="Y61" s="19"/>
    </row>
    <row r="62" spans="1:25" ht="14.25" thickBot="1">
      <c r="A62" s="28"/>
      <c r="B62" s="29"/>
      <c r="C62" s="30"/>
      <c r="D62" s="30"/>
      <c r="E62" s="31"/>
      <c r="F62" s="31"/>
      <c r="G62" s="32"/>
      <c r="H62" s="33"/>
      <c r="I62" s="33"/>
      <c r="J62" s="33"/>
      <c r="K62" s="34">
        <f t="shared" si="13"/>
        <v>0</v>
      </c>
      <c r="L62" s="36"/>
      <c r="N62" s="28"/>
      <c r="O62" s="29"/>
      <c r="P62" s="30"/>
      <c r="Q62" s="30"/>
      <c r="R62" s="31"/>
      <c r="S62" s="31"/>
      <c r="T62" s="32"/>
      <c r="U62" s="33"/>
      <c r="V62" s="33"/>
      <c r="W62" s="33"/>
      <c r="X62" s="34">
        <f t="shared" si="11"/>
        <v>0</v>
      </c>
      <c r="Y62" s="36"/>
    </row>
    <row r="63" spans="1:25" ht="14.25" thickBot="1">
      <c r="A63" s="2" t="s">
        <v>19</v>
      </c>
      <c r="B63" s="23">
        <f t="shared" ref="B63:J63" si="16">SUM(B43:B62)</f>
        <v>10</v>
      </c>
      <c r="C63" s="24">
        <f t="shared" si="16"/>
        <v>8</v>
      </c>
      <c r="D63" s="24">
        <f t="shared" si="16"/>
        <v>7</v>
      </c>
      <c r="E63" s="24">
        <f t="shared" si="16"/>
        <v>13</v>
      </c>
      <c r="F63" s="24">
        <f t="shared" si="16"/>
        <v>16</v>
      </c>
      <c r="G63" s="25">
        <f t="shared" si="16"/>
        <v>13</v>
      </c>
      <c r="H63" s="25">
        <f t="shared" si="16"/>
        <v>21</v>
      </c>
      <c r="I63" s="25">
        <f t="shared" si="16"/>
        <v>19</v>
      </c>
      <c r="J63" s="25">
        <f t="shared" si="16"/>
        <v>13</v>
      </c>
      <c r="K63" s="37">
        <f>SUM(B63:J63)</f>
        <v>120</v>
      </c>
      <c r="L63" s="27"/>
      <c r="N63" s="2" t="s">
        <v>19</v>
      </c>
      <c r="O63" s="23">
        <f t="shared" ref="O63:W63" si="17">SUM(O43:O62)</f>
        <v>5</v>
      </c>
      <c r="P63" s="24">
        <f t="shared" si="17"/>
        <v>5</v>
      </c>
      <c r="Q63" s="24">
        <f t="shared" si="17"/>
        <v>10</v>
      </c>
      <c r="R63" s="24">
        <f t="shared" si="17"/>
        <v>15</v>
      </c>
      <c r="S63" s="24">
        <f t="shared" si="17"/>
        <v>15</v>
      </c>
      <c r="T63" s="25">
        <f t="shared" si="17"/>
        <v>15</v>
      </c>
      <c r="U63" s="25">
        <f t="shared" si="17"/>
        <v>25</v>
      </c>
      <c r="V63" s="25">
        <f t="shared" si="17"/>
        <v>20</v>
      </c>
      <c r="W63" s="25">
        <f t="shared" si="17"/>
        <v>10</v>
      </c>
      <c r="X63" s="37">
        <f>SUM(O63:W63)</f>
        <v>120</v>
      </c>
      <c r="Y63" s="27"/>
    </row>
    <row r="64" spans="1:25" ht="14.25" thickBot="1">
      <c r="A64" s="38" t="s">
        <v>17</v>
      </c>
      <c r="B64" s="39">
        <f>B42-B63</f>
        <v>1</v>
      </c>
      <c r="C64" s="39">
        <f t="shared" ref="C64:K64" si="18">C42-C63</f>
        <v>1</v>
      </c>
      <c r="D64" s="39">
        <f t="shared" si="18"/>
        <v>6</v>
      </c>
      <c r="E64" s="39">
        <f t="shared" si="18"/>
        <v>8</v>
      </c>
      <c r="F64" s="39">
        <f t="shared" si="18"/>
        <v>8</v>
      </c>
      <c r="G64" s="39">
        <f t="shared" si="18"/>
        <v>5</v>
      </c>
      <c r="H64" s="39">
        <f t="shared" si="18"/>
        <v>7</v>
      </c>
      <c r="I64" s="39">
        <f t="shared" si="18"/>
        <v>5</v>
      </c>
      <c r="J64" s="40">
        <f t="shared" si="18"/>
        <v>2</v>
      </c>
      <c r="K64" s="37">
        <f t="shared" si="18"/>
        <v>43</v>
      </c>
      <c r="L64" s="41"/>
      <c r="N64" s="38" t="s">
        <v>17</v>
      </c>
      <c r="O64" s="39">
        <f>O42-O63</f>
        <v>136</v>
      </c>
      <c r="P64" s="39">
        <f t="shared" ref="P64:X64" si="19">P42-P63</f>
        <v>64</v>
      </c>
      <c r="Q64" s="39">
        <f t="shared" si="19"/>
        <v>37</v>
      </c>
      <c r="R64" s="39">
        <f t="shared" si="19"/>
        <v>302</v>
      </c>
      <c r="S64" s="39">
        <f t="shared" si="19"/>
        <v>300</v>
      </c>
      <c r="T64" s="39">
        <f t="shared" si="19"/>
        <v>49</v>
      </c>
      <c r="U64" s="39">
        <f t="shared" si="19"/>
        <v>42</v>
      </c>
      <c r="V64" s="39">
        <f t="shared" si="19"/>
        <v>102</v>
      </c>
      <c r="W64" s="40">
        <f t="shared" si="19"/>
        <v>71</v>
      </c>
      <c r="X64" s="37">
        <f t="shared" si="19"/>
        <v>1103</v>
      </c>
      <c r="Y64" s="41"/>
    </row>
    <row r="67" spans="1:25" ht="19.5" thickBot="1">
      <c r="A67" s="1" t="s">
        <v>22</v>
      </c>
      <c r="N67" s="1" t="s">
        <v>21</v>
      </c>
    </row>
    <row r="68" spans="1:25" ht="19.5" thickBot="1">
      <c r="A68" s="2" t="s">
        <v>0</v>
      </c>
      <c r="B68" s="163" t="s">
        <v>20</v>
      </c>
      <c r="C68" s="164"/>
      <c r="D68" s="164"/>
      <c r="E68" s="164"/>
      <c r="F68" s="164"/>
      <c r="G68" s="164"/>
      <c r="H68" s="165"/>
      <c r="I68" s="165"/>
      <c r="J68" s="165"/>
      <c r="K68" s="166"/>
      <c r="L68" s="161" t="s">
        <v>1</v>
      </c>
      <c r="N68" s="2" t="s">
        <v>0</v>
      </c>
      <c r="O68" s="163" t="s">
        <v>20</v>
      </c>
      <c r="P68" s="164"/>
      <c r="Q68" s="164"/>
      <c r="R68" s="164"/>
      <c r="S68" s="164"/>
      <c r="T68" s="164"/>
      <c r="U68" s="165"/>
      <c r="V68" s="165"/>
      <c r="W68" s="165"/>
      <c r="X68" s="166"/>
      <c r="Y68" s="161" t="s">
        <v>1</v>
      </c>
    </row>
    <row r="69" spans="1:25" ht="14.25" thickBot="1">
      <c r="A69" s="2" t="s">
        <v>2</v>
      </c>
      <c r="B69" s="3" t="s">
        <v>3</v>
      </c>
      <c r="C69" s="4" t="s">
        <v>4</v>
      </c>
      <c r="D69" s="4" t="s">
        <v>5</v>
      </c>
      <c r="E69" s="4" t="s">
        <v>6</v>
      </c>
      <c r="F69" s="4" t="s">
        <v>7</v>
      </c>
      <c r="G69" s="5" t="s">
        <v>8</v>
      </c>
      <c r="H69" s="4" t="s">
        <v>9</v>
      </c>
      <c r="I69" s="6" t="s">
        <v>10</v>
      </c>
      <c r="J69" s="5" t="s">
        <v>11</v>
      </c>
      <c r="K69" s="7" t="s">
        <v>12</v>
      </c>
      <c r="L69" s="162"/>
      <c r="N69" s="2" t="s">
        <v>2</v>
      </c>
      <c r="O69" s="3" t="s">
        <v>3</v>
      </c>
      <c r="P69" s="4" t="s">
        <v>4</v>
      </c>
      <c r="Q69" s="4" t="s">
        <v>5</v>
      </c>
      <c r="R69" s="4" t="s">
        <v>6</v>
      </c>
      <c r="S69" s="4" t="s">
        <v>7</v>
      </c>
      <c r="T69" s="5" t="s">
        <v>8</v>
      </c>
      <c r="U69" s="4" t="s">
        <v>9</v>
      </c>
      <c r="V69" s="6" t="s">
        <v>10</v>
      </c>
      <c r="W69" s="5" t="s">
        <v>11</v>
      </c>
      <c r="X69" s="7" t="s">
        <v>12</v>
      </c>
      <c r="Y69" s="162"/>
    </row>
    <row r="70" spans="1:25">
      <c r="A70" s="52" t="s">
        <v>17</v>
      </c>
      <c r="B70" s="55">
        <f>B64</f>
        <v>1</v>
      </c>
      <c r="C70" s="56">
        <f>C64</f>
        <v>1</v>
      </c>
      <c r="D70" s="56">
        <f t="shared" ref="D70:J70" si="20">D64</f>
        <v>6</v>
      </c>
      <c r="E70" s="56">
        <f t="shared" si="20"/>
        <v>8</v>
      </c>
      <c r="F70" s="56">
        <f t="shared" si="20"/>
        <v>8</v>
      </c>
      <c r="G70" s="56">
        <f t="shared" si="20"/>
        <v>5</v>
      </c>
      <c r="H70" s="56">
        <f t="shared" si="20"/>
        <v>7</v>
      </c>
      <c r="I70" s="56">
        <f t="shared" si="20"/>
        <v>5</v>
      </c>
      <c r="J70" s="56">
        <f t="shared" si="20"/>
        <v>2</v>
      </c>
      <c r="K70" s="53">
        <f t="shared" ref="K70:K72" si="21">SUM(B70:J70)</f>
        <v>43</v>
      </c>
      <c r="L70" s="54"/>
      <c r="N70" s="52" t="s">
        <v>17</v>
      </c>
      <c r="O70" s="55">
        <f>O64</f>
        <v>136</v>
      </c>
      <c r="P70" s="56">
        <f>P64</f>
        <v>64</v>
      </c>
      <c r="Q70" s="56">
        <f t="shared" ref="Q70:W70" si="22">Q64</f>
        <v>37</v>
      </c>
      <c r="R70" s="56">
        <f t="shared" si="22"/>
        <v>302</v>
      </c>
      <c r="S70" s="56">
        <f t="shared" si="22"/>
        <v>300</v>
      </c>
      <c r="T70" s="56">
        <f t="shared" si="22"/>
        <v>49</v>
      </c>
      <c r="U70" s="56">
        <f t="shared" si="22"/>
        <v>42</v>
      </c>
      <c r="V70" s="56">
        <f t="shared" si="22"/>
        <v>102</v>
      </c>
      <c r="W70" s="56">
        <f t="shared" si="22"/>
        <v>71</v>
      </c>
      <c r="X70" s="53">
        <f t="shared" ref="X70:X95" si="23">SUM(O70:W70)</f>
        <v>1103</v>
      </c>
      <c r="Y70" s="54"/>
    </row>
    <row r="71" spans="1:25">
      <c r="A71" s="8" t="s">
        <v>14</v>
      </c>
      <c r="B71" s="9">
        <v>5</v>
      </c>
      <c r="C71" s="10">
        <v>5</v>
      </c>
      <c r="D71" s="10"/>
      <c r="E71" s="10">
        <v>5</v>
      </c>
      <c r="F71" s="10">
        <v>5</v>
      </c>
      <c r="G71" s="11"/>
      <c r="H71" s="11"/>
      <c r="I71" s="11">
        <v>5</v>
      </c>
      <c r="J71" s="11">
        <v>10</v>
      </c>
      <c r="K71" s="13">
        <f t="shared" si="21"/>
        <v>35</v>
      </c>
      <c r="L71" s="12">
        <v>42433</v>
      </c>
      <c r="N71" s="8" t="s">
        <v>14</v>
      </c>
      <c r="O71" s="9"/>
      <c r="P71" s="10"/>
      <c r="Q71" s="10"/>
      <c r="R71" s="10"/>
      <c r="S71" s="10"/>
      <c r="T71" s="11"/>
      <c r="U71" s="11"/>
      <c r="V71" s="11"/>
      <c r="W71" s="11"/>
      <c r="X71" s="13">
        <f t="shared" si="23"/>
        <v>0</v>
      </c>
      <c r="Y71" s="12"/>
    </row>
    <row r="72" spans="1:25">
      <c r="A72" s="14" t="s">
        <v>51</v>
      </c>
      <c r="B72" s="15"/>
      <c r="C72" s="16"/>
      <c r="D72" s="16"/>
      <c r="E72" s="16"/>
      <c r="F72" s="16"/>
      <c r="G72" s="17"/>
      <c r="H72" s="17">
        <v>2</v>
      </c>
      <c r="I72" s="17">
        <v>2</v>
      </c>
      <c r="J72" s="17">
        <v>2</v>
      </c>
      <c r="K72" s="18">
        <f t="shared" si="21"/>
        <v>6</v>
      </c>
      <c r="L72" s="19">
        <v>42439</v>
      </c>
      <c r="N72" s="14" t="s">
        <v>15</v>
      </c>
      <c r="O72" s="15">
        <v>100</v>
      </c>
      <c r="P72" s="16">
        <v>240</v>
      </c>
      <c r="Q72" s="16">
        <v>150</v>
      </c>
      <c r="R72" s="16">
        <v>180</v>
      </c>
      <c r="S72" s="16">
        <v>182</v>
      </c>
      <c r="T72" s="17">
        <v>230</v>
      </c>
      <c r="U72" s="17">
        <v>117</v>
      </c>
      <c r="V72" s="17">
        <v>178</v>
      </c>
      <c r="W72" s="17">
        <v>217</v>
      </c>
      <c r="X72" s="18">
        <f t="shared" si="23"/>
        <v>1594</v>
      </c>
      <c r="Y72" s="19">
        <v>42461</v>
      </c>
    </row>
    <row r="73" spans="1:25">
      <c r="A73" s="20" t="s">
        <v>57</v>
      </c>
      <c r="B73" s="67">
        <v>5</v>
      </c>
      <c r="C73" s="35">
        <v>5</v>
      </c>
      <c r="D73" s="35"/>
      <c r="E73" s="35">
        <v>40</v>
      </c>
      <c r="F73" s="35">
        <v>5</v>
      </c>
      <c r="G73" s="35"/>
      <c r="H73" s="35">
        <v>5</v>
      </c>
      <c r="I73" s="35"/>
      <c r="J73" s="69"/>
      <c r="K73" s="13">
        <f>SUM(B73:J73)</f>
        <v>60</v>
      </c>
      <c r="L73" s="22">
        <v>42448</v>
      </c>
      <c r="N73" s="20" t="s">
        <v>16</v>
      </c>
      <c r="O73" s="9">
        <v>10</v>
      </c>
      <c r="P73" s="10">
        <v>10</v>
      </c>
      <c r="Q73" s="10">
        <v>10</v>
      </c>
      <c r="R73" s="10">
        <v>10</v>
      </c>
      <c r="S73" s="10">
        <v>10</v>
      </c>
      <c r="T73" s="10">
        <v>10</v>
      </c>
      <c r="U73" s="10">
        <v>10</v>
      </c>
      <c r="V73" s="10">
        <v>10</v>
      </c>
      <c r="W73" s="21">
        <v>10</v>
      </c>
      <c r="X73" s="18">
        <f t="shared" si="23"/>
        <v>90</v>
      </c>
      <c r="Y73" s="22">
        <v>42461</v>
      </c>
    </row>
    <row r="74" spans="1:25" ht="14.25" thickBot="1">
      <c r="A74" s="20" t="s">
        <v>23</v>
      </c>
      <c r="B74" s="70">
        <v>28</v>
      </c>
      <c r="C74" s="71"/>
      <c r="D74" s="71"/>
      <c r="E74" s="71"/>
      <c r="F74" s="71">
        <v>28</v>
      </c>
      <c r="G74" s="71"/>
      <c r="H74" s="71">
        <v>28</v>
      </c>
      <c r="I74" s="71"/>
      <c r="J74" s="72"/>
      <c r="K74" s="26">
        <f>SUM(B74:J74)</f>
        <v>84</v>
      </c>
      <c r="L74" s="73">
        <v>42454</v>
      </c>
      <c r="N74" s="20" t="s">
        <v>23</v>
      </c>
      <c r="O74" s="42"/>
      <c r="P74" s="43"/>
      <c r="Q74" s="43"/>
      <c r="R74" s="43"/>
      <c r="S74" s="43"/>
      <c r="T74" s="43"/>
      <c r="U74" s="43"/>
      <c r="V74" s="43"/>
      <c r="W74" s="44"/>
      <c r="X74" s="45">
        <f t="shared" si="23"/>
        <v>0</v>
      </c>
      <c r="Y74" s="19"/>
    </row>
    <row r="75" spans="1:25" ht="14.25" thickBot="1">
      <c r="A75" s="2" t="s">
        <v>18</v>
      </c>
      <c r="B75" s="23">
        <f>SUM(B70:B74)</f>
        <v>39</v>
      </c>
      <c r="C75" s="24">
        <f t="shared" ref="C75:J75" si="24">SUM(C70:C74)</f>
        <v>11</v>
      </c>
      <c r="D75" s="24">
        <f t="shared" si="24"/>
        <v>6</v>
      </c>
      <c r="E75" s="24">
        <f t="shared" si="24"/>
        <v>53</v>
      </c>
      <c r="F75" s="24">
        <f t="shared" si="24"/>
        <v>46</v>
      </c>
      <c r="G75" s="25">
        <f t="shared" si="24"/>
        <v>5</v>
      </c>
      <c r="H75" s="25">
        <f t="shared" si="24"/>
        <v>42</v>
      </c>
      <c r="I75" s="25">
        <f t="shared" si="24"/>
        <v>12</v>
      </c>
      <c r="J75" s="25">
        <f t="shared" si="24"/>
        <v>14</v>
      </c>
      <c r="K75" s="26">
        <f t="shared" ref="K75:K95" si="25">SUM(B75:J75)</f>
        <v>228</v>
      </c>
      <c r="L75" s="27"/>
      <c r="N75" s="2" t="s">
        <v>18</v>
      </c>
      <c r="O75" s="23">
        <f t="shared" ref="O75:W75" si="26">SUM(O70:O74)</f>
        <v>246</v>
      </c>
      <c r="P75" s="24">
        <f t="shared" si="26"/>
        <v>314</v>
      </c>
      <c r="Q75" s="24">
        <f t="shared" si="26"/>
        <v>197</v>
      </c>
      <c r="R75" s="24">
        <f t="shared" si="26"/>
        <v>492</v>
      </c>
      <c r="S75" s="24">
        <f t="shared" si="26"/>
        <v>492</v>
      </c>
      <c r="T75" s="25">
        <f t="shared" si="26"/>
        <v>289</v>
      </c>
      <c r="U75" s="25">
        <f t="shared" si="26"/>
        <v>169</v>
      </c>
      <c r="V75" s="25">
        <f t="shared" si="26"/>
        <v>290</v>
      </c>
      <c r="W75" s="25">
        <f t="shared" si="26"/>
        <v>298</v>
      </c>
      <c r="X75" s="26">
        <f t="shared" si="23"/>
        <v>2787</v>
      </c>
      <c r="Y75" s="27"/>
    </row>
    <row r="76" spans="1:25">
      <c r="A76" s="20" t="s">
        <v>42</v>
      </c>
      <c r="B76" s="29"/>
      <c r="C76" s="30"/>
      <c r="D76" s="30"/>
      <c r="E76" s="31">
        <v>4</v>
      </c>
      <c r="F76" s="31">
        <v>4</v>
      </c>
      <c r="G76" s="32"/>
      <c r="H76" s="33">
        <v>4</v>
      </c>
      <c r="I76" s="33">
        <v>6</v>
      </c>
      <c r="J76" s="33"/>
      <c r="K76" s="34">
        <f t="shared" si="25"/>
        <v>18</v>
      </c>
      <c r="L76" s="12">
        <v>42436</v>
      </c>
      <c r="N76" s="58" t="s">
        <v>49</v>
      </c>
      <c r="O76" s="9">
        <v>5</v>
      </c>
      <c r="P76" s="10">
        <v>5</v>
      </c>
      <c r="Q76" s="10"/>
      <c r="R76" s="10">
        <v>5</v>
      </c>
      <c r="S76" s="10">
        <v>5</v>
      </c>
      <c r="T76" s="11"/>
      <c r="U76" s="11"/>
      <c r="V76" s="11">
        <v>5</v>
      </c>
      <c r="W76" s="11">
        <v>10</v>
      </c>
      <c r="X76" s="13">
        <f t="shared" si="23"/>
        <v>35</v>
      </c>
      <c r="Y76" s="12">
        <v>42433</v>
      </c>
    </row>
    <row r="77" spans="1:25">
      <c r="A77" s="65" t="s">
        <v>52</v>
      </c>
      <c r="B77" s="29"/>
      <c r="C77" s="30"/>
      <c r="D77" s="30"/>
      <c r="E77" s="30">
        <v>1</v>
      </c>
      <c r="F77" s="30"/>
      <c r="G77" s="32"/>
      <c r="H77" s="32"/>
      <c r="I77" s="32"/>
      <c r="J77" s="32"/>
      <c r="K77" s="34">
        <f t="shared" si="25"/>
        <v>1</v>
      </c>
      <c r="L77" s="22">
        <v>42439</v>
      </c>
      <c r="N77" s="28" t="s">
        <v>29</v>
      </c>
      <c r="O77" s="67">
        <v>5</v>
      </c>
      <c r="P77" s="35">
        <v>5</v>
      </c>
      <c r="Q77" s="35"/>
      <c r="R77" s="35">
        <v>40</v>
      </c>
      <c r="S77" s="35">
        <v>5</v>
      </c>
      <c r="T77" s="35"/>
      <c r="U77" s="35">
        <v>5</v>
      </c>
      <c r="V77" s="35"/>
      <c r="W77" s="68"/>
      <c r="X77" s="13">
        <f>SUM(O77:W77)</f>
        <v>60</v>
      </c>
      <c r="Y77" s="19">
        <v>42448</v>
      </c>
    </row>
    <row r="78" spans="1:25">
      <c r="A78" s="28" t="s">
        <v>33</v>
      </c>
      <c r="B78" s="29">
        <v>2</v>
      </c>
      <c r="C78" s="30">
        <v>2</v>
      </c>
      <c r="D78" s="30"/>
      <c r="E78" s="30">
        <v>3</v>
      </c>
      <c r="F78" s="30">
        <v>5</v>
      </c>
      <c r="G78" s="32"/>
      <c r="H78" s="32"/>
      <c r="I78" s="32"/>
      <c r="J78" s="32"/>
      <c r="K78" s="34">
        <f t="shared" si="25"/>
        <v>12</v>
      </c>
      <c r="L78" s="22">
        <v>42444</v>
      </c>
      <c r="N78" s="28" t="s">
        <v>29</v>
      </c>
      <c r="O78" s="29">
        <v>28</v>
      </c>
      <c r="P78" s="30"/>
      <c r="Q78" s="30"/>
      <c r="R78" s="30"/>
      <c r="S78" s="30">
        <v>28</v>
      </c>
      <c r="T78" s="32"/>
      <c r="U78" s="32">
        <v>28</v>
      </c>
      <c r="V78" s="32"/>
      <c r="W78" s="32"/>
      <c r="X78" s="34">
        <f t="shared" si="23"/>
        <v>84</v>
      </c>
      <c r="Y78" s="22">
        <v>42454</v>
      </c>
    </row>
    <row r="79" spans="1:25">
      <c r="A79" s="20" t="s">
        <v>42</v>
      </c>
      <c r="B79" s="29"/>
      <c r="C79" s="30"/>
      <c r="D79" s="30"/>
      <c r="E79" s="30">
        <v>2</v>
      </c>
      <c r="F79" s="30"/>
      <c r="G79" s="32"/>
      <c r="H79" s="33"/>
      <c r="I79" s="32"/>
      <c r="J79" s="32"/>
      <c r="K79" s="34">
        <f t="shared" si="25"/>
        <v>2</v>
      </c>
      <c r="L79" s="22">
        <v>42445</v>
      </c>
      <c r="N79" s="28"/>
      <c r="O79" s="29"/>
      <c r="P79" s="30"/>
      <c r="Q79" s="30"/>
      <c r="R79" s="30"/>
      <c r="S79" s="30"/>
      <c r="T79" s="32"/>
      <c r="U79" s="33"/>
      <c r="V79" s="32"/>
      <c r="W79" s="32"/>
      <c r="X79" s="34">
        <f t="shared" si="23"/>
        <v>0</v>
      </c>
      <c r="Y79" s="22"/>
    </row>
    <row r="80" spans="1:25">
      <c r="A80" s="57" t="s">
        <v>53</v>
      </c>
      <c r="B80" s="29">
        <v>1</v>
      </c>
      <c r="C80" s="30"/>
      <c r="D80" s="30"/>
      <c r="E80" s="30"/>
      <c r="F80" s="30"/>
      <c r="G80" s="32"/>
      <c r="H80" s="32"/>
      <c r="I80" s="32"/>
      <c r="J80" s="32"/>
      <c r="K80" s="34">
        <f t="shared" si="25"/>
        <v>1</v>
      </c>
      <c r="L80" s="22">
        <v>42446</v>
      </c>
      <c r="N80" s="20"/>
      <c r="O80" s="29"/>
      <c r="P80" s="30"/>
      <c r="Q80" s="30"/>
      <c r="R80" s="30"/>
      <c r="S80" s="30"/>
      <c r="T80" s="32"/>
      <c r="U80" s="32"/>
      <c r="V80" s="32"/>
      <c r="W80" s="32"/>
      <c r="X80" s="34">
        <f t="shared" si="23"/>
        <v>0</v>
      </c>
      <c r="Y80" s="22"/>
    </row>
    <row r="81" spans="1:25">
      <c r="A81" s="20" t="s">
        <v>54</v>
      </c>
      <c r="B81" s="29"/>
      <c r="C81" s="30"/>
      <c r="D81" s="30"/>
      <c r="E81" s="30">
        <v>3</v>
      </c>
      <c r="F81" s="30"/>
      <c r="G81" s="32"/>
      <c r="H81" s="33">
        <v>3</v>
      </c>
      <c r="I81" s="33"/>
      <c r="J81" s="33"/>
      <c r="K81" s="34">
        <f t="shared" si="25"/>
        <v>6</v>
      </c>
      <c r="L81" s="22">
        <v>42451</v>
      </c>
      <c r="N81" s="20"/>
      <c r="O81" s="29"/>
      <c r="P81" s="30"/>
      <c r="Q81" s="30"/>
      <c r="R81" s="30"/>
      <c r="S81" s="30"/>
      <c r="T81" s="32"/>
      <c r="U81" s="33"/>
      <c r="V81" s="33"/>
      <c r="W81" s="33"/>
      <c r="X81" s="34">
        <f t="shared" si="23"/>
        <v>0</v>
      </c>
      <c r="Y81" s="22"/>
    </row>
    <row r="82" spans="1:25">
      <c r="A82" s="20" t="s">
        <v>54</v>
      </c>
      <c r="B82" s="29"/>
      <c r="C82" s="30"/>
      <c r="D82" s="30"/>
      <c r="E82" s="31">
        <v>30</v>
      </c>
      <c r="F82" s="31"/>
      <c r="G82" s="32"/>
      <c r="H82" s="33"/>
      <c r="I82" s="33"/>
      <c r="J82" s="33"/>
      <c r="K82" s="34">
        <f t="shared" si="25"/>
        <v>30</v>
      </c>
      <c r="L82" s="22">
        <v>42452</v>
      </c>
      <c r="N82" s="28"/>
      <c r="O82" s="29"/>
      <c r="P82" s="30"/>
      <c r="Q82" s="30"/>
      <c r="R82" s="31"/>
      <c r="S82" s="31"/>
      <c r="T82" s="32"/>
      <c r="U82" s="33"/>
      <c r="V82" s="33"/>
      <c r="W82" s="33"/>
      <c r="X82" s="34">
        <f t="shared" si="23"/>
        <v>0</v>
      </c>
      <c r="Y82" s="22"/>
    </row>
    <row r="83" spans="1:25">
      <c r="A83" s="20" t="s">
        <v>55</v>
      </c>
      <c r="B83" s="35">
        <v>1</v>
      </c>
      <c r="C83" s="31"/>
      <c r="D83" s="31"/>
      <c r="E83" s="31"/>
      <c r="F83" s="31"/>
      <c r="G83" s="33"/>
      <c r="H83" s="33"/>
      <c r="I83" s="33"/>
      <c r="J83" s="33"/>
      <c r="K83" s="34">
        <f t="shared" si="25"/>
        <v>1</v>
      </c>
      <c r="L83" s="22">
        <v>42446</v>
      </c>
      <c r="N83" s="28"/>
      <c r="O83" s="35"/>
      <c r="P83" s="31"/>
      <c r="Q83" s="31"/>
      <c r="R83" s="31"/>
      <c r="S83" s="31"/>
      <c r="T83" s="33"/>
      <c r="U83" s="33"/>
      <c r="V83" s="33"/>
      <c r="W83" s="33"/>
      <c r="X83" s="34">
        <f t="shared" si="23"/>
        <v>0</v>
      </c>
      <c r="Y83" s="22"/>
    </row>
    <row r="84" spans="1:25">
      <c r="A84" s="20" t="s">
        <v>27</v>
      </c>
      <c r="B84" s="35"/>
      <c r="C84" s="31"/>
      <c r="D84" s="31"/>
      <c r="E84" s="31"/>
      <c r="F84" s="31">
        <v>1</v>
      </c>
      <c r="G84" s="33"/>
      <c r="H84" s="33"/>
      <c r="I84" s="33"/>
      <c r="J84" s="33"/>
      <c r="K84" s="34">
        <f t="shared" si="25"/>
        <v>1</v>
      </c>
      <c r="L84" s="22">
        <v>42447</v>
      </c>
      <c r="N84" s="28"/>
      <c r="O84" s="35"/>
      <c r="P84" s="31"/>
      <c r="Q84" s="31"/>
      <c r="R84" s="31"/>
      <c r="S84" s="31"/>
      <c r="T84" s="33"/>
      <c r="U84" s="33"/>
      <c r="V84" s="33"/>
      <c r="W84" s="33"/>
      <c r="X84" s="34">
        <f t="shared" si="23"/>
        <v>0</v>
      </c>
      <c r="Y84" s="22"/>
    </row>
    <row r="85" spans="1:25">
      <c r="A85" s="20" t="s">
        <v>27</v>
      </c>
      <c r="B85" s="35"/>
      <c r="C85" s="31"/>
      <c r="D85" s="31"/>
      <c r="E85" s="31"/>
      <c r="F85" s="31">
        <v>1</v>
      </c>
      <c r="G85" s="33"/>
      <c r="H85" s="33"/>
      <c r="I85" s="33"/>
      <c r="J85" s="33"/>
      <c r="K85" s="34">
        <f t="shared" si="25"/>
        <v>1</v>
      </c>
      <c r="L85" s="22">
        <v>42448</v>
      </c>
      <c r="N85" s="28"/>
      <c r="O85" s="35"/>
      <c r="P85" s="31"/>
      <c r="Q85" s="31"/>
      <c r="R85" s="31"/>
      <c r="S85" s="31"/>
      <c r="T85" s="33"/>
      <c r="U85" s="33"/>
      <c r="V85" s="33"/>
      <c r="W85" s="33"/>
      <c r="X85" s="34">
        <f t="shared" si="23"/>
        <v>0</v>
      </c>
      <c r="Y85" s="22"/>
    </row>
    <row r="86" spans="1:25">
      <c r="A86" s="28" t="s">
        <v>56</v>
      </c>
      <c r="B86" s="29"/>
      <c r="C86" s="30"/>
      <c r="D86" s="30"/>
      <c r="E86" s="30">
        <v>-2</v>
      </c>
      <c r="F86" s="30">
        <v>-2</v>
      </c>
      <c r="G86" s="32"/>
      <c r="H86" s="32"/>
      <c r="I86" s="32"/>
      <c r="J86" s="32"/>
      <c r="K86" s="34">
        <f t="shared" si="25"/>
        <v>-4</v>
      </c>
      <c r="L86" s="22">
        <v>42448</v>
      </c>
      <c r="N86" s="28"/>
      <c r="O86" s="29"/>
      <c r="P86" s="30"/>
      <c r="Q86" s="30"/>
      <c r="R86" s="30"/>
      <c r="S86" s="30"/>
      <c r="T86" s="32"/>
      <c r="U86" s="32"/>
      <c r="V86" s="32"/>
      <c r="W86" s="32"/>
      <c r="X86" s="34">
        <f t="shared" si="23"/>
        <v>0</v>
      </c>
      <c r="Y86" s="22"/>
    </row>
    <row r="87" spans="1:25">
      <c r="A87" s="20" t="s">
        <v>54</v>
      </c>
      <c r="B87" s="35">
        <v>20</v>
      </c>
      <c r="C87" s="31"/>
      <c r="D87" s="31"/>
      <c r="E87" s="31"/>
      <c r="F87" s="31">
        <v>20</v>
      </c>
      <c r="G87" s="33"/>
      <c r="H87" s="33">
        <v>20</v>
      </c>
      <c r="I87" s="33"/>
      <c r="J87" s="33">
        <v>10</v>
      </c>
      <c r="K87" s="34">
        <f t="shared" si="25"/>
        <v>70</v>
      </c>
      <c r="L87" s="22">
        <v>42457</v>
      </c>
      <c r="N87" s="28"/>
      <c r="O87" s="35"/>
      <c r="P87" s="31"/>
      <c r="Q87" s="31"/>
      <c r="R87" s="31"/>
      <c r="S87" s="31"/>
      <c r="T87" s="33"/>
      <c r="U87" s="33"/>
      <c r="V87" s="33"/>
      <c r="W87" s="33"/>
      <c r="X87" s="34">
        <f t="shared" si="23"/>
        <v>0</v>
      </c>
      <c r="Y87" s="22"/>
    </row>
    <row r="88" spans="1:25">
      <c r="A88" s="20" t="s">
        <v>60</v>
      </c>
      <c r="B88" s="29"/>
      <c r="C88" s="30"/>
      <c r="D88" s="30"/>
      <c r="E88" s="30"/>
      <c r="F88" s="30"/>
      <c r="G88" s="32">
        <v>1</v>
      </c>
      <c r="H88" s="33"/>
      <c r="I88" s="33"/>
      <c r="J88" s="33"/>
      <c r="K88" s="34">
        <f t="shared" si="25"/>
        <v>1</v>
      </c>
      <c r="L88" s="22">
        <v>42458</v>
      </c>
      <c r="N88" s="28"/>
      <c r="O88" s="29"/>
      <c r="P88" s="30"/>
      <c r="Q88" s="30"/>
      <c r="R88" s="30"/>
      <c r="S88" s="30"/>
      <c r="T88" s="32"/>
      <c r="U88" s="33"/>
      <c r="V88" s="33"/>
      <c r="W88" s="33"/>
      <c r="X88" s="34">
        <f t="shared" si="23"/>
        <v>0</v>
      </c>
      <c r="Y88" s="22"/>
    </row>
    <row r="89" spans="1:25">
      <c r="A89" s="66" t="s">
        <v>65</v>
      </c>
      <c r="B89" s="35"/>
      <c r="C89" s="31"/>
      <c r="D89" s="31"/>
      <c r="E89" s="31">
        <v>1</v>
      </c>
      <c r="F89" s="31"/>
      <c r="G89" s="33"/>
      <c r="H89" s="33"/>
      <c r="I89" s="33"/>
      <c r="J89" s="33"/>
      <c r="K89" s="34">
        <f t="shared" ref="K89" si="27">SUM(B89:J89)</f>
        <v>1</v>
      </c>
      <c r="L89" s="22">
        <v>42462</v>
      </c>
      <c r="N89" s="28"/>
      <c r="O89" s="35"/>
      <c r="P89" s="31"/>
      <c r="Q89" s="31"/>
      <c r="R89" s="31"/>
      <c r="S89" s="31"/>
      <c r="T89" s="33"/>
      <c r="U89" s="33"/>
      <c r="V89" s="33"/>
      <c r="W89" s="33"/>
      <c r="X89" s="34">
        <f t="shared" si="23"/>
        <v>0</v>
      </c>
      <c r="Y89" s="22"/>
    </row>
    <row r="90" spans="1:25">
      <c r="A90" s="66" t="s">
        <v>63</v>
      </c>
      <c r="B90" s="35">
        <v>-1</v>
      </c>
      <c r="C90" s="31"/>
      <c r="D90" s="31"/>
      <c r="E90" s="31"/>
      <c r="F90" s="31">
        <v>-1</v>
      </c>
      <c r="G90" s="33">
        <v>-1</v>
      </c>
      <c r="H90" s="33"/>
      <c r="I90" s="33"/>
      <c r="J90" s="33"/>
      <c r="K90" s="34">
        <f t="shared" si="25"/>
        <v>-3</v>
      </c>
      <c r="L90" s="22">
        <v>42467</v>
      </c>
      <c r="N90" s="28"/>
      <c r="O90" s="35"/>
      <c r="P90" s="31"/>
      <c r="Q90" s="31"/>
      <c r="R90" s="31"/>
      <c r="S90" s="31"/>
      <c r="T90" s="33"/>
      <c r="U90" s="33"/>
      <c r="V90" s="33"/>
      <c r="W90" s="33"/>
      <c r="X90" s="34">
        <f t="shared" si="23"/>
        <v>0</v>
      </c>
      <c r="Y90" s="22"/>
    </row>
    <row r="91" spans="1:25">
      <c r="A91" s="28"/>
      <c r="B91" s="29"/>
      <c r="C91" s="30"/>
      <c r="D91" s="30"/>
      <c r="E91" s="30"/>
      <c r="F91" s="30"/>
      <c r="G91" s="32"/>
      <c r="H91" s="32"/>
      <c r="I91" s="32"/>
      <c r="J91" s="32"/>
      <c r="K91" s="34">
        <f t="shared" si="25"/>
        <v>0</v>
      </c>
      <c r="L91" s="22"/>
      <c r="N91" s="65"/>
      <c r="O91" s="29"/>
      <c r="P91" s="30"/>
      <c r="Q91" s="30"/>
      <c r="R91" s="30"/>
      <c r="S91" s="30"/>
      <c r="T91" s="32"/>
      <c r="U91" s="32"/>
      <c r="V91" s="32"/>
      <c r="W91" s="32"/>
      <c r="X91" s="34">
        <f t="shared" si="23"/>
        <v>0</v>
      </c>
      <c r="Y91" s="22"/>
    </row>
    <row r="92" spans="1:25">
      <c r="A92" s="28"/>
      <c r="B92" s="29"/>
      <c r="C92" s="30"/>
      <c r="D92" s="30"/>
      <c r="E92" s="30"/>
      <c r="F92" s="30"/>
      <c r="G92" s="32"/>
      <c r="H92" s="32"/>
      <c r="I92" s="32"/>
      <c r="J92" s="32"/>
      <c r="K92" s="34">
        <f t="shared" si="25"/>
        <v>0</v>
      </c>
      <c r="L92" s="19"/>
      <c r="N92" s="28"/>
      <c r="O92" s="29"/>
      <c r="P92" s="30"/>
      <c r="Q92" s="30"/>
      <c r="R92" s="30"/>
      <c r="S92" s="30"/>
      <c r="T92" s="32"/>
      <c r="U92" s="32"/>
      <c r="V92" s="32"/>
      <c r="W92" s="32"/>
      <c r="X92" s="34">
        <f t="shared" si="23"/>
        <v>0</v>
      </c>
      <c r="Y92" s="19"/>
    </row>
    <row r="93" spans="1:25">
      <c r="A93" s="65"/>
      <c r="B93" s="29"/>
      <c r="C93" s="30"/>
      <c r="D93" s="30"/>
      <c r="E93" s="30"/>
      <c r="F93" s="30"/>
      <c r="G93" s="32"/>
      <c r="H93" s="32"/>
      <c r="I93" s="32"/>
      <c r="J93" s="32"/>
      <c r="K93" s="34">
        <f t="shared" si="25"/>
        <v>0</v>
      </c>
      <c r="L93" s="19"/>
      <c r="N93" s="65"/>
      <c r="O93" s="29"/>
      <c r="P93" s="30"/>
      <c r="Q93" s="30"/>
      <c r="R93" s="30"/>
      <c r="S93" s="30"/>
      <c r="T93" s="32"/>
      <c r="U93" s="32"/>
      <c r="V93" s="32"/>
      <c r="W93" s="32"/>
      <c r="X93" s="34">
        <f t="shared" si="23"/>
        <v>0</v>
      </c>
      <c r="Y93" s="19"/>
    </row>
    <row r="94" spans="1:25">
      <c r="A94" s="20"/>
      <c r="B94" s="29"/>
      <c r="C94" s="30"/>
      <c r="D94" s="30"/>
      <c r="E94" s="30"/>
      <c r="F94" s="30"/>
      <c r="G94" s="32"/>
      <c r="H94" s="32"/>
      <c r="I94" s="32"/>
      <c r="J94" s="32"/>
      <c r="K94" s="34">
        <f t="shared" si="25"/>
        <v>0</v>
      </c>
      <c r="L94" s="19"/>
      <c r="N94" s="28"/>
      <c r="O94" s="29"/>
      <c r="P94" s="30"/>
      <c r="Q94" s="30"/>
      <c r="R94" s="30"/>
      <c r="S94" s="30"/>
      <c r="T94" s="32"/>
      <c r="U94" s="32"/>
      <c r="V94" s="32"/>
      <c r="W94" s="32"/>
      <c r="X94" s="34">
        <f t="shared" ref="X94" si="28">SUM(O94:W94)</f>
        <v>0</v>
      </c>
      <c r="Y94" s="19"/>
    </row>
    <row r="95" spans="1:25" ht="14.25" thickBot="1">
      <c r="A95" s="28"/>
      <c r="B95" s="29"/>
      <c r="C95" s="30"/>
      <c r="D95" s="30"/>
      <c r="E95" s="31"/>
      <c r="F95" s="31"/>
      <c r="G95" s="32"/>
      <c r="H95" s="33"/>
      <c r="I95" s="33"/>
      <c r="J95" s="33"/>
      <c r="K95" s="34">
        <f t="shared" si="25"/>
        <v>0</v>
      </c>
      <c r="L95" s="36"/>
      <c r="N95" s="28"/>
      <c r="O95" s="29"/>
      <c r="P95" s="30"/>
      <c r="Q95" s="30"/>
      <c r="R95" s="31"/>
      <c r="S95" s="31"/>
      <c r="T95" s="32"/>
      <c r="U95" s="33"/>
      <c r="V95" s="33"/>
      <c r="W95" s="33"/>
      <c r="X95" s="34">
        <f t="shared" si="23"/>
        <v>0</v>
      </c>
      <c r="Y95" s="36"/>
    </row>
    <row r="96" spans="1:25" ht="14.25" thickBot="1">
      <c r="A96" s="2" t="s">
        <v>19</v>
      </c>
      <c r="B96" s="23">
        <f t="shared" ref="B96:J96" si="29">SUM(B76:B95)</f>
        <v>23</v>
      </c>
      <c r="C96" s="24">
        <f t="shared" si="29"/>
        <v>2</v>
      </c>
      <c r="D96" s="24">
        <f t="shared" si="29"/>
        <v>0</v>
      </c>
      <c r="E96" s="24">
        <f t="shared" si="29"/>
        <v>42</v>
      </c>
      <c r="F96" s="24">
        <f t="shared" si="29"/>
        <v>28</v>
      </c>
      <c r="G96" s="25">
        <f t="shared" si="29"/>
        <v>0</v>
      </c>
      <c r="H96" s="25">
        <f t="shared" si="29"/>
        <v>27</v>
      </c>
      <c r="I96" s="25">
        <f t="shared" si="29"/>
        <v>6</v>
      </c>
      <c r="J96" s="25">
        <f t="shared" si="29"/>
        <v>10</v>
      </c>
      <c r="K96" s="37">
        <f>SUM(B96:J96)</f>
        <v>138</v>
      </c>
      <c r="L96" s="27"/>
      <c r="N96" s="2" t="s">
        <v>19</v>
      </c>
      <c r="O96" s="23">
        <f t="shared" ref="O96:W96" si="30">SUM(O76:O95)</f>
        <v>38</v>
      </c>
      <c r="P96" s="24">
        <f t="shared" si="30"/>
        <v>10</v>
      </c>
      <c r="Q96" s="24">
        <f t="shared" si="30"/>
        <v>0</v>
      </c>
      <c r="R96" s="24">
        <f t="shared" si="30"/>
        <v>45</v>
      </c>
      <c r="S96" s="24">
        <f t="shared" si="30"/>
        <v>38</v>
      </c>
      <c r="T96" s="25">
        <f t="shared" si="30"/>
        <v>0</v>
      </c>
      <c r="U96" s="25">
        <f t="shared" si="30"/>
        <v>33</v>
      </c>
      <c r="V96" s="25">
        <f t="shared" si="30"/>
        <v>5</v>
      </c>
      <c r="W96" s="25">
        <f t="shared" si="30"/>
        <v>10</v>
      </c>
      <c r="X96" s="37">
        <f>SUM(O96:W96)</f>
        <v>179</v>
      </c>
      <c r="Y96" s="27"/>
    </row>
    <row r="97" spans="1:25" ht="14.25" thickBot="1">
      <c r="A97" s="38" t="s">
        <v>17</v>
      </c>
      <c r="B97" s="39">
        <f>B75-B96</f>
        <v>16</v>
      </c>
      <c r="C97" s="39">
        <f t="shared" ref="C97:K97" si="31">C75-C96</f>
        <v>9</v>
      </c>
      <c r="D97" s="39">
        <f t="shared" si="31"/>
        <v>6</v>
      </c>
      <c r="E97" s="39">
        <f t="shared" si="31"/>
        <v>11</v>
      </c>
      <c r="F97" s="39">
        <f t="shared" si="31"/>
        <v>18</v>
      </c>
      <c r="G97" s="39">
        <f t="shared" si="31"/>
        <v>5</v>
      </c>
      <c r="H97" s="39">
        <f t="shared" si="31"/>
        <v>15</v>
      </c>
      <c r="I97" s="39">
        <f t="shared" si="31"/>
        <v>6</v>
      </c>
      <c r="J97" s="40">
        <f t="shared" si="31"/>
        <v>4</v>
      </c>
      <c r="K97" s="37">
        <f t="shared" si="31"/>
        <v>90</v>
      </c>
      <c r="L97" s="41"/>
      <c r="N97" s="38" t="s">
        <v>17</v>
      </c>
      <c r="O97" s="39">
        <f>O75-O96</f>
        <v>208</v>
      </c>
      <c r="P97" s="39">
        <f t="shared" ref="P97:X97" si="32">P75-P96</f>
        <v>304</v>
      </c>
      <c r="Q97" s="39">
        <f t="shared" si="32"/>
        <v>197</v>
      </c>
      <c r="R97" s="39">
        <f t="shared" si="32"/>
        <v>447</v>
      </c>
      <c r="S97" s="39">
        <f t="shared" si="32"/>
        <v>454</v>
      </c>
      <c r="T97" s="39">
        <f t="shared" si="32"/>
        <v>289</v>
      </c>
      <c r="U97" s="39">
        <f t="shared" si="32"/>
        <v>136</v>
      </c>
      <c r="V97" s="39">
        <f t="shared" si="32"/>
        <v>285</v>
      </c>
      <c r="W97" s="40">
        <f t="shared" si="32"/>
        <v>288</v>
      </c>
      <c r="X97" s="37">
        <f t="shared" si="32"/>
        <v>2608</v>
      </c>
      <c r="Y97" s="41"/>
    </row>
    <row r="100" spans="1:25" ht="19.5" thickBot="1">
      <c r="A100" s="1" t="s">
        <v>22</v>
      </c>
      <c r="N100" s="1" t="s">
        <v>21</v>
      </c>
    </row>
    <row r="101" spans="1:25" ht="19.5" thickBot="1">
      <c r="A101" s="2" t="s">
        <v>0</v>
      </c>
      <c r="B101" s="163" t="s">
        <v>20</v>
      </c>
      <c r="C101" s="164"/>
      <c r="D101" s="164"/>
      <c r="E101" s="164"/>
      <c r="F101" s="164"/>
      <c r="G101" s="164"/>
      <c r="H101" s="165"/>
      <c r="I101" s="165"/>
      <c r="J101" s="165"/>
      <c r="K101" s="166"/>
      <c r="L101" s="161" t="s">
        <v>1</v>
      </c>
      <c r="N101" s="2" t="s">
        <v>0</v>
      </c>
      <c r="O101" s="163" t="s">
        <v>20</v>
      </c>
      <c r="P101" s="164"/>
      <c r="Q101" s="164"/>
      <c r="R101" s="164"/>
      <c r="S101" s="164"/>
      <c r="T101" s="164"/>
      <c r="U101" s="165"/>
      <c r="V101" s="165"/>
      <c r="W101" s="165"/>
      <c r="X101" s="166"/>
      <c r="Y101" s="161" t="s">
        <v>1</v>
      </c>
    </row>
    <row r="102" spans="1:25" ht="14.25" thickBot="1">
      <c r="A102" s="2" t="s">
        <v>2</v>
      </c>
      <c r="B102" s="3" t="s">
        <v>3</v>
      </c>
      <c r="C102" s="4" t="s">
        <v>4</v>
      </c>
      <c r="D102" s="4" t="s">
        <v>5</v>
      </c>
      <c r="E102" s="4" t="s">
        <v>6</v>
      </c>
      <c r="F102" s="4" t="s">
        <v>7</v>
      </c>
      <c r="G102" s="5" t="s">
        <v>8</v>
      </c>
      <c r="H102" s="4" t="s">
        <v>9</v>
      </c>
      <c r="I102" s="6" t="s">
        <v>10</v>
      </c>
      <c r="J102" s="5" t="s">
        <v>11</v>
      </c>
      <c r="K102" s="7" t="s">
        <v>12</v>
      </c>
      <c r="L102" s="162"/>
      <c r="N102" s="2" t="s">
        <v>2</v>
      </c>
      <c r="O102" s="3" t="s">
        <v>3</v>
      </c>
      <c r="P102" s="4" t="s">
        <v>4</v>
      </c>
      <c r="Q102" s="4" t="s">
        <v>5</v>
      </c>
      <c r="R102" s="4" t="s">
        <v>6</v>
      </c>
      <c r="S102" s="4" t="s">
        <v>7</v>
      </c>
      <c r="T102" s="5" t="s">
        <v>8</v>
      </c>
      <c r="U102" s="4" t="s">
        <v>9</v>
      </c>
      <c r="V102" s="6" t="s">
        <v>10</v>
      </c>
      <c r="W102" s="5" t="s">
        <v>11</v>
      </c>
      <c r="X102" s="7" t="s">
        <v>12</v>
      </c>
      <c r="Y102" s="162"/>
    </row>
    <row r="103" spans="1:25">
      <c r="A103" s="52" t="s">
        <v>17</v>
      </c>
      <c r="B103" s="55">
        <f>B97</f>
        <v>16</v>
      </c>
      <c r="C103" s="56">
        <f>C97</f>
        <v>9</v>
      </c>
      <c r="D103" s="56">
        <f t="shared" ref="D103:J103" si="33">D97</f>
        <v>6</v>
      </c>
      <c r="E103" s="56">
        <f t="shared" si="33"/>
        <v>11</v>
      </c>
      <c r="F103" s="56">
        <f t="shared" si="33"/>
        <v>18</v>
      </c>
      <c r="G103" s="56">
        <f t="shared" si="33"/>
        <v>5</v>
      </c>
      <c r="H103" s="56">
        <f t="shared" si="33"/>
        <v>15</v>
      </c>
      <c r="I103" s="56">
        <f t="shared" si="33"/>
        <v>6</v>
      </c>
      <c r="J103" s="56">
        <f t="shared" si="33"/>
        <v>4</v>
      </c>
      <c r="K103" s="53">
        <f t="shared" ref="K103:K105" si="34">SUM(B103:J103)</f>
        <v>90</v>
      </c>
      <c r="L103" s="54"/>
      <c r="N103" s="52" t="s">
        <v>17</v>
      </c>
      <c r="O103" s="55">
        <f>O97</f>
        <v>208</v>
      </c>
      <c r="P103" s="56">
        <f>P97</f>
        <v>304</v>
      </c>
      <c r="Q103" s="56">
        <f t="shared" ref="Q103:W103" si="35">Q97</f>
        <v>197</v>
      </c>
      <c r="R103" s="56">
        <f t="shared" si="35"/>
        <v>447</v>
      </c>
      <c r="S103" s="56">
        <f t="shared" si="35"/>
        <v>454</v>
      </c>
      <c r="T103" s="56">
        <f t="shared" si="35"/>
        <v>289</v>
      </c>
      <c r="U103" s="56">
        <f t="shared" si="35"/>
        <v>136</v>
      </c>
      <c r="V103" s="56">
        <f t="shared" si="35"/>
        <v>285</v>
      </c>
      <c r="W103" s="56">
        <f t="shared" si="35"/>
        <v>288</v>
      </c>
      <c r="X103" s="53">
        <f t="shared" ref="X103:X109" si="36">SUM(O103:W103)</f>
        <v>2608</v>
      </c>
      <c r="Y103" s="54"/>
    </row>
    <row r="104" spans="1:25">
      <c r="A104" s="8" t="s">
        <v>14</v>
      </c>
      <c r="B104" s="9"/>
      <c r="C104" s="10">
        <v>10</v>
      </c>
      <c r="D104" s="10">
        <v>10</v>
      </c>
      <c r="E104" s="10"/>
      <c r="F104" s="10"/>
      <c r="G104" s="11">
        <v>15</v>
      </c>
      <c r="H104" s="11"/>
      <c r="I104" s="11">
        <v>15</v>
      </c>
      <c r="J104" s="11">
        <v>10</v>
      </c>
      <c r="K104" s="13">
        <f t="shared" si="34"/>
        <v>60</v>
      </c>
      <c r="L104" s="12">
        <v>42468</v>
      </c>
      <c r="N104" s="8" t="s">
        <v>14</v>
      </c>
      <c r="O104" s="9"/>
      <c r="P104" s="10"/>
      <c r="Q104" s="10"/>
      <c r="R104" s="10"/>
      <c r="S104" s="10"/>
      <c r="T104" s="11"/>
      <c r="U104" s="11"/>
      <c r="V104" s="11"/>
      <c r="W104" s="11"/>
      <c r="X104" s="13">
        <f t="shared" si="36"/>
        <v>0</v>
      </c>
      <c r="Y104" s="12"/>
    </row>
    <row r="105" spans="1:25">
      <c r="A105" s="8" t="s">
        <v>15</v>
      </c>
      <c r="B105" s="15"/>
      <c r="C105" s="16"/>
      <c r="D105" s="16"/>
      <c r="E105" s="16"/>
      <c r="F105" s="16"/>
      <c r="G105" s="17"/>
      <c r="H105" s="17"/>
      <c r="I105" s="17">
        <v>2</v>
      </c>
      <c r="J105" s="17"/>
      <c r="K105" s="18">
        <f t="shared" si="34"/>
        <v>2</v>
      </c>
      <c r="L105" s="19">
        <v>42472</v>
      </c>
      <c r="N105" s="8" t="s">
        <v>15</v>
      </c>
      <c r="O105" s="15"/>
      <c r="P105" s="16"/>
      <c r="Q105" s="16"/>
      <c r="R105" s="16"/>
      <c r="S105" s="16"/>
      <c r="T105" s="17"/>
      <c r="U105" s="17"/>
      <c r="V105" s="17"/>
      <c r="W105" s="17"/>
      <c r="X105" s="18">
        <f t="shared" si="36"/>
        <v>0</v>
      </c>
      <c r="Y105" s="19"/>
    </row>
    <row r="106" spans="1:25">
      <c r="A106" s="20" t="s">
        <v>57</v>
      </c>
      <c r="B106" s="67">
        <v>5</v>
      </c>
      <c r="C106" s="35">
        <v>10</v>
      </c>
      <c r="D106" s="35">
        <v>10</v>
      </c>
      <c r="E106" s="35">
        <v>10</v>
      </c>
      <c r="F106" s="35">
        <v>5</v>
      </c>
      <c r="G106" s="35">
        <v>15</v>
      </c>
      <c r="H106" s="35">
        <v>15</v>
      </c>
      <c r="I106" s="35"/>
      <c r="J106" s="69">
        <v>15</v>
      </c>
      <c r="K106" s="13">
        <f>SUM(B106:J106)</f>
        <v>85</v>
      </c>
      <c r="L106" s="22">
        <v>42474</v>
      </c>
      <c r="N106" s="8" t="s">
        <v>16</v>
      </c>
      <c r="O106" s="9"/>
      <c r="P106" s="10"/>
      <c r="Q106" s="10"/>
      <c r="R106" s="10"/>
      <c r="S106" s="10"/>
      <c r="T106" s="10"/>
      <c r="U106" s="10"/>
      <c r="V106" s="10"/>
      <c r="W106" s="21"/>
      <c r="X106" s="18">
        <f t="shared" si="36"/>
        <v>0</v>
      </c>
      <c r="Y106" s="22"/>
    </row>
    <row r="107" spans="1:25" ht="14.25" thickBot="1">
      <c r="A107" s="20" t="s">
        <v>23</v>
      </c>
      <c r="B107" s="70"/>
      <c r="C107" s="71">
        <v>10</v>
      </c>
      <c r="D107" s="71">
        <v>10</v>
      </c>
      <c r="E107" s="71"/>
      <c r="F107" s="71"/>
      <c r="G107" s="71"/>
      <c r="H107" s="71"/>
      <c r="I107" s="71"/>
      <c r="J107" s="72"/>
      <c r="K107" s="26">
        <f>SUM(B107:J107)</f>
        <v>20</v>
      </c>
      <c r="L107" s="73">
        <v>42479</v>
      </c>
      <c r="N107" s="8" t="s">
        <v>23</v>
      </c>
      <c r="O107" s="42"/>
      <c r="P107" s="43"/>
      <c r="Q107" s="43"/>
      <c r="R107" s="43"/>
      <c r="S107" s="43"/>
      <c r="T107" s="43"/>
      <c r="U107" s="43"/>
      <c r="V107" s="43"/>
      <c r="W107" s="44"/>
      <c r="X107" s="45">
        <f t="shared" si="36"/>
        <v>0</v>
      </c>
      <c r="Y107" s="19"/>
    </row>
    <row r="108" spans="1:25" ht="14.25" thickBot="1">
      <c r="A108" s="2" t="s">
        <v>18</v>
      </c>
      <c r="B108" s="23">
        <f>SUM(B103:B107)</f>
        <v>21</v>
      </c>
      <c r="C108" s="24">
        <f t="shared" ref="C108:J108" si="37">SUM(C103:C107)</f>
        <v>39</v>
      </c>
      <c r="D108" s="24">
        <f t="shared" si="37"/>
        <v>36</v>
      </c>
      <c r="E108" s="24">
        <f t="shared" si="37"/>
        <v>21</v>
      </c>
      <c r="F108" s="24">
        <f t="shared" si="37"/>
        <v>23</v>
      </c>
      <c r="G108" s="25">
        <f t="shared" si="37"/>
        <v>35</v>
      </c>
      <c r="H108" s="25">
        <f t="shared" si="37"/>
        <v>30</v>
      </c>
      <c r="I108" s="25">
        <f t="shared" si="37"/>
        <v>23</v>
      </c>
      <c r="J108" s="25">
        <f t="shared" si="37"/>
        <v>29</v>
      </c>
      <c r="K108" s="26">
        <f t="shared" ref="K108:K128" si="38">SUM(B108:J108)</f>
        <v>257</v>
      </c>
      <c r="L108" s="27"/>
      <c r="N108" s="2" t="s">
        <v>18</v>
      </c>
      <c r="O108" s="23">
        <f t="shared" ref="O108:W108" si="39">SUM(O103:O107)</f>
        <v>208</v>
      </c>
      <c r="P108" s="24">
        <f t="shared" si="39"/>
        <v>304</v>
      </c>
      <c r="Q108" s="24">
        <f t="shared" si="39"/>
        <v>197</v>
      </c>
      <c r="R108" s="24">
        <f t="shared" si="39"/>
        <v>447</v>
      </c>
      <c r="S108" s="24">
        <f t="shared" si="39"/>
        <v>454</v>
      </c>
      <c r="T108" s="25">
        <f t="shared" si="39"/>
        <v>289</v>
      </c>
      <c r="U108" s="25">
        <f t="shared" si="39"/>
        <v>136</v>
      </c>
      <c r="V108" s="25">
        <f t="shared" si="39"/>
        <v>285</v>
      </c>
      <c r="W108" s="25">
        <f t="shared" si="39"/>
        <v>288</v>
      </c>
      <c r="X108" s="26">
        <f t="shared" si="36"/>
        <v>2608</v>
      </c>
      <c r="Y108" s="27"/>
    </row>
    <row r="109" spans="1:25">
      <c r="A109" s="65" t="s">
        <v>59</v>
      </c>
      <c r="B109" s="29">
        <v>7</v>
      </c>
      <c r="C109" s="30">
        <v>7</v>
      </c>
      <c r="D109" s="30">
        <v>7</v>
      </c>
      <c r="E109" s="30">
        <v>7</v>
      </c>
      <c r="F109" s="30">
        <v>7</v>
      </c>
      <c r="G109" s="32">
        <v>7</v>
      </c>
      <c r="H109" s="32">
        <v>7</v>
      </c>
      <c r="I109" s="32">
        <v>7</v>
      </c>
      <c r="J109" s="32">
        <v>7</v>
      </c>
      <c r="K109" s="34">
        <f t="shared" si="38"/>
        <v>63</v>
      </c>
      <c r="L109" s="19">
        <v>42474</v>
      </c>
      <c r="N109" s="58" t="s">
        <v>62</v>
      </c>
      <c r="O109" s="9"/>
      <c r="P109" s="10">
        <v>10</v>
      </c>
      <c r="Q109" s="10">
        <v>10</v>
      </c>
      <c r="R109" s="10"/>
      <c r="S109" s="10"/>
      <c r="T109" s="11">
        <v>15</v>
      </c>
      <c r="U109" s="11"/>
      <c r="V109" s="11">
        <v>15</v>
      </c>
      <c r="W109" s="11">
        <v>10</v>
      </c>
      <c r="X109" s="13">
        <f t="shared" si="36"/>
        <v>60</v>
      </c>
      <c r="Y109" s="12">
        <v>42468</v>
      </c>
    </row>
    <row r="110" spans="1:25">
      <c r="A110" s="65" t="s">
        <v>61</v>
      </c>
      <c r="B110" s="29"/>
      <c r="C110" s="30">
        <v>5</v>
      </c>
      <c r="D110" s="30">
        <v>5</v>
      </c>
      <c r="E110" s="30"/>
      <c r="F110" s="30"/>
      <c r="G110" s="32">
        <v>5</v>
      </c>
      <c r="H110" s="32"/>
      <c r="I110" s="32">
        <v>5</v>
      </c>
      <c r="J110" s="32"/>
      <c r="K110" s="34">
        <f t="shared" si="38"/>
        <v>20</v>
      </c>
      <c r="L110" s="22">
        <v>42471</v>
      </c>
      <c r="N110" s="20" t="s">
        <v>29</v>
      </c>
      <c r="O110" s="67">
        <v>5</v>
      </c>
      <c r="P110" s="35">
        <v>10</v>
      </c>
      <c r="Q110" s="35">
        <v>10</v>
      </c>
      <c r="R110" s="35">
        <v>10</v>
      </c>
      <c r="S110" s="35">
        <v>5</v>
      </c>
      <c r="T110" s="35">
        <v>15</v>
      </c>
      <c r="U110" s="35">
        <v>15</v>
      </c>
      <c r="V110" s="35"/>
      <c r="W110" s="68">
        <v>15</v>
      </c>
      <c r="X110" s="13">
        <f>SUM(O110:W110)</f>
        <v>85</v>
      </c>
      <c r="Y110" s="19">
        <v>42474</v>
      </c>
    </row>
    <row r="111" spans="1:25">
      <c r="A111" s="28" t="s">
        <v>64</v>
      </c>
      <c r="B111" s="29">
        <v>3</v>
      </c>
      <c r="C111" s="30">
        <v>3</v>
      </c>
      <c r="D111" s="30">
        <v>3</v>
      </c>
      <c r="E111" s="30">
        <v>3</v>
      </c>
      <c r="F111" s="30">
        <v>3</v>
      </c>
      <c r="G111" s="32">
        <v>3</v>
      </c>
      <c r="H111" s="32">
        <v>3</v>
      </c>
      <c r="I111" s="32">
        <v>3</v>
      </c>
      <c r="J111" s="32">
        <v>3</v>
      </c>
      <c r="K111" s="34">
        <f t="shared" si="38"/>
        <v>27</v>
      </c>
      <c r="L111" s="22">
        <v>42485</v>
      </c>
      <c r="M111" s="74"/>
      <c r="N111" s="28" t="s">
        <v>29</v>
      </c>
      <c r="O111" s="29"/>
      <c r="P111" s="30">
        <v>10</v>
      </c>
      <c r="Q111" s="30">
        <v>10</v>
      </c>
      <c r="R111" s="30"/>
      <c r="S111" s="30"/>
      <c r="T111" s="32"/>
      <c r="U111" s="32"/>
      <c r="V111" s="32"/>
      <c r="W111" s="32"/>
      <c r="X111" s="34">
        <f t="shared" ref="X111:X128" si="40">SUM(O111:W111)</f>
        <v>20</v>
      </c>
      <c r="Y111" s="22">
        <v>42479</v>
      </c>
    </row>
    <row r="112" spans="1:25">
      <c r="A112" s="20" t="s">
        <v>66</v>
      </c>
      <c r="B112" s="29"/>
      <c r="C112" s="30"/>
      <c r="D112" s="30"/>
      <c r="E112" s="30">
        <v>1</v>
      </c>
      <c r="F112" s="30"/>
      <c r="G112" s="32"/>
      <c r="H112" s="33"/>
      <c r="I112" s="32"/>
      <c r="J112" s="32"/>
      <c r="K112" s="34">
        <f t="shared" si="38"/>
        <v>1</v>
      </c>
      <c r="L112" s="22">
        <v>42467</v>
      </c>
      <c r="N112" s="28"/>
      <c r="O112" s="29"/>
      <c r="P112" s="30"/>
      <c r="Q112" s="30"/>
      <c r="R112" s="30"/>
      <c r="S112" s="30"/>
      <c r="T112" s="32"/>
      <c r="U112" s="33"/>
      <c r="V112" s="32"/>
      <c r="W112" s="32"/>
      <c r="X112" s="34">
        <f t="shared" si="40"/>
        <v>0</v>
      </c>
      <c r="Y112" s="22"/>
    </row>
    <row r="113" spans="1:25">
      <c r="A113" s="20" t="s">
        <v>69</v>
      </c>
      <c r="B113" s="29"/>
      <c r="C113" s="30"/>
      <c r="D113" s="30"/>
      <c r="E113" s="30">
        <v>1</v>
      </c>
      <c r="F113" s="30"/>
      <c r="G113" s="32"/>
      <c r="H113" s="32"/>
      <c r="I113" s="32"/>
      <c r="J113" s="32">
        <v>1</v>
      </c>
      <c r="K113" s="34">
        <f t="shared" si="38"/>
        <v>2</v>
      </c>
      <c r="L113" s="22">
        <v>42471</v>
      </c>
      <c r="N113" s="20"/>
      <c r="O113" s="29"/>
      <c r="P113" s="30"/>
      <c r="Q113" s="30"/>
      <c r="R113" s="30"/>
      <c r="S113" s="30"/>
      <c r="T113" s="32"/>
      <c r="U113" s="32"/>
      <c r="V113" s="32"/>
      <c r="W113" s="32"/>
      <c r="X113" s="34">
        <f t="shared" si="40"/>
        <v>0</v>
      </c>
      <c r="Y113" s="22"/>
    </row>
    <row r="114" spans="1:25">
      <c r="A114" s="20" t="s">
        <v>42</v>
      </c>
      <c r="B114" s="29"/>
      <c r="C114" s="30"/>
      <c r="D114" s="30"/>
      <c r="E114" s="30"/>
      <c r="F114" s="30"/>
      <c r="G114" s="32">
        <v>2</v>
      </c>
      <c r="H114" s="33"/>
      <c r="I114" s="33"/>
      <c r="J114" s="33"/>
      <c r="K114" s="34">
        <f t="shared" si="38"/>
        <v>2</v>
      </c>
      <c r="L114" s="22">
        <v>42473</v>
      </c>
      <c r="N114" s="20"/>
      <c r="O114" s="29"/>
      <c r="P114" s="30"/>
      <c r="Q114" s="30"/>
      <c r="R114" s="30"/>
      <c r="S114" s="30"/>
      <c r="T114" s="32"/>
      <c r="U114" s="33"/>
      <c r="V114" s="33"/>
      <c r="W114" s="33"/>
      <c r="X114" s="34">
        <f t="shared" si="40"/>
        <v>0</v>
      </c>
      <c r="Y114" s="22"/>
    </row>
    <row r="115" spans="1:25">
      <c r="A115" s="20" t="s">
        <v>67</v>
      </c>
      <c r="B115" s="29">
        <v>2</v>
      </c>
      <c r="C115" s="30">
        <v>2</v>
      </c>
      <c r="D115" s="30">
        <v>2</v>
      </c>
      <c r="E115" s="31">
        <v>2</v>
      </c>
      <c r="F115" s="31">
        <v>2</v>
      </c>
      <c r="G115" s="32">
        <v>2</v>
      </c>
      <c r="H115" s="33">
        <v>2</v>
      </c>
      <c r="I115" s="33">
        <v>2</v>
      </c>
      <c r="J115" s="33">
        <v>2</v>
      </c>
      <c r="K115" s="34">
        <f t="shared" si="38"/>
        <v>18</v>
      </c>
      <c r="L115" s="22">
        <v>42475</v>
      </c>
      <c r="N115" s="28"/>
      <c r="O115" s="29"/>
      <c r="P115" s="30"/>
      <c r="Q115" s="30"/>
      <c r="R115" s="31"/>
      <c r="S115" s="31"/>
      <c r="T115" s="32"/>
      <c r="U115" s="33"/>
      <c r="V115" s="33"/>
      <c r="W115" s="33"/>
      <c r="X115" s="34">
        <f t="shared" si="40"/>
        <v>0</v>
      </c>
      <c r="Y115" s="22"/>
    </row>
    <row r="116" spans="1:25">
      <c r="A116" s="20" t="s">
        <v>42</v>
      </c>
      <c r="B116" s="35"/>
      <c r="C116" s="31"/>
      <c r="D116" s="31"/>
      <c r="E116" s="31"/>
      <c r="F116" s="31"/>
      <c r="G116" s="33">
        <v>8</v>
      </c>
      <c r="H116" s="33">
        <v>10</v>
      </c>
      <c r="I116" s="33"/>
      <c r="J116" s="33"/>
      <c r="K116" s="34">
        <f t="shared" si="38"/>
        <v>18</v>
      </c>
      <c r="L116" s="22">
        <v>42475</v>
      </c>
      <c r="N116" s="28"/>
      <c r="O116" s="35"/>
      <c r="P116" s="31"/>
      <c r="Q116" s="31"/>
      <c r="R116" s="31"/>
      <c r="S116" s="31"/>
      <c r="T116" s="33"/>
      <c r="U116" s="33"/>
      <c r="V116" s="33"/>
      <c r="W116" s="33"/>
      <c r="X116" s="34">
        <f t="shared" si="40"/>
        <v>0</v>
      </c>
      <c r="Y116" s="22"/>
    </row>
    <row r="117" spans="1:25">
      <c r="A117" s="20" t="s">
        <v>68</v>
      </c>
      <c r="B117" s="35"/>
      <c r="C117" s="31"/>
      <c r="D117" s="31"/>
      <c r="E117" s="31"/>
      <c r="F117" s="31"/>
      <c r="G117" s="33"/>
      <c r="H117" s="33"/>
      <c r="I117" s="33"/>
      <c r="J117" s="33">
        <v>10</v>
      </c>
      <c r="K117" s="34">
        <f t="shared" si="38"/>
        <v>10</v>
      </c>
      <c r="L117" s="22">
        <v>42475</v>
      </c>
      <c r="N117" s="28"/>
      <c r="O117" s="35"/>
      <c r="P117" s="31"/>
      <c r="Q117" s="31"/>
      <c r="R117" s="31"/>
      <c r="S117" s="31"/>
      <c r="T117" s="33"/>
      <c r="U117" s="33"/>
      <c r="V117" s="33"/>
      <c r="W117" s="33"/>
      <c r="X117" s="34">
        <f t="shared" si="40"/>
        <v>0</v>
      </c>
      <c r="Y117" s="22"/>
    </row>
    <row r="118" spans="1:25">
      <c r="A118" s="20" t="s">
        <v>70</v>
      </c>
      <c r="B118" s="35"/>
      <c r="C118" s="31"/>
      <c r="D118" s="31"/>
      <c r="E118" s="31">
        <v>1</v>
      </c>
      <c r="F118" s="31"/>
      <c r="G118" s="33"/>
      <c r="H118" s="33"/>
      <c r="I118" s="33"/>
      <c r="J118" s="33"/>
      <c r="K118" s="34">
        <f t="shared" si="38"/>
        <v>1</v>
      </c>
      <c r="L118" s="22">
        <v>42475</v>
      </c>
      <c r="N118" s="28"/>
      <c r="O118" s="35"/>
      <c r="P118" s="31"/>
      <c r="Q118" s="31"/>
      <c r="R118" s="31"/>
      <c r="S118" s="31"/>
      <c r="T118" s="33"/>
      <c r="U118" s="33"/>
      <c r="V118" s="33"/>
      <c r="W118" s="33"/>
      <c r="X118" s="34">
        <f t="shared" si="40"/>
        <v>0</v>
      </c>
      <c r="Y118" s="22"/>
    </row>
    <row r="119" spans="1:25">
      <c r="A119" s="20" t="s">
        <v>54</v>
      </c>
      <c r="B119" s="29"/>
      <c r="C119" s="30">
        <v>10</v>
      </c>
      <c r="D119" s="30">
        <v>10</v>
      </c>
      <c r="E119" s="30"/>
      <c r="F119" s="30"/>
      <c r="G119" s="32"/>
      <c r="H119" s="32"/>
      <c r="I119" s="32"/>
      <c r="J119" s="32"/>
      <c r="K119" s="34">
        <f t="shared" si="38"/>
        <v>20</v>
      </c>
      <c r="L119" s="22">
        <v>42480</v>
      </c>
      <c r="N119" s="28"/>
      <c r="O119" s="29"/>
      <c r="P119" s="30"/>
      <c r="Q119" s="30"/>
      <c r="R119" s="30"/>
      <c r="S119" s="30"/>
      <c r="T119" s="32"/>
      <c r="U119" s="32"/>
      <c r="V119" s="32"/>
      <c r="W119" s="32"/>
      <c r="X119" s="34">
        <f t="shared" si="40"/>
        <v>0</v>
      </c>
      <c r="Y119" s="22"/>
    </row>
    <row r="120" spans="1:25">
      <c r="A120" s="20" t="s">
        <v>63</v>
      </c>
      <c r="B120" s="35">
        <v>-2</v>
      </c>
      <c r="C120" s="31"/>
      <c r="D120" s="31"/>
      <c r="E120" s="31"/>
      <c r="F120" s="31"/>
      <c r="G120" s="33"/>
      <c r="H120" s="33"/>
      <c r="I120" s="33"/>
      <c r="J120" s="33"/>
      <c r="K120" s="34">
        <f t="shared" si="38"/>
        <v>-2</v>
      </c>
      <c r="L120" s="22">
        <v>42480</v>
      </c>
      <c r="N120" s="28"/>
      <c r="O120" s="35"/>
      <c r="P120" s="31"/>
      <c r="Q120" s="31"/>
      <c r="R120" s="31"/>
      <c r="S120" s="31"/>
      <c r="T120" s="33"/>
      <c r="U120" s="33"/>
      <c r="V120" s="33"/>
      <c r="W120" s="33"/>
      <c r="X120" s="34">
        <f t="shared" si="40"/>
        <v>0</v>
      </c>
      <c r="Y120" s="22"/>
    </row>
    <row r="121" spans="1:25">
      <c r="A121" s="20" t="s">
        <v>39</v>
      </c>
      <c r="B121" s="29"/>
      <c r="C121" s="30"/>
      <c r="D121" s="30"/>
      <c r="E121" s="30"/>
      <c r="F121" s="30">
        <v>1</v>
      </c>
      <c r="G121" s="32"/>
      <c r="H121" s="33"/>
      <c r="I121" s="33"/>
      <c r="J121" s="33"/>
      <c r="K121" s="34">
        <f t="shared" si="38"/>
        <v>1</v>
      </c>
      <c r="L121" s="22">
        <v>42482</v>
      </c>
      <c r="N121" s="28"/>
      <c r="O121" s="29"/>
      <c r="P121" s="30"/>
      <c r="Q121" s="30"/>
      <c r="R121" s="30"/>
      <c r="S121" s="30"/>
      <c r="T121" s="32"/>
      <c r="U121" s="33"/>
      <c r="V121" s="33"/>
      <c r="W121" s="33"/>
      <c r="X121" s="34">
        <f t="shared" si="40"/>
        <v>0</v>
      </c>
      <c r="Y121" s="22"/>
    </row>
    <row r="122" spans="1:25">
      <c r="A122" s="65" t="s">
        <v>72</v>
      </c>
      <c r="B122" s="29"/>
      <c r="C122" s="30"/>
      <c r="D122" s="30"/>
      <c r="E122" s="30"/>
      <c r="F122" s="30">
        <v>1</v>
      </c>
      <c r="G122" s="32"/>
      <c r="H122" s="32"/>
      <c r="I122" s="32"/>
      <c r="J122" s="32"/>
      <c r="K122" s="34">
        <f t="shared" si="38"/>
        <v>1</v>
      </c>
      <c r="L122" s="19">
        <v>42481</v>
      </c>
      <c r="N122" s="28"/>
      <c r="O122" s="35"/>
      <c r="P122" s="31"/>
      <c r="Q122" s="31"/>
      <c r="R122" s="31"/>
      <c r="S122" s="31"/>
      <c r="T122" s="33"/>
      <c r="U122" s="33"/>
      <c r="V122" s="33"/>
      <c r="W122" s="33"/>
      <c r="X122" s="34">
        <f t="shared" si="40"/>
        <v>0</v>
      </c>
      <c r="Y122" s="22"/>
    </row>
    <row r="123" spans="1:25">
      <c r="A123" s="66" t="s">
        <v>71</v>
      </c>
      <c r="B123" s="35"/>
      <c r="C123" s="31"/>
      <c r="D123" s="31"/>
      <c r="E123" s="31"/>
      <c r="F123" s="31">
        <v>3</v>
      </c>
      <c r="G123" s="33"/>
      <c r="H123" s="33"/>
      <c r="I123" s="33"/>
      <c r="J123" s="33"/>
      <c r="K123" s="34">
        <f t="shared" si="38"/>
        <v>3</v>
      </c>
      <c r="L123" s="22">
        <v>42485</v>
      </c>
      <c r="N123" s="28"/>
      <c r="O123" s="35"/>
      <c r="P123" s="31"/>
      <c r="Q123" s="31"/>
      <c r="R123" s="31"/>
      <c r="S123" s="31"/>
      <c r="T123" s="33"/>
      <c r="U123" s="33"/>
      <c r="V123" s="33"/>
      <c r="W123" s="33"/>
      <c r="X123" s="34">
        <f t="shared" si="40"/>
        <v>0</v>
      </c>
      <c r="Y123" s="22"/>
    </row>
    <row r="124" spans="1:25">
      <c r="A124" s="20" t="s">
        <v>63</v>
      </c>
      <c r="B124" s="29"/>
      <c r="C124" s="30"/>
      <c r="D124" s="30">
        <v>-1</v>
      </c>
      <c r="E124" s="30">
        <v>-3</v>
      </c>
      <c r="F124" s="30"/>
      <c r="G124" s="32"/>
      <c r="H124" s="32"/>
      <c r="I124" s="32"/>
      <c r="J124" s="32"/>
      <c r="K124" s="34">
        <f t="shared" si="38"/>
        <v>-4</v>
      </c>
      <c r="L124" s="22">
        <v>42483</v>
      </c>
      <c r="N124" s="65"/>
      <c r="O124" s="29"/>
      <c r="P124" s="30"/>
      <c r="Q124" s="30"/>
      <c r="R124" s="30"/>
      <c r="S124" s="30"/>
      <c r="T124" s="32"/>
      <c r="U124" s="32"/>
      <c r="V124" s="32"/>
      <c r="W124" s="32"/>
      <c r="X124" s="34">
        <f t="shared" si="40"/>
        <v>0</v>
      </c>
      <c r="Y124" s="22"/>
    </row>
    <row r="125" spans="1:25">
      <c r="A125" s="66" t="s">
        <v>39</v>
      </c>
      <c r="B125" s="29"/>
      <c r="C125" s="30"/>
      <c r="D125" s="30"/>
      <c r="E125" s="30">
        <v>1</v>
      </c>
      <c r="F125" s="30"/>
      <c r="G125" s="32"/>
      <c r="H125" s="32"/>
      <c r="I125" s="32"/>
      <c r="J125" s="32"/>
      <c r="K125" s="34">
        <f t="shared" si="38"/>
        <v>1</v>
      </c>
      <c r="L125" s="19">
        <v>42486</v>
      </c>
      <c r="N125" s="28"/>
      <c r="O125" s="29"/>
      <c r="P125" s="30"/>
      <c r="Q125" s="30"/>
      <c r="R125" s="30"/>
      <c r="S125" s="30"/>
      <c r="T125" s="32"/>
      <c r="U125" s="32"/>
      <c r="V125" s="32"/>
      <c r="W125" s="32"/>
      <c r="X125" s="34">
        <f t="shared" si="40"/>
        <v>0</v>
      </c>
      <c r="Y125" s="19"/>
    </row>
    <row r="126" spans="1:25">
      <c r="A126" s="65" t="s">
        <v>73</v>
      </c>
      <c r="B126" s="29"/>
      <c r="C126" s="30"/>
      <c r="D126" s="30"/>
      <c r="E126" s="30"/>
      <c r="F126" s="30">
        <v>1</v>
      </c>
      <c r="G126" s="32"/>
      <c r="H126" s="32"/>
      <c r="I126" s="32"/>
      <c r="J126" s="32"/>
      <c r="K126" s="34">
        <f t="shared" si="38"/>
        <v>1</v>
      </c>
      <c r="L126" s="19">
        <v>42485</v>
      </c>
      <c r="N126" s="65"/>
      <c r="O126" s="29"/>
      <c r="P126" s="30"/>
      <c r="Q126" s="30"/>
      <c r="R126" s="30"/>
      <c r="S126" s="30"/>
      <c r="T126" s="32"/>
      <c r="U126" s="32"/>
      <c r="V126" s="32"/>
      <c r="W126" s="32"/>
      <c r="X126" s="34">
        <f t="shared" si="40"/>
        <v>0</v>
      </c>
      <c r="Y126" s="19"/>
    </row>
    <row r="127" spans="1:25">
      <c r="A127" s="20" t="s">
        <v>63</v>
      </c>
      <c r="B127" s="29"/>
      <c r="C127" s="30"/>
      <c r="D127" s="30"/>
      <c r="E127" s="30"/>
      <c r="F127" s="30">
        <v>-1</v>
      </c>
      <c r="G127" s="32"/>
      <c r="H127" s="32"/>
      <c r="I127" s="32">
        <v>-2</v>
      </c>
      <c r="J127" s="32"/>
      <c r="K127" s="34">
        <f t="shared" si="38"/>
        <v>-3</v>
      </c>
      <c r="L127" s="19">
        <v>42487</v>
      </c>
      <c r="N127" s="28"/>
      <c r="O127" s="29"/>
      <c r="P127" s="30"/>
      <c r="Q127" s="30"/>
      <c r="R127" s="30"/>
      <c r="S127" s="30"/>
      <c r="T127" s="32"/>
      <c r="U127" s="32"/>
      <c r="V127" s="32"/>
      <c r="W127" s="32"/>
      <c r="X127" s="34">
        <f t="shared" si="40"/>
        <v>0</v>
      </c>
      <c r="Y127" s="19"/>
    </row>
    <row r="128" spans="1:25" ht="14.25" thickBot="1">
      <c r="A128" s="28"/>
      <c r="B128" s="29"/>
      <c r="C128" s="30"/>
      <c r="D128" s="30"/>
      <c r="E128" s="31"/>
      <c r="F128" s="31"/>
      <c r="G128" s="32"/>
      <c r="H128" s="33"/>
      <c r="I128" s="33"/>
      <c r="J128" s="33"/>
      <c r="K128" s="34">
        <f t="shared" si="38"/>
        <v>0</v>
      </c>
      <c r="L128" s="36"/>
      <c r="N128" s="28"/>
      <c r="O128" s="29"/>
      <c r="P128" s="30"/>
      <c r="Q128" s="30"/>
      <c r="R128" s="31"/>
      <c r="S128" s="31"/>
      <c r="T128" s="32"/>
      <c r="U128" s="33"/>
      <c r="V128" s="33"/>
      <c r="W128" s="33"/>
      <c r="X128" s="34">
        <f t="shared" si="40"/>
        <v>0</v>
      </c>
      <c r="Y128" s="36"/>
    </row>
    <row r="129" spans="1:25" ht="14.25" thickBot="1">
      <c r="A129" s="2" t="s">
        <v>19</v>
      </c>
      <c r="B129" s="23">
        <f t="shared" ref="B129:J129" si="41">SUM(B109:B128)</f>
        <v>10</v>
      </c>
      <c r="C129" s="24">
        <f t="shared" si="41"/>
        <v>27</v>
      </c>
      <c r="D129" s="24">
        <f t="shared" si="41"/>
        <v>26</v>
      </c>
      <c r="E129" s="24">
        <f t="shared" si="41"/>
        <v>13</v>
      </c>
      <c r="F129" s="24">
        <f t="shared" si="41"/>
        <v>17</v>
      </c>
      <c r="G129" s="25">
        <f t="shared" si="41"/>
        <v>27</v>
      </c>
      <c r="H129" s="25">
        <f t="shared" si="41"/>
        <v>22</v>
      </c>
      <c r="I129" s="25">
        <f t="shared" si="41"/>
        <v>15</v>
      </c>
      <c r="J129" s="25">
        <f t="shared" si="41"/>
        <v>23</v>
      </c>
      <c r="K129" s="37">
        <f>SUM(B129:J129)</f>
        <v>180</v>
      </c>
      <c r="L129" s="27"/>
      <c r="N129" s="2" t="s">
        <v>19</v>
      </c>
      <c r="O129" s="23">
        <f t="shared" ref="O129:W129" si="42">SUM(O109:O128)</f>
        <v>5</v>
      </c>
      <c r="P129" s="24">
        <f t="shared" si="42"/>
        <v>30</v>
      </c>
      <c r="Q129" s="24">
        <f t="shared" si="42"/>
        <v>30</v>
      </c>
      <c r="R129" s="24">
        <f t="shared" si="42"/>
        <v>10</v>
      </c>
      <c r="S129" s="24">
        <f t="shared" si="42"/>
        <v>5</v>
      </c>
      <c r="T129" s="25">
        <f t="shared" si="42"/>
        <v>30</v>
      </c>
      <c r="U129" s="25">
        <f t="shared" si="42"/>
        <v>15</v>
      </c>
      <c r="V129" s="25">
        <f t="shared" si="42"/>
        <v>15</v>
      </c>
      <c r="W129" s="25">
        <f t="shared" si="42"/>
        <v>25</v>
      </c>
      <c r="X129" s="37">
        <f>SUM(O129:W129)</f>
        <v>165</v>
      </c>
      <c r="Y129" s="27"/>
    </row>
    <row r="130" spans="1:25" ht="14.25" thickBot="1">
      <c r="A130" s="38" t="s">
        <v>17</v>
      </c>
      <c r="B130" s="39">
        <f>B108-B129</f>
        <v>11</v>
      </c>
      <c r="C130" s="39">
        <f t="shared" ref="C130:K130" si="43">C108-C129</f>
        <v>12</v>
      </c>
      <c r="D130" s="39">
        <f t="shared" si="43"/>
        <v>10</v>
      </c>
      <c r="E130" s="39">
        <f t="shared" si="43"/>
        <v>8</v>
      </c>
      <c r="F130" s="39">
        <f t="shared" si="43"/>
        <v>6</v>
      </c>
      <c r="G130" s="39">
        <f t="shared" si="43"/>
        <v>8</v>
      </c>
      <c r="H130" s="39">
        <f t="shared" si="43"/>
        <v>8</v>
      </c>
      <c r="I130" s="39">
        <f t="shared" si="43"/>
        <v>8</v>
      </c>
      <c r="J130" s="40">
        <f t="shared" si="43"/>
        <v>6</v>
      </c>
      <c r="K130" s="37">
        <f t="shared" si="43"/>
        <v>77</v>
      </c>
      <c r="L130" s="41"/>
      <c r="N130" s="38" t="s">
        <v>17</v>
      </c>
      <c r="O130" s="39">
        <f>O108-O129</f>
        <v>203</v>
      </c>
      <c r="P130" s="39">
        <f t="shared" ref="P130:X130" si="44">P108-P129</f>
        <v>274</v>
      </c>
      <c r="Q130" s="39">
        <f t="shared" si="44"/>
        <v>167</v>
      </c>
      <c r="R130" s="39">
        <f t="shared" si="44"/>
        <v>437</v>
      </c>
      <c r="S130" s="39">
        <f t="shared" si="44"/>
        <v>449</v>
      </c>
      <c r="T130" s="39">
        <f t="shared" si="44"/>
        <v>259</v>
      </c>
      <c r="U130" s="39">
        <f t="shared" si="44"/>
        <v>121</v>
      </c>
      <c r="V130" s="39">
        <f t="shared" si="44"/>
        <v>270</v>
      </c>
      <c r="W130" s="40">
        <f t="shared" si="44"/>
        <v>263</v>
      </c>
      <c r="X130" s="37">
        <f t="shared" si="44"/>
        <v>2443</v>
      </c>
      <c r="Y130" s="41"/>
    </row>
    <row r="133" spans="1:25" ht="19.5" thickBot="1">
      <c r="A133" s="1" t="s">
        <v>22</v>
      </c>
      <c r="N133" s="1" t="s">
        <v>21</v>
      </c>
    </row>
    <row r="134" spans="1:25" ht="19.5" thickBot="1">
      <c r="A134" s="2" t="s">
        <v>0</v>
      </c>
      <c r="B134" s="163" t="s">
        <v>20</v>
      </c>
      <c r="C134" s="164"/>
      <c r="D134" s="164"/>
      <c r="E134" s="164"/>
      <c r="F134" s="164"/>
      <c r="G134" s="164"/>
      <c r="H134" s="165"/>
      <c r="I134" s="165"/>
      <c r="J134" s="165"/>
      <c r="K134" s="166"/>
      <c r="L134" s="161" t="s">
        <v>1</v>
      </c>
      <c r="N134" s="2" t="s">
        <v>0</v>
      </c>
      <c r="O134" s="163" t="s">
        <v>20</v>
      </c>
      <c r="P134" s="164"/>
      <c r="Q134" s="164"/>
      <c r="R134" s="164"/>
      <c r="S134" s="164"/>
      <c r="T134" s="164"/>
      <c r="U134" s="165"/>
      <c r="V134" s="165"/>
      <c r="W134" s="165"/>
      <c r="X134" s="166"/>
      <c r="Y134" s="161" t="s">
        <v>1</v>
      </c>
    </row>
    <row r="135" spans="1:25" ht="14.25" thickBot="1">
      <c r="A135" s="2" t="s">
        <v>2</v>
      </c>
      <c r="B135" s="3" t="s">
        <v>3</v>
      </c>
      <c r="C135" s="4" t="s">
        <v>4</v>
      </c>
      <c r="D135" s="4" t="s">
        <v>5</v>
      </c>
      <c r="E135" s="4" t="s">
        <v>6</v>
      </c>
      <c r="F135" s="4" t="s">
        <v>7</v>
      </c>
      <c r="G135" s="5" t="s">
        <v>8</v>
      </c>
      <c r="H135" s="4" t="s">
        <v>9</v>
      </c>
      <c r="I135" s="6" t="s">
        <v>10</v>
      </c>
      <c r="J135" s="5" t="s">
        <v>11</v>
      </c>
      <c r="K135" s="7" t="s">
        <v>12</v>
      </c>
      <c r="L135" s="162"/>
      <c r="N135" s="2" t="s">
        <v>2</v>
      </c>
      <c r="O135" s="3" t="s">
        <v>3</v>
      </c>
      <c r="P135" s="4" t="s">
        <v>4</v>
      </c>
      <c r="Q135" s="4" t="s">
        <v>5</v>
      </c>
      <c r="R135" s="4" t="s">
        <v>6</v>
      </c>
      <c r="S135" s="4" t="s">
        <v>7</v>
      </c>
      <c r="T135" s="5" t="s">
        <v>8</v>
      </c>
      <c r="U135" s="4" t="s">
        <v>9</v>
      </c>
      <c r="V135" s="6" t="s">
        <v>10</v>
      </c>
      <c r="W135" s="5" t="s">
        <v>11</v>
      </c>
      <c r="X135" s="7" t="s">
        <v>12</v>
      </c>
      <c r="Y135" s="162"/>
    </row>
    <row r="136" spans="1:25">
      <c r="A136" s="52" t="s">
        <v>17</v>
      </c>
      <c r="B136" s="55">
        <f>B130</f>
        <v>11</v>
      </c>
      <c r="C136" s="56">
        <f>C130</f>
        <v>12</v>
      </c>
      <c r="D136" s="56">
        <f t="shared" ref="D136:J136" si="45">D130</f>
        <v>10</v>
      </c>
      <c r="E136" s="56">
        <f t="shared" si="45"/>
        <v>8</v>
      </c>
      <c r="F136" s="56">
        <f t="shared" si="45"/>
        <v>6</v>
      </c>
      <c r="G136" s="56">
        <f t="shared" si="45"/>
        <v>8</v>
      </c>
      <c r="H136" s="56">
        <f t="shared" si="45"/>
        <v>8</v>
      </c>
      <c r="I136" s="56">
        <f t="shared" si="45"/>
        <v>8</v>
      </c>
      <c r="J136" s="56">
        <f t="shared" si="45"/>
        <v>6</v>
      </c>
      <c r="K136" s="53">
        <f t="shared" ref="K136:K138" si="46">SUM(B136:J136)</f>
        <v>77</v>
      </c>
      <c r="L136" s="54"/>
      <c r="N136" s="52" t="s">
        <v>17</v>
      </c>
      <c r="O136" s="55">
        <f>O130</f>
        <v>203</v>
      </c>
      <c r="P136" s="56">
        <f>P130</f>
        <v>274</v>
      </c>
      <c r="Q136" s="56">
        <f t="shared" ref="Q136:W136" si="47">Q130</f>
        <v>167</v>
      </c>
      <c r="R136" s="56">
        <f t="shared" si="47"/>
        <v>437</v>
      </c>
      <c r="S136" s="56">
        <f t="shared" si="47"/>
        <v>449</v>
      </c>
      <c r="T136" s="56">
        <f t="shared" si="47"/>
        <v>259</v>
      </c>
      <c r="U136" s="56">
        <f t="shared" si="47"/>
        <v>121</v>
      </c>
      <c r="V136" s="56">
        <f t="shared" si="47"/>
        <v>270</v>
      </c>
      <c r="W136" s="56">
        <f t="shared" si="47"/>
        <v>263</v>
      </c>
      <c r="X136" s="53">
        <f t="shared" ref="X136:X142" si="48">SUM(O136:W136)</f>
        <v>2443</v>
      </c>
      <c r="Y136" s="54"/>
    </row>
    <row r="137" spans="1:25">
      <c r="A137" s="8" t="s">
        <v>14</v>
      </c>
      <c r="B137" s="9"/>
      <c r="C137" s="10"/>
      <c r="D137" s="10"/>
      <c r="E137" s="10"/>
      <c r="F137" s="10"/>
      <c r="G137" s="11">
        <v>14</v>
      </c>
      <c r="H137" s="11"/>
      <c r="I137" s="11">
        <v>14</v>
      </c>
      <c r="J137" s="11"/>
      <c r="K137" s="13">
        <f t="shared" si="46"/>
        <v>28</v>
      </c>
      <c r="L137" s="12">
        <v>42490</v>
      </c>
      <c r="N137" s="8" t="s">
        <v>14</v>
      </c>
      <c r="O137" s="9"/>
      <c r="P137" s="10"/>
      <c r="Q137" s="10"/>
      <c r="R137" s="10"/>
      <c r="S137" s="10"/>
      <c r="T137" s="11"/>
      <c r="U137" s="11"/>
      <c r="V137" s="11"/>
      <c r="W137" s="11"/>
      <c r="X137" s="13">
        <f t="shared" si="48"/>
        <v>0</v>
      </c>
      <c r="Y137" s="12"/>
    </row>
    <row r="138" spans="1:25">
      <c r="A138" s="8" t="s">
        <v>75</v>
      </c>
      <c r="B138" s="15"/>
      <c r="C138" s="16"/>
      <c r="D138" s="16"/>
      <c r="E138" s="16"/>
      <c r="F138" s="16"/>
      <c r="G138" s="17">
        <v>3</v>
      </c>
      <c r="H138" s="17"/>
      <c r="I138" s="17"/>
      <c r="J138" s="17"/>
      <c r="K138" s="18">
        <f t="shared" si="46"/>
        <v>3</v>
      </c>
      <c r="L138" s="19">
        <v>42492</v>
      </c>
      <c r="N138" s="8" t="s">
        <v>15</v>
      </c>
      <c r="O138" s="15"/>
      <c r="P138" s="16"/>
      <c r="Q138" s="16"/>
      <c r="R138" s="16"/>
      <c r="S138" s="16"/>
      <c r="T138" s="17"/>
      <c r="U138" s="17"/>
      <c r="V138" s="17"/>
      <c r="W138" s="17"/>
      <c r="X138" s="18">
        <f t="shared" si="48"/>
        <v>0</v>
      </c>
      <c r="Y138" s="19"/>
    </row>
    <row r="139" spans="1:25">
      <c r="A139" s="20" t="s">
        <v>57</v>
      </c>
      <c r="B139" s="67"/>
      <c r="C139" s="35"/>
      <c r="D139" s="35"/>
      <c r="E139" s="35"/>
      <c r="F139" s="35">
        <v>10</v>
      </c>
      <c r="G139" s="35"/>
      <c r="H139" s="35"/>
      <c r="I139" s="35"/>
      <c r="J139" s="69">
        <v>10</v>
      </c>
      <c r="K139" s="13">
        <f>SUM(B139:J139)</f>
        <v>20</v>
      </c>
      <c r="L139" s="22">
        <v>42504</v>
      </c>
      <c r="N139" s="8" t="s">
        <v>16</v>
      </c>
      <c r="O139" s="9"/>
      <c r="P139" s="10"/>
      <c r="Q139" s="10"/>
      <c r="R139" s="10"/>
      <c r="S139" s="10"/>
      <c r="T139" s="10"/>
      <c r="U139" s="10"/>
      <c r="V139" s="10"/>
      <c r="W139" s="21"/>
      <c r="X139" s="18">
        <f t="shared" si="48"/>
        <v>0</v>
      </c>
      <c r="Y139" s="22"/>
    </row>
    <row r="140" spans="1:25" ht="14.25" thickBot="1">
      <c r="A140" s="20" t="s">
        <v>88</v>
      </c>
      <c r="B140" s="70"/>
      <c r="C140" s="71"/>
      <c r="D140" s="71">
        <v>10</v>
      </c>
      <c r="E140" s="71">
        <v>10</v>
      </c>
      <c r="F140" s="71">
        <v>10</v>
      </c>
      <c r="G140" s="71">
        <v>5</v>
      </c>
      <c r="H140" s="71">
        <v>5</v>
      </c>
      <c r="I140" s="71">
        <v>5</v>
      </c>
      <c r="J140" s="72">
        <v>10</v>
      </c>
      <c r="K140" s="26">
        <f>SUM(B140:J140)</f>
        <v>55</v>
      </c>
      <c r="L140" s="73">
        <v>42515</v>
      </c>
      <c r="N140" s="8" t="s">
        <v>23</v>
      </c>
      <c r="O140" s="42"/>
      <c r="P140" s="43"/>
      <c r="Q140" s="43"/>
      <c r="R140" s="43"/>
      <c r="S140" s="43"/>
      <c r="T140" s="43"/>
      <c r="U140" s="43"/>
      <c r="V140" s="43"/>
      <c r="W140" s="44"/>
      <c r="X140" s="45">
        <f t="shared" si="48"/>
        <v>0</v>
      </c>
      <c r="Y140" s="19"/>
    </row>
    <row r="141" spans="1:25" ht="14.25" thickBot="1">
      <c r="A141" s="2" t="s">
        <v>18</v>
      </c>
      <c r="B141" s="23">
        <f>SUM(B136:B140)</f>
        <v>11</v>
      </c>
      <c r="C141" s="24">
        <f t="shared" ref="C141:J141" si="49">SUM(C136:C140)</f>
        <v>12</v>
      </c>
      <c r="D141" s="24">
        <f t="shared" si="49"/>
        <v>20</v>
      </c>
      <c r="E141" s="24">
        <f t="shared" si="49"/>
        <v>18</v>
      </c>
      <c r="F141" s="24">
        <f t="shared" si="49"/>
        <v>26</v>
      </c>
      <c r="G141" s="25">
        <f t="shared" si="49"/>
        <v>30</v>
      </c>
      <c r="H141" s="25">
        <f t="shared" si="49"/>
        <v>13</v>
      </c>
      <c r="I141" s="25">
        <f t="shared" si="49"/>
        <v>27</v>
      </c>
      <c r="J141" s="25">
        <f t="shared" si="49"/>
        <v>26</v>
      </c>
      <c r="K141" s="26">
        <f t="shared" ref="K141:K161" si="50">SUM(B141:J141)</f>
        <v>183</v>
      </c>
      <c r="L141" s="27"/>
      <c r="N141" s="2" t="s">
        <v>18</v>
      </c>
      <c r="O141" s="23">
        <f t="shared" ref="O141:W141" si="51">SUM(O136:O140)</f>
        <v>203</v>
      </c>
      <c r="P141" s="24">
        <f t="shared" si="51"/>
        <v>274</v>
      </c>
      <c r="Q141" s="24">
        <f t="shared" si="51"/>
        <v>167</v>
      </c>
      <c r="R141" s="24">
        <f t="shared" si="51"/>
        <v>437</v>
      </c>
      <c r="S141" s="24">
        <f t="shared" si="51"/>
        <v>449</v>
      </c>
      <c r="T141" s="25">
        <f t="shared" si="51"/>
        <v>259</v>
      </c>
      <c r="U141" s="25">
        <f t="shared" si="51"/>
        <v>121</v>
      </c>
      <c r="V141" s="25">
        <f t="shared" si="51"/>
        <v>270</v>
      </c>
      <c r="W141" s="25">
        <f t="shared" si="51"/>
        <v>263</v>
      </c>
      <c r="X141" s="26">
        <f t="shared" si="48"/>
        <v>2443</v>
      </c>
      <c r="Y141" s="27"/>
    </row>
    <row r="142" spans="1:25">
      <c r="A142" s="20" t="s">
        <v>54</v>
      </c>
      <c r="B142" s="29"/>
      <c r="C142" s="30"/>
      <c r="D142" s="30"/>
      <c r="E142" s="30"/>
      <c r="F142" s="30"/>
      <c r="G142" s="32">
        <v>10</v>
      </c>
      <c r="H142" s="32"/>
      <c r="I142" s="32">
        <v>10</v>
      </c>
      <c r="J142" s="32"/>
      <c r="K142" s="34">
        <f t="shared" si="50"/>
        <v>20</v>
      </c>
      <c r="L142" s="19">
        <v>42492</v>
      </c>
      <c r="N142" s="28" t="s">
        <v>29</v>
      </c>
      <c r="O142" s="9"/>
      <c r="P142" s="10"/>
      <c r="Q142" s="10"/>
      <c r="R142" s="10"/>
      <c r="S142" s="10"/>
      <c r="T142" s="11">
        <v>14</v>
      </c>
      <c r="U142" s="11"/>
      <c r="V142" s="11">
        <v>14</v>
      </c>
      <c r="W142" s="11"/>
      <c r="X142" s="13">
        <f t="shared" si="48"/>
        <v>28</v>
      </c>
      <c r="Y142" s="12">
        <v>42490</v>
      </c>
    </row>
    <row r="143" spans="1:25">
      <c r="A143" s="65" t="s">
        <v>74</v>
      </c>
      <c r="B143" s="29"/>
      <c r="C143" s="30"/>
      <c r="D143" s="30"/>
      <c r="E143" s="30">
        <v>1</v>
      </c>
      <c r="F143" s="30">
        <v>1</v>
      </c>
      <c r="G143" s="32"/>
      <c r="H143" s="32"/>
      <c r="I143" s="32"/>
      <c r="J143" s="32">
        <v>1</v>
      </c>
      <c r="K143" s="34">
        <f t="shared" si="50"/>
        <v>3</v>
      </c>
      <c r="L143" s="22">
        <v>42490</v>
      </c>
      <c r="N143" s="28" t="s">
        <v>29</v>
      </c>
      <c r="O143" s="67"/>
      <c r="P143" s="35"/>
      <c r="Q143" s="35"/>
      <c r="R143" s="35"/>
      <c r="S143" s="35">
        <v>10</v>
      </c>
      <c r="T143" s="35"/>
      <c r="U143" s="35"/>
      <c r="V143" s="35"/>
      <c r="W143" s="68">
        <v>10</v>
      </c>
      <c r="X143" s="13">
        <f>SUM(O143:W143)</f>
        <v>20</v>
      </c>
      <c r="Y143" s="19">
        <v>42504</v>
      </c>
    </row>
    <row r="144" spans="1:25">
      <c r="A144" s="65" t="s">
        <v>27</v>
      </c>
      <c r="B144" s="29"/>
      <c r="C144" s="30"/>
      <c r="D144" s="30"/>
      <c r="E144" s="30">
        <v>1</v>
      </c>
      <c r="F144" s="30"/>
      <c r="G144" s="32"/>
      <c r="H144" s="32"/>
      <c r="I144" s="32"/>
      <c r="J144" s="32"/>
      <c r="K144" s="34">
        <f t="shared" si="50"/>
        <v>1</v>
      </c>
      <c r="L144" s="22">
        <v>42492</v>
      </c>
      <c r="M144" s="74"/>
      <c r="N144" s="28" t="s">
        <v>29</v>
      </c>
      <c r="O144" s="29"/>
      <c r="P144" s="30"/>
      <c r="Q144" s="30">
        <v>10</v>
      </c>
      <c r="R144" s="30">
        <v>10</v>
      </c>
      <c r="S144" s="30">
        <v>10</v>
      </c>
      <c r="T144" s="32">
        <v>5</v>
      </c>
      <c r="U144" s="32">
        <v>5</v>
      </c>
      <c r="V144" s="32">
        <v>5</v>
      </c>
      <c r="W144" s="32">
        <v>10</v>
      </c>
      <c r="X144" s="34">
        <f t="shared" ref="X144:X161" si="52">SUM(O144:W144)</f>
        <v>55</v>
      </c>
      <c r="Y144" s="22">
        <v>42515</v>
      </c>
    </row>
    <row r="145" spans="1:25">
      <c r="A145" s="65" t="s">
        <v>78</v>
      </c>
      <c r="B145" s="29"/>
      <c r="C145" s="30"/>
      <c r="D145" s="30"/>
      <c r="E145" s="30"/>
      <c r="F145" s="30">
        <v>1</v>
      </c>
      <c r="G145" s="32">
        <v>2</v>
      </c>
      <c r="H145" s="33"/>
      <c r="I145" s="32"/>
      <c r="J145" s="32"/>
      <c r="K145" s="34">
        <f t="shared" si="50"/>
        <v>3</v>
      </c>
      <c r="L145" s="22">
        <v>42494</v>
      </c>
      <c r="N145" s="28"/>
      <c r="O145" s="29"/>
      <c r="P145" s="30"/>
      <c r="Q145" s="30"/>
      <c r="R145" s="30"/>
      <c r="S145" s="30"/>
      <c r="T145" s="32"/>
      <c r="U145" s="33"/>
      <c r="V145" s="32"/>
      <c r="W145" s="32"/>
      <c r="X145" s="34">
        <f t="shared" si="52"/>
        <v>0</v>
      </c>
      <c r="Y145" s="22"/>
    </row>
    <row r="146" spans="1:25">
      <c r="A146" s="75" t="s">
        <v>76</v>
      </c>
      <c r="B146" s="29">
        <v>1</v>
      </c>
      <c r="C146" s="30"/>
      <c r="D146" s="30"/>
      <c r="E146" s="30"/>
      <c r="F146" s="30"/>
      <c r="G146" s="32"/>
      <c r="H146" s="32"/>
      <c r="I146" s="32"/>
      <c r="J146" s="32"/>
      <c r="K146" s="34">
        <f t="shared" si="50"/>
        <v>1</v>
      </c>
      <c r="L146" s="22">
        <v>42502</v>
      </c>
      <c r="N146" s="20"/>
      <c r="O146" s="29"/>
      <c r="P146" s="30"/>
      <c r="Q146" s="30"/>
      <c r="R146" s="30"/>
      <c r="S146" s="30"/>
      <c r="T146" s="32"/>
      <c r="U146" s="32"/>
      <c r="V146" s="32"/>
      <c r="W146" s="32"/>
      <c r="X146" s="34">
        <f t="shared" si="52"/>
        <v>0</v>
      </c>
      <c r="Y146" s="22"/>
    </row>
    <row r="147" spans="1:25">
      <c r="A147" s="75" t="s">
        <v>77</v>
      </c>
      <c r="B147" s="29"/>
      <c r="C147" s="30"/>
      <c r="D147" s="30"/>
      <c r="E147" s="30">
        <v>1</v>
      </c>
      <c r="F147" s="30"/>
      <c r="G147" s="32"/>
      <c r="H147" s="33"/>
      <c r="I147" s="33"/>
      <c r="J147" s="33"/>
      <c r="K147" s="34">
        <f t="shared" si="50"/>
        <v>1</v>
      </c>
      <c r="L147" s="22">
        <v>42502</v>
      </c>
      <c r="N147" s="20"/>
      <c r="O147" s="29"/>
      <c r="P147" s="30"/>
      <c r="Q147" s="30"/>
      <c r="R147" s="30"/>
      <c r="S147" s="30"/>
      <c r="T147" s="32"/>
      <c r="U147" s="33"/>
      <c r="V147" s="33"/>
      <c r="W147" s="33"/>
      <c r="X147" s="34">
        <f t="shared" si="52"/>
        <v>0</v>
      </c>
      <c r="Y147" s="22"/>
    </row>
    <row r="148" spans="1:25">
      <c r="A148" s="20" t="s">
        <v>79</v>
      </c>
      <c r="B148" s="29"/>
      <c r="C148" s="30"/>
      <c r="D148" s="30"/>
      <c r="E148" s="31"/>
      <c r="F148" s="31">
        <v>1</v>
      </c>
      <c r="G148" s="32"/>
      <c r="H148" s="33"/>
      <c r="I148" s="33"/>
      <c r="J148" s="33"/>
      <c r="K148" s="34">
        <f t="shared" si="50"/>
        <v>1</v>
      </c>
      <c r="L148" s="22">
        <v>42502</v>
      </c>
      <c r="N148" s="28"/>
      <c r="O148" s="29"/>
      <c r="P148" s="30"/>
      <c r="Q148" s="30"/>
      <c r="R148" s="31"/>
      <c r="S148" s="31"/>
      <c r="T148" s="32"/>
      <c r="U148" s="33"/>
      <c r="V148" s="33"/>
      <c r="W148" s="33"/>
      <c r="X148" s="34">
        <f t="shared" si="52"/>
        <v>0</v>
      </c>
      <c r="Y148" s="22"/>
    </row>
    <row r="149" spans="1:25">
      <c r="A149" s="20" t="s">
        <v>82</v>
      </c>
      <c r="B149" s="35"/>
      <c r="C149" s="31"/>
      <c r="D149" s="31"/>
      <c r="E149" s="31"/>
      <c r="F149" s="31"/>
      <c r="G149" s="33"/>
      <c r="H149" s="33"/>
      <c r="I149" s="33">
        <v>2</v>
      </c>
      <c r="J149" s="33"/>
      <c r="K149" s="34">
        <f t="shared" si="50"/>
        <v>2</v>
      </c>
      <c r="L149" s="22">
        <v>42506</v>
      </c>
      <c r="N149" s="28"/>
      <c r="O149" s="35"/>
      <c r="P149" s="31"/>
      <c r="Q149" s="31"/>
      <c r="R149" s="31"/>
      <c r="S149" s="31"/>
      <c r="T149" s="33"/>
      <c r="U149" s="33"/>
      <c r="V149" s="33"/>
      <c r="W149" s="33"/>
      <c r="X149" s="34">
        <f t="shared" si="52"/>
        <v>0</v>
      </c>
      <c r="Y149" s="22"/>
    </row>
    <row r="150" spans="1:25">
      <c r="A150" s="20" t="s">
        <v>81</v>
      </c>
      <c r="B150" s="35"/>
      <c r="C150" s="31"/>
      <c r="D150" s="31"/>
      <c r="E150" s="31">
        <v>1</v>
      </c>
      <c r="F150" s="31"/>
      <c r="G150" s="33"/>
      <c r="H150" s="33"/>
      <c r="I150" s="33"/>
      <c r="J150" s="33"/>
      <c r="K150" s="34">
        <f t="shared" si="50"/>
        <v>1</v>
      </c>
      <c r="L150" s="22">
        <v>42503</v>
      </c>
      <c r="N150" s="28"/>
      <c r="O150" s="35"/>
      <c r="P150" s="31"/>
      <c r="Q150" s="31"/>
      <c r="R150" s="31"/>
      <c r="S150" s="31"/>
      <c r="T150" s="33"/>
      <c r="U150" s="33"/>
      <c r="V150" s="33"/>
      <c r="W150" s="33"/>
      <c r="X150" s="34">
        <f t="shared" si="52"/>
        <v>0</v>
      </c>
      <c r="Y150" s="22"/>
    </row>
    <row r="151" spans="1:25">
      <c r="A151" s="20" t="s">
        <v>80</v>
      </c>
      <c r="B151" s="35"/>
      <c r="C151" s="31">
        <v>-3</v>
      </c>
      <c r="D151" s="31"/>
      <c r="E151" s="31"/>
      <c r="F151" s="31"/>
      <c r="G151" s="33"/>
      <c r="H151" s="33"/>
      <c r="I151" s="33"/>
      <c r="J151" s="33">
        <v>-1</v>
      </c>
      <c r="K151" s="34">
        <f t="shared" si="50"/>
        <v>-4</v>
      </c>
      <c r="L151" s="22">
        <v>42506</v>
      </c>
      <c r="N151" s="28"/>
      <c r="O151" s="35"/>
      <c r="P151" s="31"/>
      <c r="Q151" s="31"/>
      <c r="R151" s="31"/>
      <c r="S151" s="31"/>
      <c r="T151" s="33"/>
      <c r="U151" s="33"/>
      <c r="V151" s="33"/>
      <c r="W151" s="33"/>
      <c r="X151" s="34">
        <f t="shared" si="52"/>
        <v>0</v>
      </c>
      <c r="Y151" s="22"/>
    </row>
    <row r="152" spans="1:25">
      <c r="A152" s="20" t="s">
        <v>84</v>
      </c>
      <c r="B152" s="29"/>
      <c r="C152" s="30"/>
      <c r="D152" s="30"/>
      <c r="E152" s="30"/>
      <c r="F152" s="30"/>
      <c r="G152" s="32"/>
      <c r="H152" s="32"/>
      <c r="I152" s="32">
        <v>1</v>
      </c>
      <c r="J152" s="32"/>
      <c r="K152" s="34">
        <f t="shared" si="50"/>
        <v>1</v>
      </c>
      <c r="L152" s="22">
        <v>42506</v>
      </c>
      <c r="N152" s="28"/>
      <c r="O152" s="29"/>
      <c r="P152" s="30"/>
      <c r="Q152" s="30"/>
      <c r="R152" s="30"/>
      <c r="S152" s="30"/>
      <c r="T152" s="32"/>
      <c r="U152" s="32"/>
      <c r="V152" s="32"/>
      <c r="W152" s="32"/>
      <c r="X152" s="34">
        <f t="shared" si="52"/>
        <v>0</v>
      </c>
      <c r="Y152" s="22"/>
    </row>
    <row r="153" spans="1:25">
      <c r="A153" s="20" t="s">
        <v>39</v>
      </c>
      <c r="B153" s="35"/>
      <c r="C153" s="31"/>
      <c r="D153" s="31"/>
      <c r="E153" s="31"/>
      <c r="F153" s="31"/>
      <c r="G153" s="33"/>
      <c r="H153" s="33"/>
      <c r="I153" s="33">
        <v>1</v>
      </c>
      <c r="J153" s="33"/>
      <c r="K153" s="34">
        <f t="shared" si="50"/>
        <v>1</v>
      </c>
      <c r="L153" s="22">
        <v>42509</v>
      </c>
      <c r="N153" s="28"/>
      <c r="O153" s="35"/>
      <c r="P153" s="31"/>
      <c r="Q153" s="31"/>
      <c r="R153" s="31"/>
      <c r="S153" s="31"/>
      <c r="T153" s="33"/>
      <c r="U153" s="33"/>
      <c r="V153" s="33"/>
      <c r="W153" s="33"/>
      <c r="X153" s="34">
        <f t="shared" si="52"/>
        <v>0</v>
      </c>
      <c r="Y153" s="22"/>
    </row>
    <row r="154" spans="1:25">
      <c r="A154" s="20" t="s">
        <v>83</v>
      </c>
      <c r="B154" s="29"/>
      <c r="C154" s="30"/>
      <c r="D154" s="30"/>
      <c r="E154" s="30"/>
      <c r="F154" s="30"/>
      <c r="G154" s="32">
        <v>-2</v>
      </c>
      <c r="H154" s="33"/>
      <c r="I154" s="33"/>
      <c r="J154" s="33">
        <v>2</v>
      </c>
      <c r="K154" s="34">
        <f t="shared" si="50"/>
        <v>0</v>
      </c>
      <c r="L154" s="22">
        <v>42515</v>
      </c>
      <c r="N154" s="28"/>
      <c r="O154" s="29"/>
      <c r="P154" s="30"/>
      <c r="Q154" s="30"/>
      <c r="R154" s="30"/>
      <c r="S154" s="30"/>
      <c r="T154" s="32"/>
      <c r="U154" s="33"/>
      <c r="V154" s="33"/>
      <c r="W154" s="33"/>
      <c r="X154" s="34">
        <f t="shared" si="52"/>
        <v>0</v>
      </c>
      <c r="Y154" s="22"/>
    </row>
    <row r="155" spans="1:25">
      <c r="A155" s="65" t="s">
        <v>86</v>
      </c>
      <c r="B155" s="29"/>
      <c r="C155" s="30"/>
      <c r="D155" s="30"/>
      <c r="E155" s="30">
        <v>1</v>
      </c>
      <c r="F155" s="30"/>
      <c r="G155" s="32">
        <v>1</v>
      </c>
      <c r="H155" s="32"/>
      <c r="I155" s="32"/>
      <c r="J155" s="32"/>
      <c r="K155" s="34">
        <f t="shared" si="50"/>
        <v>2</v>
      </c>
      <c r="L155" s="19">
        <v>42510</v>
      </c>
      <c r="N155" s="28"/>
      <c r="O155" s="35"/>
      <c r="P155" s="31"/>
      <c r="Q155" s="31"/>
      <c r="R155" s="31"/>
      <c r="S155" s="31"/>
      <c r="T155" s="33"/>
      <c r="U155" s="33"/>
      <c r="V155" s="33"/>
      <c r="W155" s="33"/>
      <c r="X155" s="34">
        <f t="shared" si="52"/>
        <v>0</v>
      </c>
      <c r="Y155" s="22"/>
    </row>
    <row r="156" spans="1:25">
      <c r="A156" s="66" t="s">
        <v>85</v>
      </c>
      <c r="B156" s="35"/>
      <c r="C156" s="31"/>
      <c r="D156" s="31">
        <v>10</v>
      </c>
      <c r="E156" s="31"/>
      <c r="F156" s="31">
        <v>10</v>
      </c>
      <c r="G156" s="33"/>
      <c r="H156" s="33"/>
      <c r="I156" s="33"/>
      <c r="J156" s="33">
        <v>10</v>
      </c>
      <c r="K156" s="34">
        <f t="shared" si="50"/>
        <v>30</v>
      </c>
      <c r="L156" s="22">
        <v>42515</v>
      </c>
      <c r="N156" s="28"/>
      <c r="O156" s="35"/>
      <c r="P156" s="31"/>
      <c r="Q156" s="31"/>
      <c r="R156" s="31"/>
      <c r="S156" s="31"/>
      <c r="T156" s="33"/>
      <c r="U156" s="33"/>
      <c r="V156" s="33"/>
      <c r="W156" s="33"/>
      <c r="X156" s="34">
        <f t="shared" si="52"/>
        <v>0</v>
      </c>
      <c r="Y156" s="22"/>
    </row>
    <row r="157" spans="1:25">
      <c r="A157" s="20" t="s">
        <v>90</v>
      </c>
      <c r="B157" s="29"/>
      <c r="C157" s="30"/>
      <c r="D157" s="30"/>
      <c r="E157" s="30">
        <v>1</v>
      </c>
      <c r="F157" s="30"/>
      <c r="G157" s="32"/>
      <c r="H157" s="32"/>
      <c r="I157" s="32"/>
      <c r="J157" s="32"/>
      <c r="K157" s="34">
        <f t="shared" si="50"/>
        <v>1</v>
      </c>
      <c r="L157" s="22">
        <v>42513</v>
      </c>
      <c r="N157" s="65"/>
      <c r="O157" s="29"/>
      <c r="P157" s="30"/>
      <c r="Q157" s="30"/>
      <c r="R157" s="30"/>
      <c r="S157" s="30"/>
      <c r="T157" s="32"/>
      <c r="U157" s="32"/>
      <c r="V157" s="32"/>
      <c r="W157" s="32"/>
      <c r="X157" s="34">
        <f t="shared" si="52"/>
        <v>0</v>
      </c>
      <c r="Y157" s="22"/>
    </row>
    <row r="158" spans="1:25">
      <c r="A158" s="66" t="s">
        <v>87</v>
      </c>
      <c r="B158" s="29"/>
      <c r="C158" s="30"/>
      <c r="D158" s="30"/>
      <c r="E158" s="30"/>
      <c r="F158" s="30"/>
      <c r="G158" s="32">
        <v>7</v>
      </c>
      <c r="H158" s="32"/>
      <c r="I158" s="32"/>
      <c r="J158" s="32"/>
      <c r="K158" s="34">
        <f t="shared" si="50"/>
        <v>7</v>
      </c>
      <c r="L158" s="19">
        <v>42520</v>
      </c>
      <c r="N158" s="28"/>
      <c r="O158" s="29"/>
      <c r="P158" s="30"/>
      <c r="Q158" s="30"/>
      <c r="R158" s="30"/>
      <c r="S158" s="30"/>
      <c r="T158" s="32"/>
      <c r="U158" s="32"/>
      <c r="V158" s="32"/>
      <c r="W158" s="32"/>
      <c r="X158" s="34">
        <f t="shared" si="52"/>
        <v>0</v>
      </c>
      <c r="Y158" s="19"/>
    </row>
    <row r="159" spans="1:25">
      <c r="A159" s="65" t="s">
        <v>89</v>
      </c>
      <c r="B159" s="29"/>
      <c r="C159" s="30"/>
      <c r="D159" s="30"/>
      <c r="E159" s="30"/>
      <c r="F159" s="30"/>
      <c r="G159" s="32">
        <v>-1</v>
      </c>
      <c r="H159" s="32"/>
      <c r="I159" s="32"/>
      <c r="J159" s="32"/>
      <c r="K159" s="34">
        <f t="shared" si="50"/>
        <v>-1</v>
      </c>
      <c r="L159" s="19">
        <v>42517</v>
      </c>
      <c r="N159" s="65"/>
      <c r="O159" s="29"/>
      <c r="P159" s="30"/>
      <c r="Q159" s="30"/>
      <c r="R159" s="30"/>
      <c r="S159" s="30"/>
      <c r="T159" s="32"/>
      <c r="U159" s="32"/>
      <c r="V159" s="32"/>
      <c r="W159" s="32"/>
      <c r="X159" s="34">
        <f t="shared" si="52"/>
        <v>0</v>
      </c>
      <c r="Y159" s="19"/>
    </row>
    <row r="160" spans="1:25">
      <c r="A160" s="20" t="s">
        <v>91</v>
      </c>
      <c r="B160" s="29">
        <v>1</v>
      </c>
      <c r="C160" s="30"/>
      <c r="D160" s="30"/>
      <c r="E160" s="30"/>
      <c r="F160" s="30"/>
      <c r="G160" s="32"/>
      <c r="H160" s="32"/>
      <c r="I160" s="32"/>
      <c r="J160" s="32"/>
      <c r="K160" s="34">
        <f t="shared" si="50"/>
        <v>1</v>
      </c>
      <c r="L160" s="19">
        <v>42517</v>
      </c>
      <c r="N160" s="28"/>
      <c r="O160" s="29"/>
      <c r="P160" s="30"/>
      <c r="Q160" s="30"/>
      <c r="R160" s="30"/>
      <c r="S160" s="30"/>
      <c r="T160" s="32"/>
      <c r="U160" s="32"/>
      <c r="V160" s="32"/>
      <c r="W160" s="32"/>
      <c r="X160" s="34">
        <f t="shared" si="52"/>
        <v>0</v>
      </c>
      <c r="Y160" s="19"/>
    </row>
    <row r="161" spans="1:25" ht="14.25" thickBot="1">
      <c r="A161" s="28" t="s">
        <v>97</v>
      </c>
      <c r="B161" s="29"/>
      <c r="C161" s="30"/>
      <c r="D161" s="30"/>
      <c r="E161" s="31"/>
      <c r="F161" s="31"/>
      <c r="G161" s="32">
        <v>1</v>
      </c>
      <c r="H161" s="33"/>
      <c r="I161" s="33"/>
      <c r="J161" s="33"/>
      <c r="K161" s="34">
        <f t="shared" si="50"/>
        <v>1</v>
      </c>
      <c r="L161" s="36">
        <v>42518</v>
      </c>
      <c r="N161" s="28"/>
      <c r="O161" s="29"/>
      <c r="P161" s="30"/>
      <c r="Q161" s="30"/>
      <c r="R161" s="31"/>
      <c r="S161" s="31"/>
      <c r="T161" s="32"/>
      <c r="U161" s="33"/>
      <c r="V161" s="33"/>
      <c r="W161" s="33"/>
      <c r="X161" s="34">
        <f t="shared" si="52"/>
        <v>0</v>
      </c>
      <c r="Y161" s="36"/>
    </row>
    <row r="162" spans="1:25" ht="14.25" thickBot="1">
      <c r="A162" s="2" t="s">
        <v>19</v>
      </c>
      <c r="B162" s="23">
        <f t="shared" ref="B162:J162" si="53">SUM(B142:B161)</f>
        <v>2</v>
      </c>
      <c r="C162" s="24">
        <f t="shared" si="53"/>
        <v>-3</v>
      </c>
      <c r="D162" s="24">
        <f t="shared" si="53"/>
        <v>10</v>
      </c>
      <c r="E162" s="24">
        <f t="shared" si="53"/>
        <v>6</v>
      </c>
      <c r="F162" s="24">
        <f t="shared" si="53"/>
        <v>13</v>
      </c>
      <c r="G162" s="25">
        <f t="shared" si="53"/>
        <v>18</v>
      </c>
      <c r="H162" s="25">
        <f t="shared" si="53"/>
        <v>0</v>
      </c>
      <c r="I162" s="25">
        <f t="shared" si="53"/>
        <v>14</v>
      </c>
      <c r="J162" s="25">
        <f t="shared" si="53"/>
        <v>12</v>
      </c>
      <c r="K162" s="37">
        <f>SUM(B162:J162)</f>
        <v>72</v>
      </c>
      <c r="L162" s="27"/>
      <c r="N162" s="2" t="s">
        <v>19</v>
      </c>
      <c r="O162" s="23">
        <f t="shared" ref="O162:W162" si="54">SUM(O142:O161)</f>
        <v>0</v>
      </c>
      <c r="P162" s="24">
        <f t="shared" si="54"/>
        <v>0</v>
      </c>
      <c r="Q162" s="24">
        <f t="shared" si="54"/>
        <v>10</v>
      </c>
      <c r="R162" s="24">
        <f t="shared" si="54"/>
        <v>10</v>
      </c>
      <c r="S162" s="24">
        <f t="shared" si="54"/>
        <v>20</v>
      </c>
      <c r="T162" s="25">
        <f t="shared" si="54"/>
        <v>19</v>
      </c>
      <c r="U162" s="25">
        <f t="shared" si="54"/>
        <v>5</v>
      </c>
      <c r="V162" s="25">
        <f t="shared" si="54"/>
        <v>19</v>
      </c>
      <c r="W162" s="25">
        <f t="shared" si="54"/>
        <v>20</v>
      </c>
      <c r="X162" s="37">
        <f>SUM(O162:W162)</f>
        <v>103</v>
      </c>
      <c r="Y162" s="27"/>
    </row>
    <row r="163" spans="1:25" ht="14.25" thickBot="1">
      <c r="A163" s="38" t="s">
        <v>17</v>
      </c>
      <c r="B163" s="39">
        <f>B141-B162</f>
        <v>9</v>
      </c>
      <c r="C163" s="39">
        <f t="shared" ref="C163:K163" si="55">C141-C162</f>
        <v>15</v>
      </c>
      <c r="D163" s="39">
        <f t="shared" si="55"/>
        <v>10</v>
      </c>
      <c r="E163" s="39">
        <f t="shared" si="55"/>
        <v>12</v>
      </c>
      <c r="F163" s="39">
        <f t="shared" si="55"/>
        <v>13</v>
      </c>
      <c r="G163" s="39">
        <f t="shared" si="55"/>
        <v>12</v>
      </c>
      <c r="H163" s="39">
        <f t="shared" si="55"/>
        <v>13</v>
      </c>
      <c r="I163" s="39">
        <f t="shared" si="55"/>
        <v>13</v>
      </c>
      <c r="J163" s="40">
        <f t="shared" si="55"/>
        <v>14</v>
      </c>
      <c r="K163" s="37">
        <f t="shared" si="55"/>
        <v>111</v>
      </c>
      <c r="L163" s="41"/>
      <c r="N163" s="38" t="s">
        <v>17</v>
      </c>
      <c r="O163" s="39">
        <f>O141-O162</f>
        <v>203</v>
      </c>
      <c r="P163" s="39">
        <f t="shared" ref="P163:X163" si="56">P141-P162</f>
        <v>274</v>
      </c>
      <c r="Q163" s="39">
        <f t="shared" si="56"/>
        <v>157</v>
      </c>
      <c r="R163" s="39">
        <f t="shared" si="56"/>
        <v>427</v>
      </c>
      <c r="S163" s="39">
        <f t="shared" si="56"/>
        <v>429</v>
      </c>
      <c r="T163" s="39">
        <f t="shared" si="56"/>
        <v>240</v>
      </c>
      <c r="U163" s="39">
        <f t="shared" si="56"/>
        <v>116</v>
      </c>
      <c r="V163" s="39">
        <f t="shared" si="56"/>
        <v>251</v>
      </c>
      <c r="W163" s="40">
        <f t="shared" si="56"/>
        <v>243</v>
      </c>
      <c r="X163" s="37">
        <f t="shared" si="56"/>
        <v>2340</v>
      </c>
      <c r="Y163" s="41"/>
    </row>
    <row r="166" spans="1:25" ht="19.5" thickBot="1">
      <c r="A166" s="1" t="s">
        <v>22</v>
      </c>
      <c r="N166" s="1" t="s">
        <v>21</v>
      </c>
    </row>
    <row r="167" spans="1:25" ht="19.5" thickBot="1">
      <c r="A167" s="2" t="s">
        <v>0</v>
      </c>
      <c r="B167" s="163" t="s">
        <v>20</v>
      </c>
      <c r="C167" s="164"/>
      <c r="D167" s="164"/>
      <c r="E167" s="164"/>
      <c r="F167" s="164"/>
      <c r="G167" s="164"/>
      <c r="H167" s="165"/>
      <c r="I167" s="165"/>
      <c r="J167" s="165"/>
      <c r="K167" s="166"/>
      <c r="L167" s="161" t="s">
        <v>1</v>
      </c>
      <c r="N167" s="2" t="s">
        <v>0</v>
      </c>
      <c r="O167" s="163" t="s">
        <v>20</v>
      </c>
      <c r="P167" s="164"/>
      <c r="Q167" s="164"/>
      <c r="R167" s="164"/>
      <c r="S167" s="164"/>
      <c r="T167" s="164"/>
      <c r="U167" s="165"/>
      <c r="V167" s="165"/>
      <c r="W167" s="165"/>
      <c r="X167" s="166"/>
      <c r="Y167" s="161" t="s">
        <v>1</v>
      </c>
    </row>
    <row r="168" spans="1:25" ht="14.25" thickBot="1">
      <c r="A168" s="2" t="s">
        <v>2</v>
      </c>
      <c r="B168" s="3" t="s">
        <v>3</v>
      </c>
      <c r="C168" s="4" t="s">
        <v>4</v>
      </c>
      <c r="D168" s="4" t="s">
        <v>5</v>
      </c>
      <c r="E168" s="4" t="s">
        <v>6</v>
      </c>
      <c r="F168" s="4" t="s">
        <v>7</v>
      </c>
      <c r="G168" s="5" t="s">
        <v>8</v>
      </c>
      <c r="H168" s="4" t="s">
        <v>9</v>
      </c>
      <c r="I168" s="6" t="s">
        <v>10</v>
      </c>
      <c r="J168" s="5" t="s">
        <v>11</v>
      </c>
      <c r="K168" s="7" t="s">
        <v>12</v>
      </c>
      <c r="L168" s="162"/>
      <c r="N168" s="2" t="s">
        <v>2</v>
      </c>
      <c r="O168" s="3" t="s">
        <v>3</v>
      </c>
      <c r="P168" s="4" t="s">
        <v>4</v>
      </c>
      <c r="Q168" s="4" t="s">
        <v>5</v>
      </c>
      <c r="R168" s="4" t="s">
        <v>6</v>
      </c>
      <c r="S168" s="4" t="s">
        <v>7</v>
      </c>
      <c r="T168" s="5" t="s">
        <v>8</v>
      </c>
      <c r="U168" s="4" t="s">
        <v>9</v>
      </c>
      <c r="V168" s="6" t="s">
        <v>10</v>
      </c>
      <c r="W168" s="5" t="s">
        <v>11</v>
      </c>
      <c r="X168" s="7" t="s">
        <v>12</v>
      </c>
      <c r="Y168" s="162"/>
    </row>
    <row r="169" spans="1:25">
      <c r="A169" s="52" t="s">
        <v>17</v>
      </c>
      <c r="B169" s="55">
        <f>B163</f>
        <v>9</v>
      </c>
      <c r="C169" s="56">
        <f>C163</f>
        <v>15</v>
      </c>
      <c r="D169" s="56">
        <f t="shared" ref="D169:J169" si="57">D163</f>
        <v>10</v>
      </c>
      <c r="E169" s="56">
        <f t="shared" si="57"/>
        <v>12</v>
      </c>
      <c r="F169" s="56">
        <f t="shared" si="57"/>
        <v>13</v>
      </c>
      <c r="G169" s="56">
        <f t="shared" si="57"/>
        <v>12</v>
      </c>
      <c r="H169" s="56">
        <f t="shared" si="57"/>
        <v>13</v>
      </c>
      <c r="I169" s="56">
        <f t="shared" si="57"/>
        <v>13</v>
      </c>
      <c r="J169" s="56">
        <f t="shared" si="57"/>
        <v>14</v>
      </c>
      <c r="K169" s="53">
        <f t="shared" ref="K169:K171" si="58">SUM(B169:J169)</f>
        <v>111</v>
      </c>
      <c r="L169" s="54"/>
      <c r="N169" s="52" t="s">
        <v>17</v>
      </c>
      <c r="O169" s="55">
        <f>O163</f>
        <v>203</v>
      </c>
      <c r="P169" s="56">
        <f>P163</f>
        <v>274</v>
      </c>
      <c r="Q169" s="56">
        <f t="shared" ref="Q169:W169" si="59">Q163</f>
        <v>157</v>
      </c>
      <c r="R169" s="56">
        <f t="shared" si="59"/>
        <v>427</v>
      </c>
      <c r="S169" s="56">
        <f t="shared" si="59"/>
        <v>429</v>
      </c>
      <c r="T169" s="56">
        <f t="shared" si="59"/>
        <v>240</v>
      </c>
      <c r="U169" s="56">
        <f t="shared" si="59"/>
        <v>116</v>
      </c>
      <c r="V169" s="56">
        <f t="shared" si="59"/>
        <v>251</v>
      </c>
      <c r="W169" s="56">
        <f t="shared" si="59"/>
        <v>243</v>
      </c>
      <c r="X169" s="53">
        <f t="shared" ref="X169:X175" si="60">SUM(O169:W169)</f>
        <v>2340</v>
      </c>
      <c r="Y169" s="54"/>
    </row>
    <row r="170" spans="1:25">
      <c r="A170" s="8" t="s">
        <v>14</v>
      </c>
      <c r="B170" s="9"/>
      <c r="C170" s="10"/>
      <c r="D170" s="10"/>
      <c r="E170" s="10"/>
      <c r="F170" s="10">
        <v>10</v>
      </c>
      <c r="G170" s="11"/>
      <c r="H170" s="11"/>
      <c r="I170" s="11">
        <v>10</v>
      </c>
      <c r="J170" s="11">
        <v>8</v>
      </c>
      <c r="K170" s="13">
        <f t="shared" si="58"/>
        <v>28</v>
      </c>
      <c r="L170" s="12">
        <v>42524</v>
      </c>
      <c r="M170" s="74"/>
      <c r="N170" s="8" t="s">
        <v>14</v>
      </c>
      <c r="O170" s="9"/>
      <c r="P170" s="10"/>
      <c r="Q170" s="10"/>
      <c r="R170" s="10"/>
      <c r="S170" s="10"/>
      <c r="T170" s="11"/>
      <c r="U170" s="11"/>
      <c r="V170" s="11"/>
      <c r="W170" s="11"/>
      <c r="X170" s="13">
        <f t="shared" si="60"/>
        <v>0</v>
      </c>
      <c r="Y170" s="12"/>
    </row>
    <row r="171" spans="1:25">
      <c r="A171" s="20" t="s">
        <v>94</v>
      </c>
      <c r="B171" s="15"/>
      <c r="C171" s="16">
        <v>10</v>
      </c>
      <c r="D171" s="16"/>
      <c r="E171" s="16"/>
      <c r="F171" s="16"/>
      <c r="G171" s="17">
        <v>2</v>
      </c>
      <c r="H171" s="17"/>
      <c r="I171" s="17"/>
      <c r="J171" s="17">
        <v>10</v>
      </c>
      <c r="K171" s="18">
        <f t="shared" si="58"/>
        <v>22</v>
      </c>
      <c r="L171" s="19">
        <v>42528</v>
      </c>
      <c r="N171" s="8" t="s">
        <v>15</v>
      </c>
      <c r="O171" s="15"/>
      <c r="P171" s="16"/>
      <c r="Q171" s="16"/>
      <c r="R171" s="16"/>
      <c r="S171" s="16"/>
      <c r="T171" s="17"/>
      <c r="U171" s="17"/>
      <c r="V171" s="17"/>
      <c r="W171" s="17"/>
      <c r="X171" s="18">
        <f t="shared" si="60"/>
        <v>0</v>
      </c>
      <c r="Y171" s="19"/>
    </row>
    <row r="172" spans="1:25">
      <c r="A172" s="20" t="s">
        <v>100</v>
      </c>
      <c r="B172" s="67">
        <v>2</v>
      </c>
      <c r="C172" s="35">
        <v>2</v>
      </c>
      <c r="D172" s="35">
        <v>2</v>
      </c>
      <c r="E172" s="35"/>
      <c r="F172" s="35">
        <v>2</v>
      </c>
      <c r="G172" s="35">
        <v>2</v>
      </c>
      <c r="H172" s="35">
        <v>2</v>
      </c>
      <c r="I172" s="35"/>
      <c r="J172" s="69">
        <v>2</v>
      </c>
      <c r="K172" s="13">
        <f>SUM(B172:J172)</f>
        <v>14</v>
      </c>
      <c r="L172" s="22">
        <v>42529</v>
      </c>
      <c r="N172" s="8" t="s">
        <v>16</v>
      </c>
      <c r="O172" s="9"/>
      <c r="P172" s="10"/>
      <c r="Q172" s="10"/>
      <c r="R172" s="10"/>
      <c r="S172" s="10"/>
      <c r="T172" s="10"/>
      <c r="U172" s="10"/>
      <c r="V172" s="10"/>
      <c r="W172" s="21"/>
      <c r="X172" s="18">
        <f t="shared" si="60"/>
        <v>0</v>
      </c>
      <c r="Y172" s="22"/>
    </row>
    <row r="173" spans="1:25" ht="14.25" thickBot="1">
      <c r="A173" s="20" t="s">
        <v>88</v>
      </c>
      <c r="B173" s="70">
        <v>5</v>
      </c>
      <c r="C173" s="71"/>
      <c r="D173" s="71"/>
      <c r="E173" s="71">
        <v>15</v>
      </c>
      <c r="F173" s="71">
        <v>30</v>
      </c>
      <c r="G173" s="71">
        <v>10</v>
      </c>
      <c r="H173" s="71">
        <v>20</v>
      </c>
      <c r="I173" s="71">
        <v>30</v>
      </c>
      <c r="J173" s="72">
        <v>10</v>
      </c>
      <c r="K173" s="26">
        <f>SUM(B173:J173)</f>
        <v>120</v>
      </c>
      <c r="L173" s="73">
        <v>42536</v>
      </c>
      <c r="N173" s="8" t="s">
        <v>23</v>
      </c>
      <c r="O173" s="42"/>
      <c r="P173" s="43"/>
      <c r="Q173" s="43"/>
      <c r="R173" s="43"/>
      <c r="S173" s="43"/>
      <c r="T173" s="43"/>
      <c r="U173" s="43"/>
      <c r="V173" s="43"/>
      <c r="W173" s="44"/>
      <c r="X173" s="45">
        <f t="shared" si="60"/>
        <v>0</v>
      </c>
      <c r="Y173" s="19"/>
    </row>
    <row r="174" spans="1:25" ht="14.25" thickBot="1">
      <c r="A174" s="76" t="s">
        <v>18</v>
      </c>
      <c r="B174" s="77">
        <f>SUM(B169:B173)</f>
        <v>16</v>
      </c>
      <c r="C174" s="78">
        <f t="shared" ref="C174:J174" si="61">SUM(C169:C173)</f>
        <v>27</v>
      </c>
      <c r="D174" s="78">
        <f t="shared" si="61"/>
        <v>12</v>
      </c>
      <c r="E174" s="78">
        <f t="shared" si="61"/>
        <v>27</v>
      </c>
      <c r="F174" s="78">
        <f t="shared" si="61"/>
        <v>55</v>
      </c>
      <c r="G174" s="79">
        <f t="shared" si="61"/>
        <v>26</v>
      </c>
      <c r="H174" s="79">
        <f t="shared" si="61"/>
        <v>35</v>
      </c>
      <c r="I174" s="79">
        <f t="shared" si="61"/>
        <v>53</v>
      </c>
      <c r="J174" s="79">
        <f t="shared" si="61"/>
        <v>44</v>
      </c>
      <c r="K174" s="26">
        <f t="shared" ref="K174:K194" si="62">SUM(B174:J174)</f>
        <v>295</v>
      </c>
      <c r="L174" s="27"/>
      <c r="N174" s="2" t="s">
        <v>18</v>
      </c>
      <c r="O174" s="23">
        <f t="shared" ref="O174:W174" si="63">SUM(O169:O173)</f>
        <v>203</v>
      </c>
      <c r="P174" s="24">
        <f t="shared" si="63"/>
        <v>274</v>
      </c>
      <c r="Q174" s="24">
        <f t="shared" si="63"/>
        <v>157</v>
      </c>
      <c r="R174" s="24">
        <f t="shared" si="63"/>
        <v>427</v>
      </c>
      <c r="S174" s="24">
        <f t="shared" si="63"/>
        <v>429</v>
      </c>
      <c r="T174" s="25">
        <f t="shared" si="63"/>
        <v>240</v>
      </c>
      <c r="U174" s="25">
        <f t="shared" si="63"/>
        <v>116</v>
      </c>
      <c r="V174" s="25">
        <f t="shared" si="63"/>
        <v>251</v>
      </c>
      <c r="W174" s="25">
        <f t="shared" si="63"/>
        <v>243</v>
      </c>
      <c r="X174" s="26">
        <f t="shared" si="60"/>
        <v>2340</v>
      </c>
      <c r="Y174" s="27"/>
    </row>
    <row r="175" spans="1:25">
      <c r="A175" s="20" t="s">
        <v>92</v>
      </c>
      <c r="B175" s="29"/>
      <c r="C175" s="30"/>
      <c r="D175" s="30"/>
      <c r="E175" s="30"/>
      <c r="F175" s="30"/>
      <c r="G175" s="32"/>
      <c r="H175" s="32"/>
      <c r="I175" s="32"/>
      <c r="J175" s="32">
        <v>2</v>
      </c>
      <c r="K175" s="34">
        <f t="shared" si="62"/>
        <v>2</v>
      </c>
      <c r="L175" s="19">
        <v>42524</v>
      </c>
      <c r="N175" s="28" t="s">
        <v>95</v>
      </c>
      <c r="O175" s="9"/>
      <c r="P175" s="10"/>
      <c r="Q175" s="10"/>
      <c r="R175" s="10"/>
      <c r="S175" s="10">
        <v>10</v>
      </c>
      <c r="T175" s="11"/>
      <c r="U175" s="11"/>
      <c r="V175" s="11">
        <v>10</v>
      </c>
      <c r="W175" s="11">
        <v>8</v>
      </c>
      <c r="X175" s="13">
        <f t="shared" si="60"/>
        <v>28</v>
      </c>
      <c r="Y175" s="12">
        <v>42524</v>
      </c>
    </row>
    <row r="176" spans="1:25">
      <c r="A176" s="65" t="s">
        <v>93</v>
      </c>
      <c r="B176" s="29"/>
      <c r="C176" s="30"/>
      <c r="D176" s="30"/>
      <c r="E176" s="30">
        <v>7</v>
      </c>
      <c r="F176" s="30">
        <v>14</v>
      </c>
      <c r="G176" s="32"/>
      <c r="H176" s="32">
        <v>7</v>
      </c>
      <c r="I176" s="32">
        <v>14</v>
      </c>
      <c r="J176" s="32">
        <v>14</v>
      </c>
      <c r="K176" s="34">
        <f t="shared" si="62"/>
        <v>56</v>
      </c>
      <c r="L176" s="22">
        <v>42527</v>
      </c>
      <c r="N176" s="28" t="s">
        <v>96</v>
      </c>
      <c r="O176" s="67">
        <v>20</v>
      </c>
      <c r="P176" s="35">
        <v>10</v>
      </c>
      <c r="Q176" s="35">
        <v>10</v>
      </c>
      <c r="R176" s="35">
        <v>50</v>
      </c>
      <c r="S176" s="35">
        <v>50</v>
      </c>
      <c r="T176" s="35">
        <v>10</v>
      </c>
      <c r="U176" s="35">
        <v>10</v>
      </c>
      <c r="V176" s="35">
        <v>10</v>
      </c>
      <c r="W176" s="68">
        <v>5</v>
      </c>
      <c r="X176" s="13">
        <f>SUM(O176:W176)</f>
        <v>175</v>
      </c>
      <c r="Y176" s="19">
        <v>42536</v>
      </c>
    </row>
    <row r="177" spans="1:25">
      <c r="A177" s="20" t="s">
        <v>83</v>
      </c>
      <c r="B177" s="29"/>
      <c r="C177" s="30">
        <v>2</v>
      </c>
      <c r="D177" s="30"/>
      <c r="E177" s="30"/>
      <c r="F177" s="30"/>
      <c r="G177" s="32">
        <v>-2</v>
      </c>
      <c r="H177" s="32"/>
      <c r="I177" s="32"/>
      <c r="J177" s="32"/>
      <c r="K177" s="34">
        <f t="shared" si="62"/>
        <v>0</v>
      </c>
      <c r="L177" s="22">
        <v>42523</v>
      </c>
      <c r="M177" s="74"/>
      <c r="N177" s="28" t="s">
        <v>29</v>
      </c>
      <c r="O177" s="29"/>
      <c r="P177" s="30">
        <v>10</v>
      </c>
      <c r="Q177" s="30"/>
      <c r="R177" s="30"/>
      <c r="S177" s="30"/>
      <c r="T177" s="32"/>
      <c r="U177" s="32"/>
      <c r="V177" s="32"/>
      <c r="W177" s="32">
        <v>10</v>
      </c>
      <c r="X177" s="34">
        <f t="shared" ref="X177:X194" si="64">SUM(O177:W177)</f>
        <v>20</v>
      </c>
      <c r="Y177" s="22">
        <v>42528</v>
      </c>
    </row>
    <row r="178" spans="1:25">
      <c r="A178" s="65" t="s">
        <v>99</v>
      </c>
      <c r="B178" s="29"/>
      <c r="C178" s="30"/>
      <c r="D178" s="30"/>
      <c r="E178" s="30"/>
      <c r="F178" s="30">
        <v>1</v>
      </c>
      <c r="G178" s="32"/>
      <c r="H178" s="33"/>
      <c r="I178" s="32"/>
      <c r="J178" s="32"/>
      <c r="K178" s="34">
        <f t="shared" si="62"/>
        <v>1</v>
      </c>
      <c r="L178" s="22">
        <v>42524</v>
      </c>
      <c r="N178" s="28" t="s">
        <v>29</v>
      </c>
      <c r="O178" s="29">
        <v>5</v>
      </c>
      <c r="P178" s="30"/>
      <c r="Q178" s="30"/>
      <c r="R178" s="30">
        <v>15</v>
      </c>
      <c r="S178" s="30">
        <v>30</v>
      </c>
      <c r="T178" s="32">
        <v>10</v>
      </c>
      <c r="U178" s="33">
        <v>20</v>
      </c>
      <c r="V178" s="32">
        <v>30</v>
      </c>
      <c r="W178" s="32">
        <v>10</v>
      </c>
      <c r="X178" s="34">
        <f t="shared" si="64"/>
        <v>120</v>
      </c>
      <c r="Y178" s="22">
        <v>42536</v>
      </c>
    </row>
    <row r="179" spans="1:25">
      <c r="A179" s="75" t="s">
        <v>98</v>
      </c>
      <c r="B179" s="29"/>
      <c r="C179" s="30">
        <v>10</v>
      </c>
      <c r="D179" s="30"/>
      <c r="E179" s="30"/>
      <c r="F179" s="30"/>
      <c r="G179" s="32"/>
      <c r="H179" s="32"/>
      <c r="I179" s="32"/>
      <c r="J179" s="32">
        <v>10</v>
      </c>
      <c r="K179" s="34">
        <f t="shared" si="62"/>
        <v>20</v>
      </c>
      <c r="L179" s="22">
        <v>42529</v>
      </c>
      <c r="N179" s="20"/>
      <c r="O179" s="29"/>
      <c r="P179" s="30"/>
      <c r="Q179" s="30"/>
      <c r="R179" s="30"/>
      <c r="S179" s="30"/>
      <c r="T179" s="32"/>
      <c r="U179" s="32"/>
      <c r="V179" s="32"/>
      <c r="W179" s="32"/>
      <c r="X179" s="34">
        <f t="shared" si="64"/>
        <v>0</v>
      </c>
      <c r="Y179" s="22"/>
    </row>
    <row r="180" spans="1:25">
      <c r="A180" s="75" t="s">
        <v>101</v>
      </c>
      <c r="B180" s="29"/>
      <c r="C180" s="30"/>
      <c r="D180" s="30"/>
      <c r="E180" s="30"/>
      <c r="F180" s="30"/>
      <c r="G180" s="32">
        <v>2</v>
      </c>
      <c r="H180" s="33"/>
      <c r="I180" s="33"/>
      <c r="J180" s="33"/>
      <c r="K180" s="34">
        <f t="shared" si="62"/>
        <v>2</v>
      </c>
      <c r="L180" s="22">
        <v>42525</v>
      </c>
      <c r="N180" s="20"/>
      <c r="O180" s="29"/>
      <c r="P180" s="30"/>
      <c r="Q180" s="30"/>
      <c r="R180" s="30"/>
      <c r="S180" s="30"/>
      <c r="T180" s="32"/>
      <c r="U180" s="33"/>
      <c r="V180" s="33"/>
      <c r="W180" s="33"/>
      <c r="X180" s="34">
        <f t="shared" si="64"/>
        <v>0</v>
      </c>
      <c r="Y180" s="22"/>
    </row>
    <row r="181" spans="1:25">
      <c r="A181" s="20" t="s">
        <v>83</v>
      </c>
      <c r="B181" s="29">
        <v>2</v>
      </c>
      <c r="C181" s="30"/>
      <c r="D181" s="30"/>
      <c r="E181" s="31"/>
      <c r="F181" s="31"/>
      <c r="G181" s="32"/>
      <c r="H181" s="33">
        <v>-2</v>
      </c>
      <c r="I181" s="33"/>
      <c r="J181" s="33"/>
      <c r="K181" s="34">
        <f t="shared" si="62"/>
        <v>0</v>
      </c>
      <c r="L181" s="22">
        <v>42530</v>
      </c>
      <c r="N181" s="28"/>
      <c r="O181" s="29"/>
      <c r="P181" s="30"/>
      <c r="Q181" s="30"/>
      <c r="R181" s="31"/>
      <c r="S181" s="31"/>
      <c r="T181" s="32"/>
      <c r="U181" s="33"/>
      <c r="V181" s="33"/>
      <c r="W181" s="33"/>
      <c r="X181" s="34">
        <f t="shared" si="64"/>
        <v>0</v>
      </c>
      <c r="Y181" s="22"/>
    </row>
    <row r="182" spans="1:25">
      <c r="A182" s="20" t="s">
        <v>103</v>
      </c>
      <c r="B182" s="35"/>
      <c r="C182" s="31"/>
      <c r="D182" s="31"/>
      <c r="E182" s="31"/>
      <c r="F182" s="31"/>
      <c r="G182" s="33"/>
      <c r="H182" s="33">
        <v>1</v>
      </c>
      <c r="I182" s="33"/>
      <c r="J182" s="33"/>
      <c r="K182" s="34">
        <f t="shared" si="62"/>
        <v>1</v>
      </c>
      <c r="L182" s="22">
        <v>42529</v>
      </c>
      <c r="N182" s="28"/>
      <c r="O182" s="35"/>
      <c r="P182" s="31"/>
      <c r="Q182" s="31"/>
      <c r="R182" s="31"/>
      <c r="S182" s="31"/>
      <c r="T182" s="33"/>
      <c r="U182" s="33"/>
      <c r="V182" s="33"/>
      <c r="W182" s="33"/>
      <c r="X182" s="34">
        <f t="shared" si="64"/>
        <v>0</v>
      </c>
      <c r="Y182" s="22"/>
    </row>
    <row r="183" spans="1:25">
      <c r="A183" s="20" t="s">
        <v>102</v>
      </c>
      <c r="B183" s="35"/>
      <c r="C183" s="31"/>
      <c r="D183" s="31"/>
      <c r="E183" s="31"/>
      <c r="F183" s="31">
        <v>6</v>
      </c>
      <c r="G183" s="33"/>
      <c r="H183" s="33"/>
      <c r="I183" s="33"/>
      <c r="J183" s="33"/>
      <c r="K183" s="34">
        <f t="shared" si="62"/>
        <v>6</v>
      </c>
      <c r="L183" s="22">
        <v>42534</v>
      </c>
      <c r="N183" s="28"/>
      <c r="O183" s="35"/>
      <c r="P183" s="31"/>
      <c r="Q183" s="31"/>
      <c r="R183" s="31"/>
      <c r="S183" s="31"/>
      <c r="T183" s="33"/>
      <c r="U183" s="33"/>
      <c r="V183" s="33"/>
      <c r="W183" s="33"/>
      <c r="X183" s="34">
        <f t="shared" si="64"/>
        <v>0</v>
      </c>
      <c r="Y183" s="22"/>
    </row>
    <row r="184" spans="1:25">
      <c r="A184" s="20" t="s">
        <v>108</v>
      </c>
      <c r="B184" s="35"/>
      <c r="C184" s="31"/>
      <c r="D184" s="31"/>
      <c r="E184" s="31"/>
      <c r="F184" s="31"/>
      <c r="G184" s="33"/>
      <c r="H184" s="33"/>
      <c r="I184" s="33"/>
      <c r="J184" s="33"/>
      <c r="K184" s="34">
        <f t="shared" si="62"/>
        <v>0</v>
      </c>
      <c r="L184" s="22">
        <v>42531</v>
      </c>
      <c r="N184" s="28"/>
      <c r="O184" s="35"/>
      <c r="P184" s="31"/>
      <c r="Q184" s="31"/>
      <c r="R184" s="31"/>
      <c r="S184" s="31"/>
      <c r="T184" s="33"/>
      <c r="U184" s="33"/>
      <c r="V184" s="33"/>
      <c r="W184" s="33"/>
      <c r="X184" s="34">
        <f t="shared" si="64"/>
        <v>0</v>
      </c>
      <c r="Y184" s="22"/>
    </row>
    <row r="185" spans="1:25">
      <c r="A185" s="20" t="s">
        <v>104</v>
      </c>
      <c r="B185" s="29">
        <v>-1</v>
      </c>
      <c r="C185" s="30"/>
      <c r="D185" s="30"/>
      <c r="E185" s="30"/>
      <c r="F185" s="30">
        <v>-1</v>
      </c>
      <c r="G185" s="32"/>
      <c r="H185" s="32"/>
      <c r="I185" s="32"/>
      <c r="J185" s="32"/>
      <c r="K185" s="34">
        <f t="shared" si="62"/>
        <v>-2</v>
      </c>
      <c r="L185" s="22">
        <v>42534</v>
      </c>
      <c r="N185" s="28"/>
      <c r="O185" s="29"/>
      <c r="P185" s="30"/>
      <c r="Q185" s="30"/>
      <c r="R185" s="30"/>
      <c r="S185" s="30"/>
      <c r="T185" s="32"/>
      <c r="U185" s="32"/>
      <c r="V185" s="32"/>
      <c r="W185" s="32"/>
      <c r="X185" s="34">
        <f t="shared" si="64"/>
        <v>0</v>
      </c>
      <c r="Y185" s="22"/>
    </row>
    <row r="186" spans="1:25">
      <c r="A186" s="20" t="s">
        <v>105</v>
      </c>
      <c r="B186" s="35">
        <v>4</v>
      </c>
      <c r="C186" s="31">
        <v>2</v>
      </c>
      <c r="D186" s="31">
        <v>2</v>
      </c>
      <c r="E186" s="31">
        <v>10</v>
      </c>
      <c r="F186" s="31">
        <v>12</v>
      </c>
      <c r="G186" s="33">
        <v>10</v>
      </c>
      <c r="H186" s="33">
        <v>6</v>
      </c>
      <c r="I186" s="33">
        <v>16</v>
      </c>
      <c r="J186" s="33">
        <v>4</v>
      </c>
      <c r="K186" s="34">
        <f t="shared" si="62"/>
        <v>66</v>
      </c>
      <c r="L186" s="22">
        <v>42538</v>
      </c>
      <c r="N186" s="28"/>
      <c r="O186" s="35"/>
      <c r="P186" s="31"/>
      <c r="Q186" s="31"/>
      <c r="R186" s="31"/>
      <c r="S186" s="31"/>
      <c r="T186" s="33"/>
      <c r="U186" s="33"/>
      <c r="V186" s="33"/>
      <c r="W186" s="33"/>
      <c r="X186" s="34">
        <f t="shared" si="64"/>
        <v>0</v>
      </c>
      <c r="Y186" s="22"/>
    </row>
    <row r="187" spans="1:25">
      <c r="A187" s="20" t="s">
        <v>54</v>
      </c>
      <c r="B187" s="29"/>
      <c r="C187" s="30"/>
      <c r="D187" s="30"/>
      <c r="E187" s="30"/>
      <c r="F187" s="30">
        <v>10</v>
      </c>
      <c r="G187" s="32">
        <v>10</v>
      </c>
      <c r="H187" s="33">
        <v>10</v>
      </c>
      <c r="I187" s="33">
        <v>10</v>
      </c>
      <c r="J187" s="33"/>
      <c r="K187" s="34">
        <f t="shared" si="62"/>
        <v>40</v>
      </c>
      <c r="L187" s="22">
        <v>42537</v>
      </c>
      <c r="N187" s="28"/>
      <c r="O187" s="29"/>
      <c r="P187" s="30"/>
      <c r="Q187" s="30"/>
      <c r="R187" s="30"/>
      <c r="S187" s="30"/>
      <c r="T187" s="32"/>
      <c r="U187" s="33"/>
      <c r="V187" s="33"/>
      <c r="W187" s="33"/>
      <c r="X187" s="34">
        <f t="shared" si="64"/>
        <v>0</v>
      </c>
      <c r="Y187" s="22"/>
    </row>
    <row r="188" spans="1:25">
      <c r="A188" s="65" t="s">
        <v>106</v>
      </c>
      <c r="B188" s="29"/>
      <c r="C188" s="30"/>
      <c r="D188" s="30"/>
      <c r="E188" s="30"/>
      <c r="F188" s="30">
        <v>-1</v>
      </c>
      <c r="G188" s="32"/>
      <c r="H188" s="32"/>
      <c r="I188" s="32">
        <v>-1</v>
      </c>
      <c r="J188" s="32"/>
      <c r="K188" s="34">
        <f t="shared" si="62"/>
        <v>-2</v>
      </c>
      <c r="L188" s="19">
        <v>42535</v>
      </c>
      <c r="N188" s="28"/>
      <c r="O188" s="35"/>
      <c r="P188" s="31"/>
      <c r="Q188" s="31"/>
      <c r="R188" s="31"/>
      <c r="S188" s="31"/>
      <c r="T188" s="33"/>
      <c r="U188" s="33"/>
      <c r="V188" s="33"/>
      <c r="W188" s="33"/>
      <c r="X188" s="34">
        <f t="shared" si="64"/>
        <v>0</v>
      </c>
      <c r="Y188" s="22"/>
    </row>
    <row r="189" spans="1:25">
      <c r="A189" s="66" t="s">
        <v>107</v>
      </c>
      <c r="B189" s="35"/>
      <c r="C189" s="31"/>
      <c r="D189" s="31"/>
      <c r="E189" s="31"/>
      <c r="F189" s="31"/>
      <c r="G189" s="33">
        <v>-1</v>
      </c>
      <c r="H189" s="33"/>
      <c r="I189" s="33"/>
      <c r="J189" s="33"/>
      <c r="K189" s="34">
        <f t="shared" si="62"/>
        <v>-1</v>
      </c>
      <c r="L189" s="22">
        <v>42536</v>
      </c>
      <c r="N189" s="28"/>
      <c r="O189" s="35"/>
      <c r="P189" s="31"/>
      <c r="Q189" s="31"/>
      <c r="R189" s="31"/>
      <c r="S189" s="31"/>
      <c r="T189" s="33"/>
      <c r="U189" s="33"/>
      <c r="V189" s="33"/>
      <c r="W189" s="33"/>
      <c r="X189" s="34">
        <f t="shared" si="64"/>
        <v>0</v>
      </c>
      <c r="Y189" s="22"/>
    </row>
    <row r="190" spans="1:25">
      <c r="A190" s="20" t="s">
        <v>109</v>
      </c>
      <c r="B190" s="29"/>
      <c r="C190" s="30"/>
      <c r="D190" s="30"/>
      <c r="E190" s="30"/>
      <c r="F190" s="30">
        <v>1</v>
      </c>
      <c r="G190" s="32"/>
      <c r="H190" s="32"/>
      <c r="I190" s="32"/>
      <c r="J190" s="32"/>
      <c r="K190" s="34">
        <f t="shared" si="62"/>
        <v>1</v>
      </c>
      <c r="L190" s="22">
        <v>42536</v>
      </c>
      <c r="N190" s="65"/>
      <c r="O190" s="29"/>
      <c r="P190" s="30"/>
      <c r="Q190" s="30"/>
      <c r="R190" s="30"/>
      <c r="S190" s="30"/>
      <c r="T190" s="32"/>
      <c r="U190" s="32"/>
      <c r="V190" s="32"/>
      <c r="W190" s="32"/>
      <c r="X190" s="34">
        <f t="shared" si="64"/>
        <v>0</v>
      </c>
      <c r="Y190" s="22"/>
    </row>
    <row r="191" spans="1:25">
      <c r="A191" s="20" t="s">
        <v>27</v>
      </c>
      <c r="B191" s="29"/>
      <c r="C191" s="30"/>
      <c r="D191" s="30"/>
      <c r="E191" s="30"/>
      <c r="F191" s="30">
        <v>1</v>
      </c>
      <c r="G191" s="32"/>
      <c r="H191" s="32"/>
      <c r="I191" s="32"/>
      <c r="J191" s="32"/>
      <c r="K191" s="34">
        <f t="shared" si="62"/>
        <v>1</v>
      </c>
      <c r="L191" s="19">
        <v>42543</v>
      </c>
      <c r="N191" s="28"/>
      <c r="O191" s="29"/>
      <c r="P191" s="30"/>
      <c r="Q191" s="30"/>
      <c r="R191" s="30"/>
      <c r="S191" s="30"/>
      <c r="T191" s="32"/>
      <c r="U191" s="32"/>
      <c r="V191" s="32"/>
      <c r="W191" s="32"/>
      <c r="X191" s="34">
        <f t="shared" si="64"/>
        <v>0</v>
      </c>
      <c r="Y191" s="19"/>
    </row>
    <row r="192" spans="1:25">
      <c r="A192" s="20" t="s">
        <v>27</v>
      </c>
      <c r="B192" s="29"/>
      <c r="C192" s="30"/>
      <c r="D192" s="30"/>
      <c r="E192" s="30"/>
      <c r="F192" s="30"/>
      <c r="G192" s="32">
        <v>1</v>
      </c>
      <c r="H192" s="32"/>
      <c r="I192" s="32"/>
      <c r="J192" s="32"/>
      <c r="K192" s="34">
        <f t="shared" si="62"/>
        <v>1</v>
      </c>
      <c r="L192" s="19">
        <v>42545</v>
      </c>
      <c r="N192" s="65"/>
      <c r="O192" s="29"/>
      <c r="P192" s="30"/>
      <c r="Q192" s="30"/>
      <c r="R192" s="30"/>
      <c r="S192" s="30"/>
      <c r="T192" s="32"/>
      <c r="U192" s="32"/>
      <c r="V192" s="32"/>
      <c r="W192" s="32"/>
      <c r="X192" s="34">
        <f t="shared" si="64"/>
        <v>0</v>
      </c>
      <c r="Y192" s="19"/>
    </row>
    <row r="193" spans="1:25">
      <c r="A193" s="20" t="s">
        <v>110</v>
      </c>
      <c r="B193" s="29">
        <v>-2</v>
      </c>
      <c r="C193" s="30">
        <v>-1</v>
      </c>
      <c r="D193" s="30"/>
      <c r="E193" s="30"/>
      <c r="F193" s="30">
        <v>-1</v>
      </c>
      <c r="G193" s="32"/>
      <c r="H193" s="32"/>
      <c r="I193" s="32"/>
      <c r="J193" s="32"/>
      <c r="K193" s="34">
        <f t="shared" si="62"/>
        <v>-4</v>
      </c>
      <c r="L193" s="19">
        <v>42546</v>
      </c>
      <c r="N193" s="65"/>
      <c r="O193" s="29"/>
      <c r="P193" s="30"/>
      <c r="Q193" s="30"/>
      <c r="R193" s="30"/>
      <c r="S193" s="30"/>
      <c r="T193" s="32"/>
      <c r="U193" s="32"/>
      <c r="V193" s="32"/>
      <c r="W193" s="32"/>
      <c r="X193" s="34">
        <f t="shared" si="64"/>
        <v>0</v>
      </c>
      <c r="Y193" s="19"/>
    </row>
    <row r="194" spans="1:25" ht="14.25" thickBot="1">
      <c r="A194" s="20" t="s">
        <v>54</v>
      </c>
      <c r="B194" s="29"/>
      <c r="C194" s="30"/>
      <c r="D194" s="30"/>
      <c r="E194" s="31"/>
      <c r="F194" s="31"/>
      <c r="G194" s="32"/>
      <c r="H194" s="33"/>
      <c r="I194" s="33"/>
      <c r="J194" s="33">
        <v>10</v>
      </c>
      <c r="K194" s="34">
        <f t="shared" si="62"/>
        <v>10</v>
      </c>
      <c r="L194" s="36">
        <v>42551</v>
      </c>
      <c r="N194" s="28"/>
      <c r="O194" s="29"/>
      <c r="P194" s="30"/>
      <c r="Q194" s="30"/>
      <c r="R194" s="31"/>
      <c r="S194" s="31"/>
      <c r="T194" s="32"/>
      <c r="U194" s="33"/>
      <c r="V194" s="33"/>
      <c r="W194" s="33"/>
      <c r="X194" s="34">
        <f t="shared" si="64"/>
        <v>0</v>
      </c>
      <c r="Y194" s="36"/>
    </row>
    <row r="195" spans="1:25" ht="14.25" thickBot="1">
      <c r="A195" s="2" t="s">
        <v>19</v>
      </c>
      <c r="B195" s="23">
        <f t="shared" ref="B195:J195" si="65">SUM(B175:B194)</f>
        <v>3</v>
      </c>
      <c r="C195" s="24">
        <f t="shared" si="65"/>
        <v>13</v>
      </c>
      <c r="D195" s="24">
        <f t="shared" si="65"/>
        <v>2</v>
      </c>
      <c r="E195" s="24">
        <f t="shared" si="65"/>
        <v>17</v>
      </c>
      <c r="F195" s="24">
        <f t="shared" si="65"/>
        <v>42</v>
      </c>
      <c r="G195" s="25">
        <f t="shared" si="65"/>
        <v>20</v>
      </c>
      <c r="H195" s="25">
        <f t="shared" si="65"/>
        <v>22</v>
      </c>
      <c r="I195" s="25">
        <f t="shared" si="65"/>
        <v>39</v>
      </c>
      <c r="J195" s="25">
        <f t="shared" si="65"/>
        <v>40</v>
      </c>
      <c r="K195" s="37">
        <f>SUM(B195:J195)</f>
        <v>198</v>
      </c>
      <c r="L195" s="27"/>
      <c r="N195" s="2" t="s">
        <v>19</v>
      </c>
      <c r="O195" s="23">
        <f t="shared" ref="O195:W195" si="66">SUM(O175:O194)</f>
        <v>25</v>
      </c>
      <c r="P195" s="24">
        <f t="shared" si="66"/>
        <v>20</v>
      </c>
      <c r="Q195" s="24">
        <f t="shared" si="66"/>
        <v>10</v>
      </c>
      <c r="R195" s="24">
        <f t="shared" si="66"/>
        <v>65</v>
      </c>
      <c r="S195" s="24">
        <f t="shared" si="66"/>
        <v>90</v>
      </c>
      <c r="T195" s="25">
        <f t="shared" si="66"/>
        <v>20</v>
      </c>
      <c r="U195" s="25">
        <f t="shared" si="66"/>
        <v>30</v>
      </c>
      <c r="V195" s="25">
        <f t="shared" si="66"/>
        <v>50</v>
      </c>
      <c r="W195" s="25">
        <f t="shared" si="66"/>
        <v>33</v>
      </c>
      <c r="X195" s="37">
        <f>SUM(O195:W195)</f>
        <v>343</v>
      </c>
      <c r="Y195" s="27"/>
    </row>
    <row r="196" spans="1:25" ht="14.25" thickBot="1">
      <c r="A196" s="38" t="s">
        <v>17</v>
      </c>
      <c r="B196" s="39">
        <f>B174-B195</f>
        <v>13</v>
      </c>
      <c r="C196" s="39">
        <f t="shared" ref="C196:K196" si="67">C174-C195</f>
        <v>14</v>
      </c>
      <c r="D196" s="39">
        <f t="shared" si="67"/>
        <v>10</v>
      </c>
      <c r="E196" s="39">
        <f t="shared" si="67"/>
        <v>10</v>
      </c>
      <c r="F196" s="39">
        <f t="shared" si="67"/>
        <v>13</v>
      </c>
      <c r="G196" s="39">
        <f t="shared" si="67"/>
        <v>6</v>
      </c>
      <c r="H196" s="39">
        <f t="shared" si="67"/>
        <v>13</v>
      </c>
      <c r="I196" s="39">
        <f t="shared" si="67"/>
        <v>14</v>
      </c>
      <c r="J196" s="40">
        <f t="shared" si="67"/>
        <v>4</v>
      </c>
      <c r="K196" s="37">
        <f t="shared" si="67"/>
        <v>97</v>
      </c>
      <c r="L196" s="41"/>
      <c r="N196" s="38" t="s">
        <v>17</v>
      </c>
      <c r="O196" s="39">
        <f>O174-O195</f>
        <v>178</v>
      </c>
      <c r="P196" s="39">
        <f t="shared" ref="P196:X196" si="68">P174-P195</f>
        <v>254</v>
      </c>
      <c r="Q196" s="39">
        <f t="shared" si="68"/>
        <v>147</v>
      </c>
      <c r="R196" s="39">
        <f t="shared" si="68"/>
        <v>362</v>
      </c>
      <c r="S196" s="39">
        <f t="shared" si="68"/>
        <v>339</v>
      </c>
      <c r="T196" s="39">
        <f t="shared" si="68"/>
        <v>220</v>
      </c>
      <c r="U196" s="39">
        <f t="shared" si="68"/>
        <v>86</v>
      </c>
      <c r="V196" s="39">
        <f t="shared" si="68"/>
        <v>201</v>
      </c>
      <c r="W196" s="40">
        <f t="shared" si="68"/>
        <v>210</v>
      </c>
      <c r="X196" s="37">
        <f t="shared" si="68"/>
        <v>1997</v>
      </c>
      <c r="Y196" s="41"/>
    </row>
    <row r="199" spans="1:25" ht="19.5" thickBot="1">
      <c r="A199" s="1" t="s">
        <v>22</v>
      </c>
      <c r="N199" s="1" t="s">
        <v>21</v>
      </c>
    </row>
    <row r="200" spans="1:25" ht="19.5" thickBot="1">
      <c r="A200" s="2" t="s">
        <v>0</v>
      </c>
      <c r="B200" s="163" t="s">
        <v>20</v>
      </c>
      <c r="C200" s="164"/>
      <c r="D200" s="164"/>
      <c r="E200" s="164"/>
      <c r="F200" s="164"/>
      <c r="G200" s="164"/>
      <c r="H200" s="165"/>
      <c r="I200" s="165"/>
      <c r="J200" s="165"/>
      <c r="K200" s="166"/>
      <c r="L200" s="161" t="s">
        <v>1</v>
      </c>
      <c r="N200" s="2" t="s">
        <v>0</v>
      </c>
      <c r="O200" s="163" t="s">
        <v>20</v>
      </c>
      <c r="P200" s="164"/>
      <c r="Q200" s="164"/>
      <c r="R200" s="164"/>
      <c r="S200" s="164"/>
      <c r="T200" s="164"/>
      <c r="U200" s="165"/>
      <c r="V200" s="165"/>
      <c r="W200" s="165"/>
      <c r="X200" s="166"/>
      <c r="Y200" s="161" t="s">
        <v>1</v>
      </c>
    </row>
    <row r="201" spans="1:25" ht="14.25" thickBot="1">
      <c r="A201" s="2" t="s">
        <v>2</v>
      </c>
      <c r="B201" s="3" t="s">
        <v>3</v>
      </c>
      <c r="C201" s="4" t="s">
        <v>4</v>
      </c>
      <c r="D201" s="4" t="s">
        <v>5</v>
      </c>
      <c r="E201" s="4" t="s">
        <v>6</v>
      </c>
      <c r="F201" s="4" t="s">
        <v>7</v>
      </c>
      <c r="G201" s="5" t="s">
        <v>8</v>
      </c>
      <c r="H201" s="4" t="s">
        <v>9</v>
      </c>
      <c r="I201" s="6" t="s">
        <v>10</v>
      </c>
      <c r="J201" s="5" t="s">
        <v>11</v>
      </c>
      <c r="K201" s="7" t="s">
        <v>12</v>
      </c>
      <c r="L201" s="162"/>
      <c r="N201" s="2" t="s">
        <v>2</v>
      </c>
      <c r="O201" s="3" t="s">
        <v>3</v>
      </c>
      <c r="P201" s="4" t="s">
        <v>4</v>
      </c>
      <c r="Q201" s="4" t="s">
        <v>5</v>
      </c>
      <c r="R201" s="4" t="s">
        <v>6</v>
      </c>
      <c r="S201" s="4" t="s">
        <v>7</v>
      </c>
      <c r="T201" s="5" t="s">
        <v>8</v>
      </c>
      <c r="U201" s="4" t="s">
        <v>9</v>
      </c>
      <c r="V201" s="6" t="s">
        <v>10</v>
      </c>
      <c r="W201" s="5" t="s">
        <v>11</v>
      </c>
      <c r="X201" s="7" t="s">
        <v>12</v>
      </c>
      <c r="Y201" s="162"/>
    </row>
    <row r="202" spans="1:25">
      <c r="A202" s="8" t="s">
        <v>17</v>
      </c>
      <c r="B202" s="80">
        <f>B196</f>
        <v>13</v>
      </c>
      <c r="C202" s="60">
        <f>C196</f>
        <v>14</v>
      </c>
      <c r="D202" s="60">
        <f t="shared" ref="D202:J202" si="69">D196</f>
        <v>10</v>
      </c>
      <c r="E202" s="60">
        <f t="shared" si="69"/>
        <v>10</v>
      </c>
      <c r="F202" s="60">
        <f t="shared" si="69"/>
        <v>13</v>
      </c>
      <c r="G202" s="60">
        <f t="shared" si="69"/>
        <v>6</v>
      </c>
      <c r="H202" s="60">
        <f t="shared" si="69"/>
        <v>13</v>
      </c>
      <c r="I202" s="60">
        <f t="shared" si="69"/>
        <v>14</v>
      </c>
      <c r="J202" s="60">
        <f t="shared" si="69"/>
        <v>4</v>
      </c>
      <c r="K202" s="50">
        <f t="shared" ref="K202:K204" si="70">SUM(B202:J202)</f>
        <v>97</v>
      </c>
      <c r="L202" s="12"/>
      <c r="M202" s="74"/>
      <c r="N202" s="52" t="s">
        <v>17</v>
      </c>
      <c r="O202" s="55">
        <f>O196</f>
        <v>178</v>
      </c>
      <c r="P202" s="56">
        <f>P196</f>
        <v>254</v>
      </c>
      <c r="Q202" s="56">
        <f t="shared" ref="Q202:W202" si="71">Q196</f>
        <v>147</v>
      </c>
      <c r="R202" s="56">
        <f t="shared" si="71"/>
        <v>362</v>
      </c>
      <c r="S202" s="56">
        <f t="shared" si="71"/>
        <v>339</v>
      </c>
      <c r="T202" s="56">
        <f t="shared" si="71"/>
        <v>220</v>
      </c>
      <c r="U202" s="56">
        <f t="shared" si="71"/>
        <v>86</v>
      </c>
      <c r="V202" s="56">
        <f t="shared" si="71"/>
        <v>201</v>
      </c>
      <c r="W202" s="56">
        <f t="shared" si="71"/>
        <v>210</v>
      </c>
      <c r="X202" s="53">
        <f t="shared" ref="X202:X208" si="72">SUM(O202:W202)</f>
        <v>1997</v>
      </c>
      <c r="Y202" s="54"/>
    </row>
    <row r="203" spans="1:25">
      <c r="A203" s="8" t="s">
        <v>14</v>
      </c>
      <c r="B203" s="9"/>
      <c r="C203" s="10"/>
      <c r="D203" s="10"/>
      <c r="E203" s="10">
        <v>10</v>
      </c>
      <c r="F203" s="10"/>
      <c r="G203" s="11">
        <v>5</v>
      </c>
      <c r="H203" s="11"/>
      <c r="I203" s="11"/>
      <c r="J203" s="11">
        <v>5</v>
      </c>
      <c r="K203" s="13">
        <f t="shared" si="70"/>
        <v>20</v>
      </c>
      <c r="L203" s="12">
        <v>42553</v>
      </c>
      <c r="M203" s="74"/>
      <c r="N203" s="8" t="s">
        <v>14</v>
      </c>
      <c r="O203" s="9"/>
      <c r="P203" s="10"/>
      <c r="Q203" s="10"/>
      <c r="R203" s="10"/>
      <c r="S203" s="10"/>
      <c r="T203" s="11"/>
      <c r="U203" s="11"/>
      <c r="V203" s="11"/>
      <c r="W203" s="11"/>
      <c r="X203" s="13">
        <f t="shared" si="72"/>
        <v>0</v>
      </c>
      <c r="Y203" s="12"/>
    </row>
    <row r="204" spans="1:25">
      <c r="A204" s="8" t="s">
        <v>15</v>
      </c>
      <c r="B204" s="15">
        <v>15</v>
      </c>
      <c r="C204" s="16"/>
      <c r="D204" s="16"/>
      <c r="E204" s="16">
        <v>20</v>
      </c>
      <c r="F204" s="16">
        <v>20</v>
      </c>
      <c r="G204" s="17"/>
      <c r="H204" s="17">
        <v>15</v>
      </c>
      <c r="I204" s="17"/>
      <c r="J204" s="17">
        <v>20</v>
      </c>
      <c r="K204" s="18">
        <f t="shared" si="70"/>
        <v>90</v>
      </c>
      <c r="L204" s="19">
        <v>42558</v>
      </c>
      <c r="N204" s="8" t="s">
        <v>15</v>
      </c>
      <c r="O204" s="15"/>
      <c r="P204" s="16"/>
      <c r="Q204" s="16"/>
      <c r="R204" s="16"/>
      <c r="S204" s="16"/>
      <c r="T204" s="17"/>
      <c r="U204" s="17"/>
      <c r="V204" s="17"/>
      <c r="W204" s="17"/>
      <c r="X204" s="18">
        <f t="shared" si="72"/>
        <v>0</v>
      </c>
      <c r="Y204" s="19"/>
    </row>
    <row r="205" spans="1:25">
      <c r="A205" s="8" t="s">
        <v>117</v>
      </c>
      <c r="B205" s="67"/>
      <c r="C205" s="35"/>
      <c r="D205" s="35"/>
      <c r="E205" s="35"/>
      <c r="F205" s="35">
        <v>3</v>
      </c>
      <c r="G205" s="35"/>
      <c r="H205" s="35">
        <v>2</v>
      </c>
      <c r="I205" s="35">
        <v>2</v>
      </c>
      <c r="J205" s="69"/>
      <c r="K205" s="13">
        <f>SUM(B205:J205)</f>
        <v>7</v>
      </c>
      <c r="L205" s="22">
        <v>42555</v>
      </c>
      <c r="N205" s="8" t="s">
        <v>16</v>
      </c>
      <c r="O205" s="9"/>
      <c r="P205" s="10"/>
      <c r="Q205" s="10"/>
      <c r="R205" s="10"/>
      <c r="S205" s="10"/>
      <c r="T205" s="10"/>
      <c r="U205" s="10"/>
      <c r="V205" s="10"/>
      <c r="W205" s="21"/>
      <c r="X205" s="18">
        <f t="shared" si="72"/>
        <v>0</v>
      </c>
      <c r="Y205" s="22"/>
    </row>
    <row r="206" spans="1:25" ht="14.25" thickBot="1">
      <c r="A206" s="8" t="s">
        <v>88</v>
      </c>
      <c r="B206" s="70"/>
      <c r="C206" s="71">
        <v>20</v>
      </c>
      <c r="D206" s="71"/>
      <c r="E206" s="71">
        <v>5</v>
      </c>
      <c r="F206" s="71"/>
      <c r="G206" s="71"/>
      <c r="H206" s="71"/>
      <c r="I206" s="71"/>
      <c r="J206" s="72"/>
      <c r="K206" s="26">
        <f>SUM(B206:J206)</f>
        <v>25</v>
      </c>
      <c r="L206" s="73">
        <v>42572</v>
      </c>
      <c r="N206" s="8" t="s">
        <v>23</v>
      </c>
      <c r="O206" s="42"/>
      <c r="P206" s="43"/>
      <c r="Q206" s="43"/>
      <c r="R206" s="43"/>
      <c r="S206" s="43"/>
      <c r="T206" s="43"/>
      <c r="U206" s="43"/>
      <c r="V206" s="43"/>
      <c r="W206" s="44"/>
      <c r="X206" s="45">
        <f t="shared" si="72"/>
        <v>0</v>
      </c>
      <c r="Y206" s="19"/>
    </row>
    <row r="207" spans="1:25" ht="14.25" thickBot="1">
      <c r="A207" s="76" t="s">
        <v>18</v>
      </c>
      <c r="B207" s="77">
        <f>SUM(B202:B206)</f>
        <v>28</v>
      </c>
      <c r="C207" s="78">
        <f t="shared" ref="C207:J207" si="73">SUM(C202:C206)</f>
        <v>34</v>
      </c>
      <c r="D207" s="78">
        <f t="shared" si="73"/>
        <v>10</v>
      </c>
      <c r="E207" s="78">
        <f t="shared" si="73"/>
        <v>45</v>
      </c>
      <c r="F207" s="78">
        <f t="shared" si="73"/>
        <v>36</v>
      </c>
      <c r="G207" s="79">
        <f t="shared" si="73"/>
        <v>11</v>
      </c>
      <c r="H207" s="79">
        <f t="shared" si="73"/>
        <v>30</v>
      </c>
      <c r="I207" s="79">
        <f t="shared" si="73"/>
        <v>16</v>
      </c>
      <c r="J207" s="79">
        <f t="shared" si="73"/>
        <v>29</v>
      </c>
      <c r="K207" s="26">
        <f t="shared" ref="K207:K227" si="74">SUM(B207:J207)</f>
        <v>239</v>
      </c>
      <c r="L207" s="27"/>
      <c r="N207" s="2" t="s">
        <v>18</v>
      </c>
      <c r="O207" s="23">
        <f t="shared" ref="O207:W207" si="75">SUM(O202:O206)</f>
        <v>178</v>
      </c>
      <c r="P207" s="24">
        <f t="shared" si="75"/>
        <v>254</v>
      </c>
      <c r="Q207" s="24">
        <f t="shared" si="75"/>
        <v>147</v>
      </c>
      <c r="R207" s="24">
        <f t="shared" si="75"/>
        <v>362</v>
      </c>
      <c r="S207" s="24">
        <f t="shared" si="75"/>
        <v>339</v>
      </c>
      <c r="T207" s="25">
        <f t="shared" si="75"/>
        <v>220</v>
      </c>
      <c r="U207" s="25">
        <f t="shared" si="75"/>
        <v>86</v>
      </c>
      <c r="V207" s="25">
        <f t="shared" si="75"/>
        <v>201</v>
      </c>
      <c r="W207" s="25">
        <f t="shared" si="75"/>
        <v>210</v>
      </c>
      <c r="X207" s="26">
        <f t="shared" si="72"/>
        <v>1997</v>
      </c>
      <c r="Y207" s="27"/>
    </row>
    <row r="208" spans="1:25">
      <c r="A208" s="20" t="s">
        <v>114</v>
      </c>
      <c r="B208" s="29"/>
      <c r="C208" s="30"/>
      <c r="D208" s="30"/>
      <c r="E208" s="30"/>
      <c r="F208" s="30">
        <v>1</v>
      </c>
      <c r="G208" s="32"/>
      <c r="H208" s="32"/>
      <c r="I208" s="32"/>
      <c r="J208" s="32"/>
      <c r="K208" s="34">
        <f t="shared" si="74"/>
        <v>1</v>
      </c>
      <c r="L208" s="19">
        <v>42548</v>
      </c>
      <c r="N208" s="28" t="s">
        <v>112</v>
      </c>
      <c r="O208" s="9"/>
      <c r="P208" s="10"/>
      <c r="Q208" s="10"/>
      <c r="R208" s="10">
        <v>10</v>
      </c>
      <c r="S208" s="10"/>
      <c r="T208" s="11">
        <v>5</v>
      </c>
      <c r="U208" s="11"/>
      <c r="V208" s="11"/>
      <c r="W208" s="11">
        <v>5</v>
      </c>
      <c r="X208" s="13">
        <f t="shared" si="72"/>
        <v>20</v>
      </c>
      <c r="Y208" s="12">
        <v>42553</v>
      </c>
    </row>
    <row r="209" spans="1:25">
      <c r="A209" s="20" t="s">
        <v>92</v>
      </c>
      <c r="B209" s="29"/>
      <c r="C209" s="30"/>
      <c r="D209" s="30">
        <v>2</v>
      </c>
      <c r="E209" s="30"/>
      <c r="F209" s="30"/>
      <c r="G209" s="32"/>
      <c r="H209" s="32"/>
      <c r="I209" s="32"/>
      <c r="J209" s="32"/>
      <c r="K209" s="34">
        <f t="shared" si="74"/>
        <v>2</v>
      </c>
      <c r="L209" s="22">
        <v>42555</v>
      </c>
      <c r="N209" s="28" t="s">
        <v>29</v>
      </c>
      <c r="O209" s="67">
        <v>15</v>
      </c>
      <c r="P209" s="35"/>
      <c r="Q209" s="35"/>
      <c r="R209" s="35">
        <v>20</v>
      </c>
      <c r="S209" s="35">
        <v>20</v>
      </c>
      <c r="T209" s="35"/>
      <c r="U209" s="35">
        <v>15</v>
      </c>
      <c r="V209" s="35"/>
      <c r="W209" s="68">
        <v>20</v>
      </c>
      <c r="X209" s="13">
        <f>SUM(O209:W209)</f>
        <v>90</v>
      </c>
      <c r="Y209" s="19">
        <v>42558</v>
      </c>
    </row>
    <row r="210" spans="1:25">
      <c r="A210" s="20" t="s">
        <v>111</v>
      </c>
      <c r="B210" s="29"/>
      <c r="C210" s="30"/>
      <c r="D210" s="30"/>
      <c r="E210" s="30">
        <v>10</v>
      </c>
      <c r="F210" s="30"/>
      <c r="G210" s="32"/>
      <c r="H210" s="32"/>
      <c r="I210" s="32"/>
      <c r="J210" s="32"/>
      <c r="K210" s="34">
        <f t="shared" si="74"/>
        <v>10</v>
      </c>
      <c r="L210" s="22">
        <v>42555</v>
      </c>
      <c r="N210" s="28" t="s">
        <v>29</v>
      </c>
      <c r="O210" s="29"/>
      <c r="P210" s="30">
        <v>20</v>
      </c>
      <c r="Q210" s="30"/>
      <c r="R210" s="30">
        <v>5</v>
      </c>
      <c r="S210" s="30"/>
      <c r="T210" s="32"/>
      <c r="U210" s="32"/>
      <c r="V210" s="32"/>
      <c r="W210" s="32"/>
      <c r="X210" s="34">
        <f t="shared" ref="X210:X227" si="76">SUM(O210:W210)</f>
        <v>25</v>
      </c>
      <c r="Y210" s="22">
        <v>42572</v>
      </c>
    </row>
    <row r="211" spans="1:25">
      <c r="A211" s="65" t="s">
        <v>113</v>
      </c>
      <c r="B211" s="29"/>
      <c r="C211" s="30"/>
      <c r="D211" s="30"/>
      <c r="E211" s="30"/>
      <c r="F211" s="30">
        <v>3</v>
      </c>
      <c r="G211" s="32"/>
      <c r="H211" s="33"/>
      <c r="I211" s="32"/>
      <c r="J211" s="32"/>
      <c r="K211" s="34">
        <f t="shared" si="74"/>
        <v>3</v>
      </c>
      <c r="L211" s="22">
        <v>42551</v>
      </c>
      <c r="N211" s="28"/>
      <c r="O211" s="29"/>
      <c r="P211" s="30"/>
      <c r="Q211" s="30"/>
      <c r="R211" s="30"/>
      <c r="S211" s="30"/>
      <c r="T211" s="32"/>
      <c r="U211" s="33"/>
      <c r="V211" s="32"/>
      <c r="W211" s="32"/>
      <c r="X211" s="34">
        <f t="shared" si="76"/>
        <v>0</v>
      </c>
      <c r="Y211" s="22"/>
    </row>
    <row r="212" spans="1:25">
      <c r="A212" s="75" t="s">
        <v>115</v>
      </c>
      <c r="B212" s="29"/>
      <c r="C212" s="30"/>
      <c r="D212" s="30"/>
      <c r="E212" s="30"/>
      <c r="F212" s="30">
        <v>1</v>
      </c>
      <c r="G212" s="32"/>
      <c r="H212" s="32"/>
      <c r="I212" s="32"/>
      <c r="J212" s="32"/>
      <c r="K212" s="34">
        <f t="shared" si="74"/>
        <v>1</v>
      </c>
      <c r="L212" s="22">
        <v>42555</v>
      </c>
      <c r="N212" s="20"/>
      <c r="O212" s="29"/>
      <c r="P212" s="30"/>
      <c r="Q212" s="30"/>
      <c r="R212" s="30"/>
      <c r="S212" s="30"/>
      <c r="T212" s="32"/>
      <c r="U212" s="32"/>
      <c r="V212" s="32"/>
      <c r="W212" s="32"/>
      <c r="X212" s="34">
        <f t="shared" si="76"/>
        <v>0</v>
      </c>
      <c r="Y212" s="22"/>
    </row>
    <row r="213" spans="1:25">
      <c r="A213" s="75" t="s">
        <v>119</v>
      </c>
      <c r="B213" s="29"/>
      <c r="C213" s="30"/>
      <c r="D213" s="30"/>
      <c r="E213" s="30">
        <v>1</v>
      </c>
      <c r="F213" s="30"/>
      <c r="G213" s="32"/>
      <c r="H213" s="33"/>
      <c r="I213" s="33"/>
      <c r="J213" s="33"/>
      <c r="K213" s="34">
        <f t="shared" si="74"/>
        <v>1</v>
      </c>
      <c r="L213" s="22">
        <v>42556</v>
      </c>
      <c r="N213" s="20"/>
      <c r="O213" s="29"/>
      <c r="P213" s="30"/>
      <c r="Q213" s="30"/>
      <c r="R213" s="30"/>
      <c r="S213" s="30"/>
      <c r="T213" s="32"/>
      <c r="U213" s="33"/>
      <c r="V213" s="33"/>
      <c r="W213" s="33"/>
      <c r="X213" s="34">
        <f t="shared" si="76"/>
        <v>0</v>
      </c>
      <c r="Y213" s="22"/>
    </row>
    <row r="214" spans="1:25">
      <c r="A214" s="20" t="s">
        <v>116</v>
      </c>
      <c r="B214" s="29">
        <v>17</v>
      </c>
      <c r="C214" s="30"/>
      <c r="D214" s="30"/>
      <c r="E214" s="31">
        <v>17</v>
      </c>
      <c r="F214" s="31">
        <v>17</v>
      </c>
      <c r="G214" s="32"/>
      <c r="H214" s="33">
        <v>17</v>
      </c>
      <c r="I214" s="33"/>
      <c r="J214" s="33">
        <v>17</v>
      </c>
      <c r="K214" s="34">
        <f t="shared" si="74"/>
        <v>85</v>
      </c>
      <c r="L214" s="22">
        <v>42559</v>
      </c>
      <c r="N214" s="28"/>
      <c r="O214" s="29"/>
      <c r="P214" s="30"/>
      <c r="Q214" s="30"/>
      <c r="R214" s="31"/>
      <c r="S214" s="31"/>
      <c r="T214" s="32"/>
      <c r="U214" s="33"/>
      <c r="V214" s="33"/>
      <c r="W214" s="33"/>
      <c r="X214" s="34">
        <f t="shared" si="76"/>
        <v>0</v>
      </c>
      <c r="Y214" s="22"/>
    </row>
    <row r="215" spans="1:25">
      <c r="A215" s="20" t="s">
        <v>120</v>
      </c>
      <c r="B215" s="35"/>
      <c r="C215" s="31"/>
      <c r="D215" s="31"/>
      <c r="E215" s="31">
        <v>2</v>
      </c>
      <c r="F215" s="31"/>
      <c r="G215" s="33"/>
      <c r="H215" s="33"/>
      <c r="I215" s="33"/>
      <c r="J215" s="33"/>
      <c r="K215" s="34">
        <f t="shared" si="74"/>
        <v>2</v>
      </c>
      <c r="L215" s="22">
        <v>42559</v>
      </c>
      <c r="N215" s="28"/>
      <c r="O215" s="35"/>
      <c r="P215" s="31"/>
      <c r="Q215" s="31"/>
      <c r="R215" s="31"/>
      <c r="S215" s="31"/>
      <c r="T215" s="33"/>
      <c r="U215" s="33"/>
      <c r="V215" s="33"/>
      <c r="W215" s="33"/>
      <c r="X215" s="34">
        <f t="shared" si="76"/>
        <v>0</v>
      </c>
      <c r="Y215" s="22"/>
    </row>
    <row r="216" spans="1:25">
      <c r="A216" s="20" t="s">
        <v>121</v>
      </c>
      <c r="B216" s="35"/>
      <c r="C216" s="31"/>
      <c r="D216" s="31"/>
      <c r="E216" s="31"/>
      <c r="F216" s="31">
        <v>1</v>
      </c>
      <c r="G216" s="33"/>
      <c r="H216" s="33"/>
      <c r="I216" s="33"/>
      <c r="J216" s="33"/>
      <c r="K216" s="34">
        <f t="shared" si="74"/>
        <v>1</v>
      </c>
      <c r="L216" s="22">
        <v>42562</v>
      </c>
      <c r="N216" s="28"/>
      <c r="O216" s="35"/>
      <c r="P216" s="31"/>
      <c r="Q216" s="31"/>
      <c r="R216" s="31"/>
      <c r="S216" s="31"/>
      <c r="T216" s="33"/>
      <c r="U216" s="33"/>
      <c r="V216" s="33"/>
      <c r="W216" s="33"/>
      <c r="X216" s="34">
        <f t="shared" si="76"/>
        <v>0</v>
      </c>
      <c r="Y216" s="22"/>
    </row>
    <row r="217" spans="1:25">
      <c r="A217" s="20" t="s">
        <v>27</v>
      </c>
      <c r="B217" s="35"/>
      <c r="C217" s="31"/>
      <c r="D217" s="31"/>
      <c r="E217" s="31"/>
      <c r="F217" s="31">
        <v>1</v>
      </c>
      <c r="G217" s="33"/>
      <c r="H217" s="33"/>
      <c r="I217" s="33"/>
      <c r="J217" s="33"/>
      <c r="K217" s="34">
        <f t="shared" si="74"/>
        <v>1</v>
      </c>
      <c r="L217" s="22">
        <v>42563</v>
      </c>
      <c r="N217" s="28"/>
      <c r="O217" s="35"/>
      <c r="P217" s="31"/>
      <c r="Q217" s="31"/>
      <c r="R217" s="31"/>
      <c r="S217" s="31"/>
      <c r="T217" s="33"/>
      <c r="U217" s="33"/>
      <c r="V217" s="33"/>
      <c r="W217" s="33"/>
      <c r="X217" s="34">
        <f t="shared" si="76"/>
        <v>0</v>
      </c>
      <c r="Y217" s="22"/>
    </row>
    <row r="218" spans="1:25">
      <c r="A218" s="20" t="s">
        <v>105</v>
      </c>
      <c r="B218" s="29">
        <v>4</v>
      </c>
      <c r="C218" s="30">
        <v>6</v>
      </c>
      <c r="D218" s="30">
        <v>4</v>
      </c>
      <c r="E218" s="30"/>
      <c r="F218" s="30"/>
      <c r="G218" s="32"/>
      <c r="H218" s="32"/>
      <c r="I218" s="32"/>
      <c r="J218" s="32">
        <v>4</v>
      </c>
      <c r="K218" s="34">
        <f t="shared" si="74"/>
        <v>18</v>
      </c>
      <c r="L218" s="22">
        <v>42570</v>
      </c>
      <c r="N218" s="28"/>
      <c r="O218" s="29"/>
      <c r="P218" s="30"/>
      <c r="Q218" s="30"/>
      <c r="R218" s="30"/>
      <c r="S218" s="30"/>
      <c r="T218" s="32"/>
      <c r="U218" s="32"/>
      <c r="V218" s="32"/>
      <c r="W218" s="32"/>
      <c r="X218" s="34">
        <f t="shared" si="76"/>
        <v>0</v>
      </c>
      <c r="Y218" s="22"/>
    </row>
    <row r="219" spans="1:25">
      <c r="A219" s="20" t="s">
        <v>122</v>
      </c>
      <c r="B219" s="35"/>
      <c r="C219" s="31"/>
      <c r="D219" s="31"/>
      <c r="E219" s="31">
        <v>1</v>
      </c>
      <c r="F219" s="31"/>
      <c r="G219" s="33"/>
      <c r="H219" s="33"/>
      <c r="I219" s="33">
        <v>1</v>
      </c>
      <c r="J219" s="33"/>
      <c r="K219" s="34">
        <f t="shared" si="74"/>
        <v>2</v>
      </c>
      <c r="L219" s="22">
        <v>42569</v>
      </c>
      <c r="N219" s="28"/>
      <c r="O219" s="35"/>
      <c r="P219" s="31"/>
      <c r="Q219" s="31"/>
      <c r="R219" s="31"/>
      <c r="S219" s="31"/>
      <c r="T219" s="33"/>
      <c r="U219" s="33"/>
      <c r="V219" s="33"/>
      <c r="W219" s="33"/>
      <c r="X219" s="34">
        <f t="shared" si="76"/>
        <v>0</v>
      </c>
      <c r="Y219" s="22"/>
    </row>
    <row r="220" spans="1:25">
      <c r="A220" s="20" t="s">
        <v>123</v>
      </c>
      <c r="B220" s="29"/>
      <c r="C220" s="30"/>
      <c r="D220" s="30"/>
      <c r="E220" s="30">
        <v>2</v>
      </c>
      <c r="F220" s="30">
        <v>2</v>
      </c>
      <c r="G220" s="32">
        <v>2</v>
      </c>
      <c r="H220" s="33"/>
      <c r="I220" s="33"/>
      <c r="J220" s="33"/>
      <c r="K220" s="34">
        <f t="shared" si="74"/>
        <v>6</v>
      </c>
      <c r="L220" s="22">
        <v>42569</v>
      </c>
      <c r="N220" s="28"/>
      <c r="O220" s="29"/>
      <c r="P220" s="30"/>
      <c r="Q220" s="30"/>
      <c r="R220" s="30"/>
      <c r="S220" s="30"/>
      <c r="T220" s="32"/>
      <c r="U220" s="33"/>
      <c r="V220" s="33"/>
      <c r="W220" s="33"/>
      <c r="X220" s="34">
        <f t="shared" si="76"/>
        <v>0</v>
      </c>
      <c r="Y220" s="22"/>
    </row>
    <row r="221" spans="1:25">
      <c r="A221" s="65" t="s">
        <v>124</v>
      </c>
      <c r="B221" s="29"/>
      <c r="C221" s="30"/>
      <c r="D221" s="30"/>
      <c r="E221" s="30"/>
      <c r="F221" s="30">
        <v>-1</v>
      </c>
      <c r="G221" s="32"/>
      <c r="H221" s="32"/>
      <c r="I221" s="32"/>
      <c r="J221" s="32"/>
      <c r="K221" s="34">
        <f t="shared" si="74"/>
        <v>-1</v>
      </c>
      <c r="L221" s="19">
        <v>42566</v>
      </c>
      <c r="N221" s="28"/>
      <c r="O221" s="35"/>
      <c r="P221" s="31"/>
      <c r="Q221" s="31"/>
      <c r="R221" s="31"/>
      <c r="S221" s="31"/>
      <c r="T221" s="33"/>
      <c r="U221" s="33"/>
      <c r="V221" s="33"/>
      <c r="W221" s="33"/>
      <c r="X221" s="34">
        <f t="shared" si="76"/>
        <v>0</v>
      </c>
      <c r="Y221" s="22"/>
    </row>
    <row r="222" spans="1:25">
      <c r="A222" s="20" t="s">
        <v>122</v>
      </c>
      <c r="B222" s="35"/>
      <c r="C222" s="31"/>
      <c r="D222" s="31"/>
      <c r="E222" s="31">
        <v>2</v>
      </c>
      <c r="F222" s="31"/>
      <c r="G222" s="33"/>
      <c r="H222" s="33"/>
      <c r="I222" s="33"/>
      <c r="J222" s="33"/>
      <c r="K222" s="34">
        <f t="shared" si="74"/>
        <v>2</v>
      </c>
      <c r="L222" s="22">
        <v>42572</v>
      </c>
      <c r="N222" s="28"/>
      <c r="O222" s="35"/>
      <c r="P222" s="31"/>
      <c r="Q222" s="31"/>
      <c r="R222" s="31"/>
      <c r="S222" s="31"/>
      <c r="T222" s="33"/>
      <c r="U222" s="33"/>
      <c r="V222" s="33"/>
      <c r="W222" s="33"/>
      <c r="X222" s="34">
        <f t="shared" si="76"/>
        <v>0</v>
      </c>
      <c r="Y222" s="22"/>
    </row>
    <row r="223" spans="1:25">
      <c r="A223" s="8" t="s">
        <v>118</v>
      </c>
      <c r="B223" s="29">
        <v>-1</v>
      </c>
      <c r="C223" s="30">
        <v>-1</v>
      </c>
      <c r="D223" s="30"/>
      <c r="E223" s="30">
        <v>-1</v>
      </c>
      <c r="F223" s="30"/>
      <c r="G223" s="32"/>
      <c r="H223" s="32"/>
      <c r="I223" s="32"/>
      <c r="J223" s="32"/>
      <c r="K223" s="34">
        <f t="shared" si="74"/>
        <v>-3</v>
      </c>
      <c r="L223" s="22">
        <v>42570</v>
      </c>
      <c r="N223" s="65"/>
      <c r="O223" s="29"/>
      <c r="P223" s="30"/>
      <c r="Q223" s="30"/>
      <c r="R223" s="30"/>
      <c r="S223" s="30"/>
      <c r="T223" s="32"/>
      <c r="U223" s="32"/>
      <c r="V223" s="32"/>
      <c r="W223" s="32"/>
      <c r="X223" s="34">
        <f t="shared" si="76"/>
        <v>0</v>
      </c>
      <c r="Y223" s="22"/>
    </row>
    <row r="224" spans="1:25">
      <c r="A224" s="66" t="s">
        <v>125</v>
      </c>
      <c r="B224" s="29"/>
      <c r="C224" s="30"/>
      <c r="D224" s="30"/>
      <c r="E224" s="30">
        <v>1</v>
      </c>
      <c r="F224" s="30">
        <v>1</v>
      </c>
      <c r="G224" s="32"/>
      <c r="H224" s="32"/>
      <c r="I224" s="32"/>
      <c r="J224" s="32"/>
      <c r="K224" s="34">
        <f t="shared" si="74"/>
        <v>2</v>
      </c>
      <c r="L224" s="19">
        <v>42570</v>
      </c>
      <c r="N224" s="28"/>
      <c r="O224" s="29"/>
      <c r="P224" s="30"/>
      <c r="Q224" s="30"/>
      <c r="R224" s="30"/>
      <c r="S224" s="30"/>
      <c r="T224" s="32"/>
      <c r="U224" s="32"/>
      <c r="V224" s="32"/>
      <c r="W224" s="32"/>
      <c r="X224" s="34">
        <f t="shared" si="76"/>
        <v>0</v>
      </c>
      <c r="Y224" s="19"/>
    </row>
    <row r="225" spans="1:25">
      <c r="A225" s="20" t="s">
        <v>105</v>
      </c>
      <c r="B225" s="29"/>
      <c r="C225" s="30">
        <v>18</v>
      </c>
      <c r="D225" s="30"/>
      <c r="E225" s="30"/>
      <c r="F225" s="30"/>
      <c r="G225" s="32"/>
      <c r="H225" s="32"/>
      <c r="I225" s="32"/>
      <c r="J225" s="32"/>
      <c r="K225" s="34">
        <f t="shared" si="74"/>
        <v>18</v>
      </c>
      <c r="L225" s="19">
        <v>42576</v>
      </c>
      <c r="N225" s="65"/>
      <c r="O225" s="29"/>
      <c r="P225" s="30"/>
      <c r="Q225" s="30"/>
      <c r="R225" s="30"/>
      <c r="S225" s="30"/>
      <c r="T225" s="32"/>
      <c r="U225" s="32"/>
      <c r="V225" s="32"/>
      <c r="W225" s="32"/>
      <c r="X225" s="34">
        <f t="shared" si="76"/>
        <v>0</v>
      </c>
      <c r="Y225" s="19"/>
    </row>
    <row r="226" spans="1:25">
      <c r="A226" s="20" t="s">
        <v>42</v>
      </c>
      <c r="B226" s="29"/>
      <c r="C226" s="30"/>
      <c r="D226" s="30"/>
      <c r="E226" s="30">
        <v>12</v>
      </c>
      <c r="F226" s="30">
        <v>6</v>
      </c>
      <c r="G226" s="32"/>
      <c r="H226" s="32"/>
      <c r="I226" s="32"/>
      <c r="J226" s="32"/>
      <c r="K226" s="34">
        <f t="shared" si="74"/>
        <v>18</v>
      </c>
      <c r="L226" s="19">
        <v>42576</v>
      </c>
      <c r="N226" s="65"/>
      <c r="O226" s="29"/>
      <c r="P226" s="30"/>
      <c r="Q226" s="30"/>
      <c r="R226" s="30"/>
      <c r="S226" s="30"/>
      <c r="T226" s="32"/>
      <c r="U226" s="32"/>
      <c r="V226" s="32"/>
      <c r="W226" s="32"/>
      <c r="X226" s="34">
        <f t="shared" si="76"/>
        <v>0</v>
      </c>
      <c r="Y226" s="19"/>
    </row>
    <row r="227" spans="1:25" ht="14.25" thickBot="1">
      <c r="A227" s="28" t="s">
        <v>27</v>
      </c>
      <c r="B227" s="29"/>
      <c r="C227" s="30"/>
      <c r="D227" s="30"/>
      <c r="E227" s="31">
        <v>1</v>
      </c>
      <c r="F227" s="31"/>
      <c r="G227" s="32"/>
      <c r="H227" s="33"/>
      <c r="I227" s="33"/>
      <c r="J227" s="33"/>
      <c r="K227" s="34">
        <f t="shared" si="74"/>
        <v>1</v>
      </c>
      <c r="L227" s="36">
        <v>42572</v>
      </c>
      <c r="N227" s="28"/>
      <c r="O227" s="29"/>
      <c r="P227" s="30"/>
      <c r="Q227" s="30"/>
      <c r="R227" s="31"/>
      <c r="S227" s="31"/>
      <c r="T227" s="32"/>
      <c r="U227" s="33"/>
      <c r="V227" s="33"/>
      <c r="W227" s="33"/>
      <c r="X227" s="34">
        <f t="shared" si="76"/>
        <v>0</v>
      </c>
      <c r="Y227" s="36"/>
    </row>
    <row r="228" spans="1:25" ht="14.25" thickBot="1">
      <c r="A228" s="2" t="s">
        <v>19</v>
      </c>
      <c r="B228" s="23">
        <f t="shared" ref="B228:J228" si="77">SUM(B208:B227)</f>
        <v>20</v>
      </c>
      <c r="C228" s="24">
        <f t="shared" si="77"/>
        <v>23</v>
      </c>
      <c r="D228" s="24">
        <f t="shared" si="77"/>
        <v>6</v>
      </c>
      <c r="E228" s="24">
        <f t="shared" si="77"/>
        <v>48</v>
      </c>
      <c r="F228" s="24">
        <f t="shared" si="77"/>
        <v>32</v>
      </c>
      <c r="G228" s="25">
        <f t="shared" si="77"/>
        <v>2</v>
      </c>
      <c r="H228" s="25">
        <f t="shared" si="77"/>
        <v>17</v>
      </c>
      <c r="I228" s="25">
        <f t="shared" si="77"/>
        <v>1</v>
      </c>
      <c r="J228" s="25">
        <f t="shared" si="77"/>
        <v>21</v>
      </c>
      <c r="K228" s="37">
        <f>SUM(B228:J228)</f>
        <v>170</v>
      </c>
      <c r="L228" s="27"/>
      <c r="N228" s="2" t="s">
        <v>19</v>
      </c>
      <c r="O228" s="23">
        <f t="shared" ref="O228:W228" si="78">SUM(O208:O227)</f>
        <v>15</v>
      </c>
      <c r="P228" s="24">
        <f t="shared" si="78"/>
        <v>20</v>
      </c>
      <c r="Q228" s="24">
        <f t="shared" si="78"/>
        <v>0</v>
      </c>
      <c r="R228" s="24">
        <f t="shared" si="78"/>
        <v>35</v>
      </c>
      <c r="S228" s="24">
        <f t="shared" si="78"/>
        <v>20</v>
      </c>
      <c r="T228" s="25">
        <f t="shared" si="78"/>
        <v>5</v>
      </c>
      <c r="U228" s="25">
        <f t="shared" si="78"/>
        <v>15</v>
      </c>
      <c r="V228" s="25">
        <f t="shared" si="78"/>
        <v>0</v>
      </c>
      <c r="W228" s="25">
        <f t="shared" si="78"/>
        <v>25</v>
      </c>
      <c r="X228" s="37">
        <f>SUM(O228:W228)</f>
        <v>135</v>
      </c>
      <c r="Y228" s="27"/>
    </row>
    <row r="229" spans="1:25" ht="14.25" thickBot="1">
      <c r="A229" s="38" t="s">
        <v>17</v>
      </c>
      <c r="B229" s="39">
        <f>B207-B228</f>
        <v>8</v>
      </c>
      <c r="C229" s="39">
        <f t="shared" ref="C229:K229" si="79">C207-C228</f>
        <v>11</v>
      </c>
      <c r="D229" s="39">
        <f t="shared" si="79"/>
        <v>4</v>
      </c>
      <c r="E229" s="39">
        <f t="shared" si="79"/>
        <v>-3</v>
      </c>
      <c r="F229" s="39">
        <f t="shared" si="79"/>
        <v>4</v>
      </c>
      <c r="G229" s="39">
        <f t="shared" si="79"/>
        <v>9</v>
      </c>
      <c r="H229" s="39">
        <f t="shared" si="79"/>
        <v>13</v>
      </c>
      <c r="I229" s="39">
        <f t="shared" si="79"/>
        <v>15</v>
      </c>
      <c r="J229" s="40">
        <f t="shared" si="79"/>
        <v>8</v>
      </c>
      <c r="K229" s="37">
        <f t="shared" si="79"/>
        <v>69</v>
      </c>
      <c r="L229" s="41"/>
      <c r="N229" s="38" t="s">
        <v>17</v>
      </c>
      <c r="O229" s="39">
        <f>O207-O228</f>
        <v>163</v>
      </c>
      <c r="P229" s="39">
        <f t="shared" ref="P229:X229" si="80">P207-P228</f>
        <v>234</v>
      </c>
      <c r="Q229" s="39">
        <f t="shared" si="80"/>
        <v>147</v>
      </c>
      <c r="R229" s="39">
        <f t="shared" si="80"/>
        <v>327</v>
      </c>
      <c r="S229" s="39">
        <f t="shared" si="80"/>
        <v>319</v>
      </c>
      <c r="T229" s="39">
        <f t="shared" si="80"/>
        <v>215</v>
      </c>
      <c r="U229" s="39">
        <f t="shared" si="80"/>
        <v>71</v>
      </c>
      <c r="V229" s="39">
        <f t="shared" si="80"/>
        <v>201</v>
      </c>
      <c r="W229" s="40">
        <f t="shared" si="80"/>
        <v>185</v>
      </c>
      <c r="X229" s="37">
        <f t="shared" si="80"/>
        <v>1862</v>
      </c>
      <c r="Y229" s="41"/>
    </row>
    <row r="232" spans="1:25" ht="19.5" thickBot="1">
      <c r="A232" s="1" t="s">
        <v>22</v>
      </c>
      <c r="N232" s="1" t="s">
        <v>21</v>
      </c>
    </row>
    <row r="233" spans="1:25" ht="19.5" thickBot="1">
      <c r="A233" s="2" t="s">
        <v>0</v>
      </c>
      <c r="B233" s="163" t="s">
        <v>20</v>
      </c>
      <c r="C233" s="164"/>
      <c r="D233" s="164"/>
      <c r="E233" s="164"/>
      <c r="F233" s="164"/>
      <c r="G233" s="164"/>
      <c r="H233" s="165"/>
      <c r="I233" s="165"/>
      <c r="J233" s="165"/>
      <c r="K233" s="166"/>
      <c r="L233" s="161" t="s">
        <v>1</v>
      </c>
      <c r="N233" s="2" t="s">
        <v>0</v>
      </c>
      <c r="O233" s="163" t="s">
        <v>20</v>
      </c>
      <c r="P233" s="164"/>
      <c r="Q233" s="164"/>
      <c r="R233" s="164"/>
      <c r="S233" s="164"/>
      <c r="T233" s="164"/>
      <c r="U233" s="165"/>
      <c r="V233" s="165"/>
      <c r="W233" s="165"/>
      <c r="X233" s="166"/>
      <c r="Y233" s="161" t="s">
        <v>1</v>
      </c>
    </row>
    <row r="234" spans="1:25" ht="14.25" thickBot="1">
      <c r="A234" s="2" t="s">
        <v>2</v>
      </c>
      <c r="B234" s="3" t="s">
        <v>3</v>
      </c>
      <c r="C234" s="4" t="s">
        <v>4</v>
      </c>
      <c r="D234" s="4" t="s">
        <v>5</v>
      </c>
      <c r="E234" s="4" t="s">
        <v>6</v>
      </c>
      <c r="F234" s="4" t="s">
        <v>7</v>
      </c>
      <c r="G234" s="5" t="s">
        <v>8</v>
      </c>
      <c r="H234" s="4" t="s">
        <v>9</v>
      </c>
      <c r="I234" s="6" t="s">
        <v>10</v>
      </c>
      <c r="J234" s="5" t="s">
        <v>11</v>
      </c>
      <c r="K234" s="7" t="s">
        <v>12</v>
      </c>
      <c r="L234" s="162"/>
      <c r="N234" s="2" t="s">
        <v>2</v>
      </c>
      <c r="O234" s="3" t="s">
        <v>3</v>
      </c>
      <c r="P234" s="4" t="s">
        <v>4</v>
      </c>
      <c r="Q234" s="4" t="s">
        <v>5</v>
      </c>
      <c r="R234" s="4" t="s">
        <v>6</v>
      </c>
      <c r="S234" s="4" t="s">
        <v>7</v>
      </c>
      <c r="T234" s="5" t="s">
        <v>8</v>
      </c>
      <c r="U234" s="4" t="s">
        <v>9</v>
      </c>
      <c r="V234" s="6" t="s">
        <v>10</v>
      </c>
      <c r="W234" s="5" t="s">
        <v>11</v>
      </c>
      <c r="X234" s="7" t="s">
        <v>12</v>
      </c>
      <c r="Y234" s="162"/>
    </row>
    <row r="235" spans="1:25">
      <c r="A235" s="52" t="s">
        <v>17</v>
      </c>
      <c r="B235" s="55">
        <f>B229</f>
        <v>8</v>
      </c>
      <c r="C235" s="56">
        <f>C229</f>
        <v>11</v>
      </c>
      <c r="D235" s="56">
        <f t="shared" ref="D235:J235" si="81">D229</f>
        <v>4</v>
      </c>
      <c r="E235" s="56">
        <f t="shared" si="81"/>
        <v>-3</v>
      </c>
      <c r="F235" s="56">
        <f t="shared" si="81"/>
        <v>4</v>
      </c>
      <c r="G235" s="56">
        <f t="shared" si="81"/>
        <v>9</v>
      </c>
      <c r="H235" s="56">
        <f t="shared" si="81"/>
        <v>13</v>
      </c>
      <c r="I235" s="56">
        <f t="shared" si="81"/>
        <v>15</v>
      </c>
      <c r="J235" s="56">
        <f t="shared" si="81"/>
        <v>8</v>
      </c>
      <c r="K235" s="53">
        <f t="shared" ref="K235:K237" si="82">SUM(B235:J235)</f>
        <v>69</v>
      </c>
      <c r="L235" s="54"/>
      <c r="N235" s="52" t="s">
        <v>17</v>
      </c>
      <c r="O235" s="55">
        <f t="shared" ref="O235:W235" si="83">O229</f>
        <v>163</v>
      </c>
      <c r="P235" s="56">
        <f t="shared" si="83"/>
        <v>234</v>
      </c>
      <c r="Q235" s="56">
        <f t="shared" si="83"/>
        <v>147</v>
      </c>
      <c r="R235" s="56">
        <f t="shared" si="83"/>
        <v>327</v>
      </c>
      <c r="S235" s="56">
        <f t="shared" si="83"/>
        <v>319</v>
      </c>
      <c r="T235" s="56">
        <f t="shared" si="83"/>
        <v>215</v>
      </c>
      <c r="U235" s="56">
        <f t="shared" si="83"/>
        <v>71</v>
      </c>
      <c r="V235" s="56">
        <f t="shared" si="83"/>
        <v>201</v>
      </c>
      <c r="W235" s="56">
        <f t="shared" si="83"/>
        <v>185</v>
      </c>
      <c r="X235" s="53">
        <f t="shared" ref="X235:X241" si="84">SUM(O235:W235)</f>
        <v>1862</v>
      </c>
      <c r="Y235" s="54"/>
    </row>
    <row r="236" spans="1:25">
      <c r="A236" s="8" t="s">
        <v>14</v>
      </c>
      <c r="B236" s="9"/>
      <c r="C236" s="10">
        <v>5</v>
      </c>
      <c r="D236" s="10"/>
      <c r="E236" s="10">
        <v>20</v>
      </c>
      <c r="F236" s="10">
        <v>15</v>
      </c>
      <c r="G236" s="11"/>
      <c r="H236" s="11"/>
      <c r="I236" s="11"/>
      <c r="J236" s="11">
        <v>10</v>
      </c>
      <c r="K236" s="13">
        <f t="shared" si="82"/>
        <v>50</v>
      </c>
      <c r="L236" s="12">
        <v>42574</v>
      </c>
      <c r="N236" s="8" t="s">
        <v>14</v>
      </c>
      <c r="O236" s="9"/>
      <c r="P236" s="10"/>
      <c r="Q236" s="10"/>
      <c r="R236" s="10"/>
      <c r="S236" s="10"/>
      <c r="T236" s="11"/>
      <c r="U236" s="11"/>
      <c r="V236" s="11"/>
      <c r="W236" s="11"/>
      <c r="X236" s="13">
        <f t="shared" si="84"/>
        <v>0</v>
      </c>
      <c r="Y236" s="12"/>
    </row>
    <row r="237" spans="1:25">
      <c r="A237" s="8" t="s">
        <v>15</v>
      </c>
      <c r="B237" s="15">
        <v>5</v>
      </c>
      <c r="C237" s="16"/>
      <c r="D237" s="16">
        <v>5</v>
      </c>
      <c r="E237" s="16"/>
      <c r="F237" s="16">
        <v>5</v>
      </c>
      <c r="G237" s="17"/>
      <c r="H237" s="17"/>
      <c r="I237" s="17"/>
      <c r="J237" s="17"/>
      <c r="K237" s="18">
        <f t="shared" si="82"/>
        <v>15</v>
      </c>
      <c r="L237" s="19">
        <v>42577</v>
      </c>
      <c r="N237" s="8" t="s">
        <v>15</v>
      </c>
      <c r="O237" s="15"/>
      <c r="P237" s="16"/>
      <c r="Q237" s="16"/>
      <c r="R237" s="16"/>
      <c r="S237" s="16"/>
      <c r="T237" s="17"/>
      <c r="U237" s="17"/>
      <c r="V237" s="17"/>
      <c r="W237" s="17"/>
      <c r="X237" s="18">
        <f t="shared" si="84"/>
        <v>0</v>
      </c>
      <c r="Y237" s="19"/>
    </row>
    <row r="238" spans="1:25">
      <c r="A238" s="8" t="s">
        <v>132</v>
      </c>
      <c r="B238" s="67">
        <v>2</v>
      </c>
      <c r="C238" s="35"/>
      <c r="D238" s="35"/>
      <c r="E238" s="35">
        <v>2</v>
      </c>
      <c r="F238" s="35"/>
      <c r="G238" s="35">
        <v>2</v>
      </c>
      <c r="H238" s="35"/>
      <c r="I238" s="35"/>
      <c r="J238" s="69"/>
      <c r="K238" s="13">
        <f>SUM(B238:J238)</f>
        <v>6</v>
      </c>
      <c r="L238" s="22">
        <v>42581</v>
      </c>
      <c r="N238" s="8" t="s">
        <v>16</v>
      </c>
      <c r="O238" s="9"/>
      <c r="P238" s="10"/>
      <c r="Q238" s="10"/>
      <c r="R238" s="10"/>
      <c r="S238" s="10"/>
      <c r="T238" s="10"/>
      <c r="U238" s="10"/>
      <c r="V238" s="10"/>
      <c r="W238" s="21"/>
      <c r="X238" s="18">
        <f t="shared" si="84"/>
        <v>0</v>
      </c>
      <c r="Y238" s="22"/>
    </row>
    <row r="239" spans="1:25" ht="14.25" thickBot="1">
      <c r="A239" s="8" t="s">
        <v>88</v>
      </c>
      <c r="B239" s="70"/>
      <c r="C239" s="71"/>
      <c r="D239" s="71"/>
      <c r="E239" s="71">
        <v>10</v>
      </c>
      <c r="F239" s="71"/>
      <c r="G239" s="71">
        <v>10</v>
      </c>
      <c r="H239" s="71"/>
      <c r="I239" s="71"/>
      <c r="J239" s="72">
        <v>15</v>
      </c>
      <c r="K239" s="26">
        <f>SUM(B239:J239)</f>
        <v>35</v>
      </c>
      <c r="L239" s="73">
        <v>42588</v>
      </c>
      <c r="N239" s="8" t="s">
        <v>23</v>
      </c>
      <c r="O239" s="42"/>
      <c r="P239" s="43"/>
      <c r="Q239" s="43"/>
      <c r="R239" s="43"/>
      <c r="S239" s="43"/>
      <c r="T239" s="43"/>
      <c r="U239" s="43"/>
      <c r="V239" s="43"/>
      <c r="W239" s="44"/>
      <c r="X239" s="45">
        <f t="shared" si="84"/>
        <v>0</v>
      </c>
      <c r="Y239" s="19"/>
    </row>
    <row r="240" spans="1:25" ht="14.25" thickBot="1">
      <c r="A240" s="76" t="s">
        <v>18</v>
      </c>
      <c r="B240" s="77">
        <f>SUM(B235:B239)</f>
        <v>15</v>
      </c>
      <c r="C240" s="78">
        <f t="shared" ref="C240:J240" si="85">SUM(C235:C239)</f>
        <v>16</v>
      </c>
      <c r="D240" s="78">
        <f t="shared" si="85"/>
        <v>9</v>
      </c>
      <c r="E240" s="78">
        <f t="shared" si="85"/>
        <v>29</v>
      </c>
      <c r="F240" s="78">
        <f t="shared" si="85"/>
        <v>24</v>
      </c>
      <c r="G240" s="79">
        <f t="shared" si="85"/>
        <v>21</v>
      </c>
      <c r="H240" s="79">
        <f t="shared" si="85"/>
        <v>13</v>
      </c>
      <c r="I240" s="79">
        <f t="shared" si="85"/>
        <v>15</v>
      </c>
      <c r="J240" s="79">
        <f t="shared" si="85"/>
        <v>33</v>
      </c>
      <c r="K240" s="26">
        <f t="shared" ref="K240:K260" si="86">SUM(B240:J240)</f>
        <v>175</v>
      </c>
      <c r="L240" s="27"/>
      <c r="N240" s="2" t="s">
        <v>18</v>
      </c>
      <c r="O240" s="23">
        <f t="shared" ref="O240:W240" si="87">SUM(O235:O239)</f>
        <v>163</v>
      </c>
      <c r="P240" s="24">
        <f t="shared" si="87"/>
        <v>234</v>
      </c>
      <c r="Q240" s="24">
        <f t="shared" si="87"/>
        <v>147</v>
      </c>
      <c r="R240" s="24">
        <f t="shared" si="87"/>
        <v>327</v>
      </c>
      <c r="S240" s="24">
        <f t="shared" si="87"/>
        <v>319</v>
      </c>
      <c r="T240" s="25">
        <f t="shared" si="87"/>
        <v>215</v>
      </c>
      <c r="U240" s="25">
        <f t="shared" si="87"/>
        <v>71</v>
      </c>
      <c r="V240" s="25">
        <f t="shared" si="87"/>
        <v>201</v>
      </c>
      <c r="W240" s="25">
        <f t="shared" si="87"/>
        <v>185</v>
      </c>
      <c r="X240" s="26">
        <f t="shared" si="84"/>
        <v>1862</v>
      </c>
      <c r="Y240" s="27"/>
    </row>
    <row r="241" spans="1:25">
      <c r="A241" s="20" t="s">
        <v>126</v>
      </c>
      <c r="B241" s="29"/>
      <c r="C241" s="30"/>
      <c r="D241" s="30"/>
      <c r="E241" s="30"/>
      <c r="F241" s="30">
        <v>10</v>
      </c>
      <c r="G241" s="32"/>
      <c r="H241" s="32"/>
      <c r="I241" s="32"/>
      <c r="J241" s="32">
        <v>10</v>
      </c>
      <c r="K241" s="34">
        <f t="shared" si="86"/>
        <v>20</v>
      </c>
      <c r="L241" s="19">
        <v>42577</v>
      </c>
      <c r="N241" s="28" t="s">
        <v>29</v>
      </c>
      <c r="O241" s="9"/>
      <c r="P241" s="10">
        <v>5</v>
      </c>
      <c r="Q241" s="10"/>
      <c r="R241" s="10">
        <v>20</v>
      </c>
      <c r="S241" s="10">
        <v>15</v>
      </c>
      <c r="T241" s="11"/>
      <c r="U241" s="11"/>
      <c r="V241" s="11"/>
      <c r="W241" s="11">
        <v>10</v>
      </c>
      <c r="X241" s="13">
        <f t="shared" si="84"/>
        <v>50</v>
      </c>
      <c r="Y241" s="12">
        <v>42574</v>
      </c>
    </row>
    <row r="242" spans="1:25">
      <c r="A242" s="20" t="s">
        <v>129</v>
      </c>
      <c r="B242" s="29"/>
      <c r="C242" s="30"/>
      <c r="D242" s="30"/>
      <c r="E242" s="30"/>
      <c r="F242" s="30">
        <v>1</v>
      </c>
      <c r="G242" s="32"/>
      <c r="H242" s="32"/>
      <c r="I242" s="32"/>
      <c r="J242" s="32"/>
      <c r="K242" s="34">
        <f t="shared" si="86"/>
        <v>1</v>
      </c>
      <c r="L242" s="22">
        <v>42574</v>
      </c>
      <c r="N242" s="28" t="s">
        <v>29</v>
      </c>
      <c r="O242" s="67">
        <v>5</v>
      </c>
      <c r="P242" s="35"/>
      <c r="Q242" s="35">
        <v>5</v>
      </c>
      <c r="R242" s="35"/>
      <c r="S242" s="35">
        <v>5</v>
      </c>
      <c r="T242" s="35"/>
      <c r="U242" s="35"/>
      <c r="V242" s="35"/>
      <c r="W242" s="68"/>
      <c r="X242" s="13">
        <f>SUM(O242:W242)</f>
        <v>15</v>
      </c>
      <c r="Y242" s="19">
        <v>42577</v>
      </c>
    </row>
    <row r="243" spans="1:25">
      <c r="A243" s="20" t="s">
        <v>127</v>
      </c>
      <c r="B243" s="29"/>
      <c r="C243" s="30">
        <v>1</v>
      </c>
      <c r="D243" s="30"/>
      <c r="E243" s="30">
        <v>1</v>
      </c>
      <c r="F243" s="30"/>
      <c r="G243" s="32"/>
      <c r="H243" s="32"/>
      <c r="I243" s="32"/>
      <c r="J243" s="32">
        <v>1</v>
      </c>
      <c r="K243" s="34">
        <f t="shared" si="86"/>
        <v>3</v>
      </c>
      <c r="L243" s="22">
        <v>42575</v>
      </c>
      <c r="N243" s="28" t="s">
        <v>29</v>
      </c>
      <c r="O243" s="29"/>
      <c r="P243" s="30"/>
      <c r="Q243" s="30"/>
      <c r="R243" s="30">
        <v>10</v>
      </c>
      <c r="S243" s="30"/>
      <c r="T243" s="32">
        <v>10</v>
      </c>
      <c r="U243" s="32"/>
      <c r="V243" s="32"/>
      <c r="W243" s="32">
        <v>10</v>
      </c>
      <c r="X243" s="34">
        <f t="shared" ref="X243:X259" si="88">SUM(O243:W243)</f>
        <v>30</v>
      </c>
      <c r="Y243" s="22">
        <v>42588</v>
      </c>
    </row>
    <row r="244" spans="1:25">
      <c r="A244" s="20" t="s">
        <v>122</v>
      </c>
      <c r="B244" s="29"/>
      <c r="C244" s="30"/>
      <c r="D244" s="30"/>
      <c r="E244" s="30"/>
      <c r="F244" s="30"/>
      <c r="G244" s="32"/>
      <c r="H244" s="32"/>
      <c r="I244" s="32"/>
      <c r="J244" s="32">
        <v>1</v>
      </c>
      <c r="K244" s="34">
        <f t="shared" ref="K244:K245" si="89">SUM(B244:J244)</f>
        <v>1</v>
      </c>
      <c r="L244" s="22">
        <v>42577</v>
      </c>
      <c r="N244" s="28"/>
      <c r="O244" s="29"/>
      <c r="P244" s="30"/>
      <c r="Q244" s="30"/>
      <c r="R244" s="30"/>
      <c r="S244" s="30"/>
      <c r="T244" s="32"/>
      <c r="U244" s="33"/>
      <c r="V244" s="32"/>
      <c r="W244" s="32"/>
      <c r="X244" s="34">
        <f t="shared" si="88"/>
        <v>0</v>
      </c>
      <c r="Y244" s="22"/>
    </row>
    <row r="245" spans="1:25">
      <c r="A245" s="20" t="s">
        <v>123</v>
      </c>
      <c r="B245" s="29"/>
      <c r="C245" s="30"/>
      <c r="D245" s="30"/>
      <c r="E245" s="30">
        <v>2</v>
      </c>
      <c r="F245" s="30"/>
      <c r="G245" s="32"/>
      <c r="H245" s="33"/>
      <c r="I245" s="32">
        <v>2</v>
      </c>
      <c r="J245" s="32"/>
      <c r="K245" s="34">
        <f t="shared" si="89"/>
        <v>4</v>
      </c>
      <c r="L245" s="22">
        <v>42577</v>
      </c>
      <c r="N245" s="20"/>
      <c r="O245" s="29"/>
      <c r="P245" s="30"/>
      <c r="Q245" s="30"/>
      <c r="R245" s="30"/>
      <c r="S245" s="30"/>
      <c r="T245" s="32"/>
      <c r="U245" s="32"/>
      <c r="V245" s="32"/>
      <c r="W245" s="32"/>
      <c r="X245" s="34">
        <f t="shared" si="88"/>
        <v>0</v>
      </c>
      <c r="Y245" s="22"/>
    </row>
    <row r="246" spans="1:25">
      <c r="A246" s="20" t="s">
        <v>122</v>
      </c>
      <c r="B246" s="29"/>
      <c r="C246" s="30">
        <v>1</v>
      </c>
      <c r="D246" s="30"/>
      <c r="E246" s="30"/>
      <c r="F246" s="30"/>
      <c r="G246" s="32"/>
      <c r="H246" s="33"/>
      <c r="I246" s="33">
        <v>1</v>
      </c>
      <c r="J246" s="33"/>
      <c r="K246" s="34">
        <f t="shared" si="86"/>
        <v>2</v>
      </c>
      <c r="L246" s="22">
        <v>42578</v>
      </c>
      <c r="N246" s="20"/>
      <c r="O246" s="29"/>
      <c r="P246" s="30"/>
      <c r="Q246" s="30"/>
      <c r="R246" s="30"/>
      <c r="S246" s="30"/>
      <c r="T246" s="32"/>
      <c r="U246" s="33"/>
      <c r="V246" s="33"/>
      <c r="W246" s="33"/>
      <c r="X246" s="34">
        <f t="shared" si="88"/>
        <v>0</v>
      </c>
      <c r="Y246" s="22"/>
    </row>
    <row r="247" spans="1:25">
      <c r="A247" s="20" t="s">
        <v>128</v>
      </c>
      <c r="B247" s="29"/>
      <c r="C247" s="30">
        <v>-3</v>
      </c>
      <c r="D247" s="30"/>
      <c r="E247" s="31"/>
      <c r="F247" s="31"/>
      <c r="G247" s="32"/>
      <c r="H247" s="33"/>
      <c r="I247" s="33"/>
      <c r="J247" s="33"/>
      <c r="K247" s="34">
        <f t="shared" si="86"/>
        <v>-3</v>
      </c>
      <c r="L247" s="22">
        <v>42578</v>
      </c>
      <c r="N247" s="28"/>
      <c r="O247" s="29"/>
      <c r="P247" s="30"/>
      <c r="Q247" s="30"/>
      <c r="R247" s="31"/>
      <c r="S247" s="31"/>
      <c r="T247" s="32"/>
      <c r="U247" s="33"/>
      <c r="V247" s="33"/>
      <c r="W247" s="33"/>
      <c r="X247" s="34">
        <f t="shared" si="88"/>
        <v>0</v>
      </c>
      <c r="Y247" s="22"/>
    </row>
    <row r="248" spans="1:25">
      <c r="A248" s="20" t="s">
        <v>130</v>
      </c>
      <c r="B248" s="35"/>
      <c r="C248" s="31"/>
      <c r="D248" s="31"/>
      <c r="E248" s="31"/>
      <c r="F248" s="31">
        <v>2</v>
      </c>
      <c r="G248" s="33"/>
      <c r="H248" s="33"/>
      <c r="I248" s="33"/>
      <c r="J248" s="33"/>
      <c r="K248" s="34">
        <f t="shared" si="86"/>
        <v>2</v>
      </c>
      <c r="L248" s="22">
        <v>42577</v>
      </c>
      <c r="N248" s="28"/>
      <c r="O248" s="35"/>
      <c r="P248" s="31"/>
      <c r="Q248" s="31"/>
      <c r="R248" s="31"/>
      <c r="S248" s="31"/>
      <c r="T248" s="33"/>
      <c r="U248" s="33"/>
      <c r="V248" s="33"/>
      <c r="W248" s="33"/>
      <c r="X248" s="34">
        <f t="shared" si="88"/>
        <v>0</v>
      </c>
      <c r="Y248" s="22"/>
    </row>
    <row r="249" spans="1:25">
      <c r="A249" s="20" t="s">
        <v>27</v>
      </c>
      <c r="B249" s="35"/>
      <c r="C249" s="31"/>
      <c r="D249" s="31"/>
      <c r="E249" s="31">
        <v>1</v>
      </c>
      <c r="F249" s="31"/>
      <c r="G249" s="33"/>
      <c r="H249" s="33"/>
      <c r="I249" s="33"/>
      <c r="J249" s="33"/>
      <c r="K249" s="34">
        <f t="shared" si="86"/>
        <v>1</v>
      </c>
      <c r="L249" s="22">
        <v>42579</v>
      </c>
      <c r="N249" s="28"/>
      <c r="O249" s="35"/>
      <c r="P249" s="31"/>
      <c r="Q249" s="31"/>
      <c r="R249" s="31"/>
      <c r="S249" s="31"/>
      <c r="T249" s="33"/>
      <c r="U249" s="33"/>
      <c r="V249" s="33"/>
      <c r="W249" s="33"/>
      <c r="X249" s="34">
        <f t="shared" si="88"/>
        <v>0</v>
      </c>
      <c r="Y249" s="22"/>
    </row>
    <row r="250" spans="1:25">
      <c r="A250" s="20" t="s">
        <v>27</v>
      </c>
      <c r="B250" s="35"/>
      <c r="C250" s="31"/>
      <c r="D250" s="31"/>
      <c r="E250" s="31"/>
      <c r="F250" s="31"/>
      <c r="G250" s="33"/>
      <c r="H250" s="33">
        <v>1</v>
      </c>
      <c r="I250" s="33"/>
      <c r="J250" s="33"/>
      <c r="K250" s="34">
        <f t="shared" si="86"/>
        <v>1</v>
      </c>
      <c r="L250" s="22">
        <v>42580</v>
      </c>
      <c r="N250" s="28"/>
      <c r="O250" s="35"/>
      <c r="P250" s="31"/>
      <c r="Q250" s="31"/>
      <c r="R250" s="31"/>
      <c r="S250" s="31"/>
      <c r="T250" s="33"/>
      <c r="U250" s="33"/>
      <c r="V250" s="33"/>
      <c r="W250" s="33"/>
      <c r="X250" s="34">
        <f t="shared" si="88"/>
        <v>0</v>
      </c>
      <c r="Y250" s="22"/>
    </row>
    <row r="251" spans="1:25">
      <c r="A251" s="20" t="s">
        <v>131</v>
      </c>
      <c r="B251" s="29"/>
      <c r="C251" s="30"/>
      <c r="D251" s="30"/>
      <c r="E251" s="30"/>
      <c r="F251" s="30"/>
      <c r="G251" s="32"/>
      <c r="H251" s="32"/>
      <c r="I251" s="32">
        <v>1</v>
      </c>
      <c r="J251" s="32"/>
      <c r="K251" s="34">
        <f t="shared" si="86"/>
        <v>1</v>
      </c>
      <c r="L251" s="22">
        <v>42586</v>
      </c>
      <c r="N251" s="28"/>
      <c r="O251" s="29"/>
      <c r="P251" s="30"/>
      <c r="Q251" s="30"/>
      <c r="R251" s="30"/>
      <c r="S251" s="30"/>
      <c r="T251" s="32"/>
      <c r="U251" s="32"/>
      <c r="V251" s="32"/>
      <c r="W251" s="32"/>
      <c r="X251" s="34">
        <f t="shared" si="88"/>
        <v>0</v>
      </c>
      <c r="Y251" s="22"/>
    </row>
    <row r="252" spans="1:25">
      <c r="A252" s="20" t="s">
        <v>133</v>
      </c>
      <c r="B252" s="35"/>
      <c r="C252" s="31"/>
      <c r="D252" s="31"/>
      <c r="E252" s="31"/>
      <c r="F252" s="31"/>
      <c r="G252" s="33"/>
      <c r="H252" s="33"/>
      <c r="I252" s="33">
        <v>1</v>
      </c>
      <c r="J252" s="33"/>
      <c r="K252" s="34">
        <f t="shared" si="86"/>
        <v>1</v>
      </c>
      <c r="L252" s="22">
        <v>42581</v>
      </c>
      <c r="N252" s="28"/>
      <c r="O252" s="35"/>
      <c r="P252" s="31"/>
      <c r="Q252" s="31"/>
      <c r="R252" s="31"/>
      <c r="S252" s="31"/>
      <c r="T252" s="33"/>
      <c r="U252" s="33"/>
      <c r="V252" s="33"/>
      <c r="W252" s="33"/>
      <c r="X252" s="34">
        <f t="shared" si="88"/>
        <v>0</v>
      </c>
      <c r="Y252" s="22"/>
    </row>
    <row r="253" spans="1:25">
      <c r="A253" s="20" t="s">
        <v>122</v>
      </c>
      <c r="B253" s="29"/>
      <c r="C253" s="30"/>
      <c r="D253" s="30"/>
      <c r="E253" s="30">
        <v>1</v>
      </c>
      <c r="F253" s="30"/>
      <c r="G253" s="32">
        <v>1</v>
      </c>
      <c r="H253" s="33"/>
      <c r="I253" s="33"/>
      <c r="J253" s="33">
        <v>1</v>
      </c>
      <c r="K253" s="34">
        <f t="shared" si="86"/>
        <v>3</v>
      </c>
      <c r="L253" s="22">
        <v>42584</v>
      </c>
      <c r="M253" s="74"/>
      <c r="N253" s="28"/>
      <c r="O253" s="29"/>
      <c r="P253" s="30"/>
      <c r="Q253" s="30"/>
      <c r="R253" s="30"/>
      <c r="S253" s="30"/>
      <c r="T253" s="32"/>
      <c r="U253" s="33"/>
      <c r="V253" s="33"/>
      <c r="W253" s="33"/>
      <c r="X253" s="34">
        <f t="shared" si="88"/>
        <v>0</v>
      </c>
      <c r="Y253" s="22"/>
    </row>
    <row r="254" spans="1:25">
      <c r="A254" s="65" t="s">
        <v>136</v>
      </c>
      <c r="B254" s="29"/>
      <c r="C254" s="30"/>
      <c r="D254" s="30"/>
      <c r="E254" s="30">
        <v>1</v>
      </c>
      <c r="F254" s="30"/>
      <c r="G254" s="32"/>
      <c r="H254" s="32"/>
      <c r="I254" s="32"/>
      <c r="J254" s="32"/>
      <c r="K254" s="34">
        <f t="shared" si="86"/>
        <v>1</v>
      </c>
      <c r="L254" s="19">
        <v>42583</v>
      </c>
      <c r="N254" s="28"/>
      <c r="O254" s="35"/>
      <c r="P254" s="31"/>
      <c r="Q254" s="31"/>
      <c r="R254" s="31"/>
      <c r="S254" s="31"/>
      <c r="T254" s="33"/>
      <c r="U254" s="33"/>
      <c r="V254" s="33"/>
      <c r="W254" s="33"/>
      <c r="X254" s="34">
        <f t="shared" si="88"/>
        <v>0</v>
      </c>
      <c r="Y254" s="22"/>
    </row>
    <row r="255" spans="1:25">
      <c r="A255" s="20" t="s">
        <v>134</v>
      </c>
      <c r="B255" s="35"/>
      <c r="C255" s="31">
        <v>-2</v>
      </c>
      <c r="D255" s="31"/>
      <c r="E255" s="31"/>
      <c r="F255" s="31"/>
      <c r="G255" s="33"/>
      <c r="H255" s="33"/>
      <c r="I255" s="33"/>
      <c r="J255" s="33">
        <v>2</v>
      </c>
      <c r="K255" s="34">
        <f t="shared" si="86"/>
        <v>0</v>
      </c>
      <c r="L255" s="22">
        <v>42586</v>
      </c>
      <c r="N255" s="28"/>
      <c r="O255" s="35"/>
      <c r="P255" s="31"/>
      <c r="Q255" s="31"/>
      <c r="R255" s="31"/>
      <c r="S255" s="31"/>
      <c r="T255" s="33"/>
      <c r="U255" s="33"/>
      <c r="V255" s="33"/>
      <c r="W255" s="33"/>
      <c r="X255" s="34">
        <f t="shared" si="88"/>
        <v>0</v>
      </c>
      <c r="Y255" s="22"/>
    </row>
    <row r="256" spans="1:25">
      <c r="A256" s="8" t="s">
        <v>135</v>
      </c>
      <c r="B256" s="29"/>
      <c r="C256" s="30"/>
      <c r="D256" s="30"/>
      <c r="E256" s="30">
        <v>10</v>
      </c>
      <c r="F256" s="30"/>
      <c r="G256" s="32">
        <v>10</v>
      </c>
      <c r="H256" s="32"/>
      <c r="I256" s="32"/>
      <c r="J256" s="32">
        <v>10</v>
      </c>
      <c r="K256" s="34">
        <f t="shared" si="86"/>
        <v>30</v>
      </c>
      <c r="L256" s="22">
        <v>42591</v>
      </c>
      <c r="N256" s="65"/>
      <c r="O256" s="29"/>
      <c r="P256" s="30"/>
      <c r="Q256" s="30"/>
      <c r="R256" s="30"/>
      <c r="S256" s="30"/>
      <c r="T256" s="32"/>
      <c r="U256" s="32"/>
      <c r="V256" s="32"/>
      <c r="W256" s="32"/>
      <c r="X256" s="34">
        <f t="shared" si="88"/>
        <v>0</v>
      </c>
      <c r="Y256" s="22"/>
    </row>
    <row r="257" spans="1:25">
      <c r="A257" s="66" t="s">
        <v>139</v>
      </c>
      <c r="B257" s="29"/>
      <c r="C257" s="30"/>
      <c r="D257" s="30"/>
      <c r="E257" s="30"/>
      <c r="F257" s="30"/>
      <c r="G257" s="32">
        <v>1</v>
      </c>
      <c r="H257" s="32"/>
      <c r="I257" s="32"/>
      <c r="J257" s="32"/>
      <c r="K257" s="34">
        <f t="shared" si="86"/>
        <v>1</v>
      </c>
      <c r="L257" s="19">
        <v>42585</v>
      </c>
      <c r="N257" s="28"/>
      <c r="O257" s="29"/>
      <c r="P257" s="30"/>
      <c r="Q257" s="30"/>
      <c r="R257" s="30"/>
      <c r="S257" s="30"/>
      <c r="T257" s="32"/>
      <c r="U257" s="32"/>
      <c r="V257" s="32"/>
      <c r="W257" s="32"/>
      <c r="X257" s="34">
        <f t="shared" si="88"/>
        <v>0</v>
      </c>
      <c r="Y257" s="19"/>
    </row>
    <row r="258" spans="1:25">
      <c r="A258" s="20" t="s">
        <v>137</v>
      </c>
      <c r="B258" s="29"/>
      <c r="C258" s="30">
        <v>1</v>
      </c>
      <c r="D258" s="30"/>
      <c r="E258" s="30"/>
      <c r="F258" s="30"/>
      <c r="G258" s="32"/>
      <c r="H258" s="32"/>
      <c r="I258" s="32"/>
      <c r="J258" s="32"/>
      <c r="K258" s="34">
        <f t="shared" si="86"/>
        <v>1</v>
      </c>
      <c r="L258" s="19">
        <v>42586</v>
      </c>
      <c r="N258" s="65"/>
      <c r="O258" s="29"/>
      <c r="P258" s="30"/>
      <c r="Q258" s="30"/>
      <c r="R258" s="30"/>
      <c r="S258" s="30"/>
      <c r="T258" s="32"/>
      <c r="U258" s="32"/>
      <c r="V258" s="32"/>
      <c r="W258" s="32"/>
      <c r="X258" s="34">
        <f t="shared" si="88"/>
        <v>0</v>
      </c>
      <c r="Y258" s="19"/>
    </row>
    <row r="259" spans="1:25">
      <c r="A259" s="20" t="s">
        <v>138</v>
      </c>
      <c r="B259" s="29"/>
      <c r="C259" s="30"/>
      <c r="D259" s="30"/>
      <c r="E259" s="30">
        <v>-2</v>
      </c>
      <c r="F259" s="30"/>
      <c r="G259" s="32">
        <v>-2</v>
      </c>
      <c r="H259" s="32"/>
      <c r="I259" s="32"/>
      <c r="J259" s="32"/>
      <c r="K259" s="34">
        <f t="shared" si="86"/>
        <v>-4</v>
      </c>
      <c r="L259" s="19">
        <v>42590</v>
      </c>
      <c r="N259" s="65"/>
      <c r="O259" s="29"/>
      <c r="P259" s="30"/>
      <c r="Q259" s="30"/>
      <c r="R259" s="30"/>
      <c r="S259" s="30"/>
      <c r="T259" s="32"/>
      <c r="U259" s="32"/>
      <c r="V259" s="32"/>
      <c r="W259" s="32"/>
      <c r="X259" s="34">
        <f t="shared" si="88"/>
        <v>0</v>
      </c>
      <c r="Y259" s="19"/>
    </row>
    <row r="260" spans="1:25" ht="14.25" thickBot="1">
      <c r="A260" s="28" t="s">
        <v>140</v>
      </c>
      <c r="B260" s="29">
        <v>1</v>
      </c>
      <c r="C260" s="30"/>
      <c r="D260" s="30"/>
      <c r="E260" s="31"/>
      <c r="F260" s="31"/>
      <c r="G260" s="32"/>
      <c r="H260" s="33"/>
      <c r="I260" s="33"/>
      <c r="J260" s="33"/>
      <c r="K260" s="34">
        <f t="shared" si="86"/>
        <v>1</v>
      </c>
      <c r="L260" s="36">
        <v>42590</v>
      </c>
      <c r="N260" s="65"/>
      <c r="O260" s="29"/>
      <c r="P260" s="30"/>
      <c r="Q260" s="30"/>
      <c r="R260" s="30"/>
      <c r="S260" s="30"/>
      <c r="T260" s="32"/>
      <c r="U260" s="32"/>
      <c r="V260" s="32"/>
      <c r="W260" s="32"/>
      <c r="X260" s="34">
        <f t="shared" ref="X260" si="90">SUM(O260:W260)</f>
        <v>0</v>
      </c>
      <c r="Y260" s="22"/>
    </row>
    <row r="261" spans="1:25" ht="14.25" thickBot="1">
      <c r="A261" s="2" t="s">
        <v>19</v>
      </c>
      <c r="B261" s="23">
        <f t="shared" ref="B261:J261" si="91">SUM(B241:B260)</f>
        <v>1</v>
      </c>
      <c r="C261" s="24">
        <f t="shared" si="91"/>
        <v>-2</v>
      </c>
      <c r="D261" s="24">
        <f t="shared" si="91"/>
        <v>0</v>
      </c>
      <c r="E261" s="24">
        <f t="shared" si="91"/>
        <v>14</v>
      </c>
      <c r="F261" s="24">
        <f t="shared" si="91"/>
        <v>13</v>
      </c>
      <c r="G261" s="25">
        <f t="shared" si="91"/>
        <v>10</v>
      </c>
      <c r="H261" s="25">
        <f t="shared" si="91"/>
        <v>1</v>
      </c>
      <c r="I261" s="25">
        <f t="shared" si="91"/>
        <v>5</v>
      </c>
      <c r="J261" s="25">
        <f t="shared" si="91"/>
        <v>25</v>
      </c>
      <c r="K261" s="37">
        <f>SUM(B261:J261)</f>
        <v>67</v>
      </c>
      <c r="L261" s="27"/>
      <c r="N261" s="2" t="s">
        <v>19</v>
      </c>
      <c r="O261" s="23">
        <f t="shared" ref="O261:W261" si="92">SUM(O241:O260)</f>
        <v>5</v>
      </c>
      <c r="P261" s="24">
        <f t="shared" si="92"/>
        <v>5</v>
      </c>
      <c r="Q261" s="24">
        <f t="shared" si="92"/>
        <v>5</v>
      </c>
      <c r="R261" s="24">
        <f t="shared" si="92"/>
        <v>30</v>
      </c>
      <c r="S261" s="24">
        <f t="shared" si="92"/>
        <v>20</v>
      </c>
      <c r="T261" s="25">
        <f t="shared" si="92"/>
        <v>10</v>
      </c>
      <c r="U261" s="25">
        <f t="shared" si="92"/>
        <v>0</v>
      </c>
      <c r="V261" s="25">
        <f t="shared" si="92"/>
        <v>0</v>
      </c>
      <c r="W261" s="25">
        <f t="shared" si="92"/>
        <v>20</v>
      </c>
      <c r="X261" s="37">
        <f>SUM(O261:W261)</f>
        <v>95</v>
      </c>
      <c r="Y261" s="27"/>
    </row>
    <row r="262" spans="1:25" ht="14.25" thickBot="1">
      <c r="A262" s="38" t="s">
        <v>17</v>
      </c>
      <c r="B262" s="39">
        <f>B240-B261</f>
        <v>14</v>
      </c>
      <c r="C262" s="39">
        <f t="shared" ref="C262:K262" si="93">C240-C261</f>
        <v>18</v>
      </c>
      <c r="D262" s="39">
        <f t="shared" si="93"/>
        <v>9</v>
      </c>
      <c r="E262" s="39">
        <f t="shared" si="93"/>
        <v>15</v>
      </c>
      <c r="F262" s="39">
        <f t="shared" si="93"/>
        <v>11</v>
      </c>
      <c r="G262" s="39">
        <f t="shared" si="93"/>
        <v>11</v>
      </c>
      <c r="H262" s="39">
        <f t="shared" si="93"/>
        <v>12</v>
      </c>
      <c r="I262" s="39">
        <f t="shared" si="93"/>
        <v>10</v>
      </c>
      <c r="J262" s="40">
        <f t="shared" si="93"/>
        <v>8</v>
      </c>
      <c r="K262" s="37">
        <f t="shared" si="93"/>
        <v>108</v>
      </c>
      <c r="L262" s="41"/>
      <c r="N262" s="38" t="s">
        <v>17</v>
      </c>
      <c r="O262" s="39">
        <f>O240-O261</f>
        <v>158</v>
      </c>
      <c r="P262" s="39">
        <f t="shared" ref="P262:X262" si="94">P240-P261</f>
        <v>229</v>
      </c>
      <c r="Q262" s="39">
        <f t="shared" si="94"/>
        <v>142</v>
      </c>
      <c r="R262" s="39">
        <f t="shared" si="94"/>
        <v>297</v>
      </c>
      <c r="S262" s="39">
        <f t="shared" si="94"/>
        <v>299</v>
      </c>
      <c r="T262" s="39">
        <f t="shared" si="94"/>
        <v>205</v>
      </c>
      <c r="U262" s="39">
        <f t="shared" si="94"/>
        <v>71</v>
      </c>
      <c r="V262" s="39">
        <f t="shared" si="94"/>
        <v>201</v>
      </c>
      <c r="W262" s="40">
        <f t="shared" si="94"/>
        <v>165</v>
      </c>
      <c r="X262" s="37">
        <f t="shared" si="94"/>
        <v>1767</v>
      </c>
      <c r="Y262" s="41"/>
    </row>
    <row r="265" spans="1:25" ht="19.5" thickBot="1">
      <c r="A265" s="1" t="s">
        <v>22</v>
      </c>
      <c r="N265" s="1" t="s">
        <v>21</v>
      </c>
    </row>
    <row r="266" spans="1:25" ht="19.5" thickBot="1">
      <c r="A266" s="2" t="s">
        <v>0</v>
      </c>
      <c r="B266" s="163" t="s">
        <v>20</v>
      </c>
      <c r="C266" s="164"/>
      <c r="D266" s="164"/>
      <c r="E266" s="164"/>
      <c r="F266" s="164"/>
      <c r="G266" s="164"/>
      <c r="H266" s="165"/>
      <c r="I266" s="165"/>
      <c r="J266" s="165"/>
      <c r="K266" s="166"/>
      <c r="L266" s="161" t="s">
        <v>1</v>
      </c>
      <c r="N266" s="2" t="s">
        <v>0</v>
      </c>
      <c r="O266" s="163" t="s">
        <v>20</v>
      </c>
      <c r="P266" s="164"/>
      <c r="Q266" s="164"/>
      <c r="R266" s="164"/>
      <c r="S266" s="164"/>
      <c r="T266" s="164"/>
      <c r="U266" s="165"/>
      <c r="V266" s="165"/>
      <c r="W266" s="165"/>
      <c r="X266" s="166"/>
      <c r="Y266" s="161" t="s">
        <v>1</v>
      </c>
    </row>
    <row r="267" spans="1:25" ht="14.25" thickBot="1">
      <c r="A267" s="2" t="s">
        <v>2</v>
      </c>
      <c r="B267" s="3" t="s">
        <v>3</v>
      </c>
      <c r="C267" s="4" t="s">
        <v>4</v>
      </c>
      <c r="D267" s="4" t="s">
        <v>5</v>
      </c>
      <c r="E267" s="4" t="s">
        <v>6</v>
      </c>
      <c r="F267" s="4" t="s">
        <v>7</v>
      </c>
      <c r="G267" s="5" t="s">
        <v>8</v>
      </c>
      <c r="H267" s="4" t="s">
        <v>9</v>
      </c>
      <c r="I267" s="6" t="s">
        <v>10</v>
      </c>
      <c r="J267" s="5" t="s">
        <v>11</v>
      </c>
      <c r="K267" s="7" t="s">
        <v>12</v>
      </c>
      <c r="L267" s="162"/>
      <c r="N267" s="2" t="s">
        <v>2</v>
      </c>
      <c r="O267" s="3" t="s">
        <v>3</v>
      </c>
      <c r="P267" s="4" t="s">
        <v>4</v>
      </c>
      <c r="Q267" s="4" t="s">
        <v>5</v>
      </c>
      <c r="R267" s="4" t="s">
        <v>6</v>
      </c>
      <c r="S267" s="4" t="s">
        <v>7</v>
      </c>
      <c r="T267" s="5" t="s">
        <v>8</v>
      </c>
      <c r="U267" s="4" t="s">
        <v>9</v>
      </c>
      <c r="V267" s="6" t="s">
        <v>10</v>
      </c>
      <c r="W267" s="5" t="s">
        <v>11</v>
      </c>
      <c r="X267" s="7" t="s">
        <v>12</v>
      </c>
      <c r="Y267" s="162"/>
    </row>
    <row r="268" spans="1:25">
      <c r="A268" s="52" t="s">
        <v>17</v>
      </c>
      <c r="B268" s="55">
        <f>B262</f>
        <v>14</v>
      </c>
      <c r="C268" s="56">
        <f>C262</f>
        <v>18</v>
      </c>
      <c r="D268" s="56">
        <f t="shared" ref="D268:J268" si="95">D262</f>
        <v>9</v>
      </c>
      <c r="E268" s="56">
        <f t="shared" si="95"/>
        <v>15</v>
      </c>
      <c r="F268" s="56">
        <f t="shared" si="95"/>
        <v>11</v>
      </c>
      <c r="G268" s="56">
        <f t="shared" si="95"/>
        <v>11</v>
      </c>
      <c r="H268" s="56">
        <f t="shared" si="95"/>
        <v>12</v>
      </c>
      <c r="I268" s="56">
        <f t="shared" si="95"/>
        <v>10</v>
      </c>
      <c r="J268" s="56">
        <f t="shared" si="95"/>
        <v>8</v>
      </c>
      <c r="K268" s="53">
        <f t="shared" ref="K268:K270" si="96">SUM(B268:J268)</f>
        <v>108</v>
      </c>
      <c r="L268" s="54"/>
      <c r="N268" s="52" t="s">
        <v>17</v>
      </c>
      <c r="O268" s="55">
        <f t="shared" ref="O268:W268" si="97">O262</f>
        <v>158</v>
      </c>
      <c r="P268" s="56">
        <f t="shared" si="97"/>
        <v>229</v>
      </c>
      <c r="Q268" s="56">
        <f t="shared" si="97"/>
        <v>142</v>
      </c>
      <c r="R268" s="56">
        <f t="shared" si="97"/>
        <v>297</v>
      </c>
      <c r="S268" s="56">
        <f t="shared" si="97"/>
        <v>299</v>
      </c>
      <c r="T268" s="56">
        <f t="shared" si="97"/>
        <v>205</v>
      </c>
      <c r="U268" s="56">
        <f t="shared" si="97"/>
        <v>71</v>
      </c>
      <c r="V268" s="56">
        <f t="shared" si="97"/>
        <v>201</v>
      </c>
      <c r="W268" s="56">
        <f t="shared" si="97"/>
        <v>165</v>
      </c>
      <c r="X268" s="53">
        <f t="shared" ref="X268:X274" si="98">SUM(O268:W268)</f>
        <v>1767</v>
      </c>
      <c r="Y268" s="54"/>
    </row>
    <row r="269" spans="1:25">
      <c r="A269" s="8" t="s">
        <v>141</v>
      </c>
      <c r="B269" s="9">
        <v>14</v>
      </c>
      <c r="C269" s="10"/>
      <c r="D269" s="10"/>
      <c r="E269" s="10">
        <v>10</v>
      </c>
      <c r="F269" s="10">
        <v>12</v>
      </c>
      <c r="G269" s="11"/>
      <c r="H269" s="11">
        <v>11</v>
      </c>
      <c r="I269" s="11"/>
      <c r="J269" s="11">
        <v>15</v>
      </c>
      <c r="K269" s="13">
        <f t="shared" si="96"/>
        <v>62</v>
      </c>
      <c r="L269" s="12">
        <v>42591</v>
      </c>
      <c r="N269" s="8" t="s">
        <v>14</v>
      </c>
      <c r="O269" s="9"/>
      <c r="P269" s="10"/>
      <c r="Q269" s="10"/>
      <c r="R269" s="10"/>
      <c r="S269" s="10"/>
      <c r="T269" s="11"/>
      <c r="U269" s="11"/>
      <c r="V269" s="11"/>
      <c r="W269" s="11"/>
      <c r="X269" s="13">
        <f t="shared" si="98"/>
        <v>0</v>
      </c>
      <c r="Y269" s="12"/>
    </row>
    <row r="270" spans="1:25">
      <c r="A270" s="8" t="s">
        <v>15</v>
      </c>
      <c r="B270" s="15"/>
      <c r="C270" s="16"/>
      <c r="D270" s="16"/>
      <c r="E270" s="16"/>
      <c r="F270" s="16"/>
      <c r="G270" s="17"/>
      <c r="H270" s="17"/>
      <c r="I270" s="17">
        <v>15</v>
      </c>
      <c r="J270" s="17"/>
      <c r="K270" s="18">
        <f t="shared" si="96"/>
        <v>15</v>
      </c>
      <c r="L270" s="19">
        <v>42600</v>
      </c>
      <c r="N270" s="8" t="s">
        <v>15</v>
      </c>
      <c r="O270" s="15"/>
      <c r="P270" s="16"/>
      <c r="Q270" s="16"/>
      <c r="R270" s="16"/>
      <c r="S270" s="16"/>
      <c r="T270" s="17"/>
      <c r="U270" s="17"/>
      <c r="V270" s="17"/>
      <c r="W270" s="17"/>
      <c r="X270" s="18">
        <f t="shared" si="98"/>
        <v>0</v>
      </c>
      <c r="Y270" s="19"/>
    </row>
    <row r="271" spans="1:25">
      <c r="A271" s="8" t="s">
        <v>118</v>
      </c>
      <c r="B271" s="67"/>
      <c r="C271" s="35">
        <v>2</v>
      </c>
      <c r="D271" s="35"/>
      <c r="E271" s="35"/>
      <c r="F271" s="35"/>
      <c r="G271" s="35"/>
      <c r="H271" s="35">
        <v>2</v>
      </c>
      <c r="I271" s="35">
        <v>3</v>
      </c>
      <c r="J271" s="69"/>
      <c r="K271" s="13">
        <f>SUM(B271:J271)</f>
        <v>7</v>
      </c>
      <c r="L271" s="22">
        <v>42599</v>
      </c>
      <c r="N271" s="8" t="s">
        <v>16</v>
      </c>
      <c r="O271" s="9"/>
      <c r="P271" s="10"/>
      <c r="Q271" s="10"/>
      <c r="R271" s="10"/>
      <c r="S271" s="10"/>
      <c r="T271" s="10"/>
      <c r="U271" s="10"/>
      <c r="V271" s="10"/>
      <c r="W271" s="21"/>
      <c r="X271" s="18">
        <f t="shared" si="98"/>
        <v>0</v>
      </c>
      <c r="Y271" s="22"/>
    </row>
    <row r="272" spans="1:25" ht="14.25" thickBot="1">
      <c r="A272" s="8" t="s">
        <v>153</v>
      </c>
      <c r="B272" s="70"/>
      <c r="C272" s="71">
        <v>1</v>
      </c>
      <c r="D272" s="71"/>
      <c r="E272" s="71"/>
      <c r="F272" s="71"/>
      <c r="G272" s="71"/>
      <c r="H272" s="71"/>
      <c r="I272" s="71"/>
      <c r="J272" s="72">
        <v>1</v>
      </c>
      <c r="K272" s="26">
        <f>SUM(B272:J272)</f>
        <v>2</v>
      </c>
      <c r="L272" s="73">
        <v>42612</v>
      </c>
      <c r="N272" s="8" t="s">
        <v>23</v>
      </c>
      <c r="O272" s="42"/>
      <c r="P272" s="43"/>
      <c r="Q272" s="43"/>
      <c r="R272" s="43"/>
      <c r="S272" s="43"/>
      <c r="T272" s="43"/>
      <c r="U272" s="43"/>
      <c r="V272" s="43"/>
      <c r="W272" s="44"/>
      <c r="X272" s="45">
        <f t="shared" si="98"/>
        <v>0</v>
      </c>
      <c r="Y272" s="19"/>
    </row>
    <row r="273" spans="1:25" ht="14.25" thickBot="1">
      <c r="A273" s="76" t="s">
        <v>18</v>
      </c>
      <c r="B273" s="77">
        <f>SUM(B268:B272)</f>
        <v>28</v>
      </c>
      <c r="C273" s="78">
        <f t="shared" ref="C273:J273" si="99">SUM(C268:C272)</f>
        <v>21</v>
      </c>
      <c r="D273" s="78">
        <f t="shared" si="99"/>
        <v>9</v>
      </c>
      <c r="E273" s="78">
        <f t="shared" si="99"/>
        <v>25</v>
      </c>
      <c r="F273" s="78">
        <f t="shared" si="99"/>
        <v>23</v>
      </c>
      <c r="G273" s="79">
        <f t="shared" si="99"/>
        <v>11</v>
      </c>
      <c r="H273" s="79">
        <f t="shared" si="99"/>
        <v>25</v>
      </c>
      <c r="I273" s="79">
        <f t="shared" si="99"/>
        <v>28</v>
      </c>
      <c r="J273" s="79">
        <f t="shared" si="99"/>
        <v>24</v>
      </c>
      <c r="K273" s="26">
        <f t="shared" ref="K273:K293" si="100">SUM(B273:J273)</f>
        <v>194</v>
      </c>
      <c r="L273" s="27"/>
      <c r="N273" s="2" t="s">
        <v>18</v>
      </c>
      <c r="O273" s="23">
        <f t="shared" ref="O273:W273" si="101">SUM(O268:O272)</f>
        <v>158</v>
      </c>
      <c r="P273" s="24">
        <f t="shared" si="101"/>
        <v>229</v>
      </c>
      <c r="Q273" s="24">
        <f t="shared" si="101"/>
        <v>142</v>
      </c>
      <c r="R273" s="24">
        <f t="shared" si="101"/>
        <v>297</v>
      </c>
      <c r="S273" s="24">
        <f t="shared" si="101"/>
        <v>299</v>
      </c>
      <c r="T273" s="25">
        <f t="shared" si="101"/>
        <v>205</v>
      </c>
      <c r="U273" s="25">
        <f t="shared" si="101"/>
        <v>71</v>
      </c>
      <c r="V273" s="25">
        <f t="shared" si="101"/>
        <v>201</v>
      </c>
      <c r="W273" s="25">
        <f t="shared" si="101"/>
        <v>165</v>
      </c>
      <c r="X273" s="26">
        <f t="shared" si="98"/>
        <v>1767</v>
      </c>
      <c r="Y273" s="27"/>
    </row>
    <row r="274" spans="1:25">
      <c r="A274" s="20" t="s">
        <v>142</v>
      </c>
      <c r="B274" s="29">
        <v>2</v>
      </c>
      <c r="C274" s="30">
        <v>-4</v>
      </c>
      <c r="D274" s="30"/>
      <c r="E274" s="30"/>
      <c r="F274" s="30"/>
      <c r="G274" s="32">
        <v>2</v>
      </c>
      <c r="H274" s="32"/>
      <c r="I274" s="32"/>
      <c r="J274" s="32"/>
      <c r="K274" s="34">
        <f t="shared" si="100"/>
        <v>0</v>
      </c>
      <c r="L274" s="19">
        <v>42594</v>
      </c>
      <c r="N274" s="28" t="s">
        <v>145</v>
      </c>
      <c r="O274" s="9"/>
      <c r="P274" s="10"/>
      <c r="Q274" s="10"/>
      <c r="R274" s="10"/>
      <c r="S274" s="10"/>
      <c r="T274" s="11"/>
      <c r="U274" s="11"/>
      <c r="V274" s="11">
        <v>15</v>
      </c>
      <c r="W274" s="11"/>
      <c r="X274" s="13">
        <f t="shared" si="98"/>
        <v>15</v>
      </c>
      <c r="Y274" s="12">
        <v>42600</v>
      </c>
    </row>
    <row r="275" spans="1:25">
      <c r="A275" s="20" t="s">
        <v>143</v>
      </c>
      <c r="B275" s="29">
        <v>10</v>
      </c>
      <c r="C275" s="30"/>
      <c r="D275" s="30"/>
      <c r="E275" s="30"/>
      <c r="F275" s="30"/>
      <c r="G275" s="32"/>
      <c r="H275" s="32"/>
      <c r="I275" s="32"/>
      <c r="J275" s="32"/>
      <c r="K275" s="34">
        <f t="shared" si="100"/>
        <v>10</v>
      </c>
      <c r="L275" s="22">
        <v>42599</v>
      </c>
      <c r="N275" s="28" t="s">
        <v>187</v>
      </c>
      <c r="O275" s="67"/>
      <c r="P275" s="35">
        <v>-2</v>
      </c>
      <c r="Q275" s="35"/>
      <c r="R275" s="35"/>
      <c r="S275" s="35"/>
      <c r="T275" s="35"/>
      <c r="U275" s="35"/>
      <c r="V275" s="35"/>
      <c r="W275" s="68"/>
      <c r="X275" s="13">
        <f>SUM(O275:W275)</f>
        <v>-2</v>
      </c>
      <c r="Y275" s="19">
        <v>42613</v>
      </c>
    </row>
    <row r="276" spans="1:25">
      <c r="A276" s="20" t="s">
        <v>144</v>
      </c>
      <c r="B276" s="29">
        <v>1</v>
      </c>
      <c r="C276" s="30"/>
      <c r="D276" s="30"/>
      <c r="E276" s="30"/>
      <c r="F276" s="30"/>
      <c r="G276" s="32"/>
      <c r="H276" s="32">
        <v>1</v>
      </c>
      <c r="I276" s="32"/>
      <c r="J276" s="32"/>
      <c r="K276" s="34">
        <f t="shared" si="100"/>
        <v>2</v>
      </c>
      <c r="L276" s="22">
        <v>42593</v>
      </c>
      <c r="N276" s="28"/>
      <c r="O276" s="29"/>
      <c r="P276" s="30"/>
      <c r="Q276" s="30"/>
      <c r="R276" s="30"/>
      <c r="S276" s="30"/>
      <c r="T276" s="32"/>
      <c r="U276" s="32"/>
      <c r="V276" s="32"/>
      <c r="W276" s="32"/>
      <c r="X276" s="34">
        <f t="shared" ref="X276:X293" si="102">SUM(O276:W276)</f>
        <v>0</v>
      </c>
      <c r="Y276" s="22"/>
    </row>
    <row r="277" spans="1:25">
      <c r="A277" s="20" t="s">
        <v>146</v>
      </c>
      <c r="B277" s="29"/>
      <c r="C277" s="30"/>
      <c r="D277" s="30"/>
      <c r="E277" s="30"/>
      <c r="F277" s="30"/>
      <c r="G277" s="32"/>
      <c r="H277" s="32"/>
      <c r="I277" s="32"/>
      <c r="J277" s="32">
        <v>1</v>
      </c>
      <c r="K277" s="34">
        <f t="shared" si="100"/>
        <v>1</v>
      </c>
      <c r="L277" s="22">
        <v>42595</v>
      </c>
      <c r="N277" s="28"/>
      <c r="O277" s="29"/>
      <c r="P277" s="30"/>
      <c r="Q277" s="30"/>
      <c r="R277" s="30"/>
      <c r="S277" s="30"/>
      <c r="T277" s="32"/>
      <c r="U277" s="33"/>
      <c r="V277" s="32"/>
      <c r="W277" s="32"/>
      <c r="X277" s="34">
        <f t="shared" si="102"/>
        <v>0</v>
      </c>
      <c r="Y277" s="22"/>
    </row>
    <row r="278" spans="1:25">
      <c r="A278" s="20" t="s">
        <v>54</v>
      </c>
      <c r="B278" s="29"/>
      <c r="C278" s="30"/>
      <c r="D278" s="30"/>
      <c r="E278" s="30"/>
      <c r="F278" s="30"/>
      <c r="G278" s="32"/>
      <c r="H278" s="33"/>
      <c r="I278" s="32">
        <v>10</v>
      </c>
      <c r="J278" s="32"/>
      <c r="K278" s="34">
        <f t="shared" si="100"/>
        <v>10</v>
      </c>
      <c r="L278" s="22">
        <v>42601</v>
      </c>
      <c r="N278" s="20"/>
      <c r="O278" s="29"/>
      <c r="P278" s="30"/>
      <c r="Q278" s="30"/>
      <c r="R278" s="30"/>
      <c r="S278" s="30"/>
      <c r="T278" s="32"/>
      <c r="U278" s="32"/>
      <c r="V278" s="32"/>
      <c r="W278" s="32"/>
      <c r="X278" s="34">
        <f t="shared" si="102"/>
        <v>0</v>
      </c>
      <c r="Y278" s="22"/>
    </row>
    <row r="279" spans="1:25">
      <c r="A279" s="20" t="s">
        <v>147</v>
      </c>
      <c r="B279" s="29"/>
      <c r="C279" s="30"/>
      <c r="D279" s="30">
        <v>1</v>
      </c>
      <c r="E279" s="30"/>
      <c r="F279" s="30"/>
      <c r="G279" s="32">
        <v>1</v>
      </c>
      <c r="H279" s="33"/>
      <c r="I279" s="33"/>
      <c r="J279" s="33"/>
      <c r="K279" s="34">
        <f t="shared" si="100"/>
        <v>2</v>
      </c>
      <c r="L279" s="22">
        <v>42598</v>
      </c>
      <c r="N279" s="20"/>
      <c r="O279" s="29"/>
      <c r="P279" s="30"/>
      <c r="Q279" s="30"/>
      <c r="R279" s="30"/>
      <c r="S279" s="30"/>
      <c r="T279" s="32"/>
      <c r="U279" s="33"/>
      <c r="V279" s="33"/>
      <c r="W279" s="33"/>
      <c r="X279" s="34">
        <f t="shared" si="102"/>
        <v>0</v>
      </c>
      <c r="Y279" s="22"/>
    </row>
    <row r="280" spans="1:25">
      <c r="A280" s="20" t="s">
        <v>83</v>
      </c>
      <c r="B280" s="29"/>
      <c r="C280" s="30"/>
      <c r="D280" s="30">
        <v>-3</v>
      </c>
      <c r="E280" s="31"/>
      <c r="F280" s="31"/>
      <c r="G280" s="32"/>
      <c r="H280" s="33"/>
      <c r="I280" s="33">
        <v>3</v>
      </c>
      <c r="J280" s="33"/>
      <c r="K280" s="34">
        <f t="shared" si="100"/>
        <v>0</v>
      </c>
      <c r="L280" s="22">
        <v>42601</v>
      </c>
      <c r="N280" s="28"/>
      <c r="O280" s="29"/>
      <c r="P280" s="30"/>
      <c r="Q280" s="30"/>
      <c r="R280" s="31"/>
      <c r="S280" s="31"/>
      <c r="T280" s="32"/>
      <c r="U280" s="33"/>
      <c r="V280" s="33"/>
      <c r="W280" s="33"/>
      <c r="X280" s="34">
        <f t="shared" si="102"/>
        <v>0</v>
      </c>
      <c r="Y280" s="22"/>
    </row>
    <row r="281" spans="1:25">
      <c r="A281" s="20" t="s">
        <v>148</v>
      </c>
      <c r="B281" s="35"/>
      <c r="C281" s="31">
        <v>1</v>
      </c>
      <c r="D281" s="31"/>
      <c r="E281" s="31"/>
      <c r="F281" s="31"/>
      <c r="G281" s="33"/>
      <c r="H281" s="33"/>
      <c r="I281" s="33"/>
      <c r="J281" s="33"/>
      <c r="K281" s="34">
        <f t="shared" si="100"/>
        <v>1</v>
      </c>
      <c r="L281" s="22">
        <v>42602</v>
      </c>
      <c r="N281" s="28"/>
      <c r="O281" s="35"/>
      <c r="P281" s="31"/>
      <c r="Q281" s="31"/>
      <c r="R281" s="31"/>
      <c r="S281" s="31"/>
      <c r="T281" s="33"/>
      <c r="U281" s="33"/>
      <c r="V281" s="33"/>
      <c r="W281" s="33"/>
      <c r="X281" s="34">
        <f t="shared" si="102"/>
        <v>0</v>
      </c>
      <c r="Y281" s="22"/>
    </row>
    <row r="282" spans="1:25">
      <c r="A282" s="20" t="s">
        <v>149</v>
      </c>
      <c r="B282" s="35"/>
      <c r="C282" s="31"/>
      <c r="D282" s="31"/>
      <c r="E282" s="31"/>
      <c r="F282" s="31"/>
      <c r="G282" s="33">
        <v>2</v>
      </c>
      <c r="H282" s="33"/>
      <c r="I282" s="33"/>
      <c r="J282" s="33">
        <v>1</v>
      </c>
      <c r="K282" s="34">
        <f t="shared" si="100"/>
        <v>3</v>
      </c>
      <c r="L282" s="22">
        <v>42601</v>
      </c>
      <c r="N282" s="28"/>
      <c r="O282" s="35"/>
      <c r="P282" s="31"/>
      <c r="Q282" s="31"/>
      <c r="R282" s="31"/>
      <c r="S282" s="31"/>
      <c r="T282" s="33"/>
      <c r="U282" s="33"/>
      <c r="V282" s="33"/>
      <c r="W282" s="33"/>
      <c r="X282" s="34">
        <f t="shared" si="102"/>
        <v>0</v>
      </c>
      <c r="Y282" s="22"/>
    </row>
    <row r="283" spans="1:25">
      <c r="A283" s="20" t="s">
        <v>54</v>
      </c>
      <c r="B283" s="35"/>
      <c r="C283" s="31"/>
      <c r="D283" s="31"/>
      <c r="E283" s="31"/>
      <c r="F283" s="31">
        <v>10</v>
      </c>
      <c r="G283" s="33"/>
      <c r="H283" s="33"/>
      <c r="I283" s="33">
        <v>10</v>
      </c>
      <c r="J283" s="33"/>
      <c r="K283" s="34">
        <f t="shared" si="100"/>
        <v>20</v>
      </c>
      <c r="L283" s="22">
        <v>42607</v>
      </c>
      <c r="N283" s="28"/>
      <c r="O283" s="35"/>
      <c r="P283" s="31"/>
      <c r="Q283" s="31"/>
      <c r="R283" s="31"/>
      <c r="S283" s="31"/>
      <c r="T283" s="33"/>
      <c r="U283" s="33"/>
      <c r="V283" s="33"/>
      <c r="W283" s="33"/>
      <c r="X283" s="34">
        <f t="shared" si="102"/>
        <v>0</v>
      </c>
      <c r="Y283" s="22"/>
    </row>
    <row r="284" spans="1:25">
      <c r="A284" s="20" t="s">
        <v>150</v>
      </c>
      <c r="B284" s="29"/>
      <c r="C284" s="30"/>
      <c r="D284" s="30"/>
      <c r="E284" s="30"/>
      <c r="F284" s="30"/>
      <c r="G284" s="32"/>
      <c r="H284" s="32">
        <v>1</v>
      </c>
      <c r="I284" s="32"/>
      <c r="J284" s="32"/>
      <c r="K284" s="34">
        <f t="shared" si="100"/>
        <v>1</v>
      </c>
      <c r="L284" s="22">
        <v>42604</v>
      </c>
      <c r="N284" s="28"/>
      <c r="O284" s="29"/>
      <c r="P284" s="30"/>
      <c r="Q284" s="30"/>
      <c r="R284" s="30"/>
      <c r="S284" s="30"/>
      <c r="T284" s="32"/>
      <c r="U284" s="32"/>
      <c r="V284" s="32"/>
      <c r="W284" s="32"/>
      <c r="X284" s="34">
        <f t="shared" si="102"/>
        <v>0</v>
      </c>
      <c r="Y284" s="22"/>
    </row>
    <row r="285" spans="1:25">
      <c r="A285" s="20" t="s">
        <v>150</v>
      </c>
      <c r="B285" s="35"/>
      <c r="C285" s="31"/>
      <c r="D285" s="31"/>
      <c r="E285" s="31"/>
      <c r="F285" s="31"/>
      <c r="G285" s="33"/>
      <c r="H285" s="33">
        <v>1</v>
      </c>
      <c r="I285" s="33"/>
      <c r="J285" s="33"/>
      <c r="K285" s="34">
        <f t="shared" si="100"/>
        <v>1</v>
      </c>
      <c r="L285" s="22">
        <v>42605</v>
      </c>
      <c r="N285" s="28"/>
      <c r="O285" s="35"/>
      <c r="P285" s="31"/>
      <c r="Q285" s="31"/>
      <c r="R285" s="31"/>
      <c r="S285" s="31"/>
      <c r="T285" s="33"/>
      <c r="U285" s="33"/>
      <c r="V285" s="33"/>
      <c r="W285" s="33"/>
      <c r="X285" s="34">
        <f t="shared" si="102"/>
        <v>0</v>
      </c>
      <c r="Y285" s="22"/>
    </row>
    <row r="286" spans="1:25">
      <c r="A286" s="20" t="s">
        <v>151</v>
      </c>
      <c r="B286" s="29"/>
      <c r="C286" s="30"/>
      <c r="D286" s="30"/>
      <c r="E286" s="30"/>
      <c r="F286" s="30">
        <v>1</v>
      </c>
      <c r="G286" s="32"/>
      <c r="H286" s="33"/>
      <c r="I286" s="33"/>
      <c r="J286" s="33"/>
      <c r="K286" s="34">
        <f t="shared" si="100"/>
        <v>1</v>
      </c>
      <c r="L286" s="22">
        <v>42607</v>
      </c>
      <c r="N286" s="28"/>
      <c r="O286" s="29"/>
      <c r="P286" s="30"/>
      <c r="Q286" s="30"/>
      <c r="R286" s="30"/>
      <c r="S286" s="30"/>
      <c r="T286" s="32"/>
      <c r="U286" s="33"/>
      <c r="V286" s="33"/>
      <c r="W286" s="33"/>
      <c r="X286" s="34">
        <f t="shared" si="102"/>
        <v>0</v>
      </c>
      <c r="Y286" s="22"/>
    </row>
    <row r="287" spans="1:25">
      <c r="A287" s="20" t="s">
        <v>83</v>
      </c>
      <c r="B287" s="29"/>
      <c r="C287" s="30">
        <v>-2</v>
      </c>
      <c r="D287" s="30"/>
      <c r="E287" s="30">
        <v>2</v>
      </c>
      <c r="F287" s="30"/>
      <c r="G287" s="32"/>
      <c r="H287" s="32"/>
      <c r="I287" s="32"/>
      <c r="J287" s="32"/>
      <c r="K287" s="34">
        <f t="shared" si="100"/>
        <v>0</v>
      </c>
      <c r="L287" s="19">
        <v>42611</v>
      </c>
      <c r="N287" s="28"/>
      <c r="O287" s="35"/>
      <c r="P287" s="31"/>
      <c r="Q287" s="31"/>
      <c r="R287" s="31"/>
      <c r="S287" s="31"/>
      <c r="T287" s="33"/>
      <c r="U287" s="33"/>
      <c r="V287" s="33"/>
      <c r="W287" s="33"/>
      <c r="X287" s="34">
        <f t="shared" si="102"/>
        <v>0</v>
      </c>
      <c r="Y287" s="22"/>
    </row>
    <row r="288" spans="1:25">
      <c r="A288" s="20" t="s">
        <v>54</v>
      </c>
      <c r="B288" s="35"/>
      <c r="C288" s="31"/>
      <c r="D288" s="31"/>
      <c r="E288" s="31"/>
      <c r="F288" s="31"/>
      <c r="G288" s="33"/>
      <c r="H288" s="33">
        <v>10</v>
      </c>
      <c r="I288" s="33"/>
      <c r="J288" s="33"/>
      <c r="K288" s="34">
        <f t="shared" si="100"/>
        <v>10</v>
      </c>
      <c r="L288" s="22">
        <v>42613</v>
      </c>
      <c r="N288" s="28"/>
      <c r="O288" s="35"/>
      <c r="P288" s="31"/>
      <c r="Q288" s="31"/>
      <c r="R288" s="31"/>
      <c r="S288" s="31"/>
      <c r="T288" s="33"/>
      <c r="U288" s="33"/>
      <c r="V288" s="33"/>
      <c r="W288" s="33"/>
      <c r="X288" s="34">
        <f t="shared" si="102"/>
        <v>0</v>
      </c>
      <c r="Y288" s="22"/>
    </row>
    <row r="289" spans="1:26">
      <c r="A289" s="8" t="s">
        <v>152</v>
      </c>
      <c r="B289" s="29"/>
      <c r="C289" s="30">
        <v>1</v>
      </c>
      <c r="D289" s="30"/>
      <c r="E289" s="30"/>
      <c r="F289" s="30"/>
      <c r="G289" s="32"/>
      <c r="H289" s="32"/>
      <c r="I289" s="32"/>
      <c r="J289" s="32"/>
      <c r="K289" s="34">
        <f t="shared" si="100"/>
        <v>1</v>
      </c>
      <c r="L289" s="22">
        <v>42611</v>
      </c>
      <c r="N289" s="65"/>
      <c r="O289" s="29"/>
      <c r="P289" s="30"/>
      <c r="Q289" s="30"/>
      <c r="R289" s="30"/>
      <c r="S289" s="30"/>
      <c r="T289" s="32"/>
      <c r="U289" s="32"/>
      <c r="V289" s="32"/>
      <c r="W289" s="32"/>
      <c r="X289" s="34">
        <f t="shared" si="102"/>
        <v>0</v>
      </c>
      <c r="Y289" s="22"/>
    </row>
    <row r="290" spans="1:26">
      <c r="A290" s="8" t="s">
        <v>27</v>
      </c>
      <c r="B290" s="29"/>
      <c r="C290" s="30"/>
      <c r="D290" s="30"/>
      <c r="E290" s="30"/>
      <c r="F290" s="30">
        <v>1</v>
      </c>
      <c r="G290" s="32"/>
      <c r="H290" s="32"/>
      <c r="I290" s="32"/>
      <c r="J290" s="32"/>
      <c r="K290" s="34">
        <f t="shared" si="100"/>
        <v>1</v>
      </c>
      <c r="L290" s="19">
        <v>42613</v>
      </c>
      <c r="N290" s="28"/>
      <c r="O290" s="29"/>
      <c r="P290" s="30"/>
      <c r="Q290" s="30"/>
      <c r="R290" s="30"/>
      <c r="S290" s="30"/>
      <c r="T290" s="32"/>
      <c r="U290" s="32"/>
      <c r="V290" s="32"/>
      <c r="W290" s="32"/>
      <c r="X290" s="34">
        <f t="shared" si="102"/>
        <v>0</v>
      </c>
      <c r="Y290" s="19"/>
    </row>
    <row r="291" spans="1:26">
      <c r="A291" s="20"/>
      <c r="B291" s="29"/>
      <c r="C291" s="30"/>
      <c r="D291" s="30"/>
      <c r="E291" s="30"/>
      <c r="F291" s="30"/>
      <c r="G291" s="32"/>
      <c r="H291" s="32"/>
      <c r="I291" s="32"/>
      <c r="J291" s="32"/>
      <c r="K291" s="34">
        <f t="shared" si="100"/>
        <v>0</v>
      </c>
      <c r="L291" s="19"/>
      <c r="N291" s="65"/>
      <c r="O291" s="29"/>
      <c r="P291" s="30"/>
      <c r="Q291" s="30"/>
      <c r="R291" s="30"/>
      <c r="S291" s="30"/>
      <c r="T291" s="32"/>
      <c r="U291" s="32"/>
      <c r="V291" s="32"/>
      <c r="W291" s="32"/>
      <c r="X291" s="34">
        <f t="shared" si="102"/>
        <v>0</v>
      </c>
      <c r="Y291" s="19"/>
    </row>
    <row r="292" spans="1:26">
      <c r="A292" s="20"/>
      <c r="B292" s="29"/>
      <c r="C292" s="30"/>
      <c r="D292" s="30"/>
      <c r="E292" s="30"/>
      <c r="F292" s="30"/>
      <c r="G292" s="32"/>
      <c r="H292" s="32"/>
      <c r="I292" s="32"/>
      <c r="J292" s="32"/>
      <c r="K292" s="34">
        <f t="shared" si="100"/>
        <v>0</v>
      </c>
      <c r="L292" s="19"/>
      <c r="N292" s="65"/>
      <c r="O292" s="29"/>
      <c r="P292" s="30"/>
      <c r="Q292" s="30"/>
      <c r="R292" s="30"/>
      <c r="S292" s="30"/>
      <c r="T292" s="32"/>
      <c r="U292" s="32"/>
      <c r="V292" s="32"/>
      <c r="W292" s="32"/>
      <c r="X292" s="34">
        <f t="shared" si="102"/>
        <v>0</v>
      </c>
      <c r="Y292" s="19"/>
    </row>
    <row r="293" spans="1:26" ht="14.25" thickBot="1">
      <c r="A293" s="28" t="s">
        <v>154</v>
      </c>
      <c r="B293" s="29">
        <v>-1</v>
      </c>
      <c r="C293" s="30"/>
      <c r="D293" s="30"/>
      <c r="E293" s="31">
        <v>-1</v>
      </c>
      <c r="F293" s="31">
        <v>1</v>
      </c>
      <c r="G293" s="32"/>
      <c r="H293" s="33"/>
      <c r="I293" s="33"/>
      <c r="J293" s="33"/>
      <c r="K293" s="34">
        <f t="shared" si="100"/>
        <v>-1</v>
      </c>
      <c r="L293" s="36">
        <v>42613</v>
      </c>
      <c r="N293" s="65"/>
      <c r="O293" s="29"/>
      <c r="P293" s="30"/>
      <c r="Q293" s="30"/>
      <c r="R293" s="30"/>
      <c r="S293" s="30"/>
      <c r="T293" s="32"/>
      <c r="U293" s="32"/>
      <c r="V293" s="32"/>
      <c r="W293" s="32"/>
      <c r="X293" s="34">
        <f t="shared" si="102"/>
        <v>0</v>
      </c>
      <c r="Y293" s="22"/>
      <c r="Z293" s="74"/>
    </row>
    <row r="294" spans="1:26" ht="14.25" thickBot="1">
      <c r="A294" s="2" t="s">
        <v>19</v>
      </c>
      <c r="B294" s="23">
        <f t="shared" ref="B294:J294" si="103">SUM(B274:B293)</f>
        <v>12</v>
      </c>
      <c r="C294" s="24">
        <f t="shared" si="103"/>
        <v>-4</v>
      </c>
      <c r="D294" s="24">
        <f t="shared" si="103"/>
        <v>-2</v>
      </c>
      <c r="E294" s="24">
        <f t="shared" si="103"/>
        <v>1</v>
      </c>
      <c r="F294" s="24">
        <f t="shared" si="103"/>
        <v>13</v>
      </c>
      <c r="G294" s="25">
        <f t="shared" si="103"/>
        <v>5</v>
      </c>
      <c r="H294" s="25">
        <f t="shared" si="103"/>
        <v>13</v>
      </c>
      <c r="I294" s="25">
        <f t="shared" si="103"/>
        <v>23</v>
      </c>
      <c r="J294" s="25">
        <f t="shared" si="103"/>
        <v>2</v>
      </c>
      <c r="K294" s="37">
        <f>SUM(B294:J294)</f>
        <v>63</v>
      </c>
      <c r="L294" s="27"/>
      <c r="N294" s="2" t="s">
        <v>19</v>
      </c>
      <c r="O294" s="23">
        <f t="shared" ref="O294:W294" si="104">SUM(O274:O293)</f>
        <v>0</v>
      </c>
      <c r="P294" s="24">
        <f t="shared" si="104"/>
        <v>-2</v>
      </c>
      <c r="Q294" s="24">
        <f t="shared" si="104"/>
        <v>0</v>
      </c>
      <c r="R294" s="24">
        <f t="shared" si="104"/>
        <v>0</v>
      </c>
      <c r="S294" s="24">
        <f t="shared" si="104"/>
        <v>0</v>
      </c>
      <c r="T294" s="25">
        <f t="shared" si="104"/>
        <v>0</v>
      </c>
      <c r="U294" s="25">
        <f t="shared" si="104"/>
        <v>0</v>
      </c>
      <c r="V294" s="25">
        <f t="shared" si="104"/>
        <v>15</v>
      </c>
      <c r="W294" s="25">
        <f t="shared" si="104"/>
        <v>0</v>
      </c>
      <c r="X294" s="37">
        <f>SUM(O294:W294)</f>
        <v>13</v>
      </c>
      <c r="Y294" s="27"/>
    </row>
    <row r="295" spans="1:26" ht="14.25" thickBot="1">
      <c r="A295" s="38" t="s">
        <v>17</v>
      </c>
      <c r="B295" s="39">
        <f>B273-B294</f>
        <v>16</v>
      </c>
      <c r="C295" s="39">
        <f t="shared" ref="C295:K295" si="105">C273-C294</f>
        <v>25</v>
      </c>
      <c r="D295" s="39">
        <f t="shared" si="105"/>
        <v>11</v>
      </c>
      <c r="E295" s="39">
        <f t="shared" si="105"/>
        <v>24</v>
      </c>
      <c r="F295" s="39">
        <f t="shared" si="105"/>
        <v>10</v>
      </c>
      <c r="G295" s="39">
        <f t="shared" si="105"/>
        <v>6</v>
      </c>
      <c r="H295" s="39">
        <f t="shared" si="105"/>
        <v>12</v>
      </c>
      <c r="I295" s="39">
        <f t="shared" si="105"/>
        <v>5</v>
      </c>
      <c r="J295" s="40">
        <f t="shared" si="105"/>
        <v>22</v>
      </c>
      <c r="K295" s="37">
        <f t="shared" si="105"/>
        <v>131</v>
      </c>
      <c r="L295" s="41"/>
      <c r="N295" s="38" t="s">
        <v>17</v>
      </c>
      <c r="O295" s="39">
        <f>O273-O294</f>
        <v>158</v>
      </c>
      <c r="P295" s="39">
        <f t="shared" ref="P295:X295" si="106">P273-P294</f>
        <v>231</v>
      </c>
      <c r="Q295" s="39">
        <f t="shared" si="106"/>
        <v>142</v>
      </c>
      <c r="R295" s="39">
        <f t="shared" si="106"/>
        <v>297</v>
      </c>
      <c r="S295" s="39">
        <f t="shared" si="106"/>
        <v>299</v>
      </c>
      <c r="T295" s="39">
        <f t="shared" si="106"/>
        <v>205</v>
      </c>
      <c r="U295" s="39">
        <f t="shared" si="106"/>
        <v>71</v>
      </c>
      <c r="V295" s="39">
        <f t="shared" si="106"/>
        <v>186</v>
      </c>
      <c r="W295" s="40">
        <f t="shared" si="106"/>
        <v>165</v>
      </c>
      <c r="X295" s="37">
        <f t="shared" si="106"/>
        <v>1754</v>
      </c>
      <c r="Y295" s="41"/>
    </row>
    <row r="298" spans="1:26" ht="19.5" thickBot="1">
      <c r="A298" s="1" t="s">
        <v>22</v>
      </c>
      <c r="N298" s="1" t="s">
        <v>21</v>
      </c>
    </row>
    <row r="299" spans="1:26" ht="19.5" thickBot="1">
      <c r="A299" s="2" t="s">
        <v>0</v>
      </c>
      <c r="B299" s="163" t="s">
        <v>20</v>
      </c>
      <c r="C299" s="164"/>
      <c r="D299" s="164"/>
      <c r="E299" s="164"/>
      <c r="F299" s="164"/>
      <c r="G299" s="164"/>
      <c r="H299" s="165"/>
      <c r="I299" s="165"/>
      <c r="J299" s="165"/>
      <c r="K299" s="166"/>
      <c r="L299" s="161" t="s">
        <v>1</v>
      </c>
      <c r="N299" s="2" t="s">
        <v>0</v>
      </c>
      <c r="O299" s="163" t="s">
        <v>20</v>
      </c>
      <c r="P299" s="164"/>
      <c r="Q299" s="164"/>
      <c r="R299" s="164"/>
      <c r="S299" s="164"/>
      <c r="T299" s="164"/>
      <c r="U299" s="165"/>
      <c r="V299" s="165"/>
      <c r="W299" s="165"/>
      <c r="X299" s="166"/>
      <c r="Y299" s="161" t="s">
        <v>1</v>
      </c>
    </row>
    <row r="300" spans="1:26" ht="14.25" thickBot="1">
      <c r="A300" s="2" t="s">
        <v>2</v>
      </c>
      <c r="B300" s="3" t="s">
        <v>3</v>
      </c>
      <c r="C300" s="4" t="s">
        <v>4</v>
      </c>
      <c r="D300" s="4" t="s">
        <v>5</v>
      </c>
      <c r="E300" s="4" t="s">
        <v>6</v>
      </c>
      <c r="F300" s="4" t="s">
        <v>7</v>
      </c>
      <c r="G300" s="5" t="s">
        <v>8</v>
      </c>
      <c r="H300" s="4" t="s">
        <v>9</v>
      </c>
      <c r="I300" s="6" t="s">
        <v>10</v>
      </c>
      <c r="J300" s="5" t="s">
        <v>11</v>
      </c>
      <c r="K300" s="7" t="s">
        <v>12</v>
      </c>
      <c r="L300" s="162"/>
      <c r="N300" s="2" t="s">
        <v>2</v>
      </c>
      <c r="O300" s="3" t="s">
        <v>3</v>
      </c>
      <c r="P300" s="4" t="s">
        <v>4</v>
      </c>
      <c r="Q300" s="4" t="s">
        <v>5</v>
      </c>
      <c r="R300" s="4" t="s">
        <v>6</v>
      </c>
      <c r="S300" s="4" t="s">
        <v>7</v>
      </c>
      <c r="T300" s="5" t="s">
        <v>8</v>
      </c>
      <c r="U300" s="4" t="s">
        <v>9</v>
      </c>
      <c r="V300" s="6" t="s">
        <v>10</v>
      </c>
      <c r="W300" s="5" t="s">
        <v>11</v>
      </c>
      <c r="X300" s="7" t="s">
        <v>12</v>
      </c>
      <c r="Y300" s="162"/>
    </row>
    <row r="301" spans="1:26">
      <c r="A301" s="52" t="s">
        <v>17</v>
      </c>
      <c r="B301" s="55">
        <f>B295</f>
        <v>16</v>
      </c>
      <c r="C301" s="56">
        <f>C295</f>
        <v>25</v>
      </c>
      <c r="D301" s="56">
        <f t="shared" ref="D301:J301" si="107">D295</f>
        <v>11</v>
      </c>
      <c r="E301" s="56">
        <f t="shared" si="107"/>
        <v>24</v>
      </c>
      <c r="F301" s="56">
        <f t="shared" si="107"/>
        <v>10</v>
      </c>
      <c r="G301" s="56">
        <f t="shared" si="107"/>
        <v>6</v>
      </c>
      <c r="H301" s="56">
        <f t="shared" si="107"/>
        <v>12</v>
      </c>
      <c r="I301" s="56">
        <f t="shared" si="107"/>
        <v>5</v>
      </c>
      <c r="J301" s="56">
        <f t="shared" si="107"/>
        <v>22</v>
      </c>
      <c r="K301" s="53">
        <f t="shared" ref="K301:K303" si="108">SUM(B301:J301)</f>
        <v>131</v>
      </c>
      <c r="L301" s="54"/>
      <c r="N301" s="52" t="s">
        <v>17</v>
      </c>
      <c r="O301" s="55">
        <f t="shared" ref="O301:W301" si="109">O295</f>
        <v>158</v>
      </c>
      <c r="P301" s="56">
        <f t="shared" si="109"/>
        <v>231</v>
      </c>
      <c r="Q301" s="56">
        <f t="shared" si="109"/>
        <v>142</v>
      </c>
      <c r="R301" s="56">
        <f t="shared" si="109"/>
        <v>297</v>
      </c>
      <c r="S301" s="56">
        <f t="shared" si="109"/>
        <v>299</v>
      </c>
      <c r="T301" s="56">
        <f t="shared" si="109"/>
        <v>205</v>
      </c>
      <c r="U301" s="56">
        <f t="shared" si="109"/>
        <v>71</v>
      </c>
      <c r="V301" s="56">
        <f t="shared" si="109"/>
        <v>186</v>
      </c>
      <c r="W301" s="56">
        <f t="shared" si="109"/>
        <v>165</v>
      </c>
      <c r="X301" s="53">
        <f t="shared" ref="X301:X307" si="110">SUM(O301:W301)</f>
        <v>1754</v>
      </c>
      <c r="Y301" s="54"/>
    </row>
    <row r="302" spans="1:26">
      <c r="A302" s="8" t="s">
        <v>117</v>
      </c>
      <c r="B302" s="9"/>
      <c r="C302" s="10"/>
      <c r="D302" s="10"/>
      <c r="E302" s="10"/>
      <c r="F302" s="10"/>
      <c r="G302" s="11">
        <v>2</v>
      </c>
      <c r="H302" s="11"/>
      <c r="I302" s="11"/>
      <c r="J302" s="11"/>
      <c r="K302" s="13">
        <f t="shared" si="108"/>
        <v>2</v>
      </c>
      <c r="L302" s="12">
        <v>42616</v>
      </c>
      <c r="N302" s="8" t="s">
        <v>14</v>
      </c>
      <c r="O302" s="9"/>
      <c r="P302" s="10"/>
      <c r="Q302" s="10"/>
      <c r="R302" s="10"/>
      <c r="S302" s="10"/>
      <c r="T302" s="11"/>
      <c r="U302" s="11"/>
      <c r="V302" s="11"/>
      <c r="W302" s="11"/>
      <c r="X302" s="13">
        <f t="shared" si="110"/>
        <v>0</v>
      </c>
      <c r="Y302" s="12"/>
    </row>
    <row r="303" spans="1:26">
      <c r="A303" s="8" t="s">
        <v>15</v>
      </c>
      <c r="B303" s="9"/>
      <c r="C303" s="10"/>
      <c r="D303" s="10"/>
      <c r="E303" s="10"/>
      <c r="F303" s="10">
        <v>20</v>
      </c>
      <c r="G303" s="11"/>
      <c r="H303" s="11"/>
      <c r="I303" s="11">
        <v>5</v>
      </c>
      <c r="J303" s="21"/>
      <c r="K303" s="13">
        <f t="shared" si="108"/>
        <v>25</v>
      </c>
      <c r="L303" s="19">
        <v>42622</v>
      </c>
      <c r="N303" s="8" t="s">
        <v>15</v>
      </c>
      <c r="O303" s="15"/>
      <c r="P303" s="16"/>
      <c r="Q303" s="16"/>
      <c r="R303" s="16"/>
      <c r="S303" s="16"/>
      <c r="T303" s="17"/>
      <c r="U303" s="17"/>
      <c r="V303" s="17"/>
      <c r="W303" s="17"/>
      <c r="X303" s="18">
        <f t="shared" si="110"/>
        <v>0</v>
      </c>
      <c r="Y303" s="19"/>
    </row>
    <row r="304" spans="1:26">
      <c r="A304" s="8" t="s">
        <v>16</v>
      </c>
      <c r="B304" s="67"/>
      <c r="C304" s="35"/>
      <c r="D304" s="35">
        <v>5</v>
      </c>
      <c r="E304" s="35">
        <v>10</v>
      </c>
      <c r="F304" s="35"/>
      <c r="G304" s="35">
        <v>5</v>
      </c>
      <c r="H304" s="35">
        <v>5</v>
      </c>
      <c r="I304" s="35">
        <v>5</v>
      </c>
      <c r="J304" s="68"/>
      <c r="K304" s="34">
        <f>SUM(B304:J304)</f>
        <v>30</v>
      </c>
      <c r="L304" s="73">
        <v>42627</v>
      </c>
      <c r="N304" s="8" t="s">
        <v>16</v>
      </c>
      <c r="O304" s="9"/>
      <c r="P304" s="10"/>
      <c r="Q304" s="10"/>
      <c r="R304" s="10"/>
      <c r="S304" s="10"/>
      <c r="T304" s="10"/>
      <c r="U304" s="10"/>
      <c r="V304" s="10"/>
      <c r="W304" s="21"/>
      <c r="X304" s="18">
        <f t="shared" si="110"/>
        <v>0</v>
      </c>
      <c r="Y304" s="22"/>
    </row>
    <row r="305" spans="1:25" ht="14.25" thickBot="1">
      <c r="A305" s="8" t="s">
        <v>23</v>
      </c>
      <c r="B305" s="70"/>
      <c r="C305" s="71"/>
      <c r="D305" s="71"/>
      <c r="E305" s="71">
        <v>15</v>
      </c>
      <c r="F305" s="71">
        <v>5</v>
      </c>
      <c r="G305" s="71"/>
      <c r="H305" s="71"/>
      <c r="I305" s="71"/>
      <c r="J305" s="72"/>
      <c r="K305" s="26">
        <f>SUM(B305:J305)</f>
        <v>20</v>
      </c>
      <c r="L305" s="73">
        <v>42628</v>
      </c>
      <c r="N305" s="8" t="s">
        <v>23</v>
      </c>
      <c r="O305" s="42"/>
      <c r="P305" s="43"/>
      <c r="Q305" s="43"/>
      <c r="R305" s="43"/>
      <c r="S305" s="43"/>
      <c r="T305" s="43"/>
      <c r="U305" s="43"/>
      <c r="V305" s="43"/>
      <c r="W305" s="44"/>
      <c r="X305" s="45">
        <f t="shared" si="110"/>
        <v>0</v>
      </c>
      <c r="Y305" s="19"/>
    </row>
    <row r="306" spans="1:25" ht="14.25" thickBot="1">
      <c r="A306" s="76" t="s">
        <v>18</v>
      </c>
      <c r="B306" s="77">
        <f>SUM(B301:B305)</f>
        <v>16</v>
      </c>
      <c r="C306" s="78">
        <f t="shared" ref="C306:J306" si="111">SUM(C301:C305)</f>
        <v>25</v>
      </c>
      <c r="D306" s="78">
        <f t="shared" si="111"/>
        <v>16</v>
      </c>
      <c r="E306" s="78">
        <f t="shared" si="111"/>
        <v>49</v>
      </c>
      <c r="F306" s="78">
        <f t="shared" si="111"/>
        <v>35</v>
      </c>
      <c r="G306" s="79">
        <f t="shared" si="111"/>
        <v>13</v>
      </c>
      <c r="H306" s="79">
        <f t="shared" si="111"/>
        <v>17</v>
      </c>
      <c r="I306" s="79">
        <f t="shared" si="111"/>
        <v>15</v>
      </c>
      <c r="J306" s="79">
        <f t="shared" si="111"/>
        <v>22</v>
      </c>
      <c r="K306" s="26">
        <f t="shared" ref="K306:K326" si="112">SUM(B306:J306)</f>
        <v>208</v>
      </c>
      <c r="L306" s="27"/>
      <c r="N306" s="2" t="s">
        <v>18</v>
      </c>
      <c r="O306" s="23">
        <f t="shared" ref="O306:W306" si="113">SUM(O301:O305)</f>
        <v>158</v>
      </c>
      <c r="P306" s="24">
        <f t="shared" si="113"/>
        <v>231</v>
      </c>
      <c r="Q306" s="24">
        <f t="shared" si="113"/>
        <v>142</v>
      </c>
      <c r="R306" s="24">
        <f t="shared" si="113"/>
        <v>297</v>
      </c>
      <c r="S306" s="24">
        <f t="shared" si="113"/>
        <v>299</v>
      </c>
      <c r="T306" s="25">
        <f t="shared" si="113"/>
        <v>205</v>
      </c>
      <c r="U306" s="25">
        <f t="shared" si="113"/>
        <v>71</v>
      </c>
      <c r="V306" s="25">
        <f t="shared" si="113"/>
        <v>186</v>
      </c>
      <c r="W306" s="25">
        <f t="shared" si="113"/>
        <v>165</v>
      </c>
      <c r="X306" s="26">
        <f t="shared" si="110"/>
        <v>1754</v>
      </c>
      <c r="Y306" s="27"/>
    </row>
    <row r="307" spans="1:25">
      <c r="A307" s="8" t="s">
        <v>27</v>
      </c>
      <c r="B307" s="29"/>
      <c r="C307" s="30"/>
      <c r="D307" s="30"/>
      <c r="E307" s="30"/>
      <c r="F307" s="30">
        <v>2</v>
      </c>
      <c r="G307" s="32"/>
      <c r="H307" s="32"/>
      <c r="I307" s="32"/>
      <c r="J307" s="32"/>
      <c r="K307" s="34">
        <f t="shared" si="112"/>
        <v>2</v>
      </c>
      <c r="L307" s="19">
        <v>42615</v>
      </c>
      <c r="N307" s="28" t="s">
        <v>162</v>
      </c>
      <c r="O307" s="9"/>
      <c r="P307" s="10"/>
      <c r="Q307" s="10"/>
      <c r="R307" s="10"/>
      <c r="S307" s="10">
        <v>20</v>
      </c>
      <c r="T307" s="11"/>
      <c r="U307" s="11"/>
      <c r="V307" s="11">
        <v>5</v>
      </c>
      <c r="W307" s="11"/>
      <c r="X307" s="13">
        <f t="shared" si="110"/>
        <v>25</v>
      </c>
      <c r="Y307" s="12">
        <v>42622</v>
      </c>
    </row>
    <row r="308" spans="1:25">
      <c r="A308" s="20" t="s">
        <v>155</v>
      </c>
      <c r="B308" s="29"/>
      <c r="C308" s="30">
        <v>-2</v>
      </c>
      <c r="D308" s="30"/>
      <c r="E308" s="30"/>
      <c r="F308" s="30"/>
      <c r="G308" s="32"/>
      <c r="H308" s="32"/>
      <c r="I308" s="32"/>
      <c r="J308" s="32">
        <v>2</v>
      </c>
      <c r="K308" s="34">
        <f t="shared" si="112"/>
        <v>0</v>
      </c>
      <c r="L308" s="22">
        <v>42616</v>
      </c>
      <c r="N308" s="28" t="s">
        <v>145</v>
      </c>
      <c r="O308" s="67"/>
      <c r="P308" s="35"/>
      <c r="Q308" s="35">
        <v>5</v>
      </c>
      <c r="R308" s="35">
        <v>10</v>
      </c>
      <c r="S308" s="35"/>
      <c r="T308" s="35">
        <v>5</v>
      </c>
      <c r="U308" s="35">
        <v>5</v>
      </c>
      <c r="V308" s="35">
        <v>5</v>
      </c>
      <c r="W308" s="68"/>
      <c r="X308" s="13">
        <f>SUM(O308:W308)</f>
        <v>30</v>
      </c>
      <c r="Y308" s="19">
        <v>42627</v>
      </c>
    </row>
    <row r="309" spans="1:25">
      <c r="A309" s="75" t="s">
        <v>156</v>
      </c>
      <c r="B309" s="29"/>
      <c r="C309" s="30">
        <v>1</v>
      </c>
      <c r="D309" s="30"/>
      <c r="E309" s="30"/>
      <c r="F309" s="30"/>
      <c r="G309" s="32"/>
      <c r="H309" s="32"/>
      <c r="I309" s="32"/>
      <c r="J309" s="32"/>
      <c r="K309" s="34">
        <f t="shared" si="112"/>
        <v>1</v>
      </c>
      <c r="L309" s="22">
        <v>42616</v>
      </c>
      <c r="N309" s="28" t="s">
        <v>145</v>
      </c>
      <c r="O309" s="29"/>
      <c r="P309" s="30"/>
      <c r="Q309" s="30"/>
      <c r="R309" s="30">
        <v>15</v>
      </c>
      <c r="S309" s="30">
        <v>5</v>
      </c>
      <c r="T309" s="32"/>
      <c r="U309" s="32"/>
      <c r="V309" s="32"/>
      <c r="W309" s="32"/>
      <c r="X309" s="34">
        <f t="shared" ref="X309:X326" si="114">SUM(O309:W309)</f>
        <v>20</v>
      </c>
      <c r="Y309" s="22">
        <v>42628</v>
      </c>
    </row>
    <row r="310" spans="1:25">
      <c r="A310" s="28" t="s">
        <v>157</v>
      </c>
      <c r="B310" s="29"/>
      <c r="C310" s="30"/>
      <c r="D310" s="30"/>
      <c r="E310" s="30"/>
      <c r="F310" s="30"/>
      <c r="G310" s="32"/>
      <c r="H310" s="32">
        <v>1</v>
      </c>
      <c r="I310" s="32"/>
      <c r="J310" s="32"/>
      <c r="K310" s="34">
        <f t="shared" si="112"/>
        <v>1</v>
      </c>
      <c r="L310" s="22">
        <v>42619</v>
      </c>
      <c r="N310" s="28" t="s">
        <v>169</v>
      </c>
      <c r="O310" s="29"/>
      <c r="P310" s="30"/>
      <c r="Q310" s="30"/>
      <c r="R310" s="30">
        <v>112</v>
      </c>
      <c r="S310" s="30">
        <v>150</v>
      </c>
      <c r="T310" s="32"/>
      <c r="U310" s="33"/>
      <c r="V310" s="32"/>
      <c r="W310" s="32"/>
      <c r="X310" s="34">
        <f t="shared" si="114"/>
        <v>262</v>
      </c>
      <c r="Y310" s="22">
        <v>42632</v>
      </c>
    </row>
    <row r="311" spans="1:25">
      <c r="A311" s="20" t="s">
        <v>159</v>
      </c>
      <c r="B311" s="29"/>
      <c r="C311" s="30"/>
      <c r="D311" s="30"/>
      <c r="E311" s="30"/>
      <c r="F311" s="30">
        <v>1</v>
      </c>
      <c r="G311" s="32"/>
      <c r="H311" s="33"/>
      <c r="I311" s="32"/>
      <c r="J311" s="32"/>
      <c r="K311" s="34">
        <f t="shared" si="112"/>
        <v>1</v>
      </c>
      <c r="L311" s="22">
        <v>42618</v>
      </c>
      <c r="N311" s="20"/>
      <c r="O311" s="29"/>
      <c r="P311" s="30"/>
      <c r="Q311" s="30"/>
      <c r="R311" s="30"/>
      <c r="S311" s="30"/>
      <c r="T311" s="32"/>
      <c r="U311" s="32"/>
      <c r="V311" s="32"/>
      <c r="W311" s="32"/>
      <c r="X311" s="34">
        <f t="shared" si="114"/>
        <v>0</v>
      </c>
      <c r="Y311" s="22"/>
    </row>
    <row r="312" spans="1:25">
      <c r="A312" s="20" t="s">
        <v>83</v>
      </c>
      <c r="B312" s="29"/>
      <c r="C312" s="30">
        <v>-2</v>
      </c>
      <c r="D312" s="30"/>
      <c r="E312" s="30"/>
      <c r="F312" s="30"/>
      <c r="G312" s="32">
        <v>2</v>
      </c>
      <c r="H312" s="33"/>
      <c r="I312" s="33"/>
      <c r="J312" s="33"/>
      <c r="K312" s="34">
        <f t="shared" si="112"/>
        <v>0</v>
      </c>
      <c r="L312" s="22">
        <v>42620</v>
      </c>
      <c r="N312" s="20"/>
      <c r="O312" s="29"/>
      <c r="P312" s="30"/>
      <c r="Q312" s="30"/>
      <c r="R312" s="30"/>
      <c r="S312" s="30"/>
      <c r="T312" s="32"/>
      <c r="U312" s="33"/>
      <c r="V312" s="33"/>
      <c r="W312" s="33"/>
      <c r="X312" s="34">
        <f t="shared" si="114"/>
        <v>0</v>
      </c>
      <c r="Y312" s="22"/>
    </row>
    <row r="313" spans="1:25">
      <c r="A313" s="20" t="s">
        <v>158</v>
      </c>
      <c r="B313" s="29"/>
      <c r="C313" s="30"/>
      <c r="D313" s="30"/>
      <c r="E313" s="31">
        <v>11</v>
      </c>
      <c r="F313" s="31">
        <v>2</v>
      </c>
      <c r="G313" s="32"/>
      <c r="H313" s="33">
        <v>6</v>
      </c>
      <c r="I313" s="33">
        <v>5</v>
      </c>
      <c r="J313" s="33"/>
      <c r="K313" s="34">
        <f t="shared" si="112"/>
        <v>24</v>
      </c>
      <c r="L313" s="22">
        <v>42620</v>
      </c>
      <c r="N313" s="28"/>
      <c r="O313" s="29"/>
      <c r="P313" s="30"/>
      <c r="Q313" s="30"/>
      <c r="R313" s="31"/>
      <c r="S313" s="31"/>
      <c r="T313" s="32"/>
      <c r="U313" s="33"/>
      <c r="V313" s="33"/>
      <c r="W313" s="33"/>
      <c r="X313" s="34">
        <f t="shared" si="114"/>
        <v>0</v>
      </c>
      <c r="Y313" s="22"/>
    </row>
    <row r="314" spans="1:25">
      <c r="A314" s="20" t="s">
        <v>160</v>
      </c>
      <c r="B314" s="35"/>
      <c r="C314" s="31"/>
      <c r="D314" s="31"/>
      <c r="E314" s="31">
        <v>1</v>
      </c>
      <c r="F314" s="31">
        <v>1</v>
      </c>
      <c r="G314" s="33"/>
      <c r="H314" s="33"/>
      <c r="I314" s="33"/>
      <c r="J314" s="33"/>
      <c r="K314" s="34">
        <f t="shared" si="112"/>
        <v>2</v>
      </c>
      <c r="L314" s="22">
        <v>42619</v>
      </c>
      <c r="N314" s="28"/>
      <c r="O314" s="35"/>
      <c r="P314" s="31"/>
      <c r="Q314" s="31"/>
      <c r="R314" s="31"/>
      <c r="S314" s="31"/>
      <c r="T314" s="33"/>
      <c r="U314" s="33"/>
      <c r="V314" s="33"/>
      <c r="W314" s="33"/>
      <c r="X314" s="34">
        <f t="shared" si="114"/>
        <v>0</v>
      </c>
      <c r="Y314" s="22"/>
    </row>
    <row r="315" spans="1:25">
      <c r="A315" s="20" t="s">
        <v>116</v>
      </c>
      <c r="B315" s="35">
        <v>1</v>
      </c>
      <c r="C315" s="31"/>
      <c r="D315" s="31"/>
      <c r="E315" s="31"/>
      <c r="F315" s="31"/>
      <c r="G315" s="33"/>
      <c r="H315" s="33"/>
      <c r="I315" s="33"/>
      <c r="J315" s="33"/>
      <c r="K315" s="34">
        <f t="shared" si="112"/>
        <v>1</v>
      </c>
      <c r="L315" s="22">
        <v>42621</v>
      </c>
      <c r="N315" s="28"/>
      <c r="O315" s="35"/>
      <c r="P315" s="31"/>
      <c r="Q315" s="31"/>
      <c r="R315" s="31"/>
      <c r="S315" s="31"/>
      <c r="T315" s="33"/>
      <c r="U315" s="33"/>
      <c r="V315" s="33"/>
      <c r="W315" s="33"/>
      <c r="X315" s="34">
        <f t="shared" si="114"/>
        <v>0</v>
      </c>
      <c r="Y315" s="22"/>
    </row>
    <row r="316" spans="1:25">
      <c r="A316" s="20" t="s">
        <v>161</v>
      </c>
      <c r="B316" s="35"/>
      <c r="C316" s="31"/>
      <c r="D316" s="31">
        <v>5</v>
      </c>
      <c r="E316" s="31"/>
      <c r="F316" s="31"/>
      <c r="G316" s="33"/>
      <c r="H316" s="33"/>
      <c r="I316" s="33"/>
      <c r="J316" s="33"/>
      <c r="K316" s="34">
        <f t="shared" si="112"/>
        <v>5</v>
      </c>
      <c r="L316" s="22">
        <v>42625</v>
      </c>
      <c r="N316" s="28"/>
      <c r="O316" s="35"/>
      <c r="P316" s="31"/>
      <c r="Q316" s="31"/>
      <c r="R316" s="31"/>
      <c r="S316" s="31"/>
      <c r="T316" s="33"/>
      <c r="U316" s="33"/>
      <c r="V316" s="33"/>
      <c r="W316" s="33"/>
      <c r="X316" s="34">
        <f t="shared" si="114"/>
        <v>0</v>
      </c>
      <c r="Y316" s="22"/>
    </row>
    <row r="317" spans="1:25">
      <c r="A317" s="20" t="s">
        <v>163</v>
      </c>
      <c r="B317" s="29"/>
      <c r="C317" s="30"/>
      <c r="D317" s="30"/>
      <c r="E317" s="30">
        <v>1</v>
      </c>
      <c r="F317" s="30"/>
      <c r="G317" s="32"/>
      <c r="H317" s="32"/>
      <c r="I317" s="32"/>
      <c r="J317" s="32"/>
      <c r="K317" s="34">
        <f t="shared" si="112"/>
        <v>1</v>
      </c>
      <c r="L317" s="22">
        <v>42620</v>
      </c>
      <c r="N317" s="28"/>
      <c r="O317" s="29"/>
      <c r="P317" s="30"/>
      <c r="Q317" s="30"/>
      <c r="R317" s="30"/>
      <c r="S317" s="30"/>
      <c r="T317" s="32"/>
      <c r="U317" s="32"/>
      <c r="V317" s="32"/>
      <c r="W317" s="32"/>
      <c r="X317" s="34">
        <f t="shared" si="114"/>
        <v>0</v>
      </c>
      <c r="Y317" s="22"/>
    </row>
    <row r="318" spans="1:25">
      <c r="A318" s="20" t="s">
        <v>24</v>
      </c>
      <c r="B318" s="35"/>
      <c r="C318" s="31"/>
      <c r="D318" s="31"/>
      <c r="E318" s="31"/>
      <c r="F318" s="31">
        <v>15</v>
      </c>
      <c r="G318" s="33"/>
      <c r="H318" s="33"/>
      <c r="I318" s="33">
        <v>1</v>
      </c>
      <c r="J318" s="33"/>
      <c r="K318" s="34">
        <f t="shared" si="112"/>
        <v>16</v>
      </c>
      <c r="L318" s="22">
        <v>42623</v>
      </c>
      <c r="N318" s="28"/>
      <c r="O318" s="35"/>
      <c r="P318" s="31"/>
      <c r="Q318" s="31"/>
      <c r="R318" s="31"/>
      <c r="S318" s="31"/>
      <c r="T318" s="33"/>
      <c r="U318" s="33"/>
      <c r="V318" s="33"/>
      <c r="W318" s="33"/>
      <c r="X318" s="34">
        <f t="shared" si="114"/>
        <v>0</v>
      </c>
      <c r="Y318" s="22"/>
    </row>
    <row r="319" spans="1:25">
      <c r="A319" s="20" t="s">
        <v>83</v>
      </c>
      <c r="B319" s="29"/>
      <c r="C319" s="30">
        <v>-2</v>
      </c>
      <c r="D319" s="30"/>
      <c r="E319" s="30"/>
      <c r="F319" s="30"/>
      <c r="G319" s="32"/>
      <c r="H319" s="33">
        <v>2</v>
      </c>
      <c r="I319" s="33"/>
      <c r="J319" s="33"/>
      <c r="K319" s="34">
        <f t="shared" si="112"/>
        <v>0</v>
      </c>
      <c r="L319" s="22">
        <v>42625</v>
      </c>
      <c r="N319" s="28"/>
      <c r="O319" s="29"/>
      <c r="P319" s="30"/>
      <c r="Q319" s="30"/>
      <c r="R319" s="30"/>
      <c r="S319" s="30"/>
      <c r="T319" s="32"/>
      <c r="U319" s="33"/>
      <c r="V319" s="33"/>
      <c r="W319" s="33"/>
      <c r="X319" s="34">
        <f t="shared" si="114"/>
        <v>0</v>
      </c>
      <c r="Y319" s="22"/>
    </row>
    <row r="320" spans="1:25">
      <c r="A320" s="20" t="s">
        <v>165</v>
      </c>
      <c r="B320" s="29"/>
      <c r="C320" s="30"/>
      <c r="D320" s="30"/>
      <c r="E320" s="30">
        <v>1</v>
      </c>
      <c r="F320" s="30"/>
      <c r="G320" s="32"/>
      <c r="H320" s="32"/>
      <c r="I320" s="32"/>
      <c r="J320" s="32"/>
      <c r="K320" s="34">
        <f t="shared" si="112"/>
        <v>1</v>
      </c>
      <c r="L320" s="19">
        <v>42622</v>
      </c>
      <c r="N320" s="28"/>
      <c r="O320" s="35"/>
      <c r="P320" s="31"/>
      <c r="Q320" s="31"/>
      <c r="R320" s="31"/>
      <c r="S320" s="31"/>
      <c r="T320" s="33"/>
      <c r="U320" s="33"/>
      <c r="V320" s="33"/>
      <c r="W320" s="33"/>
      <c r="X320" s="34">
        <f t="shared" si="114"/>
        <v>0</v>
      </c>
      <c r="Y320" s="22"/>
    </row>
    <row r="321" spans="1:25">
      <c r="A321" s="20" t="s">
        <v>164</v>
      </c>
      <c r="B321" s="35"/>
      <c r="C321" s="31"/>
      <c r="D321" s="31"/>
      <c r="E321" s="31">
        <v>4</v>
      </c>
      <c r="F321" s="31"/>
      <c r="G321" s="33"/>
      <c r="H321" s="33"/>
      <c r="I321" s="33"/>
      <c r="J321" s="33"/>
      <c r="K321" s="34">
        <f t="shared" si="112"/>
        <v>4</v>
      </c>
      <c r="L321" s="22">
        <v>42626</v>
      </c>
      <c r="N321" s="28"/>
      <c r="O321" s="35"/>
      <c r="P321" s="31"/>
      <c r="Q321" s="31"/>
      <c r="R321" s="31"/>
      <c r="S321" s="31"/>
      <c r="T321" s="33"/>
      <c r="U321" s="33"/>
      <c r="V321" s="33"/>
      <c r="W321" s="33"/>
      <c r="X321" s="34">
        <f t="shared" si="114"/>
        <v>0</v>
      </c>
      <c r="Y321" s="22"/>
    </row>
    <row r="322" spans="1:25">
      <c r="A322" s="8" t="s">
        <v>166</v>
      </c>
      <c r="B322" s="29"/>
      <c r="C322" s="30"/>
      <c r="D322" s="30"/>
      <c r="E322" s="30">
        <v>3</v>
      </c>
      <c r="F322" s="30"/>
      <c r="G322" s="32">
        <v>1</v>
      </c>
      <c r="H322" s="32"/>
      <c r="I322" s="32"/>
      <c r="J322" s="32"/>
      <c r="K322" s="34">
        <f t="shared" si="112"/>
        <v>4</v>
      </c>
      <c r="L322" s="22">
        <v>42625</v>
      </c>
      <c r="N322" s="65"/>
      <c r="O322" s="29"/>
      <c r="P322" s="30"/>
      <c r="Q322" s="30"/>
      <c r="R322" s="30"/>
      <c r="S322" s="30"/>
      <c r="T322" s="32"/>
      <c r="U322" s="32"/>
      <c r="V322" s="32"/>
      <c r="W322" s="32"/>
      <c r="X322" s="34">
        <f t="shared" si="114"/>
        <v>0</v>
      </c>
      <c r="Y322" s="22"/>
    </row>
    <row r="323" spans="1:25">
      <c r="A323" s="20" t="s">
        <v>54</v>
      </c>
      <c r="B323" s="29"/>
      <c r="C323" s="30"/>
      <c r="D323" s="30"/>
      <c r="E323" s="30">
        <v>10</v>
      </c>
      <c r="F323" s="30"/>
      <c r="G323" s="32"/>
      <c r="H323" s="32"/>
      <c r="I323" s="32"/>
      <c r="J323" s="32"/>
      <c r="K323" s="34">
        <f t="shared" si="112"/>
        <v>10</v>
      </c>
      <c r="L323" s="19">
        <v>42628</v>
      </c>
      <c r="N323" s="28"/>
      <c r="O323" s="29"/>
      <c r="P323" s="30"/>
      <c r="Q323" s="30"/>
      <c r="R323" s="30"/>
      <c r="S323" s="30"/>
      <c r="T323" s="32"/>
      <c r="U323" s="32"/>
      <c r="V323" s="32"/>
      <c r="W323" s="32"/>
      <c r="X323" s="34">
        <f t="shared" si="114"/>
        <v>0</v>
      </c>
      <c r="Y323" s="19"/>
    </row>
    <row r="324" spans="1:25">
      <c r="A324" s="8" t="s">
        <v>118</v>
      </c>
      <c r="B324" s="29"/>
      <c r="C324" s="30"/>
      <c r="D324" s="30"/>
      <c r="E324" s="30"/>
      <c r="F324" s="30"/>
      <c r="G324" s="32"/>
      <c r="H324" s="32">
        <v>-1</v>
      </c>
      <c r="I324" s="32"/>
      <c r="J324" s="32"/>
      <c r="K324" s="34">
        <f t="shared" si="112"/>
        <v>-1</v>
      </c>
      <c r="L324" s="19">
        <v>42627</v>
      </c>
      <c r="N324" s="65"/>
      <c r="O324" s="29"/>
      <c r="P324" s="30"/>
      <c r="Q324" s="30"/>
      <c r="R324" s="30"/>
      <c r="S324" s="30"/>
      <c r="T324" s="32"/>
      <c r="U324" s="32"/>
      <c r="V324" s="32"/>
      <c r="W324" s="32"/>
      <c r="X324" s="34">
        <f t="shared" si="114"/>
        <v>0</v>
      </c>
      <c r="Y324" s="19"/>
    </row>
    <row r="325" spans="1:25">
      <c r="A325" s="28" t="s">
        <v>24</v>
      </c>
      <c r="B325" s="29"/>
      <c r="C325" s="30"/>
      <c r="D325" s="30"/>
      <c r="E325" s="30">
        <v>3</v>
      </c>
      <c r="F325" s="30">
        <v>2</v>
      </c>
      <c r="G325" s="32"/>
      <c r="H325" s="32"/>
      <c r="I325" s="32"/>
      <c r="J325" s="32"/>
      <c r="K325" s="34">
        <f t="shared" si="112"/>
        <v>5</v>
      </c>
      <c r="L325" s="19">
        <v>42628</v>
      </c>
      <c r="N325" s="65"/>
      <c r="O325" s="29"/>
      <c r="P325" s="30"/>
      <c r="Q325" s="30"/>
      <c r="R325" s="30"/>
      <c r="S325" s="30"/>
      <c r="T325" s="32"/>
      <c r="U325" s="32"/>
      <c r="V325" s="32"/>
      <c r="W325" s="32"/>
      <c r="X325" s="34">
        <f t="shared" si="114"/>
        <v>0</v>
      </c>
      <c r="Y325" s="19"/>
    </row>
    <row r="326" spans="1:25" ht="14.25" thickBot="1">
      <c r="A326" s="28" t="s">
        <v>170</v>
      </c>
      <c r="B326" s="29"/>
      <c r="C326" s="30"/>
      <c r="D326" s="30"/>
      <c r="E326" s="31">
        <v>1</v>
      </c>
      <c r="F326" s="31"/>
      <c r="G326" s="32"/>
      <c r="H326" s="33"/>
      <c r="I326" s="33"/>
      <c r="J326" s="33"/>
      <c r="K326" s="34">
        <f t="shared" si="112"/>
        <v>1</v>
      </c>
      <c r="L326" s="36">
        <v>42630</v>
      </c>
      <c r="N326" s="65"/>
      <c r="O326" s="29"/>
      <c r="P326" s="30"/>
      <c r="Q326" s="30"/>
      <c r="R326" s="30"/>
      <c r="S326" s="30"/>
      <c r="T326" s="32"/>
      <c r="U326" s="32"/>
      <c r="V326" s="32"/>
      <c r="W326" s="32"/>
      <c r="X326" s="34">
        <f t="shared" si="114"/>
        <v>0</v>
      </c>
      <c r="Y326" s="22"/>
    </row>
    <row r="327" spans="1:25" ht="14.25" thickBot="1">
      <c r="A327" s="2" t="s">
        <v>19</v>
      </c>
      <c r="B327" s="23">
        <f t="shared" ref="B327:J327" si="115">SUM(B307:B326)</f>
        <v>1</v>
      </c>
      <c r="C327" s="24">
        <f t="shared" si="115"/>
        <v>-5</v>
      </c>
      <c r="D327" s="24">
        <f t="shared" si="115"/>
        <v>5</v>
      </c>
      <c r="E327" s="24">
        <f t="shared" si="115"/>
        <v>35</v>
      </c>
      <c r="F327" s="24">
        <f t="shared" si="115"/>
        <v>23</v>
      </c>
      <c r="G327" s="25">
        <f t="shared" si="115"/>
        <v>3</v>
      </c>
      <c r="H327" s="25">
        <f t="shared" si="115"/>
        <v>8</v>
      </c>
      <c r="I327" s="25">
        <f t="shared" si="115"/>
        <v>6</v>
      </c>
      <c r="J327" s="25">
        <f t="shared" si="115"/>
        <v>2</v>
      </c>
      <c r="K327" s="37">
        <f>SUM(B327:J327)</f>
        <v>78</v>
      </c>
      <c r="L327" s="27"/>
      <c r="N327" s="2" t="s">
        <v>19</v>
      </c>
      <c r="O327" s="23">
        <f t="shared" ref="O327:W327" si="116">SUM(O307:O326)</f>
        <v>0</v>
      </c>
      <c r="P327" s="24">
        <f t="shared" si="116"/>
        <v>0</v>
      </c>
      <c r="Q327" s="24">
        <f t="shared" si="116"/>
        <v>5</v>
      </c>
      <c r="R327" s="24">
        <f t="shared" si="116"/>
        <v>137</v>
      </c>
      <c r="S327" s="24">
        <f t="shared" si="116"/>
        <v>175</v>
      </c>
      <c r="T327" s="25">
        <f t="shared" si="116"/>
        <v>5</v>
      </c>
      <c r="U327" s="25">
        <f t="shared" si="116"/>
        <v>5</v>
      </c>
      <c r="V327" s="25">
        <f t="shared" si="116"/>
        <v>10</v>
      </c>
      <c r="W327" s="25">
        <f t="shared" si="116"/>
        <v>0</v>
      </c>
      <c r="X327" s="37">
        <f>SUM(O327:W327)</f>
        <v>337</v>
      </c>
      <c r="Y327" s="27"/>
    </row>
    <row r="328" spans="1:25" ht="14.25" thickBot="1">
      <c r="A328" s="38" t="s">
        <v>17</v>
      </c>
      <c r="B328" s="39">
        <f>B306-B327</f>
        <v>15</v>
      </c>
      <c r="C328" s="39">
        <f t="shared" ref="C328:K328" si="117">C306-C327</f>
        <v>30</v>
      </c>
      <c r="D328" s="39">
        <f t="shared" si="117"/>
        <v>11</v>
      </c>
      <c r="E328" s="39">
        <f t="shared" si="117"/>
        <v>14</v>
      </c>
      <c r="F328" s="39">
        <f t="shared" si="117"/>
        <v>12</v>
      </c>
      <c r="G328" s="39">
        <f t="shared" si="117"/>
        <v>10</v>
      </c>
      <c r="H328" s="39">
        <f t="shared" si="117"/>
        <v>9</v>
      </c>
      <c r="I328" s="39">
        <f t="shared" si="117"/>
        <v>9</v>
      </c>
      <c r="J328" s="40">
        <f t="shared" si="117"/>
        <v>20</v>
      </c>
      <c r="K328" s="37">
        <f t="shared" si="117"/>
        <v>130</v>
      </c>
      <c r="L328" s="41"/>
      <c r="N328" s="38" t="s">
        <v>17</v>
      </c>
      <c r="O328" s="39">
        <f>O306-O327</f>
        <v>158</v>
      </c>
      <c r="P328" s="39">
        <f t="shared" ref="P328:X328" si="118">P306-P327</f>
        <v>231</v>
      </c>
      <c r="Q328" s="39">
        <f t="shared" si="118"/>
        <v>137</v>
      </c>
      <c r="R328" s="39">
        <f t="shared" si="118"/>
        <v>160</v>
      </c>
      <c r="S328" s="39">
        <f t="shared" si="118"/>
        <v>124</v>
      </c>
      <c r="T328" s="39">
        <f t="shared" si="118"/>
        <v>200</v>
      </c>
      <c r="U328" s="39">
        <f t="shared" si="118"/>
        <v>66</v>
      </c>
      <c r="V328" s="39">
        <f t="shared" si="118"/>
        <v>176</v>
      </c>
      <c r="W328" s="40">
        <f t="shared" si="118"/>
        <v>165</v>
      </c>
      <c r="X328" s="37">
        <f t="shared" si="118"/>
        <v>1417</v>
      </c>
      <c r="Y328" s="41"/>
    </row>
    <row r="329" spans="1:25">
      <c r="A329" s="82" t="s">
        <v>168</v>
      </c>
      <c r="B329">
        <f t="shared" ref="B329:K329" si="119">B327+B294+B261+B228+B195+B162+B129+B96+B63+B30</f>
        <v>85</v>
      </c>
      <c r="C329">
        <f t="shared" si="119"/>
        <v>66</v>
      </c>
      <c r="D329">
        <f t="shared" si="119"/>
        <v>54</v>
      </c>
      <c r="E329">
        <f t="shared" si="119"/>
        <v>199</v>
      </c>
      <c r="F329">
        <f t="shared" si="119"/>
        <v>205</v>
      </c>
      <c r="G329">
        <f t="shared" si="119"/>
        <v>101</v>
      </c>
      <c r="H329">
        <f t="shared" si="119"/>
        <v>131</v>
      </c>
      <c r="I329">
        <f t="shared" si="119"/>
        <v>132</v>
      </c>
      <c r="J329">
        <f t="shared" si="119"/>
        <v>152</v>
      </c>
      <c r="K329">
        <f t="shared" si="119"/>
        <v>1125</v>
      </c>
    </row>
    <row r="330" spans="1:25">
      <c r="A330" s="82" t="s">
        <v>167</v>
      </c>
      <c r="B330" s="81">
        <f t="shared" ref="B330:K330" si="120">B329/$K$329*100</f>
        <v>7.5555555555555554</v>
      </c>
      <c r="C330" s="81">
        <f t="shared" si="120"/>
        <v>5.8666666666666663</v>
      </c>
      <c r="D330" s="81">
        <f t="shared" si="120"/>
        <v>4.8</v>
      </c>
      <c r="E330" s="81">
        <f t="shared" si="120"/>
        <v>17.68888888888889</v>
      </c>
      <c r="F330" s="81">
        <f t="shared" si="120"/>
        <v>18.222222222222221</v>
      </c>
      <c r="G330" s="81">
        <f t="shared" si="120"/>
        <v>8.9777777777777779</v>
      </c>
      <c r="H330" s="81">
        <f t="shared" si="120"/>
        <v>11.644444444444444</v>
      </c>
      <c r="I330" s="81">
        <f t="shared" si="120"/>
        <v>11.733333333333333</v>
      </c>
      <c r="J330" s="81">
        <f t="shared" si="120"/>
        <v>13.511111111111109</v>
      </c>
      <c r="K330" s="81">
        <f t="shared" si="120"/>
        <v>100</v>
      </c>
    </row>
    <row r="331" spans="1:25" ht="19.5" thickBot="1">
      <c r="A331" s="1" t="s">
        <v>22</v>
      </c>
      <c r="N331" s="1" t="s">
        <v>21</v>
      </c>
    </row>
    <row r="332" spans="1:25" ht="19.5" thickBot="1">
      <c r="A332" s="2" t="s">
        <v>0</v>
      </c>
      <c r="B332" s="163" t="s">
        <v>20</v>
      </c>
      <c r="C332" s="164"/>
      <c r="D332" s="164"/>
      <c r="E332" s="164"/>
      <c r="F332" s="164"/>
      <c r="G332" s="164"/>
      <c r="H332" s="165"/>
      <c r="I332" s="165"/>
      <c r="J332" s="165"/>
      <c r="K332" s="166"/>
      <c r="L332" s="161" t="s">
        <v>1</v>
      </c>
      <c r="N332" s="2" t="s">
        <v>0</v>
      </c>
      <c r="O332" s="163" t="s">
        <v>20</v>
      </c>
      <c r="P332" s="164"/>
      <c r="Q332" s="164"/>
      <c r="R332" s="164"/>
      <c r="S332" s="164"/>
      <c r="T332" s="164"/>
      <c r="U332" s="165"/>
      <c r="V332" s="165"/>
      <c r="W332" s="165"/>
      <c r="X332" s="166"/>
      <c r="Y332" s="161" t="s">
        <v>1</v>
      </c>
    </row>
    <row r="333" spans="1:25" ht="14.25" thickBot="1">
      <c r="A333" s="2" t="s">
        <v>2</v>
      </c>
      <c r="B333" s="3" t="s">
        <v>3</v>
      </c>
      <c r="C333" s="4" t="s">
        <v>4</v>
      </c>
      <c r="D333" s="4" t="s">
        <v>5</v>
      </c>
      <c r="E333" s="4" t="s">
        <v>6</v>
      </c>
      <c r="F333" s="4" t="s">
        <v>7</v>
      </c>
      <c r="G333" s="5" t="s">
        <v>8</v>
      </c>
      <c r="H333" s="4" t="s">
        <v>9</v>
      </c>
      <c r="I333" s="6" t="s">
        <v>10</v>
      </c>
      <c r="J333" s="5" t="s">
        <v>11</v>
      </c>
      <c r="K333" s="7" t="s">
        <v>12</v>
      </c>
      <c r="L333" s="167"/>
      <c r="N333" s="2" t="s">
        <v>2</v>
      </c>
      <c r="O333" s="3" t="s">
        <v>3</v>
      </c>
      <c r="P333" s="4" t="s">
        <v>4</v>
      </c>
      <c r="Q333" s="4" t="s">
        <v>5</v>
      </c>
      <c r="R333" s="4" t="s">
        <v>6</v>
      </c>
      <c r="S333" s="4" t="s">
        <v>7</v>
      </c>
      <c r="T333" s="5" t="s">
        <v>8</v>
      </c>
      <c r="U333" s="4" t="s">
        <v>9</v>
      </c>
      <c r="V333" s="6" t="s">
        <v>10</v>
      </c>
      <c r="W333" s="5" t="s">
        <v>11</v>
      </c>
      <c r="X333" s="7" t="s">
        <v>12</v>
      </c>
      <c r="Y333" s="162"/>
    </row>
    <row r="334" spans="1:25">
      <c r="A334" s="52" t="s">
        <v>17</v>
      </c>
      <c r="B334" s="55">
        <f>B328</f>
        <v>15</v>
      </c>
      <c r="C334" s="56">
        <f>C328</f>
        <v>30</v>
      </c>
      <c r="D334" s="56">
        <f t="shared" ref="D334:J334" si="121">D328</f>
        <v>11</v>
      </c>
      <c r="E334" s="56">
        <f t="shared" si="121"/>
        <v>14</v>
      </c>
      <c r="F334" s="56">
        <f t="shared" si="121"/>
        <v>12</v>
      </c>
      <c r="G334" s="56">
        <f t="shared" si="121"/>
        <v>10</v>
      </c>
      <c r="H334" s="56">
        <f t="shared" si="121"/>
        <v>9</v>
      </c>
      <c r="I334" s="56">
        <f t="shared" si="121"/>
        <v>9</v>
      </c>
      <c r="J334" s="56">
        <f t="shared" si="121"/>
        <v>20</v>
      </c>
      <c r="K334" s="83">
        <f t="shared" ref="K334:K336" si="122">SUM(B334:J334)</f>
        <v>130</v>
      </c>
      <c r="L334" s="86"/>
      <c r="N334" s="52" t="s">
        <v>17</v>
      </c>
      <c r="O334" s="55">
        <f t="shared" ref="O334:W334" si="123">O328</f>
        <v>158</v>
      </c>
      <c r="P334" s="56">
        <f t="shared" si="123"/>
        <v>231</v>
      </c>
      <c r="Q334" s="56">
        <f t="shared" si="123"/>
        <v>137</v>
      </c>
      <c r="R334" s="56">
        <f t="shared" si="123"/>
        <v>160</v>
      </c>
      <c r="S334" s="56">
        <f t="shared" si="123"/>
        <v>124</v>
      </c>
      <c r="T334" s="56">
        <f t="shared" si="123"/>
        <v>200</v>
      </c>
      <c r="U334" s="56">
        <f t="shared" si="123"/>
        <v>66</v>
      </c>
      <c r="V334" s="56">
        <f t="shared" si="123"/>
        <v>176</v>
      </c>
      <c r="W334" s="56">
        <f t="shared" si="123"/>
        <v>165</v>
      </c>
      <c r="X334" s="53">
        <f t="shared" ref="X334:X340" si="124">SUM(O334:W334)</f>
        <v>1417</v>
      </c>
      <c r="Y334" s="54"/>
    </row>
    <row r="335" spans="1:25">
      <c r="A335" s="8" t="s">
        <v>14</v>
      </c>
      <c r="B335" s="9"/>
      <c r="C335" s="10"/>
      <c r="D335" s="10"/>
      <c r="E335" s="10">
        <v>15</v>
      </c>
      <c r="F335" s="10"/>
      <c r="G335" s="11">
        <v>15</v>
      </c>
      <c r="H335" s="11"/>
      <c r="I335" s="11"/>
      <c r="J335" s="11"/>
      <c r="K335" s="84">
        <f t="shared" si="122"/>
        <v>30</v>
      </c>
      <c r="L335" s="87">
        <v>42634</v>
      </c>
      <c r="N335" s="8" t="s">
        <v>14</v>
      </c>
      <c r="O335" s="9"/>
      <c r="P335" s="10"/>
      <c r="Q335" s="10"/>
      <c r="R335" s="10"/>
      <c r="S335" s="10"/>
      <c r="T335" s="11"/>
      <c r="U335" s="11"/>
      <c r="V335" s="11"/>
      <c r="W335" s="11"/>
      <c r="X335" s="13">
        <f t="shared" si="124"/>
        <v>0</v>
      </c>
      <c r="Y335" s="12"/>
    </row>
    <row r="336" spans="1:25">
      <c r="A336" s="8" t="s">
        <v>15</v>
      </c>
      <c r="B336" s="9"/>
      <c r="C336" s="10"/>
      <c r="D336" s="10"/>
      <c r="E336" s="10">
        <v>10</v>
      </c>
      <c r="F336" s="10">
        <v>10</v>
      </c>
      <c r="G336" s="11"/>
      <c r="H336" s="11">
        <v>20</v>
      </c>
      <c r="I336" s="11">
        <v>10</v>
      </c>
      <c r="J336" s="21"/>
      <c r="K336" s="84">
        <f t="shared" si="122"/>
        <v>50</v>
      </c>
      <c r="L336" s="87">
        <v>42636</v>
      </c>
      <c r="N336" s="8" t="s">
        <v>15</v>
      </c>
      <c r="O336" s="15"/>
      <c r="P336" s="16"/>
      <c r="Q336" s="16"/>
      <c r="R336" s="16"/>
      <c r="S336" s="16"/>
      <c r="T336" s="17"/>
      <c r="U336" s="17"/>
      <c r="V336" s="17"/>
      <c r="W336" s="17"/>
      <c r="X336" s="18">
        <f t="shared" si="124"/>
        <v>0</v>
      </c>
      <c r="Y336" s="19"/>
    </row>
    <row r="337" spans="1:25">
      <c r="A337" s="8" t="s">
        <v>16</v>
      </c>
      <c r="B337" s="67"/>
      <c r="C337" s="35"/>
      <c r="D337" s="35"/>
      <c r="E337" s="35"/>
      <c r="F337" s="35"/>
      <c r="G337" s="35"/>
      <c r="H337" s="35">
        <v>10</v>
      </c>
      <c r="I337" s="35"/>
      <c r="J337" s="68"/>
      <c r="K337" s="85">
        <f>SUM(B337:J337)</f>
        <v>10</v>
      </c>
      <c r="L337" s="87">
        <v>42637</v>
      </c>
      <c r="N337" s="8" t="s">
        <v>16</v>
      </c>
      <c r="O337" s="9"/>
      <c r="P337" s="10"/>
      <c r="Q337" s="10"/>
      <c r="R337" s="10"/>
      <c r="S337" s="10"/>
      <c r="T337" s="10"/>
      <c r="U337" s="10"/>
      <c r="V337" s="10"/>
      <c r="W337" s="21"/>
      <c r="X337" s="18">
        <f t="shared" si="124"/>
        <v>0</v>
      </c>
      <c r="Y337" s="22"/>
    </row>
    <row r="338" spans="1:25" ht="14.25" thickBot="1">
      <c r="A338" s="8" t="s">
        <v>23</v>
      </c>
      <c r="B338" s="70"/>
      <c r="C338" s="71"/>
      <c r="D338" s="71"/>
      <c r="E338" s="71">
        <v>15</v>
      </c>
      <c r="F338" s="71"/>
      <c r="G338" s="71"/>
      <c r="H338" s="71"/>
      <c r="I338" s="71">
        <v>5</v>
      </c>
      <c r="J338" s="72">
        <v>5</v>
      </c>
      <c r="K338" s="88">
        <f>SUM(B338:J338)</f>
        <v>25</v>
      </c>
      <c r="L338" s="36">
        <v>42649</v>
      </c>
      <c r="N338" s="8" t="s">
        <v>23</v>
      </c>
      <c r="O338" s="42"/>
      <c r="P338" s="43"/>
      <c r="Q338" s="43"/>
      <c r="R338" s="43"/>
      <c r="S338" s="43"/>
      <c r="T338" s="43"/>
      <c r="U338" s="43"/>
      <c r="V338" s="43"/>
      <c r="W338" s="44"/>
      <c r="X338" s="45">
        <f t="shared" si="124"/>
        <v>0</v>
      </c>
      <c r="Y338" s="19"/>
    </row>
    <row r="339" spans="1:25" ht="14.25" thickBot="1">
      <c r="A339" s="76" t="s">
        <v>18</v>
      </c>
      <c r="B339" s="77">
        <f>SUM(B334:B338)</f>
        <v>15</v>
      </c>
      <c r="C339" s="78">
        <f t="shared" ref="C339:J339" si="125">SUM(C334:C338)</f>
        <v>30</v>
      </c>
      <c r="D339" s="78">
        <f t="shared" si="125"/>
        <v>11</v>
      </c>
      <c r="E339" s="78">
        <f t="shared" si="125"/>
        <v>54</v>
      </c>
      <c r="F339" s="78">
        <f t="shared" si="125"/>
        <v>22</v>
      </c>
      <c r="G339" s="79">
        <f t="shared" si="125"/>
        <v>25</v>
      </c>
      <c r="H339" s="79">
        <f t="shared" si="125"/>
        <v>39</v>
      </c>
      <c r="I339" s="79">
        <f t="shared" si="125"/>
        <v>24</v>
      </c>
      <c r="J339" s="79">
        <f t="shared" si="125"/>
        <v>25</v>
      </c>
      <c r="K339" s="26">
        <f t="shared" ref="K339:K359" si="126">SUM(B339:J339)</f>
        <v>245</v>
      </c>
      <c r="L339" s="41"/>
      <c r="N339" s="2" t="s">
        <v>18</v>
      </c>
      <c r="O339" s="23">
        <f t="shared" ref="O339:W339" si="127">SUM(O334:O338)</f>
        <v>158</v>
      </c>
      <c r="P339" s="24">
        <f t="shared" si="127"/>
        <v>231</v>
      </c>
      <c r="Q339" s="24">
        <f t="shared" si="127"/>
        <v>137</v>
      </c>
      <c r="R339" s="24">
        <f t="shared" si="127"/>
        <v>160</v>
      </c>
      <c r="S339" s="24">
        <f t="shared" si="127"/>
        <v>124</v>
      </c>
      <c r="T339" s="25">
        <f t="shared" si="127"/>
        <v>200</v>
      </c>
      <c r="U339" s="25">
        <f t="shared" si="127"/>
        <v>66</v>
      </c>
      <c r="V339" s="25">
        <f t="shared" si="127"/>
        <v>176</v>
      </c>
      <c r="W339" s="25">
        <f t="shared" si="127"/>
        <v>165</v>
      </c>
      <c r="X339" s="26">
        <f t="shared" si="124"/>
        <v>1417</v>
      </c>
      <c r="Y339" s="27"/>
    </row>
    <row r="340" spans="1:25">
      <c r="A340" s="8" t="s">
        <v>171</v>
      </c>
      <c r="B340" s="29"/>
      <c r="C340" s="30"/>
      <c r="D340" s="30"/>
      <c r="E340" s="30">
        <v>4</v>
      </c>
      <c r="F340" s="30"/>
      <c r="G340" s="32"/>
      <c r="H340" s="32"/>
      <c r="I340" s="32"/>
      <c r="J340" s="32"/>
      <c r="K340" s="34">
        <f t="shared" si="126"/>
        <v>4</v>
      </c>
      <c r="L340" s="19">
        <v>42630</v>
      </c>
      <c r="M340" s="89"/>
      <c r="N340" s="28" t="s">
        <v>172</v>
      </c>
      <c r="O340" s="9"/>
      <c r="P340" s="10"/>
      <c r="Q340" s="10"/>
      <c r="R340" s="10">
        <v>15</v>
      </c>
      <c r="S340" s="10"/>
      <c r="T340" s="11">
        <v>15</v>
      </c>
      <c r="U340" s="11"/>
      <c r="V340" s="11"/>
      <c r="W340" s="11"/>
      <c r="X340" s="13">
        <f t="shared" si="124"/>
        <v>30</v>
      </c>
      <c r="Y340" s="12">
        <v>42634</v>
      </c>
    </row>
    <row r="341" spans="1:25">
      <c r="A341" s="20" t="s">
        <v>174</v>
      </c>
      <c r="B341" s="29"/>
      <c r="C341" s="30"/>
      <c r="D341" s="30"/>
      <c r="E341" s="30">
        <v>2</v>
      </c>
      <c r="F341" s="30"/>
      <c r="G341" s="32"/>
      <c r="H341" s="32"/>
      <c r="I341" s="32"/>
      <c r="J341" s="32"/>
      <c r="K341" s="34">
        <f t="shared" si="126"/>
        <v>2</v>
      </c>
      <c r="L341" s="22">
        <v>42630</v>
      </c>
      <c r="N341" s="28" t="s">
        <v>145</v>
      </c>
      <c r="O341" s="67"/>
      <c r="P341" s="35"/>
      <c r="Q341" s="35"/>
      <c r="R341" s="35">
        <v>10</v>
      </c>
      <c r="S341" s="35">
        <v>10</v>
      </c>
      <c r="T341" s="35"/>
      <c r="U341" s="35">
        <v>20</v>
      </c>
      <c r="V341" s="35">
        <v>10</v>
      </c>
      <c r="W341" s="68"/>
      <c r="X341" s="13">
        <f>SUM(O341:W341)</f>
        <v>50</v>
      </c>
      <c r="Y341" s="19">
        <v>42636</v>
      </c>
    </row>
    <row r="342" spans="1:25">
      <c r="A342" s="20" t="s">
        <v>54</v>
      </c>
      <c r="B342" s="29"/>
      <c r="C342" s="30"/>
      <c r="D342" s="30"/>
      <c r="E342" s="30"/>
      <c r="F342" s="30"/>
      <c r="G342" s="32">
        <v>10</v>
      </c>
      <c r="H342" s="32"/>
      <c r="I342" s="32"/>
      <c r="J342" s="32"/>
      <c r="K342" s="34">
        <f t="shared" si="126"/>
        <v>10</v>
      </c>
      <c r="L342" s="22">
        <v>42636</v>
      </c>
      <c r="N342" s="28" t="s">
        <v>145</v>
      </c>
      <c r="O342" s="29"/>
      <c r="P342" s="30"/>
      <c r="Q342" s="30"/>
      <c r="R342" s="30"/>
      <c r="S342" s="30"/>
      <c r="T342" s="32"/>
      <c r="U342" s="32">
        <v>10</v>
      </c>
      <c r="V342" s="32"/>
      <c r="W342" s="32"/>
      <c r="X342" s="34">
        <f t="shared" ref="X342:X359" si="128">SUM(O342:W342)</f>
        <v>10</v>
      </c>
      <c r="Y342" s="22">
        <v>42637</v>
      </c>
    </row>
    <row r="343" spans="1:25">
      <c r="A343" s="28" t="s">
        <v>173</v>
      </c>
      <c r="B343" s="29"/>
      <c r="C343" s="30"/>
      <c r="D343" s="30"/>
      <c r="E343" s="30">
        <v>5</v>
      </c>
      <c r="F343" s="30"/>
      <c r="G343" s="32"/>
      <c r="H343" s="32"/>
      <c r="I343" s="32"/>
      <c r="J343" s="32"/>
      <c r="K343" s="34">
        <f t="shared" si="126"/>
        <v>5</v>
      </c>
      <c r="L343" s="22">
        <v>42634</v>
      </c>
      <c r="N343" s="28" t="s">
        <v>145</v>
      </c>
      <c r="O343" s="29"/>
      <c r="P343" s="30"/>
      <c r="Q343" s="30"/>
      <c r="R343" s="30">
        <v>15</v>
      </c>
      <c r="S343" s="30"/>
      <c r="T343" s="32"/>
      <c r="U343" s="33"/>
      <c r="V343" s="32">
        <v>5</v>
      </c>
      <c r="W343" s="32">
        <v>5</v>
      </c>
      <c r="X343" s="34">
        <f t="shared" si="128"/>
        <v>25</v>
      </c>
      <c r="Y343" s="22">
        <v>42649</v>
      </c>
    </row>
    <row r="344" spans="1:25">
      <c r="A344" s="28" t="s">
        <v>24</v>
      </c>
      <c r="B344" s="29"/>
      <c r="C344" s="30"/>
      <c r="D344" s="30"/>
      <c r="E344" s="30">
        <v>5</v>
      </c>
      <c r="F344" s="30"/>
      <c r="G344" s="32"/>
      <c r="H344" s="33"/>
      <c r="I344" s="32"/>
      <c r="J344" s="32"/>
      <c r="K344" s="34">
        <f t="shared" si="126"/>
        <v>5</v>
      </c>
      <c r="L344" s="22">
        <v>42635</v>
      </c>
      <c r="N344" s="20" t="s">
        <v>185</v>
      </c>
      <c r="O344" s="29">
        <v>28</v>
      </c>
      <c r="P344" s="30">
        <v>28</v>
      </c>
      <c r="Q344" s="30">
        <v>28</v>
      </c>
      <c r="R344" s="30">
        <v>28</v>
      </c>
      <c r="S344" s="30">
        <v>28</v>
      </c>
      <c r="T344" s="32">
        <v>28</v>
      </c>
      <c r="U344" s="32">
        <v>28</v>
      </c>
      <c r="V344" s="32">
        <v>28</v>
      </c>
      <c r="W344" s="32">
        <v>28</v>
      </c>
      <c r="X344" s="34">
        <f t="shared" si="128"/>
        <v>252</v>
      </c>
      <c r="Y344" s="22">
        <v>42656</v>
      </c>
    </row>
    <row r="345" spans="1:25">
      <c r="A345" s="20" t="s">
        <v>175</v>
      </c>
      <c r="B345" s="29"/>
      <c r="C345" s="30"/>
      <c r="D345" s="30"/>
      <c r="E345" s="30"/>
      <c r="F345" s="30">
        <v>1</v>
      </c>
      <c r="G345" s="32"/>
      <c r="H345" s="33"/>
      <c r="I345" s="33">
        <v>4</v>
      </c>
      <c r="J345" s="33"/>
      <c r="K345" s="34">
        <f t="shared" si="126"/>
        <v>5</v>
      </c>
      <c r="L345" s="22">
        <v>42633</v>
      </c>
      <c r="N345" s="20"/>
      <c r="O345" s="29"/>
      <c r="P345" s="30"/>
      <c r="Q345" s="30"/>
      <c r="R345" s="30"/>
      <c r="S345" s="30"/>
      <c r="T345" s="32"/>
      <c r="U345" s="33"/>
      <c r="V345" s="33"/>
      <c r="W345" s="33"/>
      <c r="X345" s="34">
        <f t="shared" si="128"/>
        <v>0</v>
      </c>
      <c r="Y345" s="22"/>
    </row>
    <row r="346" spans="1:25">
      <c r="A346" s="28" t="s">
        <v>24</v>
      </c>
      <c r="B346" s="29"/>
      <c r="C346" s="30"/>
      <c r="D346" s="30"/>
      <c r="E346" s="31">
        <v>9</v>
      </c>
      <c r="F346" s="31">
        <v>5</v>
      </c>
      <c r="G346" s="32"/>
      <c r="H346" s="33">
        <v>14</v>
      </c>
      <c r="I346" s="33">
        <v>1</v>
      </c>
      <c r="J346" s="33"/>
      <c r="K346" s="34">
        <f t="shared" si="126"/>
        <v>29</v>
      </c>
      <c r="L346" s="22">
        <v>42635</v>
      </c>
      <c r="N346" s="28"/>
      <c r="O346" s="29"/>
      <c r="P346" s="30"/>
      <c r="Q346" s="30"/>
      <c r="R346" s="31"/>
      <c r="S346" s="31"/>
      <c r="T346" s="32"/>
      <c r="U346" s="33"/>
      <c r="V346" s="33"/>
      <c r="W346" s="33"/>
      <c r="X346" s="34">
        <f t="shared" si="128"/>
        <v>0</v>
      </c>
      <c r="Y346" s="22"/>
    </row>
    <row r="347" spans="1:25">
      <c r="A347" s="20" t="s">
        <v>176</v>
      </c>
      <c r="B347" s="35"/>
      <c r="C347" s="31"/>
      <c r="D347" s="31"/>
      <c r="E347" s="31"/>
      <c r="F347" s="31">
        <v>1</v>
      </c>
      <c r="G347" s="33"/>
      <c r="H347" s="33"/>
      <c r="I347" s="33"/>
      <c r="J347" s="33"/>
      <c r="K347" s="34">
        <f t="shared" si="126"/>
        <v>1</v>
      </c>
      <c r="L347" s="22">
        <v>42634</v>
      </c>
      <c r="N347" s="28"/>
      <c r="O347" s="35"/>
      <c r="P347" s="31"/>
      <c r="Q347" s="31"/>
      <c r="R347" s="31"/>
      <c r="S347" s="31"/>
      <c r="T347" s="33"/>
      <c r="U347" s="33"/>
      <c r="V347" s="33"/>
      <c r="W347" s="33"/>
      <c r="X347" s="34">
        <f t="shared" si="128"/>
        <v>0</v>
      </c>
      <c r="Y347" s="22"/>
    </row>
    <row r="348" spans="1:25">
      <c r="A348" s="20" t="s">
        <v>24</v>
      </c>
      <c r="B348" s="35"/>
      <c r="C348" s="31"/>
      <c r="D348" s="31"/>
      <c r="E348" s="31"/>
      <c r="F348" s="31"/>
      <c r="G348" s="33"/>
      <c r="H348" s="33">
        <v>13</v>
      </c>
      <c r="I348" s="33">
        <v>3</v>
      </c>
      <c r="J348" s="33"/>
      <c r="K348" s="34">
        <f t="shared" si="126"/>
        <v>16</v>
      </c>
      <c r="L348" s="22">
        <v>42637</v>
      </c>
      <c r="N348" s="28"/>
      <c r="O348" s="35"/>
      <c r="P348" s="31"/>
      <c r="Q348" s="31"/>
      <c r="R348" s="31"/>
      <c r="S348" s="31"/>
      <c r="T348" s="33"/>
      <c r="U348" s="33"/>
      <c r="V348" s="33"/>
      <c r="W348" s="33"/>
      <c r="X348" s="34">
        <f t="shared" si="128"/>
        <v>0</v>
      </c>
      <c r="Y348" s="22"/>
    </row>
    <row r="349" spans="1:25">
      <c r="A349" s="20" t="s">
        <v>177</v>
      </c>
      <c r="B349" s="35"/>
      <c r="C349" s="31"/>
      <c r="D349" s="31"/>
      <c r="E349" s="31">
        <v>2</v>
      </c>
      <c r="F349" s="31">
        <v>1</v>
      </c>
      <c r="G349" s="33"/>
      <c r="H349" s="33"/>
      <c r="I349" s="33"/>
      <c r="J349" s="33">
        <v>2</v>
      </c>
      <c r="K349" s="34">
        <f t="shared" si="126"/>
        <v>5</v>
      </c>
      <c r="L349" s="22">
        <v>42636</v>
      </c>
      <c r="N349" s="28"/>
      <c r="O349" s="35"/>
      <c r="P349" s="31"/>
      <c r="Q349" s="31"/>
      <c r="R349" s="31"/>
      <c r="S349" s="31"/>
      <c r="T349" s="33"/>
      <c r="U349" s="33"/>
      <c r="V349" s="33"/>
      <c r="W349" s="33"/>
      <c r="X349" s="34">
        <f t="shared" si="128"/>
        <v>0</v>
      </c>
      <c r="Y349" s="22"/>
    </row>
    <row r="350" spans="1:25">
      <c r="A350" s="20" t="s">
        <v>117</v>
      </c>
      <c r="B350" s="29"/>
      <c r="C350" s="30"/>
      <c r="D350" s="30"/>
      <c r="E350" s="30"/>
      <c r="F350" s="30"/>
      <c r="G350" s="32"/>
      <c r="H350" s="32"/>
      <c r="I350" s="32"/>
      <c r="J350" s="32">
        <v>-1</v>
      </c>
      <c r="K350" s="34">
        <f t="shared" si="126"/>
        <v>-1</v>
      </c>
      <c r="L350" s="22">
        <v>42637</v>
      </c>
      <c r="N350" s="28"/>
      <c r="O350" s="29"/>
      <c r="P350" s="30"/>
      <c r="Q350" s="30"/>
      <c r="R350" s="30"/>
      <c r="S350" s="30"/>
      <c r="T350" s="32"/>
      <c r="U350" s="32"/>
      <c r="V350" s="32"/>
      <c r="W350" s="32"/>
      <c r="X350" s="34">
        <f t="shared" si="128"/>
        <v>0</v>
      </c>
      <c r="Y350" s="22"/>
    </row>
    <row r="351" spans="1:25">
      <c r="A351" s="20" t="s">
        <v>178</v>
      </c>
      <c r="B351" s="35"/>
      <c r="C351" s="31"/>
      <c r="D351" s="31"/>
      <c r="E351" s="31">
        <v>1</v>
      </c>
      <c r="F351" s="31">
        <v>1</v>
      </c>
      <c r="G351" s="33"/>
      <c r="H351" s="33"/>
      <c r="I351" s="33"/>
      <c r="J351" s="33"/>
      <c r="K351" s="34">
        <f t="shared" si="126"/>
        <v>2</v>
      </c>
      <c r="L351" s="22">
        <v>42640</v>
      </c>
      <c r="N351" s="28"/>
      <c r="O351" s="35"/>
      <c r="P351" s="31"/>
      <c r="Q351" s="31"/>
      <c r="R351" s="31"/>
      <c r="S351" s="31"/>
      <c r="T351" s="33"/>
      <c r="U351" s="33"/>
      <c r="V351" s="33"/>
      <c r="W351" s="33"/>
      <c r="X351" s="34">
        <f t="shared" si="128"/>
        <v>0</v>
      </c>
      <c r="Y351" s="22"/>
    </row>
    <row r="352" spans="1:25">
      <c r="A352" s="20" t="s">
        <v>54</v>
      </c>
      <c r="B352" s="29"/>
      <c r="C352" s="30"/>
      <c r="D352" s="30"/>
      <c r="E352" s="30"/>
      <c r="F352" s="30"/>
      <c r="G352" s="32"/>
      <c r="H352" s="33"/>
      <c r="I352" s="33"/>
      <c r="J352" s="33">
        <v>10</v>
      </c>
      <c r="K352" s="34">
        <f t="shared" si="126"/>
        <v>10</v>
      </c>
      <c r="L352" s="22">
        <v>42647</v>
      </c>
      <c r="N352" s="28"/>
      <c r="O352" s="29"/>
      <c r="P352" s="30"/>
      <c r="Q352" s="30"/>
      <c r="R352" s="30"/>
      <c r="S352" s="30"/>
      <c r="T352" s="32"/>
      <c r="U352" s="33"/>
      <c r="V352" s="33"/>
      <c r="W352" s="33"/>
      <c r="X352" s="34">
        <f t="shared" si="128"/>
        <v>0</v>
      </c>
      <c r="Y352" s="22"/>
    </row>
    <row r="353" spans="1:26">
      <c r="A353" s="20" t="s">
        <v>179</v>
      </c>
      <c r="B353" s="29"/>
      <c r="C353" s="30"/>
      <c r="D353" s="30"/>
      <c r="E353" s="30">
        <v>1</v>
      </c>
      <c r="F353" s="30"/>
      <c r="G353" s="32"/>
      <c r="H353" s="32"/>
      <c r="I353" s="32"/>
      <c r="J353" s="32"/>
      <c r="K353" s="34">
        <f t="shared" si="126"/>
        <v>1</v>
      </c>
      <c r="L353" s="19">
        <v>42642</v>
      </c>
      <c r="N353" s="28"/>
      <c r="O353" s="35"/>
      <c r="P353" s="31"/>
      <c r="Q353" s="31"/>
      <c r="R353" s="31"/>
      <c r="S353" s="31"/>
      <c r="T353" s="33"/>
      <c r="U353" s="33"/>
      <c r="V353" s="33"/>
      <c r="W353" s="33"/>
      <c r="X353" s="34">
        <f t="shared" si="128"/>
        <v>0</v>
      </c>
      <c r="Y353" s="22"/>
    </row>
    <row r="354" spans="1:26">
      <c r="A354" s="20" t="s">
        <v>182</v>
      </c>
      <c r="B354" s="35"/>
      <c r="C354" s="31"/>
      <c r="D354" s="31"/>
      <c r="E354" s="31">
        <v>6</v>
      </c>
      <c r="F354" s="31">
        <v>2</v>
      </c>
      <c r="G354" s="33"/>
      <c r="H354" s="33"/>
      <c r="I354" s="33"/>
      <c r="J354" s="33"/>
      <c r="K354" s="34">
        <f t="shared" si="126"/>
        <v>8</v>
      </c>
      <c r="L354" s="22">
        <v>42644</v>
      </c>
      <c r="N354" s="28"/>
      <c r="O354" s="35"/>
      <c r="P354" s="31"/>
      <c r="Q354" s="31"/>
      <c r="R354" s="31"/>
      <c r="S354" s="31"/>
      <c r="T354" s="33"/>
      <c r="U354" s="33"/>
      <c r="V354" s="33"/>
      <c r="W354" s="33"/>
      <c r="X354" s="34">
        <f t="shared" si="128"/>
        <v>0</v>
      </c>
      <c r="Y354" s="22"/>
    </row>
    <row r="355" spans="1:26">
      <c r="A355" s="8" t="s">
        <v>180</v>
      </c>
      <c r="B355" s="29"/>
      <c r="C355" s="30"/>
      <c r="D355" s="30"/>
      <c r="E355" s="30">
        <v>2</v>
      </c>
      <c r="F355" s="30"/>
      <c r="G355" s="32"/>
      <c r="H355" s="32"/>
      <c r="I355" s="32"/>
      <c r="J355" s="32"/>
      <c r="K355" s="34">
        <f t="shared" si="126"/>
        <v>2</v>
      </c>
      <c r="L355" s="22">
        <v>42643</v>
      </c>
      <c r="N355" s="65"/>
      <c r="O355" s="29"/>
      <c r="P355" s="30"/>
      <c r="Q355" s="30"/>
      <c r="R355" s="30"/>
      <c r="S355" s="30"/>
      <c r="T355" s="32"/>
      <c r="U355" s="32"/>
      <c r="V355" s="32"/>
      <c r="W355" s="32"/>
      <c r="X355" s="34">
        <f t="shared" si="128"/>
        <v>0</v>
      </c>
      <c r="Y355" s="22"/>
    </row>
    <row r="356" spans="1:26">
      <c r="A356" s="20" t="s">
        <v>181</v>
      </c>
      <c r="B356" s="29"/>
      <c r="C356" s="30"/>
      <c r="D356" s="30"/>
      <c r="E356" s="30"/>
      <c r="F356" s="30"/>
      <c r="G356" s="32">
        <v>1</v>
      </c>
      <c r="H356" s="32"/>
      <c r="I356" s="32"/>
      <c r="J356" s="32"/>
      <c r="K356" s="34">
        <f t="shared" si="126"/>
        <v>1</v>
      </c>
      <c r="L356" s="19">
        <v>42646</v>
      </c>
      <c r="N356" s="28"/>
      <c r="O356" s="29"/>
      <c r="P356" s="30"/>
      <c r="Q356" s="30"/>
      <c r="R356" s="30"/>
      <c r="S356" s="30"/>
      <c r="T356" s="32"/>
      <c r="U356" s="32"/>
      <c r="V356" s="32"/>
      <c r="W356" s="32"/>
      <c r="X356" s="34">
        <f t="shared" si="128"/>
        <v>0</v>
      </c>
      <c r="Y356" s="19"/>
    </row>
    <row r="357" spans="1:26">
      <c r="A357" s="20" t="s">
        <v>27</v>
      </c>
      <c r="B357" s="29"/>
      <c r="C357" s="30"/>
      <c r="D357" s="30"/>
      <c r="E357" s="30">
        <v>1</v>
      </c>
      <c r="F357" s="30"/>
      <c r="G357" s="32"/>
      <c r="H357" s="32"/>
      <c r="I357" s="32"/>
      <c r="J357" s="32"/>
      <c r="K357" s="34">
        <f t="shared" si="126"/>
        <v>1</v>
      </c>
      <c r="L357" s="19">
        <v>42647</v>
      </c>
      <c r="N357" s="65"/>
      <c r="O357" s="29"/>
      <c r="P357" s="30"/>
      <c r="Q357" s="30"/>
      <c r="R357" s="30"/>
      <c r="S357" s="30"/>
      <c r="T357" s="32"/>
      <c r="U357" s="32"/>
      <c r="V357" s="32"/>
      <c r="W357" s="32"/>
      <c r="X357" s="34">
        <f t="shared" si="128"/>
        <v>0</v>
      </c>
      <c r="Y357" s="19"/>
    </row>
    <row r="358" spans="1:26">
      <c r="A358" s="28" t="s">
        <v>183</v>
      </c>
      <c r="B358" s="29"/>
      <c r="C358" s="30"/>
      <c r="D358" s="30"/>
      <c r="E358" s="30"/>
      <c r="F358" s="30"/>
      <c r="G358" s="32"/>
      <c r="H358" s="32"/>
      <c r="I358" s="32">
        <v>4</v>
      </c>
      <c r="J358" s="32"/>
      <c r="K358" s="34">
        <f t="shared" si="126"/>
        <v>4</v>
      </c>
      <c r="L358" s="19">
        <v>42648</v>
      </c>
      <c r="N358" s="65"/>
      <c r="O358" s="29"/>
      <c r="P358" s="30"/>
      <c r="Q358" s="30"/>
      <c r="R358" s="30"/>
      <c r="S358" s="30"/>
      <c r="T358" s="32"/>
      <c r="U358" s="32"/>
      <c r="V358" s="32"/>
      <c r="W358" s="32"/>
      <c r="X358" s="34">
        <f t="shared" si="128"/>
        <v>0</v>
      </c>
      <c r="Y358" s="19"/>
    </row>
    <row r="359" spans="1:26" ht="14.25" thickBot="1">
      <c r="A359" s="28" t="s">
        <v>157</v>
      </c>
      <c r="B359" s="29"/>
      <c r="C359" s="30"/>
      <c r="D359" s="30"/>
      <c r="E359" s="31"/>
      <c r="F359" s="31">
        <v>1</v>
      </c>
      <c r="G359" s="32"/>
      <c r="H359" s="33"/>
      <c r="I359" s="33"/>
      <c r="J359" s="33"/>
      <c r="K359" s="34">
        <f t="shared" si="126"/>
        <v>1</v>
      </c>
      <c r="L359" s="36">
        <v>42649</v>
      </c>
      <c r="N359" s="65"/>
      <c r="O359" s="29"/>
      <c r="P359" s="30"/>
      <c r="Q359" s="30"/>
      <c r="R359" s="30"/>
      <c r="S359" s="30"/>
      <c r="T359" s="32"/>
      <c r="U359" s="32"/>
      <c r="V359" s="32"/>
      <c r="W359" s="32"/>
      <c r="X359" s="34">
        <f t="shared" si="128"/>
        <v>0</v>
      </c>
      <c r="Y359" s="22"/>
      <c r="Z359" s="74"/>
    </row>
    <row r="360" spans="1:26" ht="14.25" thickBot="1">
      <c r="A360" s="2" t="s">
        <v>19</v>
      </c>
      <c r="B360" s="23">
        <f t="shared" ref="B360:J360" si="129">SUM(B340:B359)</f>
        <v>0</v>
      </c>
      <c r="C360" s="24">
        <f t="shared" si="129"/>
        <v>0</v>
      </c>
      <c r="D360" s="24">
        <f t="shared" si="129"/>
        <v>0</v>
      </c>
      <c r="E360" s="24">
        <f t="shared" si="129"/>
        <v>38</v>
      </c>
      <c r="F360" s="24">
        <f t="shared" si="129"/>
        <v>12</v>
      </c>
      <c r="G360" s="25">
        <f t="shared" si="129"/>
        <v>11</v>
      </c>
      <c r="H360" s="25">
        <f t="shared" si="129"/>
        <v>27</v>
      </c>
      <c r="I360" s="25">
        <f t="shared" si="129"/>
        <v>12</v>
      </c>
      <c r="J360" s="25">
        <f t="shared" si="129"/>
        <v>11</v>
      </c>
      <c r="K360" s="37">
        <f>SUM(B360:J360)</f>
        <v>111</v>
      </c>
      <c r="L360" s="27"/>
      <c r="N360" s="2" t="s">
        <v>19</v>
      </c>
      <c r="O360" s="23">
        <f t="shared" ref="O360:W360" si="130">SUM(O340:O359)</f>
        <v>28</v>
      </c>
      <c r="P360" s="24">
        <f t="shared" si="130"/>
        <v>28</v>
      </c>
      <c r="Q360" s="24">
        <f t="shared" si="130"/>
        <v>28</v>
      </c>
      <c r="R360" s="24">
        <f t="shared" si="130"/>
        <v>68</v>
      </c>
      <c r="S360" s="24">
        <f t="shared" si="130"/>
        <v>38</v>
      </c>
      <c r="T360" s="25">
        <f t="shared" si="130"/>
        <v>43</v>
      </c>
      <c r="U360" s="25">
        <f t="shared" si="130"/>
        <v>58</v>
      </c>
      <c r="V360" s="25">
        <f t="shared" si="130"/>
        <v>43</v>
      </c>
      <c r="W360" s="25">
        <f t="shared" si="130"/>
        <v>33</v>
      </c>
      <c r="X360" s="37">
        <f>SUM(O360:W360)</f>
        <v>367</v>
      </c>
      <c r="Y360" s="27"/>
    </row>
    <row r="361" spans="1:26" ht="14.25" thickBot="1">
      <c r="A361" s="38" t="s">
        <v>17</v>
      </c>
      <c r="B361" s="39">
        <f>B339-B360</f>
        <v>15</v>
      </c>
      <c r="C361" s="39">
        <f t="shared" ref="C361:K361" si="131">C339-C360</f>
        <v>30</v>
      </c>
      <c r="D361" s="39">
        <f t="shared" si="131"/>
        <v>11</v>
      </c>
      <c r="E361" s="39">
        <f t="shared" si="131"/>
        <v>16</v>
      </c>
      <c r="F361" s="39">
        <f t="shared" si="131"/>
        <v>10</v>
      </c>
      <c r="G361" s="39">
        <f t="shared" si="131"/>
        <v>14</v>
      </c>
      <c r="H361" s="39">
        <f t="shared" si="131"/>
        <v>12</v>
      </c>
      <c r="I361" s="39">
        <f t="shared" si="131"/>
        <v>12</v>
      </c>
      <c r="J361" s="40">
        <f t="shared" si="131"/>
        <v>14</v>
      </c>
      <c r="K361" s="37">
        <f t="shared" si="131"/>
        <v>134</v>
      </c>
      <c r="L361" s="41"/>
      <c r="N361" s="38" t="s">
        <v>17</v>
      </c>
      <c r="O361" s="39">
        <f>O339-O360</f>
        <v>130</v>
      </c>
      <c r="P361" s="39">
        <f t="shared" ref="P361:X361" si="132">P339-P360</f>
        <v>203</v>
      </c>
      <c r="Q361" s="39">
        <f t="shared" si="132"/>
        <v>109</v>
      </c>
      <c r="R361" s="39">
        <f t="shared" si="132"/>
        <v>92</v>
      </c>
      <c r="S361" s="39">
        <f t="shared" si="132"/>
        <v>86</v>
      </c>
      <c r="T361" s="39">
        <f t="shared" si="132"/>
        <v>157</v>
      </c>
      <c r="U361" s="39">
        <f t="shared" si="132"/>
        <v>8</v>
      </c>
      <c r="V361" s="39">
        <f t="shared" si="132"/>
        <v>133</v>
      </c>
      <c r="W361" s="40">
        <f t="shared" si="132"/>
        <v>132</v>
      </c>
      <c r="X361" s="37">
        <f t="shared" si="132"/>
        <v>1050</v>
      </c>
      <c r="Y361" s="41"/>
    </row>
    <row r="362" spans="1:26">
      <c r="A362" s="82"/>
    </row>
    <row r="363" spans="1:26">
      <c r="A363" s="82"/>
      <c r="B363" s="81"/>
      <c r="C363" s="81"/>
      <c r="D363" s="81"/>
      <c r="E363" s="81"/>
      <c r="F363" s="81"/>
      <c r="G363" s="81"/>
      <c r="H363" s="81"/>
      <c r="I363" s="81"/>
      <c r="J363" s="81"/>
      <c r="K363" s="81"/>
    </row>
    <row r="364" spans="1:26" ht="19.5" thickBot="1">
      <c r="A364" s="1" t="s">
        <v>22</v>
      </c>
      <c r="N364" s="1" t="s">
        <v>21</v>
      </c>
    </row>
    <row r="365" spans="1:26" ht="19.5" thickBot="1">
      <c r="A365" s="2" t="s">
        <v>0</v>
      </c>
      <c r="B365" s="163" t="s">
        <v>20</v>
      </c>
      <c r="C365" s="164"/>
      <c r="D365" s="164"/>
      <c r="E365" s="164"/>
      <c r="F365" s="164"/>
      <c r="G365" s="164"/>
      <c r="H365" s="165"/>
      <c r="I365" s="165"/>
      <c r="J365" s="165"/>
      <c r="K365" s="166"/>
      <c r="L365" s="161" t="s">
        <v>1</v>
      </c>
      <c r="N365" s="2" t="s">
        <v>0</v>
      </c>
      <c r="O365" s="163" t="s">
        <v>20</v>
      </c>
      <c r="P365" s="164"/>
      <c r="Q365" s="164"/>
      <c r="R365" s="164"/>
      <c r="S365" s="164"/>
      <c r="T365" s="164"/>
      <c r="U365" s="165"/>
      <c r="V365" s="165"/>
      <c r="W365" s="165"/>
      <c r="X365" s="166"/>
      <c r="Y365" s="161" t="s">
        <v>1</v>
      </c>
    </row>
    <row r="366" spans="1:26" ht="14.25" thickBot="1">
      <c r="A366" s="2" t="s">
        <v>2</v>
      </c>
      <c r="B366" s="3" t="s">
        <v>3</v>
      </c>
      <c r="C366" s="4" t="s">
        <v>4</v>
      </c>
      <c r="D366" s="4" t="s">
        <v>5</v>
      </c>
      <c r="E366" s="4" t="s">
        <v>6</v>
      </c>
      <c r="F366" s="4" t="s">
        <v>7</v>
      </c>
      <c r="G366" s="5" t="s">
        <v>8</v>
      </c>
      <c r="H366" s="4" t="s">
        <v>9</v>
      </c>
      <c r="I366" s="6" t="s">
        <v>10</v>
      </c>
      <c r="J366" s="5" t="s">
        <v>11</v>
      </c>
      <c r="K366" s="7" t="s">
        <v>12</v>
      </c>
      <c r="L366" s="167"/>
      <c r="N366" s="2" t="s">
        <v>2</v>
      </c>
      <c r="O366" s="3" t="s">
        <v>3</v>
      </c>
      <c r="P366" s="4" t="s">
        <v>4</v>
      </c>
      <c r="Q366" s="4" t="s">
        <v>5</v>
      </c>
      <c r="R366" s="4" t="s">
        <v>6</v>
      </c>
      <c r="S366" s="4" t="s">
        <v>7</v>
      </c>
      <c r="T366" s="5" t="s">
        <v>8</v>
      </c>
      <c r="U366" s="4" t="s">
        <v>9</v>
      </c>
      <c r="V366" s="6" t="s">
        <v>10</v>
      </c>
      <c r="W366" s="5" t="s">
        <v>11</v>
      </c>
      <c r="X366" s="7" t="s">
        <v>12</v>
      </c>
      <c r="Y366" s="162"/>
    </row>
    <row r="367" spans="1:26">
      <c r="A367" s="52" t="s">
        <v>17</v>
      </c>
      <c r="B367" s="55">
        <f>B361</f>
        <v>15</v>
      </c>
      <c r="C367" s="56">
        <f>C361</f>
        <v>30</v>
      </c>
      <c r="D367" s="56">
        <f t="shared" ref="D367:J367" si="133">D361</f>
        <v>11</v>
      </c>
      <c r="E367" s="56">
        <f t="shared" si="133"/>
        <v>16</v>
      </c>
      <c r="F367" s="56">
        <f t="shared" si="133"/>
        <v>10</v>
      </c>
      <c r="G367" s="56">
        <f t="shared" si="133"/>
        <v>14</v>
      </c>
      <c r="H367" s="56">
        <f t="shared" si="133"/>
        <v>12</v>
      </c>
      <c r="I367" s="56">
        <f t="shared" si="133"/>
        <v>12</v>
      </c>
      <c r="J367" s="56">
        <f t="shared" si="133"/>
        <v>14</v>
      </c>
      <c r="K367" s="83">
        <f t="shared" ref="K367:K369" si="134">SUM(B367:J367)</f>
        <v>134</v>
      </c>
      <c r="L367" s="86"/>
      <c r="N367" s="52" t="s">
        <v>17</v>
      </c>
      <c r="O367" s="55">
        <f t="shared" ref="O367:W367" si="135">O361</f>
        <v>130</v>
      </c>
      <c r="P367" s="56">
        <f t="shared" si="135"/>
        <v>203</v>
      </c>
      <c r="Q367" s="56">
        <f t="shared" si="135"/>
        <v>109</v>
      </c>
      <c r="R367" s="56">
        <f t="shared" si="135"/>
        <v>92</v>
      </c>
      <c r="S367" s="56">
        <f t="shared" si="135"/>
        <v>86</v>
      </c>
      <c r="T367" s="56">
        <f t="shared" si="135"/>
        <v>157</v>
      </c>
      <c r="U367" s="56">
        <f t="shared" si="135"/>
        <v>8</v>
      </c>
      <c r="V367" s="56">
        <f t="shared" si="135"/>
        <v>133</v>
      </c>
      <c r="W367" s="56">
        <f t="shared" si="135"/>
        <v>132</v>
      </c>
      <c r="X367" s="53">
        <f t="shared" ref="X367:X373" si="136">SUM(O367:W367)</f>
        <v>1050</v>
      </c>
      <c r="Y367" s="54"/>
    </row>
    <row r="368" spans="1:26">
      <c r="A368" s="8" t="s">
        <v>118</v>
      </c>
      <c r="B368" s="9"/>
      <c r="C368" s="10"/>
      <c r="D368" s="10"/>
      <c r="E368" s="10"/>
      <c r="F368" s="10">
        <v>1</v>
      </c>
      <c r="G368" s="11"/>
      <c r="H368" s="11"/>
      <c r="I368" s="11"/>
      <c r="J368" s="11"/>
      <c r="K368" s="84">
        <f t="shared" si="134"/>
        <v>1</v>
      </c>
      <c r="L368" s="87">
        <v>42650</v>
      </c>
      <c r="N368" s="8" t="s">
        <v>14</v>
      </c>
      <c r="O368" s="9"/>
      <c r="P368" s="10"/>
      <c r="Q368" s="10"/>
      <c r="R368" s="10"/>
      <c r="S368" s="10"/>
      <c r="T368" s="11"/>
      <c r="U368" s="11"/>
      <c r="V368" s="11"/>
      <c r="W368" s="11"/>
      <c r="X368" s="13">
        <f t="shared" si="136"/>
        <v>0</v>
      </c>
      <c r="Y368" s="12"/>
    </row>
    <row r="369" spans="1:25">
      <c r="A369" s="8" t="s">
        <v>15</v>
      </c>
      <c r="B369" s="9"/>
      <c r="C369" s="10"/>
      <c r="D369" s="10"/>
      <c r="E369" s="10">
        <v>2</v>
      </c>
      <c r="F369" s="10"/>
      <c r="G369" s="11"/>
      <c r="H369" s="11"/>
      <c r="I369" s="11"/>
      <c r="J369" s="21"/>
      <c r="K369" s="84">
        <f t="shared" si="134"/>
        <v>2</v>
      </c>
      <c r="L369" s="87">
        <v>42656</v>
      </c>
      <c r="N369" s="8" t="s">
        <v>15</v>
      </c>
      <c r="O369" s="15"/>
      <c r="P369" s="16"/>
      <c r="Q369" s="16"/>
      <c r="R369" s="16"/>
      <c r="S369" s="16"/>
      <c r="T369" s="17"/>
      <c r="U369" s="17"/>
      <c r="V369" s="17"/>
      <c r="W369" s="17"/>
      <c r="X369" s="18">
        <f t="shared" si="136"/>
        <v>0</v>
      </c>
      <c r="Y369" s="19"/>
    </row>
    <row r="370" spans="1:25">
      <c r="A370" s="8" t="s">
        <v>117</v>
      </c>
      <c r="B370" s="67">
        <v>4</v>
      </c>
      <c r="C370" s="35">
        <v>3</v>
      </c>
      <c r="D370" s="35">
        <v>6</v>
      </c>
      <c r="E370" s="35">
        <v>8</v>
      </c>
      <c r="F370" s="35">
        <v>10</v>
      </c>
      <c r="G370" s="35">
        <v>2</v>
      </c>
      <c r="H370" s="35">
        <v>7</v>
      </c>
      <c r="I370" s="35">
        <v>10</v>
      </c>
      <c r="J370" s="68"/>
      <c r="K370" s="85">
        <f>SUM(B370:J370)</f>
        <v>50</v>
      </c>
      <c r="L370" s="87">
        <v>42657</v>
      </c>
      <c r="N370" s="8" t="s">
        <v>16</v>
      </c>
      <c r="O370" s="9"/>
      <c r="P370" s="10"/>
      <c r="Q370" s="10"/>
      <c r="R370" s="10"/>
      <c r="S370" s="10"/>
      <c r="T370" s="10"/>
      <c r="U370" s="10"/>
      <c r="V370" s="10"/>
      <c r="W370" s="21"/>
      <c r="X370" s="18">
        <f t="shared" si="136"/>
        <v>0</v>
      </c>
      <c r="Y370" s="22"/>
    </row>
    <row r="371" spans="1:25" ht="14.25" thickBot="1">
      <c r="A371" s="8" t="s">
        <v>118</v>
      </c>
      <c r="B371" s="70">
        <v>4</v>
      </c>
      <c r="C371" s="71">
        <v>1</v>
      </c>
      <c r="D371" s="71">
        <v>2</v>
      </c>
      <c r="E371" s="71"/>
      <c r="F371" s="71"/>
      <c r="G371" s="71">
        <v>2</v>
      </c>
      <c r="H371" s="71">
        <v>2</v>
      </c>
      <c r="I371" s="71"/>
      <c r="J371" s="72"/>
      <c r="K371" s="88">
        <f>SUM(B371:J371)</f>
        <v>11</v>
      </c>
      <c r="L371" s="36">
        <v>42665</v>
      </c>
      <c r="M371" s="74"/>
      <c r="N371" s="8" t="s">
        <v>23</v>
      </c>
      <c r="O371" s="42"/>
      <c r="P371" s="43"/>
      <c r="Q371" s="43"/>
      <c r="R371" s="43"/>
      <c r="S371" s="43"/>
      <c r="T371" s="43"/>
      <c r="U371" s="43"/>
      <c r="V371" s="43"/>
      <c r="W371" s="44"/>
      <c r="X371" s="45">
        <f t="shared" si="136"/>
        <v>0</v>
      </c>
      <c r="Y371" s="19"/>
    </row>
    <row r="372" spans="1:25" ht="14.25" thickBot="1">
      <c r="A372" s="76" t="s">
        <v>18</v>
      </c>
      <c r="B372" s="77">
        <f>SUM(B367:B371)</f>
        <v>23</v>
      </c>
      <c r="C372" s="78">
        <f t="shared" ref="C372:J372" si="137">SUM(C367:C371)</f>
        <v>34</v>
      </c>
      <c r="D372" s="78">
        <f t="shared" si="137"/>
        <v>19</v>
      </c>
      <c r="E372" s="78">
        <f t="shared" si="137"/>
        <v>26</v>
      </c>
      <c r="F372" s="78">
        <f t="shared" si="137"/>
        <v>21</v>
      </c>
      <c r="G372" s="79">
        <f t="shared" si="137"/>
        <v>18</v>
      </c>
      <c r="H372" s="79">
        <f t="shared" si="137"/>
        <v>21</v>
      </c>
      <c r="I372" s="79">
        <f t="shared" si="137"/>
        <v>22</v>
      </c>
      <c r="J372" s="79">
        <f t="shared" si="137"/>
        <v>14</v>
      </c>
      <c r="K372" s="26">
        <f t="shared" ref="K372:K392" si="138">SUM(B372:J372)</f>
        <v>198</v>
      </c>
      <c r="L372" s="41"/>
      <c r="N372" s="2" t="s">
        <v>18</v>
      </c>
      <c r="O372" s="23">
        <f t="shared" ref="O372:W372" si="139">SUM(O367:O371)</f>
        <v>130</v>
      </c>
      <c r="P372" s="24">
        <f t="shared" si="139"/>
        <v>203</v>
      </c>
      <c r="Q372" s="24">
        <f t="shared" si="139"/>
        <v>109</v>
      </c>
      <c r="R372" s="24">
        <f t="shared" si="139"/>
        <v>92</v>
      </c>
      <c r="S372" s="24">
        <f t="shared" si="139"/>
        <v>86</v>
      </c>
      <c r="T372" s="25">
        <f t="shared" si="139"/>
        <v>157</v>
      </c>
      <c r="U372" s="25">
        <f t="shared" si="139"/>
        <v>8</v>
      </c>
      <c r="V372" s="25">
        <f t="shared" si="139"/>
        <v>133</v>
      </c>
      <c r="W372" s="25">
        <f t="shared" si="139"/>
        <v>132</v>
      </c>
      <c r="X372" s="26">
        <f t="shared" si="136"/>
        <v>1050</v>
      </c>
      <c r="Y372" s="27"/>
    </row>
    <row r="373" spans="1:25">
      <c r="A373" s="8" t="s">
        <v>184</v>
      </c>
      <c r="B373" s="29"/>
      <c r="C373" s="30"/>
      <c r="D373" s="30"/>
      <c r="E373" s="30"/>
      <c r="F373" s="30"/>
      <c r="G373" s="32"/>
      <c r="H373" s="32"/>
      <c r="I373" s="32">
        <v>1</v>
      </c>
      <c r="J373" s="32"/>
      <c r="K373" s="34">
        <f t="shared" si="138"/>
        <v>1</v>
      </c>
      <c r="L373" s="19">
        <v>42648</v>
      </c>
      <c r="N373" s="20" t="s">
        <v>197</v>
      </c>
      <c r="O373" s="29"/>
      <c r="P373" s="30"/>
      <c r="Q373" s="30"/>
      <c r="R373" s="30">
        <v>28</v>
      </c>
      <c r="S373" s="30">
        <v>28</v>
      </c>
      <c r="T373" s="32"/>
      <c r="U373" s="33"/>
      <c r="V373" s="33"/>
      <c r="W373" s="33"/>
      <c r="X373" s="34">
        <f t="shared" si="136"/>
        <v>56</v>
      </c>
      <c r="Y373" s="22">
        <v>42668</v>
      </c>
    </row>
    <row r="374" spans="1:25">
      <c r="A374" s="8" t="s">
        <v>186</v>
      </c>
      <c r="B374" s="29"/>
      <c r="C374" s="30"/>
      <c r="D374" s="30"/>
      <c r="E374" s="30">
        <v>4</v>
      </c>
      <c r="F374" s="30"/>
      <c r="G374" s="32"/>
      <c r="H374" s="32"/>
      <c r="I374" s="32"/>
      <c r="J374" s="32"/>
      <c r="K374" s="34">
        <f t="shared" si="138"/>
        <v>4</v>
      </c>
      <c r="L374" s="22">
        <v>42649</v>
      </c>
      <c r="N374" s="28"/>
      <c r="O374" s="67"/>
      <c r="P374" s="35"/>
      <c r="Q374" s="35"/>
      <c r="R374" s="35"/>
      <c r="S374" s="35"/>
      <c r="T374" s="35"/>
      <c r="U374" s="35"/>
      <c r="V374" s="35"/>
      <c r="W374" s="68"/>
      <c r="X374" s="13">
        <f>SUM(O374:W374)</f>
        <v>0</v>
      </c>
      <c r="Y374" s="19"/>
    </row>
    <row r="375" spans="1:25">
      <c r="A375" s="20" t="s">
        <v>188</v>
      </c>
      <c r="B375" s="29"/>
      <c r="C375" s="30"/>
      <c r="D375" s="30"/>
      <c r="E375" s="30">
        <v>4</v>
      </c>
      <c r="F375" s="30">
        <v>2</v>
      </c>
      <c r="G375" s="32"/>
      <c r="H375" s="32"/>
      <c r="I375" s="32"/>
      <c r="J375" s="32"/>
      <c r="K375" s="34">
        <f t="shared" si="138"/>
        <v>6</v>
      </c>
      <c r="L375" s="22">
        <v>42650</v>
      </c>
      <c r="N375" s="28"/>
      <c r="O375" s="29"/>
      <c r="P375" s="30"/>
      <c r="Q375" s="30"/>
      <c r="R375" s="30"/>
      <c r="S375" s="30"/>
      <c r="T375" s="32"/>
      <c r="U375" s="32"/>
      <c r="V375" s="32"/>
      <c r="W375" s="32"/>
      <c r="X375" s="34">
        <f t="shared" ref="X375:X392" si="140">SUM(O375:W375)</f>
        <v>0</v>
      </c>
      <c r="Y375" s="22"/>
    </row>
    <row r="376" spans="1:25">
      <c r="A376" s="20" t="s">
        <v>54</v>
      </c>
      <c r="B376" s="29"/>
      <c r="C376" s="30">
        <v>5</v>
      </c>
      <c r="D376" s="30"/>
      <c r="E376" s="30"/>
      <c r="F376" s="30"/>
      <c r="G376" s="32">
        <v>5</v>
      </c>
      <c r="H376" s="32"/>
      <c r="I376" s="32"/>
      <c r="J376" s="32"/>
      <c r="K376" s="34">
        <f t="shared" si="138"/>
        <v>10</v>
      </c>
      <c r="L376" s="22">
        <v>42656</v>
      </c>
      <c r="N376" s="28"/>
      <c r="O376" s="29"/>
      <c r="P376" s="30"/>
      <c r="Q376" s="30"/>
      <c r="R376" s="30"/>
      <c r="S376" s="30"/>
      <c r="T376" s="32"/>
      <c r="U376" s="33"/>
      <c r="V376" s="32"/>
      <c r="W376" s="32"/>
      <c r="X376" s="34">
        <f t="shared" si="140"/>
        <v>0</v>
      </c>
      <c r="Y376" s="22"/>
    </row>
    <row r="377" spans="1:25">
      <c r="A377" s="28" t="s">
        <v>191</v>
      </c>
      <c r="B377" s="29"/>
      <c r="C377" s="30"/>
      <c r="D377" s="30"/>
      <c r="E377" s="30">
        <v>1</v>
      </c>
      <c r="F377" s="30"/>
      <c r="G377" s="32"/>
      <c r="H377" s="33"/>
      <c r="I377" s="32"/>
      <c r="J377" s="32"/>
      <c r="K377" s="34">
        <f t="shared" si="138"/>
        <v>1</v>
      </c>
      <c r="L377" s="22">
        <v>42650</v>
      </c>
      <c r="N377" s="20"/>
      <c r="O377" s="29"/>
      <c r="P377" s="30"/>
      <c r="Q377" s="30"/>
      <c r="R377" s="30"/>
      <c r="S377" s="30"/>
      <c r="T377" s="32"/>
      <c r="U377" s="32"/>
      <c r="V377" s="32"/>
      <c r="W377" s="32"/>
      <c r="X377" s="34">
        <f t="shared" si="140"/>
        <v>0</v>
      </c>
      <c r="Y377" s="22"/>
    </row>
    <row r="378" spans="1:25">
      <c r="A378" s="20" t="s">
        <v>189</v>
      </c>
      <c r="B378" s="29"/>
      <c r="C378" s="30"/>
      <c r="D378" s="30"/>
      <c r="E378" s="30">
        <v>5</v>
      </c>
      <c r="F378" s="30">
        <v>2</v>
      </c>
      <c r="G378" s="32"/>
      <c r="H378" s="33"/>
      <c r="I378" s="33"/>
      <c r="J378" s="33"/>
      <c r="K378" s="34">
        <f t="shared" si="138"/>
        <v>7</v>
      </c>
      <c r="L378" s="22">
        <v>42657</v>
      </c>
      <c r="N378" s="20"/>
      <c r="O378" s="29"/>
      <c r="P378" s="30"/>
      <c r="Q378" s="30"/>
      <c r="R378" s="30"/>
      <c r="S378" s="30"/>
      <c r="T378" s="32"/>
      <c r="U378" s="33"/>
      <c r="V378" s="33"/>
      <c r="W378" s="33"/>
      <c r="X378" s="34">
        <f t="shared" si="140"/>
        <v>0</v>
      </c>
      <c r="Y378" s="22"/>
    </row>
    <row r="379" spans="1:25">
      <c r="A379" s="20" t="s">
        <v>194</v>
      </c>
      <c r="B379" s="29"/>
      <c r="C379" s="30">
        <v>2</v>
      </c>
      <c r="D379" s="30"/>
      <c r="E379" s="31"/>
      <c r="F379" s="31"/>
      <c r="G379" s="32"/>
      <c r="H379" s="33"/>
      <c r="I379" s="33"/>
      <c r="J379" s="33"/>
      <c r="K379" s="34">
        <f t="shared" si="138"/>
        <v>2</v>
      </c>
      <c r="L379" s="22">
        <v>42662</v>
      </c>
      <c r="N379" s="28"/>
      <c r="O379" s="29"/>
      <c r="P379" s="30"/>
      <c r="Q379" s="30"/>
      <c r="R379" s="31"/>
      <c r="S379" s="31"/>
      <c r="T379" s="32"/>
      <c r="U379" s="33"/>
      <c r="V379" s="33"/>
      <c r="W379" s="33"/>
      <c r="X379" s="34">
        <f t="shared" si="140"/>
        <v>0</v>
      </c>
      <c r="Y379" s="22"/>
    </row>
    <row r="380" spans="1:25">
      <c r="A380" s="51" t="s">
        <v>190</v>
      </c>
      <c r="B380" s="35"/>
      <c r="C380" s="31"/>
      <c r="D380" s="31"/>
      <c r="E380" s="31">
        <v>-1</v>
      </c>
      <c r="F380" s="31"/>
      <c r="G380" s="33"/>
      <c r="H380" s="33"/>
      <c r="I380" s="33"/>
      <c r="J380" s="33"/>
      <c r="K380" s="34">
        <f t="shared" si="138"/>
        <v>-1</v>
      </c>
      <c r="L380" s="22">
        <v>42661</v>
      </c>
      <c r="N380" s="28"/>
      <c r="O380" s="35"/>
      <c r="P380" s="31"/>
      <c r="Q380" s="31"/>
      <c r="R380" s="31"/>
      <c r="S380" s="31"/>
      <c r="T380" s="33"/>
      <c r="U380" s="33"/>
      <c r="V380" s="33"/>
      <c r="W380" s="33"/>
      <c r="X380" s="34">
        <f t="shared" si="140"/>
        <v>0</v>
      </c>
      <c r="Y380" s="22"/>
    </row>
    <row r="381" spans="1:25">
      <c r="A381" s="20" t="s">
        <v>192</v>
      </c>
      <c r="B381" s="35"/>
      <c r="C381" s="31"/>
      <c r="D381" s="31"/>
      <c r="E381" s="31">
        <v>1</v>
      </c>
      <c r="F381" s="31"/>
      <c r="G381" s="33"/>
      <c r="H381" s="33"/>
      <c r="I381" s="33"/>
      <c r="J381" s="33"/>
      <c r="K381" s="34">
        <f t="shared" si="138"/>
        <v>1</v>
      </c>
      <c r="L381" s="22">
        <v>42661</v>
      </c>
      <c r="N381" s="28"/>
      <c r="O381" s="35"/>
      <c r="P381" s="31"/>
      <c r="Q381" s="31"/>
      <c r="R381" s="31"/>
      <c r="S381" s="31"/>
      <c r="T381" s="33"/>
      <c r="U381" s="33"/>
      <c r="V381" s="33"/>
      <c r="W381" s="33"/>
      <c r="X381" s="34">
        <f t="shared" si="140"/>
        <v>0</v>
      </c>
      <c r="Y381" s="22"/>
    </row>
    <row r="382" spans="1:25">
      <c r="A382" s="20" t="s">
        <v>24</v>
      </c>
      <c r="B382" s="35"/>
      <c r="C382" s="31"/>
      <c r="D382" s="31"/>
      <c r="E382" s="31"/>
      <c r="F382" s="31"/>
      <c r="G382" s="33"/>
      <c r="H382" s="33"/>
      <c r="I382" s="33">
        <v>1</v>
      </c>
      <c r="J382" s="33"/>
      <c r="K382" s="34">
        <f t="shared" si="138"/>
        <v>1</v>
      </c>
      <c r="L382" s="22">
        <v>42663</v>
      </c>
      <c r="N382" s="28"/>
      <c r="O382" s="35"/>
      <c r="P382" s="31"/>
      <c r="Q382" s="31"/>
      <c r="R382" s="31"/>
      <c r="S382" s="31"/>
      <c r="T382" s="33"/>
      <c r="U382" s="33"/>
      <c r="V382" s="33"/>
      <c r="W382" s="33"/>
      <c r="X382" s="34">
        <f t="shared" si="140"/>
        <v>0</v>
      </c>
      <c r="Y382" s="22"/>
    </row>
    <row r="383" spans="1:25">
      <c r="A383" s="20" t="s">
        <v>193</v>
      </c>
      <c r="B383" s="29"/>
      <c r="C383" s="30"/>
      <c r="D383" s="30"/>
      <c r="E383" s="30"/>
      <c r="F383" s="30">
        <v>1</v>
      </c>
      <c r="G383" s="32"/>
      <c r="H383" s="32">
        <v>1</v>
      </c>
      <c r="I383" s="32">
        <v>1</v>
      </c>
      <c r="J383" s="32"/>
      <c r="K383" s="34">
        <f t="shared" si="138"/>
        <v>3</v>
      </c>
      <c r="L383" s="22">
        <v>42662</v>
      </c>
      <c r="N383" s="28"/>
      <c r="O383" s="29"/>
      <c r="P383" s="30"/>
      <c r="Q383" s="30"/>
      <c r="R383" s="30"/>
      <c r="S383" s="30"/>
      <c r="T383" s="32"/>
      <c r="U383" s="32"/>
      <c r="V383" s="32"/>
      <c r="W383" s="32"/>
      <c r="X383" s="34">
        <f t="shared" si="140"/>
        <v>0</v>
      </c>
      <c r="Y383" s="22"/>
    </row>
    <row r="384" spans="1:25">
      <c r="A384" s="20" t="s">
        <v>193</v>
      </c>
      <c r="B384" s="35"/>
      <c r="C384" s="31"/>
      <c r="D384" s="31"/>
      <c r="E384" s="31"/>
      <c r="F384" s="31">
        <v>1</v>
      </c>
      <c r="G384" s="33"/>
      <c r="H384" s="33"/>
      <c r="I384" s="33"/>
      <c r="J384" s="33"/>
      <c r="K384" s="34">
        <f t="shared" si="138"/>
        <v>1</v>
      </c>
      <c r="L384" s="22">
        <v>42663</v>
      </c>
      <c r="N384" s="28"/>
      <c r="O384" s="35"/>
      <c r="P384" s="31"/>
      <c r="Q384" s="31"/>
      <c r="R384" s="31"/>
      <c r="S384" s="31"/>
      <c r="T384" s="33"/>
      <c r="U384" s="33"/>
      <c r="V384" s="33"/>
      <c r="W384" s="33"/>
      <c r="X384" s="34">
        <f t="shared" si="140"/>
        <v>0</v>
      </c>
      <c r="Y384" s="22"/>
    </row>
    <row r="385" spans="1:25">
      <c r="A385" s="20" t="s">
        <v>195</v>
      </c>
      <c r="B385" s="29"/>
      <c r="C385" s="30"/>
      <c r="D385" s="30"/>
      <c r="E385" s="30"/>
      <c r="F385" s="30">
        <v>2</v>
      </c>
      <c r="G385" s="32"/>
      <c r="H385" s="33"/>
      <c r="I385" s="33"/>
      <c r="J385" s="33"/>
      <c r="K385" s="34">
        <f t="shared" si="138"/>
        <v>2</v>
      </c>
      <c r="L385" s="22">
        <v>42665</v>
      </c>
      <c r="N385" s="28"/>
      <c r="O385" s="29"/>
      <c r="P385" s="30"/>
      <c r="Q385" s="30"/>
      <c r="R385" s="30"/>
      <c r="S385" s="30"/>
      <c r="T385" s="32"/>
      <c r="U385" s="33"/>
      <c r="V385" s="33"/>
      <c r="W385" s="33"/>
      <c r="X385" s="34">
        <f t="shared" si="140"/>
        <v>0</v>
      </c>
      <c r="Y385" s="22"/>
    </row>
    <row r="386" spans="1:25">
      <c r="A386" s="20" t="s">
        <v>199</v>
      </c>
      <c r="B386" s="29"/>
      <c r="C386" s="30"/>
      <c r="D386" s="30"/>
      <c r="E386" s="30">
        <v>13</v>
      </c>
      <c r="F386" s="30">
        <v>11</v>
      </c>
      <c r="G386" s="32"/>
      <c r="H386" s="32"/>
      <c r="I386" s="32">
        <v>3</v>
      </c>
      <c r="J386" s="32"/>
      <c r="K386" s="34">
        <f t="shared" si="138"/>
        <v>27</v>
      </c>
      <c r="L386" s="19">
        <v>42669</v>
      </c>
      <c r="N386" s="28"/>
      <c r="O386" s="35"/>
      <c r="P386" s="31"/>
      <c r="Q386" s="31"/>
      <c r="R386" s="31"/>
      <c r="S386" s="31"/>
      <c r="T386" s="33"/>
      <c r="U386" s="33"/>
      <c r="V386" s="33"/>
      <c r="W386" s="33"/>
      <c r="X386" s="34">
        <f t="shared" si="140"/>
        <v>0</v>
      </c>
      <c r="Y386" s="22"/>
    </row>
    <row r="387" spans="1:25">
      <c r="A387" s="20" t="s">
        <v>196</v>
      </c>
      <c r="B387" s="35"/>
      <c r="C387" s="31"/>
      <c r="D387" s="31"/>
      <c r="E387" s="31">
        <v>-28</v>
      </c>
      <c r="F387" s="31">
        <v>-28</v>
      </c>
      <c r="G387" s="33"/>
      <c r="H387" s="33"/>
      <c r="I387" s="33"/>
      <c r="J387" s="33"/>
      <c r="K387" s="34">
        <f t="shared" si="138"/>
        <v>-56</v>
      </c>
      <c r="L387" s="22">
        <v>42668</v>
      </c>
      <c r="N387" s="28"/>
      <c r="O387" s="35"/>
      <c r="P387" s="31"/>
      <c r="Q387" s="31"/>
      <c r="R387" s="31"/>
      <c r="S387" s="31"/>
      <c r="T387" s="33"/>
      <c r="U387" s="33"/>
      <c r="V387" s="33"/>
      <c r="W387" s="33"/>
      <c r="X387" s="34">
        <f t="shared" si="140"/>
        <v>0</v>
      </c>
      <c r="Y387" s="22"/>
    </row>
    <row r="388" spans="1:25">
      <c r="A388" s="8" t="s">
        <v>198</v>
      </c>
      <c r="B388" s="29"/>
      <c r="C388" s="30"/>
      <c r="D388" s="30"/>
      <c r="E388" s="30">
        <v>2</v>
      </c>
      <c r="F388" s="30"/>
      <c r="G388" s="32"/>
      <c r="H388" s="32"/>
      <c r="I388" s="32"/>
      <c r="J388" s="32"/>
      <c r="K388" s="34">
        <f t="shared" si="138"/>
        <v>2</v>
      </c>
      <c r="L388" s="22">
        <v>42667</v>
      </c>
      <c r="N388" s="65"/>
      <c r="O388" s="29"/>
      <c r="P388" s="30"/>
      <c r="Q388" s="30"/>
      <c r="R388" s="30"/>
      <c r="S388" s="30"/>
      <c r="T388" s="32"/>
      <c r="U388" s="32"/>
      <c r="V388" s="32"/>
      <c r="W388" s="32"/>
      <c r="X388" s="34">
        <f t="shared" si="140"/>
        <v>0</v>
      </c>
      <c r="Y388" s="22"/>
    </row>
    <row r="389" spans="1:25">
      <c r="A389" s="20" t="s">
        <v>201</v>
      </c>
      <c r="B389" s="29"/>
      <c r="C389" s="30"/>
      <c r="D389" s="30"/>
      <c r="E389" s="30">
        <v>4</v>
      </c>
      <c r="F389" s="30"/>
      <c r="G389" s="32"/>
      <c r="H389" s="32"/>
      <c r="I389" s="32"/>
      <c r="J389" s="32"/>
      <c r="K389" s="34">
        <f t="shared" si="138"/>
        <v>4</v>
      </c>
      <c r="L389" s="19">
        <v>42669</v>
      </c>
      <c r="N389" s="28"/>
      <c r="O389" s="29"/>
      <c r="P389" s="30"/>
      <c r="Q389" s="30"/>
      <c r="R389" s="30"/>
      <c r="S389" s="30"/>
      <c r="T389" s="32"/>
      <c r="U389" s="32"/>
      <c r="V389" s="32"/>
      <c r="W389" s="32"/>
      <c r="X389" s="34">
        <f t="shared" si="140"/>
        <v>0</v>
      </c>
      <c r="Y389" s="19"/>
    </row>
    <row r="390" spans="1:25">
      <c r="A390" s="20" t="s">
        <v>200</v>
      </c>
      <c r="B390" s="29"/>
      <c r="C390" s="30"/>
      <c r="D390" s="30"/>
      <c r="E390" s="30"/>
      <c r="F390" s="30">
        <v>2</v>
      </c>
      <c r="G390" s="32"/>
      <c r="H390" s="32"/>
      <c r="I390" s="32">
        <v>2</v>
      </c>
      <c r="J390" s="32"/>
      <c r="K390" s="34">
        <f t="shared" si="138"/>
        <v>4</v>
      </c>
      <c r="L390" s="19">
        <v>42668</v>
      </c>
      <c r="N390" s="65"/>
      <c r="O390" s="29"/>
      <c r="P390" s="30"/>
      <c r="Q390" s="30"/>
      <c r="R390" s="30"/>
      <c r="S390" s="30"/>
      <c r="T390" s="32"/>
      <c r="U390" s="32"/>
      <c r="V390" s="32"/>
      <c r="W390" s="32"/>
      <c r="X390" s="34">
        <f t="shared" si="140"/>
        <v>0</v>
      </c>
      <c r="Y390" s="19"/>
    </row>
    <row r="391" spans="1:25">
      <c r="A391" s="28" t="s">
        <v>202</v>
      </c>
      <c r="B391" s="29"/>
      <c r="C391" s="30"/>
      <c r="D391" s="30"/>
      <c r="E391" s="30"/>
      <c r="F391" s="30">
        <v>4</v>
      </c>
      <c r="G391" s="32"/>
      <c r="H391" s="32"/>
      <c r="I391" s="32">
        <v>2</v>
      </c>
      <c r="J391" s="32"/>
      <c r="K391" s="34">
        <f t="shared" si="138"/>
        <v>6</v>
      </c>
      <c r="L391" s="19">
        <v>42670</v>
      </c>
      <c r="N391" s="65"/>
      <c r="O391" s="29"/>
      <c r="P391" s="30"/>
      <c r="Q391" s="30"/>
      <c r="R391" s="30"/>
      <c r="S391" s="30"/>
      <c r="T391" s="32"/>
      <c r="U391" s="32"/>
      <c r="V391" s="32"/>
      <c r="W391" s="32"/>
      <c r="X391" s="34">
        <f t="shared" si="140"/>
        <v>0</v>
      </c>
      <c r="Y391" s="19"/>
    </row>
    <row r="392" spans="1:25" ht="14.25" thickBot="1">
      <c r="A392" s="20" t="s">
        <v>203</v>
      </c>
      <c r="B392" s="29"/>
      <c r="C392" s="30"/>
      <c r="D392" s="30"/>
      <c r="E392" s="31"/>
      <c r="F392" s="31">
        <v>2</v>
      </c>
      <c r="G392" s="32"/>
      <c r="H392" s="33"/>
      <c r="I392" s="33"/>
      <c r="J392" s="33"/>
      <c r="K392" s="34">
        <f t="shared" si="138"/>
        <v>2</v>
      </c>
      <c r="L392" s="36">
        <v>42670</v>
      </c>
      <c r="N392" s="65"/>
      <c r="O392" s="29"/>
      <c r="P392" s="30"/>
      <c r="Q392" s="30"/>
      <c r="R392" s="30"/>
      <c r="S392" s="30"/>
      <c r="T392" s="32"/>
      <c r="U392" s="32"/>
      <c r="V392" s="32"/>
      <c r="W392" s="32"/>
      <c r="X392" s="34">
        <f t="shared" si="140"/>
        <v>0</v>
      </c>
      <c r="Y392" s="22"/>
    </row>
    <row r="393" spans="1:25" ht="14.25" thickBot="1">
      <c r="A393" s="2" t="s">
        <v>19</v>
      </c>
      <c r="B393" s="23">
        <f t="shared" ref="B393:J393" si="141">SUM(B373:B392)</f>
        <v>0</v>
      </c>
      <c r="C393" s="24">
        <f t="shared" si="141"/>
        <v>7</v>
      </c>
      <c r="D393" s="24">
        <f t="shared" si="141"/>
        <v>0</v>
      </c>
      <c r="E393" s="24">
        <f t="shared" si="141"/>
        <v>5</v>
      </c>
      <c r="F393" s="24">
        <f t="shared" si="141"/>
        <v>-1</v>
      </c>
      <c r="G393" s="25">
        <f t="shared" si="141"/>
        <v>5</v>
      </c>
      <c r="H393" s="25">
        <f t="shared" si="141"/>
        <v>1</v>
      </c>
      <c r="I393" s="25">
        <f t="shared" si="141"/>
        <v>10</v>
      </c>
      <c r="J393" s="25">
        <f t="shared" si="141"/>
        <v>0</v>
      </c>
      <c r="K393" s="37">
        <f>SUM(B393:J393)</f>
        <v>27</v>
      </c>
      <c r="L393" s="27"/>
      <c r="N393" s="2" t="s">
        <v>19</v>
      </c>
      <c r="O393" s="23">
        <f t="shared" ref="O393:W393" si="142">SUM(O373:O392)</f>
        <v>0</v>
      </c>
      <c r="P393" s="24">
        <f t="shared" si="142"/>
        <v>0</v>
      </c>
      <c r="Q393" s="24">
        <f t="shared" si="142"/>
        <v>0</v>
      </c>
      <c r="R393" s="24">
        <f t="shared" si="142"/>
        <v>28</v>
      </c>
      <c r="S393" s="24">
        <f t="shared" si="142"/>
        <v>28</v>
      </c>
      <c r="T393" s="25">
        <f t="shared" si="142"/>
        <v>0</v>
      </c>
      <c r="U393" s="25">
        <f t="shared" si="142"/>
        <v>0</v>
      </c>
      <c r="V393" s="25">
        <f t="shared" si="142"/>
        <v>0</v>
      </c>
      <c r="W393" s="25">
        <f t="shared" si="142"/>
        <v>0</v>
      </c>
      <c r="X393" s="37">
        <f>SUM(O393:W393)</f>
        <v>56</v>
      </c>
      <c r="Y393" s="27"/>
    </row>
    <row r="394" spans="1:25" ht="14.25" thickBot="1">
      <c r="A394" s="38" t="s">
        <v>17</v>
      </c>
      <c r="B394" s="39">
        <f>B372-B393</f>
        <v>23</v>
      </c>
      <c r="C394" s="39">
        <f t="shared" ref="C394:K394" si="143">C372-C393</f>
        <v>27</v>
      </c>
      <c r="D394" s="39">
        <f t="shared" si="143"/>
        <v>19</v>
      </c>
      <c r="E394" s="39">
        <f t="shared" si="143"/>
        <v>21</v>
      </c>
      <c r="F394" s="39">
        <f t="shared" si="143"/>
        <v>22</v>
      </c>
      <c r="G394" s="39">
        <f t="shared" si="143"/>
        <v>13</v>
      </c>
      <c r="H394" s="39">
        <f t="shared" si="143"/>
        <v>20</v>
      </c>
      <c r="I394" s="39">
        <f t="shared" si="143"/>
        <v>12</v>
      </c>
      <c r="J394" s="40">
        <f t="shared" si="143"/>
        <v>14</v>
      </c>
      <c r="K394" s="37">
        <f t="shared" si="143"/>
        <v>171</v>
      </c>
      <c r="L394" s="41"/>
      <c r="N394" s="38" t="s">
        <v>17</v>
      </c>
      <c r="O394" s="39">
        <f>O372-O393</f>
        <v>130</v>
      </c>
      <c r="P394" s="39">
        <f t="shared" ref="P394:X394" si="144">P372-P393</f>
        <v>203</v>
      </c>
      <c r="Q394" s="39">
        <f t="shared" si="144"/>
        <v>109</v>
      </c>
      <c r="R394" s="39">
        <f t="shared" si="144"/>
        <v>64</v>
      </c>
      <c r="S394" s="39">
        <f t="shared" si="144"/>
        <v>58</v>
      </c>
      <c r="T394" s="39">
        <f t="shared" si="144"/>
        <v>157</v>
      </c>
      <c r="U394" s="39">
        <f t="shared" si="144"/>
        <v>8</v>
      </c>
      <c r="V394" s="39">
        <f t="shared" si="144"/>
        <v>133</v>
      </c>
      <c r="W394" s="40">
        <f t="shared" si="144"/>
        <v>132</v>
      </c>
      <c r="X394" s="37">
        <f t="shared" si="144"/>
        <v>994</v>
      </c>
      <c r="Y394" s="41"/>
    </row>
    <row r="395" spans="1:25">
      <c r="A395" s="82"/>
    </row>
    <row r="396" spans="1:25">
      <c r="A396" s="82"/>
      <c r="B396" s="81"/>
      <c r="C396" s="81"/>
      <c r="D396" s="81"/>
      <c r="E396" s="81"/>
      <c r="F396" s="81"/>
      <c r="G396" s="81"/>
      <c r="H396" s="81"/>
      <c r="I396" s="81"/>
      <c r="J396" s="81"/>
      <c r="K396" s="81"/>
    </row>
    <row r="397" spans="1:25" ht="19.5" thickBot="1">
      <c r="A397" s="1" t="s">
        <v>22</v>
      </c>
      <c r="N397" s="1" t="s">
        <v>21</v>
      </c>
    </row>
    <row r="398" spans="1:25" ht="19.5" thickBot="1">
      <c r="A398" s="2" t="s">
        <v>0</v>
      </c>
      <c r="B398" s="163" t="s">
        <v>20</v>
      </c>
      <c r="C398" s="164"/>
      <c r="D398" s="164"/>
      <c r="E398" s="164"/>
      <c r="F398" s="164"/>
      <c r="G398" s="164"/>
      <c r="H398" s="165"/>
      <c r="I398" s="165"/>
      <c r="J398" s="165"/>
      <c r="K398" s="166"/>
      <c r="L398" s="161" t="s">
        <v>1</v>
      </c>
      <c r="N398" s="2" t="s">
        <v>0</v>
      </c>
      <c r="O398" s="163" t="s">
        <v>20</v>
      </c>
      <c r="P398" s="164"/>
      <c r="Q398" s="164"/>
      <c r="R398" s="164"/>
      <c r="S398" s="164"/>
      <c r="T398" s="164"/>
      <c r="U398" s="165"/>
      <c r="V398" s="165"/>
      <c r="W398" s="165"/>
      <c r="X398" s="166"/>
      <c r="Y398" s="161" t="s">
        <v>1</v>
      </c>
    </row>
    <row r="399" spans="1:25" ht="14.25" thickBot="1">
      <c r="A399" s="2" t="s">
        <v>2</v>
      </c>
      <c r="B399" s="3" t="s">
        <v>3</v>
      </c>
      <c r="C399" s="4" t="s">
        <v>4</v>
      </c>
      <c r="D399" s="4" t="s">
        <v>5</v>
      </c>
      <c r="E399" s="4" t="s">
        <v>6</v>
      </c>
      <c r="F399" s="4" t="s">
        <v>7</v>
      </c>
      <c r="G399" s="5" t="s">
        <v>8</v>
      </c>
      <c r="H399" s="4" t="s">
        <v>9</v>
      </c>
      <c r="I399" s="6" t="s">
        <v>10</v>
      </c>
      <c r="J399" s="5" t="s">
        <v>11</v>
      </c>
      <c r="K399" s="7" t="s">
        <v>12</v>
      </c>
      <c r="L399" s="167"/>
      <c r="N399" s="2" t="s">
        <v>2</v>
      </c>
      <c r="O399" s="3" t="s">
        <v>3</v>
      </c>
      <c r="P399" s="4" t="s">
        <v>4</v>
      </c>
      <c r="Q399" s="4" t="s">
        <v>5</v>
      </c>
      <c r="R399" s="4" t="s">
        <v>6</v>
      </c>
      <c r="S399" s="4" t="s">
        <v>7</v>
      </c>
      <c r="T399" s="5" t="s">
        <v>8</v>
      </c>
      <c r="U399" s="4" t="s">
        <v>9</v>
      </c>
      <c r="V399" s="6" t="s">
        <v>10</v>
      </c>
      <c r="W399" s="5" t="s">
        <v>11</v>
      </c>
      <c r="X399" s="7" t="s">
        <v>12</v>
      </c>
      <c r="Y399" s="162"/>
    </row>
    <row r="400" spans="1:25">
      <c r="A400" s="52" t="s">
        <v>17</v>
      </c>
      <c r="B400" s="55">
        <f>B394</f>
        <v>23</v>
      </c>
      <c r="C400" s="56">
        <f>C394</f>
        <v>27</v>
      </c>
      <c r="D400" s="56">
        <f t="shared" ref="D400:J400" si="145">D394</f>
        <v>19</v>
      </c>
      <c r="E400" s="56">
        <f t="shared" si="145"/>
        <v>21</v>
      </c>
      <c r="F400" s="56">
        <f t="shared" si="145"/>
        <v>22</v>
      </c>
      <c r="G400" s="56">
        <f t="shared" si="145"/>
        <v>13</v>
      </c>
      <c r="H400" s="56">
        <f t="shared" si="145"/>
        <v>20</v>
      </c>
      <c r="I400" s="56">
        <f t="shared" si="145"/>
        <v>12</v>
      </c>
      <c r="J400" s="56">
        <f t="shared" si="145"/>
        <v>14</v>
      </c>
      <c r="K400" s="83">
        <f t="shared" ref="K400:K402" si="146">SUM(B400:J400)</f>
        <v>171</v>
      </c>
      <c r="L400" s="86"/>
      <c r="N400" s="52" t="s">
        <v>17</v>
      </c>
      <c r="O400" s="55">
        <f t="shared" ref="O400:W400" si="147">O394</f>
        <v>130</v>
      </c>
      <c r="P400" s="56">
        <f t="shared" si="147"/>
        <v>203</v>
      </c>
      <c r="Q400" s="56">
        <f t="shared" si="147"/>
        <v>109</v>
      </c>
      <c r="R400" s="56">
        <f t="shared" si="147"/>
        <v>64</v>
      </c>
      <c r="S400" s="56">
        <f t="shared" si="147"/>
        <v>58</v>
      </c>
      <c r="T400" s="56">
        <f t="shared" si="147"/>
        <v>157</v>
      </c>
      <c r="U400" s="56">
        <f t="shared" si="147"/>
        <v>8</v>
      </c>
      <c r="V400" s="56">
        <f t="shared" si="147"/>
        <v>133</v>
      </c>
      <c r="W400" s="56">
        <f t="shared" si="147"/>
        <v>132</v>
      </c>
      <c r="X400" s="53">
        <f t="shared" ref="X400:X406" si="148">SUM(O400:W400)</f>
        <v>994</v>
      </c>
      <c r="Y400" s="54"/>
    </row>
    <row r="401" spans="1:26">
      <c r="A401" s="8" t="s">
        <v>118</v>
      </c>
      <c r="B401" s="9"/>
      <c r="C401" s="10">
        <v>1</v>
      </c>
      <c r="D401" s="10"/>
      <c r="E401" s="10"/>
      <c r="F401" s="10">
        <v>1</v>
      </c>
      <c r="G401" s="11"/>
      <c r="H401" s="11"/>
      <c r="I401" s="11"/>
      <c r="J401" s="11"/>
      <c r="K401" s="84">
        <f t="shared" si="146"/>
        <v>2</v>
      </c>
      <c r="L401" s="87">
        <v>42685</v>
      </c>
      <c r="N401" s="8" t="s">
        <v>14</v>
      </c>
      <c r="O401" s="9"/>
      <c r="P401" s="10"/>
      <c r="Q401" s="10"/>
      <c r="R401" s="10"/>
      <c r="S401" s="10"/>
      <c r="T401" s="11"/>
      <c r="U401" s="11"/>
      <c r="V401" s="11"/>
      <c r="W401" s="11"/>
      <c r="X401" s="13">
        <f t="shared" si="148"/>
        <v>0</v>
      </c>
      <c r="Y401" s="12"/>
    </row>
    <row r="402" spans="1:26">
      <c r="A402" s="8" t="s">
        <v>15</v>
      </c>
      <c r="B402" s="9"/>
      <c r="C402" s="10"/>
      <c r="D402" s="10"/>
      <c r="E402" s="10"/>
      <c r="F402" s="10">
        <v>6</v>
      </c>
      <c r="G402" s="11"/>
      <c r="H402" s="11">
        <v>1</v>
      </c>
      <c r="I402" s="11"/>
      <c r="J402" s="21"/>
      <c r="K402" s="84">
        <f t="shared" si="146"/>
        <v>7</v>
      </c>
      <c r="L402" s="87">
        <v>42703</v>
      </c>
      <c r="N402" s="8" t="s">
        <v>15</v>
      </c>
      <c r="O402" s="15"/>
      <c r="P402" s="16"/>
      <c r="Q402" s="16"/>
      <c r="R402" s="16"/>
      <c r="S402" s="16"/>
      <c r="T402" s="17"/>
      <c r="U402" s="17"/>
      <c r="V402" s="17"/>
      <c r="W402" s="17"/>
      <c r="X402" s="18">
        <f t="shared" si="148"/>
        <v>0</v>
      </c>
      <c r="Y402" s="19"/>
    </row>
    <row r="403" spans="1:26">
      <c r="A403" s="8" t="s">
        <v>118</v>
      </c>
      <c r="B403" s="67"/>
      <c r="C403" s="35"/>
      <c r="D403" s="35"/>
      <c r="E403" s="35"/>
      <c r="F403" s="35"/>
      <c r="G403" s="35"/>
      <c r="H403" s="35"/>
      <c r="I403" s="35"/>
      <c r="J403" s="68">
        <v>1</v>
      </c>
      <c r="K403" s="85">
        <f>SUM(B403:J403)</f>
        <v>1</v>
      </c>
      <c r="L403" s="87">
        <v>42711</v>
      </c>
      <c r="N403" s="8" t="s">
        <v>16</v>
      </c>
      <c r="O403" s="9"/>
      <c r="P403" s="10"/>
      <c r="Q403" s="10"/>
      <c r="R403" s="10"/>
      <c r="S403" s="10"/>
      <c r="T403" s="10"/>
      <c r="U403" s="10"/>
      <c r="V403" s="10"/>
      <c r="W403" s="21"/>
      <c r="X403" s="18">
        <f t="shared" si="148"/>
        <v>0</v>
      </c>
      <c r="Y403" s="22"/>
    </row>
    <row r="404" spans="1:26" ht="14.25" thickBot="1">
      <c r="A404" s="64" t="s">
        <v>219</v>
      </c>
      <c r="B404" s="70"/>
      <c r="C404" s="71">
        <v>1</v>
      </c>
      <c r="D404" s="71"/>
      <c r="E404" s="71"/>
      <c r="F404" s="71"/>
      <c r="G404" s="71"/>
      <c r="H404" s="71"/>
      <c r="I404" s="71"/>
      <c r="J404" s="72"/>
      <c r="K404" s="88">
        <f>SUM(B404:J404)</f>
        <v>1</v>
      </c>
      <c r="L404" s="36">
        <v>42717</v>
      </c>
      <c r="M404" s="74"/>
      <c r="N404" s="8" t="s">
        <v>23</v>
      </c>
      <c r="O404" s="42"/>
      <c r="P404" s="43"/>
      <c r="Q404" s="43"/>
      <c r="R404" s="43"/>
      <c r="S404" s="43"/>
      <c r="T404" s="43"/>
      <c r="U404" s="43"/>
      <c r="V404" s="43"/>
      <c r="W404" s="44"/>
      <c r="X404" s="45">
        <f t="shared" si="148"/>
        <v>0</v>
      </c>
      <c r="Y404" s="19"/>
    </row>
    <row r="405" spans="1:26" ht="14.25" thickBot="1">
      <c r="A405" s="76" t="s">
        <v>18</v>
      </c>
      <c r="B405" s="77">
        <f>SUM(B400:B404)</f>
        <v>23</v>
      </c>
      <c r="C405" s="78">
        <f t="shared" ref="C405:J405" si="149">SUM(C400:C404)</f>
        <v>29</v>
      </c>
      <c r="D405" s="78">
        <f t="shared" si="149"/>
        <v>19</v>
      </c>
      <c r="E405" s="78">
        <f t="shared" si="149"/>
        <v>21</v>
      </c>
      <c r="F405" s="78">
        <f t="shared" si="149"/>
        <v>29</v>
      </c>
      <c r="G405" s="79">
        <f t="shared" si="149"/>
        <v>13</v>
      </c>
      <c r="H405" s="79">
        <f t="shared" si="149"/>
        <v>21</v>
      </c>
      <c r="I405" s="79">
        <f t="shared" si="149"/>
        <v>12</v>
      </c>
      <c r="J405" s="79">
        <f t="shared" si="149"/>
        <v>15</v>
      </c>
      <c r="K405" s="26">
        <f t="shared" ref="K405:K425" si="150">SUM(B405:J405)</f>
        <v>182</v>
      </c>
      <c r="L405" s="41"/>
      <c r="N405" s="2" t="s">
        <v>18</v>
      </c>
      <c r="O405" s="23">
        <f t="shared" ref="O405:W405" si="151">SUM(O400:O404)</f>
        <v>130</v>
      </c>
      <c r="P405" s="24">
        <f t="shared" si="151"/>
        <v>203</v>
      </c>
      <c r="Q405" s="24">
        <f t="shared" si="151"/>
        <v>109</v>
      </c>
      <c r="R405" s="24">
        <f t="shared" si="151"/>
        <v>64</v>
      </c>
      <c r="S405" s="24">
        <f t="shared" si="151"/>
        <v>58</v>
      </c>
      <c r="T405" s="25">
        <f t="shared" si="151"/>
        <v>157</v>
      </c>
      <c r="U405" s="25">
        <f t="shared" si="151"/>
        <v>8</v>
      </c>
      <c r="V405" s="25">
        <f t="shared" si="151"/>
        <v>133</v>
      </c>
      <c r="W405" s="25">
        <f t="shared" si="151"/>
        <v>132</v>
      </c>
      <c r="X405" s="26">
        <f t="shared" si="148"/>
        <v>994</v>
      </c>
      <c r="Y405" s="27"/>
    </row>
    <row r="406" spans="1:26">
      <c r="A406" s="8" t="s">
        <v>204</v>
      </c>
      <c r="B406" s="29"/>
      <c r="C406" s="30">
        <v>1</v>
      </c>
      <c r="D406" s="30"/>
      <c r="E406" s="30">
        <v>1</v>
      </c>
      <c r="F406" s="30">
        <v>1</v>
      </c>
      <c r="G406" s="32"/>
      <c r="H406" s="32"/>
      <c r="I406" s="32"/>
      <c r="J406" s="32"/>
      <c r="K406" s="34">
        <f t="shared" si="150"/>
        <v>3</v>
      </c>
      <c r="L406" s="19">
        <v>42672</v>
      </c>
      <c r="N406" s="20" t="s">
        <v>24</v>
      </c>
      <c r="O406" s="29">
        <v>28</v>
      </c>
      <c r="P406" s="30">
        <v>28</v>
      </c>
      <c r="Q406" s="30">
        <v>28</v>
      </c>
      <c r="R406" s="30">
        <v>28</v>
      </c>
      <c r="S406" s="30">
        <v>28</v>
      </c>
      <c r="T406" s="32">
        <v>28</v>
      </c>
      <c r="U406" s="32">
        <v>7</v>
      </c>
      <c r="V406" s="32">
        <v>28</v>
      </c>
      <c r="W406" s="32">
        <v>28</v>
      </c>
      <c r="X406" s="34">
        <f t="shared" si="148"/>
        <v>231</v>
      </c>
      <c r="Y406" s="22">
        <v>42685</v>
      </c>
    </row>
    <row r="407" spans="1:26">
      <c r="A407" s="8" t="s">
        <v>205</v>
      </c>
      <c r="B407" s="29"/>
      <c r="C407" s="30"/>
      <c r="D407" s="30"/>
      <c r="E407" s="30"/>
      <c r="F407" s="30">
        <v>5</v>
      </c>
      <c r="G407" s="32"/>
      <c r="H407" s="32"/>
      <c r="I407" s="32"/>
      <c r="J407" s="32"/>
      <c r="K407" s="34">
        <f t="shared" si="150"/>
        <v>5</v>
      </c>
      <c r="L407" s="22">
        <v>42676</v>
      </c>
      <c r="N407" s="28" t="s">
        <v>208</v>
      </c>
      <c r="O407" s="67"/>
      <c r="P407" s="35"/>
      <c r="Q407" s="35"/>
      <c r="R407" s="35"/>
      <c r="S407" s="35"/>
      <c r="T407" s="35"/>
      <c r="U407" s="35">
        <v>1</v>
      </c>
      <c r="V407" s="35"/>
      <c r="W407" s="68"/>
      <c r="X407" s="13">
        <f>SUM(O407:W407)</f>
        <v>1</v>
      </c>
      <c r="Y407" s="19">
        <v>42681</v>
      </c>
    </row>
    <row r="408" spans="1:26">
      <c r="A408" s="8" t="s">
        <v>206</v>
      </c>
      <c r="B408" s="29"/>
      <c r="C408" s="30"/>
      <c r="D408" s="30"/>
      <c r="E408" s="30"/>
      <c r="F408" s="30"/>
      <c r="G408" s="32"/>
      <c r="H408" s="32">
        <v>4</v>
      </c>
      <c r="I408" s="32"/>
      <c r="J408" s="32"/>
      <c r="K408" s="34">
        <f t="shared" si="150"/>
        <v>4</v>
      </c>
      <c r="L408" s="22">
        <v>42677</v>
      </c>
      <c r="N408" s="20" t="s">
        <v>24</v>
      </c>
      <c r="O408" s="29">
        <v>56</v>
      </c>
      <c r="P408" s="30">
        <v>56</v>
      </c>
      <c r="Q408" s="30">
        <v>56</v>
      </c>
      <c r="R408" s="30">
        <v>14</v>
      </c>
      <c r="S408" s="30">
        <v>14</v>
      </c>
      <c r="T408" s="32">
        <v>56</v>
      </c>
      <c r="U408" s="32">
        <v>0</v>
      </c>
      <c r="V408" s="32">
        <v>56</v>
      </c>
      <c r="W408" s="32">
        <v>56</v>
      </c>
      <c r="X408" s="34">
        <f t="shared" ref="X408:X425" si="152">SUM(O408:W408)</f>
        <v>364</v>
      </c>
      <c r="Y408" s="22">
        <v>42685</v>
      </c>
      <c r="Z408" s="74"/>
    </row>
    <row r="409" spans="1:26">
      <c r="A409" s="20" t="s">
        <v>207</v>
      </c>
      <c r="B409" s="29"/>
      <c r="C409" s="30">
        <v>2</v>
      </c>
      <c r="D409" s="30"/>
      <c r="E409" s="30"/>
      <c r="F409" s="30"/>
      <c r="G409" s="32"/>
      <c r="H409" s="32"/>
      <c r="I409" s="32"/>
      <c r="J409" s="32"/>
      <c r="K409" s="34">
        <f t="shared" si="150"/>
        <v>2</v>
      </c>
      <c r="L409" s="22">
        <v>42682</v>
      </c>
      <c r="N409" s="28" t="s">
        <v>216</v>
      </c>
      <c r="O409" s="29"/>
      <c r="P409" s="30"/>
      <c r="Q409" s="30"/>
      <c r="R409" s="30"/>
      <c r="S409" s="30">
        <v>6</v>
      </c>
      <c r="T409" s="32"/>
      <c r="U409" s="33">
        <v>1</v>
      </c>
      <c r="V409" s="32"/>
      <c r="W409" s="32"/>
      <c r="X409" s="34">
        <f t="shared" si="152"/>
        <v>7</v>
      </c>
      <c r="Y409" s="22">
        <v>42703</v>
      </c>
    </row>
    <row r="410" spans="1:26">
      <c r="A410" s="8" t="s">
        <v>24</v>
      </c>
      <c r="B410" s="29"/>
      <c r="C410" s="30"/>
      <c r="D410" s="30"/>
      <c r="E410" s="30">
        <v>3</v>
      </c>
      <c r="F410" s="30">
        <v>2</v>
      </c>
      <c r="G410" s="32"/>
      <c r="H410" s="33">
        <v>3</v>
      </c>
      <c r="I410" s="32"/>
      <c r="J410" s="32"/>
      <c r="K410" s="34">
        <f t="shared" si="150"/>
        <v>8</v>
      </c>
      <c r="L410" s="22">
        <v>42682</v>
      </c>
      <c r="N410" s="20" t="s">
        <v>217</v>
      </c>
      <c r="O410" s="29"/>
      <c r="P410" s="30">
        <v>2</v>
      </c>
      <c r="Q410" s="30"/>
      <c r="R410" s="30">
        <v>1</v>
      </c>
      <c r="S410" s="30"/>
      <c r="T410" s="32">
        <v>1</v>
      </c>
      <c r="U410" s="32">
        <v>-1</v>
      </c>
      <c r="V410" s="32"/>
      <c r="W410" s="32"/>
      <c r="X410" s="34">
        <f t="shared" si="152"/>
        <v>3</v>
      </c>
      <c r="Y410" s="22">
        <v>42696</v>
      </c>
    </row>
    <row r="411" spans="1:26">
      <c r="A411" s="20" t="s">
        <v>209</v>
      </c>
      <c r="B411" s="29"/>
      <c r="C411" s="30">
        <v>1</v>
      </c>
      <c r="D411" s="30"/>
      <c r="E411" s="30"/>
      <c r="F411" s="30"/>
      <c r="G411" s="32"/>
      <c r="H411" s="33"/>
      <c r="I411" s="33"/>
      <c r="J411" s="33">
        <v>1</v>
      </c>
      <c r="K411" s="34">
        <f t="shared" si="150"/>
        <v>2</v>
      </c>
      <c r="L411" s="22">
        <v>42682</v>
      </c>
      <c r="N411" s="20" t="s">
        <v>24</v>
      </c>
      <c r="O411" s="29">
        <v>46</v>
      </c>
      <c r="P411" s="30">
        <v>117</v>
      </c>
      <c r="Q411" s="30">
        <v>25</v>
      </c>
      <c r="R411" s="30">
        <v>21</v>
      </c>
      <c r="S411" s="30">
        <v>10</v>
      </c>
      <c r="T411" s="32">
        <v>72</v>
      </c>
      <c r="U411" s="32">
        <v>0</v>
      </c>
      <c r="V411" s="32">
        <v>49</v>
      </c>
      <c r="W411" s="32">
        <v>48</v>
      </c>
      <c r="X411" s="34">
        <f t="shared" si="152"/>
        <v>388</v>
      </c>
      <c r="Y411" s="22">
        <v>42699</v>
      </c>
    </row>
    <row r="412" spans="1:26">
      <c r="A412" s="20" t="s">
        <v>27</v>
      </c>
      <c r="B412" s="29"/>
      <c r="C412" s="30"/>
      <c r="D412" s="30"/>
      <c r="E412" s="31"/>
      <c r="F412" s="31"/>
      <c r="G412" s="32"/>
      <c r="H412" s="33"/>
      <c r="I412" s="33">
        <v>1</v>
      </c>
      <c r="J412" s="33"/>
      <c r="K412" s="34">
        <f t="shared" si="150"/>
        <v>1</v>
      </c>
      <c r="L412" s="22">
        <v>42685</v>
      </c>
      <c r="N412" s="28"/>
      <c r="O412" s="29"/>
      <c r="P412" s="30"/>
      <c r="Q412" s="30"/>
      <c r="R412" s="31"/>
      <c r="S412" s="31"/>
      <c r="T412" s="32"/>
      <c r="U412" s="33"/>
      <c r="V412" s="33"/>
      <c r="W412" s="33"/>
      <c r="X412" s="34">
        <f t="shared" si="152"/>
        <v>0</v>
      </c>
      <c r="Y412" s="22"/>
    </row>
    <row r="413" spans="1:26">
      <c r="A413" s="8" t="s">
        <v>211</v>
      </c>
      <c r="B413" s="35"/>
      <c r="C413" s="31"/>
      <c r="D413" s="31"/>
      <c r="E413" s="31"/>
      <c r="F413" s="31"/>
      <c r="G413" s="33"/>
      <c r="H413" s="33"/>
      <c r="I413" s="33">
        <v>3</v>
      </c>
      <c r="J413" s="33"/>
      <c r="K413" s="34">
        <f t="shared" si="150"/>
        <v>3</v>
      </c>
      <c r="L413" s="22">
        <v>42689</v>
      </c>
      <c r="N413" s="28"/>
      <c r="O413" s="35"/>
      <c r="P413" s="31"/>
      <c r="Q413" s="31"/>
      <c r="R413" s="31"/>
      <c r="S413" s="31"/>
      <c r="T413" s="33"/>
      <c r="U413" s="33"/>
      <c r="V413" s="33"/>
      <c r="W413" s="33"/>
      <c r="X413" s="34">
        <f t="shared" si="152"/>
        <v>0</v>
      </c>
      <c r="Y413" s="22"/>
    </row>
    <row r="414" spans="1:26">
      <c r="A414" s="20" t="s">
        <v>210</v>
      </c>
      <c r="B414" s="35"/>
      <c r="C414" s="31"/>
      <c r="D414" s="31"/>
      <c r="E414" s="31">
        <v>2</v>
      </c>
      <c r="F414" s="31">
        <v>3</v>
      </c>
      <c r="G414" s="33"/>
      <c r="H414" s="33"/>
      <c r="I414" s="33"/>
      <c r="J414" s="33"/>
      <c r="K414" s="34">
        <f t="shared" si="150"/>
        <v>5</v>
      </c>
      <c r="L414" s="22">
        <v>42688</v>
      </c>
      <c r="N414" s="28"/>
      <c r="O414" s="35"/>
      <c r="P414" s="31"/>
      <c r="Q414" s="31"/>
      <c r="R414" s="31"/>
      <c r="S414" s="31"/>
      <c r="T414" s="33"/>
      <c r="U414" s="33"/>
      <c r="V414" s="33"/>
      <c r="W414" s="33"/>
      <c r="X414" s="34">
        <f t="shared" si="152"/>
        <v>0</v>
      </c>
      <c r="Y414" s="22"/>
    </row>
    <row r="415" spans="1:26">
      <c r="A415" s="20" t="s">
        <v>214</v>
      </c>
      <c r="B415" s="35"/>
      <c r="C415" s="31"/>
      <c r="D415" s="31"/>
      <c r="E415" s="31">
        <v>5</v>
      </c>
      <c r="F415" s="31"/>
      <c r="G415" s="33"/>
      <c r="H415" s="33"/>
      <c r="I415" s="33"/>
      <c r="J415" s="33"/>
      <c r="K415" s="34">
        <f t="shared" si="150"/>
        <v>5</v>
      </c>
      <c r="L415" s="22">
        <v>42690</v>
      </c>
      <c r="N415" s="28"/>
      <c r="O415" s="35"/>
      <c r="P415" s="31"/>
      <c r="Q415" s="31"/>
      <c r="R415" s="31"/>
      <c r="S415" s="31"/>
      <c r="T415" s="33"/>
      <c r="U415" s="33"/>
      <c r="V415" s="33"/>
      <c r="W415" s="33"/>
      <c r="X415" s="34">
        <f t="shared" si="152"/>
        <v>0</v>
      </c>
      <c r="Y415" s="22"/>
    </row>
    <row r="416" spans="1:26">
      <c r="A416" s="20" t="s">
        <v>212</v>
      </c>
      <c r="B416" s="29"/>
      <c r="C416" s="30"/>
      <c r="D416" s="30">
        <v>5</v>
      </c>
      <c r="E416" s="30"/>
      <c r="F416" s="30">
        <v>5</v>
      </c>
      <c r="G416" s="32"/>
      <c r="H416" s="32"/>
      <c r="I416" s="32"/>
      <c r="J416" s="32"/>
      <c r="K416" s="34">
        <f t="shared" si="150"/>
        <v>10</v>
      </c>
      <c r="L416" s="22">
        <v>42691</v>
      </c>
      <c r="N416" s="28"/>
      <c r="O416" s="29"/>
      <c r="P416" s="30"/>
      <c r="Q416" s="30"/>
      <c r="R416" s="30"/>
      <c r="S416" s="30"/>
      <c r="T416" s="32"/>
      <c r="U416" s="32"/>
      <c r="V416" s="32"/>
      <c r="W416" s="32"/>
      <c r="X416" s="34">
        <f t="shared" si="152"/>
        <v>0</v>
      </c>
      <c r="Y416" s="22"/>
    </row>
    <row r="417" spans="1:25">
      <c r="A417" s="20" t="s">
        <v>213</v>
      </c>
      <c r="B417" s="35"/>
      <c r="C417" s="31"/>
      <c r="D417" s="31"/>
      <c r="E417" s="31">
        <v>1</v>
      </c>
      <c r="F417" s="31"/>
      <c r="G417" s="33"/>
      <c r="H417" s="33"/>
      <c r="I417" s="33"/>
      <c r="J417" s="33"/>
      <c r="K417" s="34">
        <f t="shared" si="150"/>
        <v>1</v>
      </c>
      <c r="L417" s="22">
        <v>42689</v>
      </c>
      <c r="N417" s="28"/>
      <c r="O417" s="35"/>
      <c r="P417" s="31"/>
      <c r="Q417" s="31"/>
      <c r="R417" s="31"/>
      <c r="S417" s="31"/>
      <c r="T417" s="33"/>
      <c r="U417" s="33"/>
      <c r="V417" s="33"/>
      <c r="W417" s="33"/>
      <c r="X417" s="34">
        <f t="shared" si="152"/>
        <v>0</v>
      </c>
      <c r="Y417" s="22"/>
    </row>
    <row r="418" spans="1:25">
      <c r="A418" s="20" t="s">
        <v>215</v>
      </c>
      <c r="B418" s="29"/>
      <c r="C418" s="30"/>
      <c r="D418" s="30"/>
      <c r="E418" s="30">
        <v>2</v>
      </c>
      <c r="F418" s="30">
        <v>3</v>
      </c>
      <c r="G418" s="32"/>
      <c r="H418" s="33"/>
      <c r="I418" s="33">
        <v>2</v>
      </c>
      <c r="J418" s="33"/>
      <c r="K418" s="34">
        <f t="shared" si="150"/>
        <v>7</v>
      </c>
      <c r="L418" s="22">
        <v>42693</v>
      </c>
      <c r="N418" s="28"/>
      <c r="O418" s="29"/>
      <c r="P418" s="30"/>
      <c r="Q418" s="30"/>
      <c r="R418" s="30"/>
      <c r="S418" s="30"/>
      <c r="T418" s="32"/>
      <c r="U418" s="33"/>
      <c r="V418" s="33"/>
      <c r="W418" s="33"/>
      <c r="X418" s="34">
        <f t="shared" si="152"/>
        <v>0</v>
      </c>
      <c r="Y418" s="22"/>
    </row>
    <row r="419" spans="1:25">
      <c r="A419" s="20" t="s">
        <v>27</v>
      </c>
      <c r="B419" s="29"/>
      <c r="C419" s="30"/>
      <c r="D419" s="30"/>
      <c r="E419" s="30"/>
      <c r="F419" s="30">
        <v>3</v>
      </c>
      <c r="G419" s="32"/>
      <c r="H419" s="32"/>
      <c r="I419" s="32"/>
      <c r="J419" s="32"/>
      <c r="K419" s="34">
        <f t="shared" si="150"/>
        <v>3</v>
      </c>
      <c r="L419" s="19">
        <v>42695</v>
      </c>
      <c r="N419" s="28"/>
      <c r="O419" s="35"/>
      <c r="P419" s="31"/>
      <c r="Q419" s="31"/>
      <c r="R419" s="31"/>
      <c r="S419" s="31"/>
      <c r="T419" s="33"/>
      <c r="U419" s="33"/>
      <c r="V419" s="33"/>
      <c r="W419" s="33"/>
      <c r="X419" s="34">
        <f t="shared" si="152"/>
        <v>0</v>
      </c>
      <c r="Y419" s="22"/>
    </row>
    <row r="420" spans="1:25">
      <c r="A420" s="20" t="s">
        <v>218</v>
      </c>
      <c r="B420" s="35"/>
      <c r="C420" s="31"/>
      <c r="D420" s="31"/>
      <c r="E420" s="31"/>
      <c r="F420" s="31"/>
      <c r="G420" s="33">
        <v>5</v>
      </c>
      <c r="H420" s="33"/>
      <c r="I420" s="33">
        <v>5</v>
      </c>
      <c r="J420" s="33"/>
      <c r="K420" s="34">
        <f t="shared" si="150"/>
        <v>10</v>
      </c>
      <c r="L420" s="22">
        <v>42703</v>
      </c>
      <c r="N420" s="28"/>
      <c r="O420" s="35"/>
      <c r="P420" s="31"/>
      <c r="Q420" s="31"/>
      <c r="R420" s="31"/>
      <c r="S420" s="31"/>
      <c r="T420" s="33"/>
      <c r="U420" s="33"/>
      <c r="V420" s="33"/>
      <c r="W420" s="33"/>
      <c r="X420" s="34">
        <f t="shared" si="152"/>
        <v>0</v>
      </c>
      <c r="Y420" s="22"/>
    </row>
    <row r="421" spans="1:25">
      <c r="A421" s="20" t="s">
        <v>24</v>
      </c>
      <c r="B421" s="29"/>
      <c r="C421" s="30"/>
      <c r="D421" s="30"/>
      <c r="E421" s="30">
        <v>5</v>
      </c>
      <c r="F421" s="30">
        <v>5</v>
      </c>
      <c r="G421" s="32"/>
      <c r="H421" s="32"/>
      <c r="I421" s="32"/>
      <c r="J421" s="32"/>
      <c r="K421" s="34">
        <f t="shared" si="150"/>
        <v>10</v>
      </c>
      <c r="L421" s="22">
        <v>42705</v>
      </c>
      <c r="N421" s="65"/>
      <c r="O421" s="29"/>
      <c r="P421" s="30"/>
      <c r="Q421" s="30"/>
      <c r="R421" s="30"/>
      <c r="S421" s="30"/>
      <c r="T421" s="32"/>
      <c r="U421" s="32"/>
      <c r="V421" s="32"/>
      <c r="W421" s="32"/>
      <c r="X421" s="34">
        <f t="shared" si="152"/>
        <v>0</v>
      </c>
      <c r="Y421" s="22"/>
    </row>
    <row r="422" spans="1:25">
      <c r="A422" s="20" t="s">
        <v>24</v>
      </c>
      <c r="B422" s="29"/>
      <c r="C422" s="30"/>
      <c r="D422" s="30"/>
      <c r="E422" s="30"/>
      <c r="F422" s="30"/>
      <c r="G422" s="32"/>
      <c r="H422" s="32"/>
      <c r="I422" s="32">
        <v>1</v>
      </c>
      <c r="J422" s="32"/>
      <c r="K422" s="34">
        <f t="shared" si="150"/>
        <v>1</v>
      </c>
      <c r="L422" s="19">
        <v>42710</v>
      </c>
      <c r="N422" s="28"/>
      <c r="O422" s="29"/>
      <c r="P422" s="30"/>
      <c r="Q422" s="30"/>
      <c r="R422" s="30"/>
      <c r="S422" s="30"/>
      <c r="T422" s="32"/>
      <c r="U422" s="32"/>
      <c r="V422" s="32"/>
      <c r="W422" s="32"/>
      <c r="X422" s="34">
        <f t="shared" si="152"/>
        <v>0</v>
      </c>
      <c r="Y422" s="19"/>
    </row>
    <row r="423" spans="1:25">
      <c r="A423" s="20" t="s">
        <v>27</v>
      </c>
      <c r="B423" s="29"/>
      <c r="C423" s="30"/>
      <c r="D423" s="30"/>
      <c r="E423" s="30"/>
      <c r="F423" s="30">
        <v>1</v>
      </c>
      <c r="G423" s="32"/>
      <c r="H423" s="32"/>
      <c r="I423" s="32"/>
      <c r="J423" s="32"/>
      <c r="K423" s="34">
        <f t="shared" si="150"/>
        <v>1</v>
      </c>
      <c r="L423" s="19">
        <v>42712</v>
      </c>
      <c r="N423" s="65"/>
      <c r="O423" s="29"/>
      <c r="P423" s="30"/>
      <c r="Q423" s="30"/>
      <c r="R423" s="30"/>
      <c r="S423" s="30"/>
      <c r="T423" s="32"/>
      <c r="U423" s="32"/>
      <c r="V423" s="32"/>
      <c r="W423" s="32"/>
      <c r="X423" s="34">
        <f t="shared" si="152"/>
        <v>0</v>
      </c>
      <c r="Y423" s="19"/>
    </row>
    <row r="424" spans="1:25">
      <c r="A424" s="28" t="s">
        <v>220</v>
      </c>
      <c r="B424" s="29"/>
      <c r="C424" s="30"/>
      <c r="D424" s="30"/>
      <c r="E424" s="30"/>
      <c r="F424" s="30"/>
      <c r="G424" s="32"/>
      <c r="H424" s="32">
        <v>1</v>
      </c>
      <c r="I424" s="32"/>
      <c r="J424" s="32"/>
      <c r="K424" s="34">
        <f t="shared" si="150"/>
        <v>1</v>
      </c>
      <c r="L424" s="19">
        <v>42719</v>
      </c>
      <c r="M424" s="74"/>
      <c r="N424" s="65"/>
      <c r="O424" s="29"/>
      <c r="P424" s="30"/>
      <c r="Q424" s="30"/>
      <c r="R424" s="30"/>
      <c r="S424" s="30"/>
      <c r="T424" s="32"/>
      <c r="U424" s="32"/>
      <c r="V424" s="32"/>
      <c r="W424" s="32"/>
      <c r="X424" s="34">
        <f t="shared" si="152"/>
        <v>0</v>
      </c>
      <c r="Y424" s="19"/>
    </row>
    <row r="425" spans="1:25" ht="14.25" thickBot="1">
      <c r="A425" s="28" t="s">
        <v>24</v>
      </c>
      <c r="B425" s="29"/>
      <c r="C425" s="30"/>
      <c r="D425" s="30"/>
      <c r="E425" s="31"/>
      <c r="F425" s="31"/>
      <c r="G425" s="32"/>
      <c r="H425" s="33">
        <v>1</v>
      </c>
      <c r="I425" s="33"/>
      <c r="J425" s="33"/>
      <c r="K425" s="34">
        <f t="shared" si="150"/>
        <v>1</v>
      </c>
      <c r="L425" s="36">
        <v>42721</v>
      </c>
      <c r="N425" s="20"/>
      <c r="O425" s="29"/>
      <c r="P425" s="30"/>
      <c r="Q425" s="30"/>
      <c r="R425" s="30"/>
      <c r="S425" s="30"/>
      <c r="T425" s="32"/>
      <c r="U425" s="32"/>
      <c r="V425" s="32"/>
      <c r="W425" s="32"/>
      <c r="X425" s="34">
        <f t="shared" si="152"/>
        <v>0</v>
      </c>
      <c r="Y425" s="22"/>
    </row>
    <row r="426" spans="1:25" ht="14.25" thickBot="1">
      <c r="A426" s="2" t="s">
        <v>19</v>
      </c>
      <c r="B426" s="23">
        <f t="shared" ref="B426:J426" si="153">SUM(B406:B425)</f>
        <v>0</v>
      </c>
      <c r="C426" s="24">
        <f t="shared" si="153"/>
        <v>4</v>
      </c>
      <c r="D426" s="24">
        <f t="shared" si="153"/>
        <v>5</v>
      </c>
      <c r="E426" s="24">
        <f t="shared" si="153"/>
        <v>19</v>
      </c>
      <c r="F426" s="24">
        <f t="shared" si="153"/>
        <v>28</v>
      </c>
      <c r="G426" s="25">
        <f t="shared" si="153"/>
        <v>5</v>
      </c>
      <c r="H426" s="25">
        <f t="shared" si="153"/>
        <v>9</v>
      </c>
      <c r="I426" s="25">
        <f t="shared" si="153"/>
        <v>12</v>
      </c>
      <c r="J426" s="25">
        <f t="shared" si="153"/>
        <v>1</v>
      </c>
      <c r="K426" s="37">
        <f>SUM(B426:J426)</f>
        <v>83</v>
      </c>
      <c r="L426" s="27"/>
      <c r="N426" s="2" t="s">
        <v>19</v>
      </c>
      <c r="O426" s="23">
        <f t="shared" ref="O426:W426" si="154">SUM(O406:O425)</f>
        <v>130</v>
      </c>
      <c r="P426" s="24">
        <f t="shared" si="154"/>
        <v>203</v>
      </c>
      <c r="Q426" s="24">
        <f t="shared" si="154"/>
        <v>109</v>
      </c>
      <c r="R426" s="24">
        <f t="shared" si="154"/>
        <v>64</v>
      </c>
      <c r="S426" s="24">
        <f t="shared" si="154"/>
        <v>58</v>
      </c>
      <c r="T426" s="25">
        <f t="shared" si="154"/>
        <v>157</v>
      </c>
      <c r="U426" s="25">
        <f t="shared" si="154"/>
        <v>8</v>
      </c>
      <c r="V426" s="25">
        <f t="shared" si="154"/>
        <v>133</v>
      </c>
      <c r="W426" s="25">
        <f t="shared" si="154"/>
        <v>132</v>
      </c>
      <c r="X426" s="37">
        <f>SUM(O426:W426)</f>
        <v>994</v>
      </c>
      <c r="Y426" s="27"/>
    </row>
    <row r="427" spans="1:25" ht="14.25" thickBot="1">
      <c r="A427" s="38" t="s">
        <v>17</v>
      </c>
      <c r="B427" s="39">
        <f>B405-B426</f>
        <v>23</v>
      </c>
      <c r="C427" s="39">
        <f t="shared" ref="C427:K427" si="155">C405-C426</f>
        <v>25</v>
      </c>
      <c r="D427" s="39">
        <f t="shared" si="155"/>
        <v>14</v>
      </c>
      <c r="E427" s="39">
        <f t="shared" si="155"/>
        <v>2</v>
      </c>
      <c r="F427" s="39">
        <f t="shared" si="155"/>
        <v>1</v>
      </c>
      <c r="G427" s="39">
        <f t="shared" si="155"/>
        <v>8</v>
      </c>
      <c r="H427" s="39">
        <f t="shared" si="155"/>
        <v>12</v>
      </c>
      <c r="I427" s="39">
        <f t="shared" si="155"/>
        <v>0</v>
      </c>
      <c r="J427" s="40">
        <f t="shared" si="155"/>
        <v>14</v>
      </c>
      <c r="K427" s="37">
        <f t="shared" si="155"/>
        <v>99</v>
      </c>
      <c r="L427" s="41"/>
      <c r="N427" s="38" t="s">
        <v>17</v>
      </c>
      <c r="O427" s="39">
        <f>O405-O426</f>
        <v>0</v>
      </c>
      <c r="P427" s="39">
        <f t="shared" ref="P427:X427" si="156">P405-P426</f>
        <v>0</v>
      </c>
      <c r="Q427" s="39">
        <f t="shared" si="156"/>
        <v>0</v>
      </c>
      <c r="R427" s="39">
        <f t="shared" si="156"/>
        <v>0</v>
      </c>
      <c r="S427" s="39">
        <f t="shared" si="156"/>
        <v>0</v>
      </c>
      <c r="T427" s="39">
        <f t="shared" si="156"/>
        <v>0</v>
      </c>
      <c r="U427" s="39">
        <f t="shared" si="156"/>
        <v>0</v>
      </c>
      <c r="V427" s="39">
        <f t="shared" si="156"/>
        <v>0</v>
      </c>
      <c r="W427" s="40">
        <f t="shared" si="156"/>
        <v>0</v>
      </c>
      <c r="X427" s="37">
        <f t="shared" si="156"/>
        <v>0</v>
      </c>
      <c r="Y427" s="41"/>
    </row>
    <row r="428" spans="1:25">
      <c r="A428" s="82"/>
    </row>
    <row r="429" spans="1:25">
      <c r="A429" s="82"/>
      <c r="B429" s="81"/>
      <c r="C429" s="81"/>
      <c r="D429" s="81"/>
      <c r="E429" s="81"/>
      <c r="F429" s="81"/>
      <c r="G429" s="81"/>
      <c r="H429" s="81"/>
      <c r="I429" s="81"/>
      <c r="J429" s="81"/>
      <c r="K429" s="81"/>
    </row>
    <row r="430" spans="1:25" ht="19.5" thickBot="1">
      <c r="A430" s="1" t="s">
        <v>22</v>
      </c>
      <c r="N430" s="1" t="s">
        <v>21</v>
      </c>
    </row>
    <row r="431" spans="1:25" ht="19.5" thickBot="1">
      <c r="A431" s="2" t="s">
        <v>0</v>
      </c>
      <c r="B431" s="163" t="s">
        <v>20</v>
      </c>
      <c r="C431" s="164"/>
      <c r="D431" s="164"/>
      <c r="E431" s="164"/>
      <c r="F431" s="164"/>
      <c r="G431" s="164"/>
      <c r="H431" s="165"/>
      <c r="I431" s="165"/>
      <c r="J431" s="165"/>
      <c r="K431" s="166"/>
      <c r="L431" s="161" t="s">
        <v>1</v>
      </c>
      <c r="N431" s="2" t="s">
        <v>0</v>
      </c>
      <c r="O431" s="163" t="s">
        <v>20</v>
      </c>
      <c r="P431" s="164"/>
      <c r="Q431" s="164"/>
      <c r="R431" s="164"/>
      <c r="S431" s="164"/>
      <c r="T431" s="164"/>
      <c r="U431" s="165"/>
      <c r="V431" s="165"/>
      <c r="W431" s="165"/>
      <c r="X431" s="166"/>
      <c r="Y431" s="161" t="s">
        <v>1</v>
      </c>
    </row>
    <row r="432" spans="1:25" ht="14.25" thickBot="1">
      <c r="A432" s="2" t="s">
        <v>2</v>
      </c>
      <c r="B432" s="3" t="s">
        <v>3</v>
      </c>
      <c r="C432" s="4" t="s">
        <v>4</v>
      </c>
      <c r="D432" s="4" t="s">
        <v>5</v>
      </c>
      <c r="E432" s="4" t="s">
        <v>6</v>
      </c>
      <c r="F432" s="4" t="s">
        <v>7</v>
      </c>
      <c r="G432" s="5" t="s">
        <v>8</v>
      </c>
      <c r="H432" s="4" t="s">
        <v>9</v>
      </c>
      <c r="I432" s="6" t="s">
        <v>10</v>
      </c>
      <c r="J432" s="5" t="s">
        <v>11</v>
      </c>
      <c r="K432" s="7" t="s">
        <v>12</v>
      </c>
      <c r="L432" s="167"/>
      <c r="N432" s="2" t="s">
        <v>2</v>
      </c>
      <c r="O432" s="3" t="s">
        <v>3</v>
      </c>
      <c r="P432" s="4" t="s">
        <v>4</v>
      </c>
      <c r="Q432" s="4" t="s">
        <v>5</v>
      </c>
      <c r="R432" s="4" t="s">
        <v>6</v>
      </c>
      <c r="S432" s="4" t="s">
        <v>7</v>
      </c>
      <c r="T432" s="5" t="s">
        <v>8</v>
      </c>
      <c r="U432" s="4" t="s">
        <v>9</v>
      </c>
      <c r="V432" s="6" t="s">
        <v>10</v>
      </c>
      <c r="W432" s="5" t="s">
        <v>11</v>
      </c>
      <c r="X432" s="7" t="s">
        <v>12</v>
      </c>
      <c r="Y432" s="162"/>
    </row>
    <row r="433" spans="1:25">
      <c r="A433" s="52" t="s">
        <v>17</v>
      </c>
      <c r="B433" s="55">
        <f>B427</f>
        <v>23</v>
      </c>
      <c r="C433" s="56">
        <f>C427</f>
        <v>25</v>
      </c>
      <c r="D433" s="56">
        <f t="shared" ref="D433:J433" si="157">D427</f>
        <v>14</v>
      </c>
      <c r="E433" s="56">
        <f t="shared" si="157"/>
        <v>2</v>
      </c>
      <c r="F433" s="56">
        <f t="shared" si="157"/>
        <v>1</v>
      </c>
      <c r="G433" s="56">
        <f t="shared" si="157"/>
        <v>8</v>
      </c>
      <c r="H433" s="56">
        <f t="shared" si="157"/>
        <v>12</v>
      </c>
      <c r="I433" s="56">
        <f t="shared" si="157"/>
        <v>0</v>
      </c>
      <c r="J433" s="56">
        <f t="shared" si="157"/>
        <v>14</v>
      </c>
      <c r="K433" s="83">
        <f t="shared" ref="K433:K435" si="158">SUM(B433:J433)</f>
        <v>99</v>
      </c>
      <c r="L433" s="86"/>
      <c r="N433" s="52" t="s">
        <v>17</v>
      </c>
      <c r="O433" s="55">
        <f t="shared" ref="O433:W433" si="159">O427</f>
        <v>0</v>
      </c>
      <c r="P433" s="56">
        <f t="shared" si="159"/>
        <v>0</v>
      </c>
      <c r="Q433" s="56">
        <f t="shared" si="159"/>
        <v>0</v>
      </c>
      <c r="R433" s="56">
        <f t="shared" si="159"/>
        <v>0</v>
      </c>
      <c r="S433" s="56">
        <f t="shared" si="159"/>
        <v>0</v>
      </c>
      <c r="T433" s="56">
        <f t="shared" si="159"/>
        <v>0</v>
      </c>
      <c r="U433" s="56">
        <f t="shared" si="159"/>
        <v>0</v>
      </c>
      <c r="V433" s="56">
        <f t="shared" si="159"/>
        <v>0</v>
      </c>
      <c r="W433" s="56">
        <f t="shared" si="159"/>
        <v>0</v>
      </c>
      <c r="X433" s="53">
        <f t="shared" ref="X433:X439" si="160">SUM(O433:W433)</f>
        <v>0</v>
      </c>
      <c r="Y433" s="54"/>
    </row>
    <row r="434" spans="1:25">
      <c r="A434" s="8" t="s">
        <v>118</v>
      </c>
      <c r="B434" s="9"/>
      <c r="C434" s="10"/>
      <c r="D434" s="10"/>
      <c r="E434" s="10"/>
      <c r="F434" s="10"/>
      <c r="G434" s="11"/>
      <c r="H434" s="11">
        <v>1</v>
      </c>
      <c r="I434" s="11">
        <v>1</v>
      </c>
      <c r="J434" s="11">
        <v>1</v>
      </c>
      <c r="K434" s="84">
        <f t="shared" si="158"/>
        <v>3</v>
      </c>
      <c r="L434" s="87">
        <v>42782</v>
      </c>
      <c r="N434" s="8" t="s">
        <v>14</v>
      </c>
      <c r="O434" s="9"/>
      <c r="P434" s="10"/>
      <c r="Q434" s="10"/>
      <c r="R434" s="10"/>
      <c r="S434" s="10"/>
      <c r="T434" s="11"/>
      <c r="U434" s="11"/>
      <c r="V434" s="11"/>
      <c r="W434" s="11"/>
      <c r="X434" s="13">
        <f t="shared" si="160"/>
        <v>0</v>
      </c>
      <c r="Y434" s="12"/>
    </row>
    <row r="435" spans="1:25">
      <c r="A435" s="8" t="s">
        <v>221</v>
      </c>
      <c r="B435" s="9"/>
      <c r="C435" s="10"/>
      <c r="D435" s="10"/>
      <c r="E435" s="10"/>
      <c r="F435" s="10"/>
      <c r="G435" s="11"/>
      <c r="H435" s="11"/>
      <c r="I435" s="11"/>
      <c r="J435" s="21"/>
      <c r="K435" s="84">
        <f t="shared" si="158"/>
        <v>0</v>
      </c>
      <c r="L435" s="87"/>
      <c r="N435" s="8" t="s">
        <v>15</v>
      </c>
      <c r="O435" s="15"/>
      <c r="P435" s="16"/>
      <c r="Q435" s="16"/>
      <c r="R435" s="16"/>
      <c r="S435" s="16"/>
      <c r="T435" s="17"/>
      <c r="U435" s="17"/>
      <c r="V435" s="17"/>
      <c r="W435" s="17"/>
      <c r="X435" s="18">
        <f t="shared" si="160"/>
        <v>0</v>
      </c>
      <c r="Y435" s="19"/>
    </row>
    <row r="436" spans="1:25">
      <c r="A436" s="8" t="s">
        <v>221</v>
      </c>
      <c r="B436" s="67"/>
      <c r="C436" s="35"/>
      <c r="D436" s="35"/>
      <c r="E436" s="35"/>
      <c r="F436" s="35"/>
      <c r="G436" s="35"/>
      <c r="H436" s="35"/>
      <c r="I436" s="35"/>
      <c r="J436" s="68"/>
      <c r="K436" s="85">
        <f>SUM(B436:J436)</f>
        <v>0</v>
      </c>
      <c r="L436" s="87"/>
      <c r="N436" s="8" t="s">
        <v>16</v>
      </c>
      <c r="O436" s="9"/>
      <c r="P436" s="10"/>
      <c r="Q436" s="10"/>
      <c r="R436" s="10"/>
      <c r="S436" s="10"/>
      <c r="T436" s="10"/>
      <c r="U436" s="10"/>
      <c r="V436" s="10"/>
      <c r="W436" s="21"/>
      <c r="X436" s="18">
        <f t="shared" si="160"/>
        <v>0</v>
      </c>
      <c r="Y436" s="22"/>
    </row>
    <row r="437" spans="1:25" ht="14.25" thickBot="1">
      <c r="A437" s="8" t="s">
        <v>221</v>
      </c>
      <c r="B437" s="70"/>
      <c r="C437" s="71"/>
      <c r="D437" s="71"/>
      <c r="E437" s="71"/>
      <c r="F437" s="71"/>
      <c r="G437" s="71"/>
      <c r="H437" s="71"/>
      <c r="I437" s="71"/>
      <c r="J437" s="72"/>
      <c r="K437" s="88">
        <f>SUM(B437:J437)</f>
        <v>0</v>
      </c>
      <c r="L437" s="36"/>
      <c r="M437" s="74"/>
      <c r="N437" s="8" t="s">
        <v>23</v>
      </c>
      <c r="O437" s="42"/>
      <c r="P437" s="43"/>
      <c r="Q437" s="43"/>
      <c r="R437" s="43"/>
      <c r="S437" s="43"/>
      <c r="T437" s="43"/>
      <c r="U437" s="43"/>
      <c r="V437" s="43"/>
      <c r="W437" s="44"/>
      <c r="X437" s="45">
        <f t="shared" si="160"/>
        <v>0</v>
      </c>
      <c r="Y437" s="19"/>
    </row>
    <row r="438" spans="1:25" ht="14.25" thickBot="1">
      <c r="A438" s="76" t="s">
        <v>18</v>
      </c>
      <c r="B438" s="77">
        <f>SUM(B433:B437)</f>
        <v>23</v>
      </c>
      <c r="C438" s="78">
        <f t="shared" ref="C438:J438" si="161">SUM(C433:C437)</f>
        <v>25</v>
      </c>
      <c r="D438" s="78">
        <f t="shared" si="161"/>
        <v>14</v>
      </c>
      <c r="E438" s="78">
        <f t="shared" si="161"/>
        <v>2</v>
      </c>
      <c r="F438" s="78">
        <f t="shared" si="161"/>
        <v>1</v>
      </c>
      <c r="G438" s="79">
        <f t="shared" si="161"/>
        <v>8</v>
      </c>
      <c r="H438" s="79">
        <f t="shared" si="161"/>
        <v>13</v>
      </c>
      <c r="I438" s="79">
        <f t="shared" si="161"/>
        <v>1</v>
      </c>
      <c r="J438" s="79">
        <f t="shared" si="161"/>
        <v>15</v>
      </c>
      <c r="K438" s="26">
        <f t="shared" ref="K438:K458" si="162">SUM(B438:J438)</f>
        <v>102</v>
      </c>
      <c r="L438" s="41"/>
      <c r="N438" s="2" t="s">
        <v>18</v>
      </c>
      <c r="O438" s="23">
        <f t="shared" ref="O438:W438" si="163">SUM(O433:O437)</f>
        <v>0</v>
      </c>
      <c r="P438" s="24">
        <f t="shared" si="163"/>
        <v>0</v>
      </c>
      <c r="Q438" s="24">
        <f t="shared" si="163"/>
        <v>0</v>
      </c>
      <c r="R438" s="24">
        <f t="shared" si="163"/>
        <v>0</v>
      </c>
      <c r="S438" s="24">
        <f t="shared" si="163"/>
        <v>0</v>
      </c>
      <c r="T438" s="25">
        <f t="shared" si="163"/>
        <v>0</v>
      </c>
      <c r="U438" s="25">
        <f t="shared" si="163"/>
        <v>0</v>
      </c>
      <c r="V438" s="25">
        <f t="shared" si="163"/>
        <v>0</v>
      </c>
      <c r="W438" s="25">
        <f t="shared" si="163"/>
        <v>0</v>
      </c>
      <c r="X438" s="26">
        <f t="shared" si="160"/>
        <v>0</v>
      </c>
      <c r="Y438" s="27"/>
    </row>
    <row r="439" spans="1:25">
      <c r="A439" s="8" t="s">
        <v>222</v>
      </c>
      <c r="B439" s="29"/>
      <c r="C439" s="30"/>
      <c r="D439" s="30"/>
      <c r="E439" s="30"/>
      <c r="F439" s="30"/>
      <c r="G439" s="32">
        <v>8</v>
      </c>
      <c r="H439" s="32"/>
      <c r="I439" s="32"/>
      <c r="J439" s="32"/>
      <c r="K439" s="34">
        <f t="shared" si="162"/>
        <v>8</v>
      </c>
      <c r="L439" s="19">
        <v>42726</v>
      </c>
      <c r="N439" s="20"/>
      <c r="O439" s="29"/>
      <c r="P439" s="30"/>
      <c r="Q439" s="30"/>
      <c r="R439" s="30"/>
      <c r="S439" s="30"/>
      <c r="T439" s="32"/>
      <c r="U439" s="32"/>
      <c r="V439" s="32"/>
      <c r="W439" s="32"/>
      <c r="X439" s="34">
        <f t="shared" si="160"/>
        <v>0</v>
      </c>
      <c r="Y439" s="22"/>
    </row>
    <row r="440" spans="1:25">
      <c r="A440" s="8" t="s">
        <v>223</v>
      </c>
      <c r="B440" s="29"/>
      <c r="C440" s="30"/>
      <c r="D440" s="30"/>
      <c r="E440" s="30"/>
      <c r="F440" s="30"/>
      <c r="G440" s="32"/>
      <c r="H440" s="32">
        <v>1</v>
      </c>
      <c r="I440" s="32"/>
      <c r="J440" s="32"/>
      <c r="K440" s="34">
        <f t="shared" si="162"/>
        <v>1</v>
      </c>
      <c r="L440" s="22">
        <v>42727</v>
      </c>
      <c r="N440" s="28"/>
      <c r="O440" s="67"/>
      <c r="P440" s="35"/>
      <c r="Q440" s="35"/>
      <c r="R440" s="35"/>
      <c r="S440" s="35"/>
      <c r="T440" s="35"/>
      <c r="U440" s="35"/>
      <c r="V440" s="35"/>
      <c r="W440" s="68"/>
      <c r="X440" s="13">
        <f>SUM(O440:W440)</f>
        <v>0</v>
      </c>
      <c r="Y440" s="19"/>
    </row>
    <row r="441" spans="1:25">
      <c r="A441" s="8" t="s">
        <v>24</v>
      </c>
      <c r="B441" s="29"/>
      <c r="C441" s="30"/>
      <c r="D441" s="30"/>
      <c r="E441" s="30"/>
      <c r="F441" s="30"/>
      <c r="G441" s="32"/>
      <c r="H441" s="32">
        <v>1</v>
      </c>
      <c r="I441" s="32"/>
      <c r="J441" s="32"/>
      <c r="K441" s="34">
        <f t="shared" si="162"/>
        <v>1</v>
      </c>
      <c r="L441" s="22">
        <v>42731</v>
      </c>
      <c r="N441" s="20"/>
      <c r="O441" s="29"/>
      <c r="P441" s="30"/>
      <c r="Q441" s="30"/>
      <c r="R441" s="30"/>
      <c r="S441" s="30"/>
      <c r="T441" s="32"/>
      <c r="U441" s="32"/>
      <c r="V441" s="32"/>
      <c r="W441" s="32"/>
      <c r="X441" s="34">
        <f t="shared" ref="X441:X458" si="164">SUM(O441:W441)</f>
        <v>0</v>
      </c>
      <c r="Y441" s="22"/>
    </row>
    <row r="442" spans="1:25">
      <c r="A442" s="8" t="s">
        <v>224</v>
      </c>
      <c r="B442" s="29"/>
      <c r="C442" s="30"/>
      <c r="D442" s="30"/>
      <c r="E442" s="30"/>
      <c r="F442" s="30"/>
      <c r="G442" s="32"/>
      <c r="H442" s="32">
        <v>1</v>
      </c>
      <c r="I442" s="32"/>
      <c r="J442" s="32"/>
      <c r="K442" s="34">
        <f t="shared" si="162"/>
        <v>1</v>
      </c>
      <c r="L442" s="22">
        <v>42732</v>
      </c>
      <c r="N442" s="28"/>
      <c r="O442" s="29"/>
      <c r="P442" s="30"/>
      <c r="Q442" s="30"/>
      <c r="R442" s="30"/>
      <c r="S442" s="30"/>
      <c r="T442" s="32"/>
      <c r="U442" s="33"/>
      <c r="V442" s="32"/>
      <c r="W442" s="32"/>
      <c r="X442" s="34">
        <f t="shared" si="164"/>
        <v>0</v>
      </c>
      <c r="Y442" s="22"/>
    </row>
    <row r="443" spans="1:25">
      <c r="A443" s="8" t="s">
        <v>24</v>
      </c>
      <c r="B443" s="29"/>
      <c r="C443" s="30"/>
      <c r="D443" s="30"/>
      <c r="E443" s="30"/>
      <c r="F443" s="30"/>
      <c r="G443" s="32"/>
      <c r="H443" s="33">
        <v>2</v>
      </c>
      <c r="I443" s="32"/>
      <c r="J443" s="32"/>
      <c r="K443" s="34">
        <f t="shared" si="162"/>
        <v>2</v>
      </c>
      <c r="L443" s="22">
        <v>42741</v>
      </c>
      <c r="N443" s="20"/>
      <c r="O443" s="29"/>
      <c r="P443" s="30"/>
      <c r="Q443" s="30"/>
      <c r="R443" s="30"/>
      <c r="S443" s="30"/>
      <c r="T443" s="32"/>
      <c r="U443" s="32"/>
      <c r="V443" s="32"/>
      <c r="W443" s="32"/>
      <c r="X443" s="34">
        <f t="shared" si="164"/>
        <v>0</v>
      </c>
      <c r="Y443" s="22"/>
    </row>
    <row r="444" spans="1:25">
      <c r="A444" s="20" t="s">
        <v>225</v>
      </c>
      <c r="B444" s="29"/>
      <c r="C444" s="30"/>
      <c r="D444" s="30"/>
      <c r="E444" s="30">
        <v>2</v>
      </c>
      <c r="F444" s="30"/>
      <c r="G444" s="32"/>
      <c r="H444" s="33"/>
      <c r="I444" s="33"/>
      <c r="J444" s="33"/>
      <c r="K444" s="34">
        <f t="shared" si="162"/>
        <v>2</v>
      </c>
      <c r="L444" s="22">
        <v>42740</v>
      </c>
      <c r="N444" s="20"/>
      <c r="O444" s="29"/>
      <c r="P444" s="30"/>
      <c r="Q444" s="30"/>
      <c r="R444" s="30"/>
      <c r="S444" s="30"/>
      <c r="T444" s="32"/>
      <c r="U444" s="32"/>
      <c r="V444" s="32"/>
      <c r="W444" s="32"/>
      <c r="X444" s="34">
        <f t="shared" si="164"/>
        <v>0</v>
      </c>
      <c r="Y444" s="22"/>
    </row>
    <row r="445" spans="1:25">
      <c r="A445" s="20" t="s">
        <v>27</v>
      </c>
      <c r="B445" s="29"/>
      <c r="C445" s="30">
        <v>1</v>
      </c>
      <c r="D445" s="30"/>
      <c r="E445" s="31"/>
      <c r="F445" s="31"/>
      <c r="G445" s="32"/>
      <c r="H445" s="33"/>
      <c r="I445" s="33"/>
      <c r="J445" s="33"/>
      <c r="K445" s="34">
        <f t="shared" si="162"/>
        <v>1</v>
      </c>
      <c r="L445" s="22">
        <v>42751</v>
      </c>
      <c r="N445" s="28"/>
      <c r="O445" s="29"/>
      <c r="P445" s="30"/>
      <c r="Q445" s="30"/>
      <c r="R445" s="31"/>
      <c r="S445" s="31"/>
      <c r="T445" s="32"/>
      <c r="U445" s="33"/>
      <c r="V445" s="33"/>
      <c r="W445" s="33"/>
      <c r="X445" s="34">
        <f t="shared" si="164"/>
        <v>0</v>
      </c>
      <c r="Y445" s="22"/>
    </row>
    <row r="446" spans="1:25">
      <c r="A446" s="20" t="s">
        <v>27</v>
      </c>
      <c r="B446" s="35"/>
      <c r="C446" s="31"/>
      <c r="D446" s="31"/>
      <c r="E446" s="31"/>
      <c r="F446" s="31">
        <v>1</v>
      </c>
      <c r="G446" s="33"/>
      <c r="H446" s="33"/>
      <c r="I446" s="33"/>
      <c r="J446" s="33"/>
      <c r="K446" s="34">
        <f t="shared" si="162"/>
        <v>1</v>
      </c>
      <c r="L446" s="22">
        <v>42772</v>
      </c>
      <c r="N446" s="28"/>
      <c r="O446" s="35"/>
      <c r="P446" s="31"/>
      <c r="Q446" s="31"/>
      <c r="R446" s="31"/>
      <c r="S446" s="31"/>
      <c r="T446" s="33"/>
      <c r="U446" s="33"/>
      <c r="V446" s="33"/>
      <c r="W446" s="33"/>
      <c r="X446" s="34">
        <f t="shared" si="164"/>
        <v>0</v>
      </c>
      <c r="Y446" s="22"/>
    </row>
    <row r="447" spans="1:25">
      <c r="A447" s="20" t="s">
        <v>97</v>
      </c>
      <c r="B447" s="35"/>
      <c r="C447" s="31"/>
      <c r="D447" s="31"/>
      <c r="E447" s="31"/>
      <c r="F447" s="31"/>
      <c r="G447" s="33"/>
      <c r="H447" s="33">
        <v>1</v>
      </c>
      <c r="I447" s="33"/>
      <c r="J447" s="33"/>
      <c r="K447" s="34">
        <f t="shared" si="162"/>
        <v>1</v>
      </c>
      <c r="L447" s="22">
        <v>42776</v>
      </c>
      <c r="N447" s="28"/>
      <c r="O447" s="35"/>
      <c r="P447" s="31"/>
      <c r="Q447" s="31"/>
      <c r="R447" s="31"/>
      <c r="S447" s="31"/>
      <c r="T447" s="33"/>
      <c r="U447" s="33"/>
      <c r="V447" s="33"/>
      <c r="W447" s="33"/>
      <c r="X447" s="34">
        <f t="shared" si="164"/>
        <v>0</v>
      </c>
      <c r="Y447" s="22"/>
    </row>
    <row r="448" spans="1:25">
      <c r="A448" s="20" t="s">
        <v>27</v>
      </c>
      <c r="B448" s="35">
        <v>1</v>
      </c>
      <c r="C448" s="31"/>
      <c r="D448" s="31"/>
      <c r="E448" s="31"/>
      <c r="F448" s="31"/>
      <c r="G448" s="33"/>
      <c r="H448" s="33"/>
      <c r="I448" s="33"/>
      <c r="J448" s="33"/>
      <c r="K448" s="34">
        <f t="shared" si="162"/>
        <v>1</v>
      </c>
      <c r="L448" s="22">
        <v>42780</v>
      </c>
      <c r="N448" s="28"/>
      <c r="O448" s="35"/>
      <c r="P448" s="31"/>
      <c r="Q448" s="31"/>
      <c r="R448" s="31"/>
      <c r="S448" s="31"/>
      <c r="T448" s="33"/>
      <c r="U448" s="33"/>
      <c r="V448" s="33"/>
      <c r="W448" s="33"/>
      <c r="X448" s="34">
        <f t="shared" si="164"/>
        <v>0</v>
      </c>
      <c r="Y448" s="22"/>
    </row>
    <row r="449" spans="1:25">
      <c r="A449" s="20" t="s">
        <v>27</v>
      </c>
      <c r="B449" s="29"/>
      <c r="C449" s="30"/>
      <c r="D449" s="30"/>
      <c r="E449" s="30"/>
      <c r="F449" s="30"/>
      <c r="G449" s="32"/>
      <c r="H449" s="32"/>
      <c r="I449" s="32"/>
      <c r="J449" s="32">
        <v>1</v>
      </c>
      <c r="K449" s="34">
        <f t="shared" si="162"/>
        <v>1</v>
      </c>
      <c r="L449" s="22">
        <v>42788</v>
      </c>
      <c r="N449" s="28"/>
      <c r="O449" s="29"/>
      <c r="P449" s="30"/>
      <c r="Q449" s="30"/>
      <c r="R449" s="30"/>
      <c r="S449" s="30"/>
      <c r="T449" s="32"/>
      <c r="U449" s="32"/>
      <c r="V449" s="32"/>
      <c r="W449" s="32"/>
      <c r="X449" s="34">
        <f t="shared" si="164"/>
        <v>0</v>
      </c>
      <c r="Y449" s="22"/>
    </row>
    <row r="450" spans="1:25">
      <c r="A450" s="20" t="s">
        <v>27</v>
      </c>
      <c r="B450" s="35">
        <v>1</v>
      </c>
      <c r="C450" s="31">
        <v>1</v>
      </c>
      <c r="D450" s="31"/>
      <c r="E450" s="31"/>
      <c r="F450" s="31"/>
      <c r="G450" s="33"/>
      <c r="H450" s="33"/>
      <c r="I450" s="33"/>
      <c r="J450" s="33"/>
      <c r="K450" s="34">
        <f t="shared" si="162"/>
        <v>2</v>
      </c>
      <c r="L450" s="22">
        <v>42819</v>
      </c>
      <c r="N450" s="28"/>
      <c r="O450" s="35"/>
      <c r="P450" s="31"/>
      <c r="Q450" s="31"/>
      <c r="R450" s="31"/>
      <c r="S450" s="31"/>
      <c r="T450" s="33"/>
      <c r="U450" s="33"/>
      <c r="V450" s="33"/>
      <c r="W450" s="33"/>
      <c r="X450" s="34">
        <f t="shared" si="164"/>
        <v>0</v>
      </c>
      <c r="Y450" s="22"/>
    </row>
    <row r="451" spans="1:25">
      <c r="A451" s="20" t="s">
        <v>27</v>
      </c>
      <c r="B451" s="29"/>
      <c r="C451" s="30"/>
      <c r="D451" s="30">
        <v>2</v>
      </c>
      <c r="E451" s="30"/>
      <c r="F451" s="30"/>
      <c r="G451" s="32"/>
      <c r="H451" s="33"/>
      <c r="I451" s="33"/>
      <c r="J451" s="33"/>
      <c r="K451" s="34">
        <f t="shared" si="162"/>
        <v>2</v>
      </c>
      <c r="L451" s="22">
        <v>42865</v>
      </c>
      <c r="N451" s="28"/>
      <c r="O451" s="29"/>
      <c r="P451" s="30"/>
      <c r="Q451" s="30"/>
      <c r="R451" s="30"/>
      <c r="S451" s="30"/>
      <c r="T451" s="32"/>
      <c r="U451" s="33"/>
      <c r="V451" s="33"/>
      <c r="W451" s="33"/>
      <c r="X451" s="34">
        <f t="shared" si="164"/>
        <v>0</v>
      </c>
      <c r="Y451" s="22"/>
    </row>
    <row r="452" spans="1:25">
      <c r="A452" s="20" t="s">
        <v>27</v>
      </c>
      <c r="B452" s="29"/>
      <c r="C452" s="30"/>
      <c r="D452" s="30">
        <v>1</v>
      </c>
      <c r="E452" s="30"/>
      <c r="F452" s="30"/>
      <c r="G452" s="32"/>
      <c r="H452" s="32"/>
      <c r="I452" s="32"/>
      <c r="J452" s="32"/>
      <c r="K452" s="34">
        <f t="shared" si="162"/>
        <v>1</v>
      </c>
      <c r="L452" s="19">
        <v>42892</v>
      </c>
      <c r="N452" s="28"/>
      <c r="O452" s="35"/>
      <c r="P452" s="31"/>
      <c r="Q452" s="31"/>
      <c r="R452" s="31"/>
      <c r="S452" s="31"/>
      <c r="T452" s="33"/>
      <c r="U452" s="33"/>
      <c r="V452" s="33"/>
      <c r="W452" s="33"/>
      <c r="X452" s="34">
        <f t="shared" si="164"/>
        <v>0</v>
      </c>
      <c r="Y452" s="22"/>
    </row>
    <row r="453" spans="1:25">
      <c r="A453" s="20" t="s">
        <v>27</v>
      </c>
      <c r="B453" s="35"/>
      <c r="C453" s="31"/>
      <c r="D453" s="31"/>
      <c r="E453" s="31"/>
      <c r="F453" s="31"/>
      <c r="G453" s="33"/>
      <c r="H453" s="33">
        <v>1</v>
      </c>
      <c r="I453" s="33"/>
      <c r="J453" s="33">
        <v>1</v>
      </c>
      <c r="K453" s="34">
        <f t="shared" si="162"/>
        <v>2</v>
      </c>
      <c r="L453" s="22">
        <v>42899</v>
      </c>
      <c r="N453" s="28"/>
      <c r="O453" s="35"/>
      <c r="P453" s="31"/>
      <c r="Q453" s="31"/>
      <c r="R453" s="31"/>
      <c r="S453" s="31"/>
      <c r="T453" s="33"/>
      <c r="U453" s="33"/>
      <c r="V453" s="33"/>
      <c r="W453" s="33"/>
      <c r="X453" s="34">
        <f t="shared" si="164"/>
        <v>0</v>
      </c>
      <c r="Y453" s="22"/>
    </row>
    <row r="454" spans="1:25">
      <c r="A454" s="20" t="s">
        <v>27</v>
      </c>
      <c r="B454" s="29"/>
      <c r="C454" s="30"/>
      <c r="D454" s="30"/>
      <c r="E454" s="30"/>
      <c r="F454" s="30"/>
      <c r="G454" s="32"/>
      <c r="H454" s="32">
        <v>2</v>
      </c>
      <c r="I454" s="32"/>
      <c r="J454" s="32"/>
      <c r="K454" s="34">
        <f t="shared" si="162"/>
        <v>2</v>
      </c>
      <c r="L454" s="22">
        <v>42907</v>
      </c>
      <c r="N454" s="65"/>
      <c r="O454" s="29"/>
      <c r="P454" s="30"/>
      <c r="Q454" s="30"/>
      <c r="R454" s="30"/>
      <c r="S454" s="30"/>
      <c r="T454" s="32"/>
      <c r="U454" s="32"/>
      <c r="V454" s="32"/>
      <c r="W454" s="32"/>
      <c r="X454" s="34">
        <f t="shared" si="164"/>
        <v>0</v>
      </c>
      <c r="Y454" s="22"/>
    </row>
    <row r="455" spans="1:25">
      <c r="A455" s="20" t="s">
        <v>27</v>
      </c>
      <c r="B455" s="29"/>
      <c r="C455" s="30"/>
      <c r="D455" s="30">
        <v>1</v>
      </c>
      <c r="E455" s="30"/>
      <c r="F455" s="30"/>
      <c r="G455" s="32"/>
      <c r="H455" s="32"/>
      <c r="I455" s="32"/>
      <c r="J455" s="32"/>
      <c r="K455" s="34">
        <f t="shared" si="162"/>
        <v>1</v>
      </c>
      <c r="L455" s="19">
        <v>42908</v>
      </c>
      <c r="N455" s="28"/>
      <c r="O455" s="29"/>
      <c r="P455" s="30"/>
      <c r="Q455" s="30"/>
      <c r="R455" s="30"/>
      <c r="S455" s="30"/>
      <c r="T455" s="32"/>
      <c r="U455" s="32"/>
      <c r="V455" s="32"/>
      <c r="W455" s="32"/>
      <c r="X455" s="34">
        <f t="shared" si="164"/>
        <v>0</v>
      </c>
      <c r="Y455" s="19"/>
    </row>
    <row r="456" spans="1:25">
      <c r="A456" s="20" t="s">
        <v>27</v>
      </c>
      <c r="B456" s="29"/>
      <c r="C456" s="30"/>
      <c r="D456" s="30">
        <v>1</v>
      </c>
      <c r="E456" s="30"/>
      <c r="F456" s="30"/>
      <c r="G456" s="32"/>
      <c r="H456" s="32"/>
      <c r="I456" s="32"/>
      <c r="J456" s="32"/>
      <c r="K456" s="34">
        <f t="shared" si="162"/>
        <v>1</v>
      </c>
      <c r="L456" s="19">
        <v>42912</v>
      </c>
      <c r="N456" s="65"/>
      <c r="O456" s="29"/>
      <c r="P456" s="30"/>
      <c r="Q456" s="30"/>
      <c r="R456" s="30"/>
      <c r="S456" s="30"/>
      <c r="T456" s="32"/>
      <c r="U456" s="32"/>
      <c r="V456" s="32"/>
      <c r="W456" s="32"/>
      <c r="X456" s="34">
        <f t="shared" si="164"/>
        <v>0</v>
      </c>
      <c r="Y456" s="19"/>
    </row>
    <row r="457" spans="1:25">
      <c r="A457" s="20" t="s">
        <v>27</v>
      </c>
      <c r="B457" s="29"/>
      <c r="C457" s="30"/>
      <c r="D457" s="30">
        <v>1</v>
      </c>
      <c r="E457" s="30"/>
      <c r="F457" s="30"/>
      <c r="G457" s="32"/>
      <c r="H457" s="32"/>
      <c r="I457" s="32"/>
      <c r="J457" s="32"/>
      <c r="K457" s="34">
        <f t="shared" si="162"/>
        <v>1</v>
      </c>
      <c r="L457" s="19">
        <v>42915</v>
      </c>
      <c r="M457" s="74"/>
      <c r="N457" s="65"/>
      <c r="O457" s="29"/>
      <c r="P457" s="30"/>
      <c r="Q457" s="30"/>
      <c r="R457" s="30"/>
      <c r="S457" s="30"/>
      <c r="T457" s="32"/>
      <c r="U457" s="32"/>
      <c r="V457" s="32"/>
      <c r="W457" s="32"/>
      <c r="X457" s="34">
        <f t="shared" si="164"/>
        <v>0</v>
      </c>
      <c r="Y457" s="19"/>
    </row>
    <row r="458" spans="1:25" ht="14.25" thickBot="1">
      <c r="A458" s="20" t="s">
        <v>226</v>
      </c>
      <c r="B458" s="29"/>
      <c r="C458" s="30">
        <v>2</v>
      </c>
      <c r="D458" s="30">
        <v>1</v>
      </c>
      <c r="E458" s="31"/>
      <c r="F458" s="31"/>
      <c r="G458" s="32"/>
      <c r="H458" s="33"/>
      <c r="I458" s="33"/>
      <c r="J458" s="33"/>
      <c r="K458" s="34">
        <f t="shared" si="162"/>
        <v>3</v>
      </c>
      <c r="L458" s="36">
        <v>42919</v>
      </c>
      <c r="N458" s="20"/>
      <c r="O458" s="29"/>
      <c r="P458" s="30"/>
      <c r="Q458" s="30"/>
      <c r="R458" s="30"/>
      <c r="S458" s="30"/>
      <c r="T458" s="32"/>
      <c r="U458" s="32"/>
      <c r="V458" s="32"/>
      <c r="W458" s="32"/>
      <c r="X458" s="34">
        <f t="shared" si="164"/>
        <v>0</v>
      </c>
      <c r="Y458" s="22"/>
    </row>
    <row r="459" spans="1:25" ht="14.25" thickBot="1">
      <c r="A459" s="2" t="s">
        <v>19</v>
      </c>
      <c r="B459" s="23">
        <f t="shared" ref="B459:J459" si="165">SUM(B439:B458)</f>
        <v>2</v>
      </c>
      <c r="C459" s="24">
        <f t="shared" si="165"/>
        <v>4</v>
      </c>
      <c r="D459" s="24">
        <f t="shared" si="165"/>
        <v>7</v>
      </c>
      <c r="E459" s="24">
        <f t="shared" si="165"/>
        <v>2</v>
      </c>
      <c r="F459" s="24">
        <f t="shared" si="165"/>
        <v>1</v>
      </c>
      <c r="G459" s="25">
        <f t="shared" si="165"/>
        <v>8</v>
      </c>
      <c r="H459" s="25">
        <f t="shared" si="165"/>
        <v>9</v>
      </c>
      <c r="I459" s="25">
        <f t="shared" si="165"/>
        <v>0</v>
      </c>
      <c r="J459" s="25">
        <f t="shared" si="165"/>
        <v>2</v>
      </c>
      <c r="K459" s="37">
        <f>SUM(B459:J459)</f>
        <v>35</v>
      </c>
      <c r="L459" s="27"/>
      <c r="N459" s="2" t="s">
        <v>19</v>
      </c>
      <c r="O459" s="23">
        <f t="shared" ref="O459:W459" si="166">SUM(O439:O458)</f>
        <v>0</v>
      </c>
      <c r="P459" s="24">
        <f t="shared" si="166"/>
        <v>0</v>
      </c>
      <c r="Q459" s="24">
        <f t="shared" si="166"/>
        <v>0</v>
      </c>
      <c r="R459" s="24">
        <f t="shared" si="166"/>
        <v>0</v>
      </c>
      <c r="S459" s="24">
        <f t="shared" si="166"/>
        <v>0</v>
      </c>
      <c r="T459" s="25">
        <f t="shared" si="166"/>
        <v>0</v>
      </c>
      <c r="U459" s="25">
        <f t="shared" si="166"/>
        <v>0</v>
      </c>
      <c r="V459" s="25">
        <f t="shared" si="166"/>
        <v>0</v>
      </c>
      <c r="W459" s="25">
        <f t="shared" si="166"/>
        <v>0</v>
      </c>
      <c r="X459" s="37">
        <f>SUM(O459:W459)</f>
        <v>0</v>
      </c>
      <c r="Y459" s="27"/>
    </row>
    <row r="460" spans="1:25" ht="14.25" thickBot="1">
      <c r="A460" s="38" t="s">
        <v>17</v>
      </c>
      <c r="B460" s="39">
        <f>B438-B459</f>
        <v>21</v>
      </c>
      <c r="C460" s="39">
        <f t="shared" ref="C460:K460" si="167">C438-C459</f>
        <v>21</v>
      </c>
      <c r="D460" s="39">
        <f t="shared" si="167"/>
        <v>7</v>
      </c>
      <c r="E460" s="39">
        <f t="shared" si="167"/>
        <v>0</v>
      </c>
      <c r="F460" s="39">
        <f t="shared" si="167"/>
        <v>0</v>
      </c>
      <c r="G460" s="39">
        <f t="shared" si="167"/>
        <v>0</v>
      </c>
      <c r="H460" s="39">
        <f t="shared" si="167"/>
        <v>4</v>
      </c>
      <c r="I460" s="39">
        <f t="shared" si="167"/>
        <v>1</v>
      </c>
      <c r="J460" s="40">
        <f t="shared" si="167"/>
        <v>13</v>
      </c>
      <c r="K460" s="37">
        <f t="shared" si="167"/>
        <v>67</v>
      </c>
      <c r="L460" s="41"/>
      <c r="N460" s="38" t="s">
        <v>17</v>
      </c>
      <c r="O460" s="39">
        <f>O438-O459</f>
        <v>0</v>
      </c>
      <c r="P460" s="39">
        <f t="shared" ref="P460:X460" si="168">P438-P459</f>
        <v>0</v>
      </c>
      <c r="Q460" s="39">
        <f t="shared" si="168"/>
        <v>0</v>
      </c>
      <c r="R460" s="39">
        <f t="shared" si="168"/>
        <v>0</v>
      </c>
      <c r="S460" s="39">
        <f t="shared" si="168"/>
        <v>0</v>
      </c>
      <c r="T460" s="39">
        <f t="shared" si="168"/>
        <v>0</v>
      </c>
      <c r="U460" s="39">
        <f t="shared" si="168"/>
        <v>0</v>
      </c>
      <c r="V460" s="39">
        <f t="shared" si="168"/>
        <v>0</v>
      </c>
      <c r="W460" s="40">
        <f t="shared" si="168"/>
        <v>0</v>
      </c>
      <c r="X460" s="37">
        <f t="shared" si="168"/>
        <v>0</v>
      </c>
      <c r="Y460" s="41"/>
    </row>
    <row r="461" spans="1:25">
      <c r="A461" s="82"/>
    </row>
    <row r="462" spans="1:25">
      <c r="A462" s="82"/>
      <c r="B462" s="81"/>
      <c r="C462" s="81"/>
      <c r="D462" s="81"/>
      <c r="E462" s="81"/>
      <c r="F462" s="81"/>
      <c r="G462" s="81"/>
      <c r="H462" s="81"/>
      <c r="I462" s="81"/>
      <c r="J462" s="81"/>
      <c r="K462" s="81"/>
    </row>
    <row r="463" spans="1:25" ht="19.5" thickBot="1">
      <c r="A463" s="1" t="s">
        <v>22</v>
      </c>
      <c r="N463" s="1" t="s">
        <v>21</v>
      </c>
    </row>
    <row r="464" spans="1:25" ht="19.5" thickBot="1">
      <c r="A464" s="2" t="s">
        <v>0</v>
      </c>
      <c r="B464" s="163" t="s">
        <v>20</v>
      </c>
      <c r="C464" s="164"/>
      <c r="D464" s="164"/>
      <c r="E464" s="164"/>
      <c r="F464" s="164"/>
      <c r="G464" s="164"/>
      <c r="H464" s="165"/>
      <c r="I464" s="165"/>
      <c r="J464" s="165"/>
      <c r="K464" s="166"/>
      <c r="L464" s="161" t="s">
        <v>1</v>
      </c>
      <c r="N464" s="2" t="s">
        <v>0</v>
      </c>
      <c r="O464" s="163" t="s">
        <v>20</v>
      </c>
      <c r="P464" s="164"/>
      <c r="Q464" s="164"/>
      <c r="R464" s="164"/>
      <c r="S464" s="164"/>
      <c r="T464" s="164"/>
      <c r="U464" s="165"/>
      <c r="V464" s="165"/>
      <c r="W464" s="165"/>
      <c r="X464" s="166"/>
      <c r="Y464" s="161" t="s">
        <v>1</v>
      </c>
    </row>
    <row r="465" spans="1:25" ht="14.25" thickBot="1">
      <c r="A465" s="2" t="s">
        <v>2</v>
      </c>
      <c r="B465" s="3" t="s">
        <v>3</v>
      </c>
      <c r="C465" s="4" t="s">
        <v>4</v>
      </c>
      <c r="D465" s="4" t="s">
        <v>5</v>
      </c>
      <c r="E465" s="4" t="s">
        <v>6</v>
      </c>
      <c r="F465" s="4" t="s">
        <v>7</v>
      </c>
      <c r="G465" s="5" t="s">
        <v>8</v>
      </c>
      <c r="H465" s="4" t="s">
        <v>9</v>
      </c>
      <c r="I465" s="6" t="s">
        <v>10</v>
      </c>
      <c r="J465" s="5" t="s">
        <v>11</v>
      </c>
      <c r="K465" s="7" t="s">
        <v>12</v>
      </c>
      <c r="L465" s="167"/>
      <c r="N465" s="2" t="s">
        <v>2</v>
      </c>
      <c r="O465" s="3" t="s">
        <v>3</v>
      </c>
      <c r="P465" s="4" t="s">
        <v>4</v>
      </c>
      <c r="Q465" s="4" t="s">
        <v>5</v>
      </c>
      <c r="R465" s="4" t="s">
        <v>6</v>
      </c>
      <c r="S465" s="4" t="s">
        <v>7</v>
      </c>
      <c r="T465" s="5" t="s">
        <v>8</v>
      </c>
      <c r="U465" s="4" t="s">
        <v>9</v>
      </c>
      <c r="V465" s="6" t="s">
        <v>10</v>
      </c>
      <c r="W465" s="5" t="s">
        <v>11</v>
      </c>
      <c r="X465" s="7" t="s">
        <v>12</v>
      </c>
      <c r="Y465" s="162"/>
    </row>
    <row r="466" spans="1:25">
      <c r="A466" s="52" t="s">
        <v>17</v>
      </c>
      <c r="B466" s="55">
        <f>B460</f>
        <v>21</v>
      </c>
      <c r="C466" s="56">
        <f>C460</f>
        <v>21</v>
      </c>
      <c r="D466" s="56">
        <f t="shared" ref="D466:J466" si="169">D460</f>
        <v>7</v>
      </c>
      <c r="E466" s="56">
        <f t="shared" si="169"/>
        <v>0</v>
      </c>
      <c r="F466" s="56">
        <f t="shared" si="169"/>
        <v>0</v>
      </c>
      <c r="G466" s="56">
        <f t="shared" si="169"/>
        <v>0</v>
      </c>
      <c r="H466" s="56">
        <f t="shared" si="169"/>
        <v>4</v>
      </c>
      <c r="I466" s="56">
        <f t="shared" si="169"/>
        <v>1</v>
      </c>
      <c r="J466" s="56">
        <f t="shared" si="169"/>
        <v>13</v>
      </c>
      <c r="K466" s="83">
        <f t="shared" ref="K466:K468" si="170">SUM(B466:J466)</f>
        <v>67</v>
      </c>
      <c r="L466" s="86"/>
      <c r="N466" s="52" t="s">
        <v>17</v>
      </c>
      <c r="O466" s="55">
        <f t="shared" ref="O466:W466" si="171">O460</f>
        <v>0</v>
      </c>
      <c r="P466" s="56">
        <f t="shared" si="171"/>
        <v>0</v>
      </c>
      <c r="Q466" s="56">
        <f t="shared" si="171"/>
        <v>0</v>
      </c>
      <c r="R466" s="56">
        <f t="shared" si="171"/>
        <v>0</v>
      </c>
      <c r="S466" s="56">
        <f t="shared" si="171"/>
        <v>0</v>
      </c>
      <c r="T466" s="56">
        <f t="shared" si="171"/>
        <v>0</v>
      </c>
      <c r="U466" s="56">
        <f t="shared" si="171"/>
        <v>0</v>
      </c>
      <c r="V466" s="56">
        <f t="shared" si="171"/>
        <v>0</v>
      </c>
      <c r="W466" s="56">
        <f t="shared" si="171"/>
        <v>0</v>
      </c>
      <c r="X466" s="53">
        <f t="shared" ref="X466:X472" si="172">SUM(O466:W466)</f>
        <v>0</v>
      </c>
      <c r="Y466" s="54"/>
    </row>
    <row r="467" spans="1:25">
      <c r="A467" s="8" t="s">
        <v>118</v>
      </c>
      <c r="B467" s="9">
        <v>5</v>
      </c>
      <c r="C467" s="10">
        <v>4</v>
      </c>
      <c r="D467" s="10">
        <v>3</v>
      </c>
      <c r="E467" s="10">
        <v>5</v>
      </c>
      <c r="F467" s="10"/>
      <c r="G467" s="11">
        <v>1</v>
      </c>
      <c r="H467" s="11">
        <v>6</v>
      </c>
      <c r="I467" s="11">
        <v>6</v>
      </c>
      <c r="J467" s="11">
        <v>8</v>
      </c>
      <c r="K467" s="84">
        <f t="shared" si="170"/>
        <v>38</v>
      </c>
      <c r="L467" s="87">
        <v>43039</v>
      </c>
      <c r="N467" s="8" t="s">
        <v>14</v>
      </c>
      <c r="O467" s="9"/>
      <c r="P467" s="10"/>
      <c r="Q467" s="10"/>
      <c r="R467" s="10"/>
      <c r="S467" s="10"/>
      <c r="T467" s="11"/>
      <c r="U467" s="11"/>
      <c r="V467" s="11"/>
      <c r="W467" s="11"/>
      <c r="X467" s="13">
        <f t="shared" si="172"/>
        <v>0</v>
      </c>
      <c r="Y467" s="12"/>
    </row>
    <row r="468" spans="1:25">
      <c r="A468" s="8" t="s">
        <v>221</v>
      </c>
      <c r="B468" s="9"/>
      <c r="C468" s="10"/>
      <c r="D468" s="10"/>
      <c r="E468" s="10"/>
      <c r="F468" s="10"/>
      <c r="G468" s="11"/>
      <c r="H468" s="11"/>
      <c r="I468" s="11"/>
      <c r="J468" s="21"/>
      <c r="K468" s="84">
        <f t="shared" si="170"/>
        <v>0</v>
      </c>
      <c r="L468" s="87"/>
      <c r="N468" s="8" t="s">
        <v>15</v>
      </c>
      <c r="O468" s="15"/>
      <c r="P468" s="16"/>
      <c r="Q468" s="16"/>
      <c r="R468" s="16"/>
      <c r="S468" s="16"/>
      <c r="T468" s="17"/>
      <c r="U468" s="17"/>
      <c r="V468" s="17"/>
      <c r="W468" s="17"/>
      <c r="X468" s="18">
        <f t="shared" si="172"/>
        <v>0</v>
      </c>
      <c r="Y468" s="19"/>
    </row>
    <row r="469" spans="1:25">
      <c r="A469" s="8" t="s">
        <v>221</v>
      </c>
      <c r="B469" s="67"/>
      <c r="C469" s="35"/>
      <c r="D469" s="35"/>
      <c r="E469" s="35"/>
      <c r="F469" s="35"/>
      <c r="G469" s="35"/>
      <c r="H469" s="35"/>
      <c r="I469" s="35"/>
      <c r="J469" s="68"/>
      <c r="K469" s="85">
        <f>SUM(B469:J469)</f>
        <v>0</v>
      </c>
      <c r="L469" s="87"/>
      <c r="N469" s="8" t="s">
        <v>16</v>
      </c>
      <c r="O469" s="9"/>
      <c r="P469" s="10"/>
      <c r="Q469" s="10"/>
      <c r="R469" s="10"/>
      <c r="S469" s="10"/>
      <c r="T469" s="10"/>
      <c r="U469" s="10"/>
      <c r="V469" s="10"/>
      <c r="W469" s="21"/>
      <c r="X469" s="18">
        <f t="shared" si="172"/>
        <v>0</v>
      </c>
      <c r="Y469" s="22"/>
    </row>
    <row r="470" spans="1:25" ht="14.25" thickBot="1">
      <c r="A470" s="8" t="s">
        <v>221</v>
      </c>
      <c r="B470" s="70"/>
      <c r="C470" s="71"/>
      <c r="D470" s="71"/>
      <c r="E470" s="71"/>
      <c r="F470" s="71"/>
      <c r="G470" s="71"/>
      <c r="H470" s="71"/>
      <c r="I470" s="71"/>
      <c r="J470" s="72"/>
      <c r="K470" s="88">
        <f>SUM(B470:J470)</f>
        <v>0</v>
      </c>
      <c r="L470" s="36"/>
      <c r="M470" s="74"/>
      <c r="N470" s="8" t="s">
        <v>23</v>
      </c>
      <c r="O470" s="42"/>
      <c r="P470" s="43"/>
      <c r="Q470" s="43"/>
      <c r="R470" s="43"/>
      <c r="S470" s="43"/>
      <c r="T470" s="43"/>
      <c r="U470" s="43"/>
      <c r="V470" s="43"/>
      <c r="W470" s="44"/>
      <c r="X470" s="45">
        <f t="shared" si="172"/>
        <v>0</v>
      </c>
      <c r="Y470" s="19"/>
    </row>
    <row r="471" spans="1:25" ht="14.25" thickBot="1">
      <c r="A471" s="76" t="s">
        <v>18</v>
      </c>
      <c r="B471" s="77">
        <f>SUM(B466:B470)</f>
        <v>26</v>
      </c>
      <c r="C471" s="78">
        <f t="shared" ref="C471:J471" si="173">SUM(C466:C470)</f>
        <v>25</v>
      </c>
      <c r="D471" s="78">
        <f t="shared" si="173"/>
        <v>10</v>
      </c>
      <c r="E471" s="78">
        <f t="shared" si="173"/>
        <v>5</v>
      </c>
      <c r="F471" s="78">
        <f t="shared" si="173"/>
        <v>0</v>
      </c>
      <c r="G471" s="79">
        <f t="shared" si="173"/>
        <v>1</v>
      </c>
      <c r="H471" s="79">
        <f t="shared" si="173"/>
        <v>10</v>
      </c>
      <c r="I471" s="79">
        <f t="shared" si="173"/>
        <v>7</v>
      </c>
      <c r="J471" s="79">
        <f t="shared" si="173"/>
        <v>21</v>
      </c>
      <c r="K471" s="26">
        <f t="shared" ref="K471:K491" si="174">SUM(B471:J471)</f>
        <v>105</v>
      </c>
      <c r="L471" s="41"/>
      <c r="N471" s="2" t="s">
        <v>18</v>
      </c>
      <c r="O471" s="23">
        <f t="shared" ref="O471:W471" si="175">SUM(O466:O470)</f>
        <v>0</v>
      </c>
      <c r="P471" s="24">
        <f t="shared" si="175"/>
        <v>0</v>
      </c>
      <c r="Q471" s="24">
        <f t="shared" si="175"/>
        <v>0</v>
      </c>
      <c r="R471" s="24">
        <f t="shared" si="175"/>
        <v>0</v>
      </c>
      <c r="S471" s="24">
        <f t="shared" si="175"/>
        <v>0</v>
      </c>
      <c r="T471" s="25">
        <f t="shared" si="175"/>
        <v>0</v>
      </c>
      <c r="U471" s="25">
        <f t="shared" si="175"/>
        <v>0</v>
      </c>
      <c r="V471" s="25">
        <f t="shared" si="175"/>
        <v>0</v>
      </c>
      <c r="W471" s="25">
        <f t="shared" si="175"/>
        <v>0</v>
      </c>
      <c r="X471" s="26">
        <f t="shared" si="172"/>
        <v>0</v>
      </c>
      <c r="Y471" s="27"/>
    </row>
    <row r="472" spans="1:25">
      <c r="A472" s="8" t="s">
        <v>227</v>
      </c>
      <c r="B472" s="29"/>
      <c r="C472" s="30"/>
      <c r="D472" s="30"/>
      <c r="E472" s="30"/>
      <c r="F472" s="30"/>
      <c r="G472" s="32"/>
      <c r="H472" s="32"/>
      <c r="I472" s="32"/>
      <c r="J472" s="32">
        <v>1</v>
      </c>
      <c r="K472" s="34">
        <f t="shared" si="174"/>
        <v>1</v>
      </c>
      <c r="L472" s="19">
        <v>42926</v>
      </c>
      <c r="N472" s="20"/>
      <c r="O472" s="29"/>
      <c r="P472" s="30"/>
      <c r="Q472" s="30"/>
      <c r="R472" s="30"/>
      <c r="S472" s="30"/>
      <c r="T472" s="32"/>
      <c r="U472" s="32"/>
      <c r="V472" s="32"/>
      <c r="W472" s="32"/>
      <c r="X472" s="34">
        <f t="shared" si="172"/>
        <v>0</v>
      </c>
      <c r="Y472" s="22"/>
    </row>
    <row r="473" spans="1:25">
      <c r="A473" s="8" t="s">
        <v>227</v>
      </c>
      <c r="B473" s="29"/>
      <c r="C473" s="30"/>
      <c r="D473" s="30">
        <v>1</v>
      </c>
      <c r="E473" s="30"/>
      <c r="F473" s="30"/>
      <c r="G473" s="32"/>
      <c r="H473" s="32"/>
      <c r="I473" s="32"/>
      <c r="J473" s="32"/>
      <c r="K473" s="34">
        <f t="shared" si="174"/>
        <v>1</v>
      </c>
      <c r="L473" s="22">
        <v>42929</v>
      </c>
      <c r="N473" s="28"/>
      <c r="O473" s="67"/>
      <c r="P473" s="35"/>
      <c r="Q473" s="35"/>
      <c r="R473" s="35"/>
      <c r="S473" s="35"/>
      <c r="T473" s="35"/>
      <c r="U473" s="35"/>
      <c r="V473" s="35"/>
      <c r="W473" s="68"/>
      <c r="X473" s="13">
        <f>SUM(O473:W473)</f>
        <v>0</v>
      </c>
      <c r="Y473" s="19"/>
    </row>
    <row r="474" spans="1:25">
      <c r="A474" s="8" t="s">
        <v>227</v>
      </c>
      <c r="B474" s="29"/>
      <c r="C474" s="30"/>
      <c r="D474" s="30">
        <v>1</v>
      </c>
      <c r="E474" s="30"/>
      <c r="F474" s="30"/>
      <c r="G474" s="32"/>
      <c r="H474" s="32"/>
      <c r="I474" s="32"/>
      <c r="J474" s="32"/>
      <c r="K474" s="34">
        <f t="shared" si="174"/>
        <v>1</v>
      </c>
      <c r="L474" s="22">
        <v>42947</v>
      </c>
      <c r="N474" s="20"/>
      <c r="O474" s="29"/>
      <c r="P474" s="30"/>
      <c r="Q474" s="30"/>
      <c r="R474" s="30"/>
      <c r="S474" s="30"/>
      <c r="T474" s="32"/>
      <c r="U474" s="32"/>
      <c r="V474" s="32"/>
      <c r="W474" s="32"/>
      <c r="X474" s="34">
        <f t="shared" ref="X474:X491" si="176">SUM(O474:W474)</f>
        <v>0</v>
      </c>
      <c r="Y474" s="22"/>
    </row>
    <row r="475" spans="1:25">
      <c r="A475" s="8" t="s">
        <v>27</v>
      </c>
      <c r="B475" s="29"/>
      <c r="C475" s="30"/>
      <c r="D475" s="30"/>
      <c r="E475" s="30"/>
      <c r="F475" s="30"/>
      <c r="G475" s="32"/>
      <c r="H475" s="32"/>
      <c r="I475" s="32"/>
      <c r="J475" s="32">
        <v>1</v>
      </c>
      <c r="K475" s="34">
        <f t="shared" si="174"/>
        <v>1</v>
      </c>
      <c r="L475" s="22">
        <v>42956</v>
      </c>
      <c r="N475" s="28"/>
      <c r="O475" s="29"/>
      <c r="P475" s="30"/>
      <c r="Q475" s="30"/>
      <c r="R475" s="30"/>
      <c r="S475" s="30"/>
      <c r="T475" s="32"/>
      <c r="U475" s="33"/>
      <c r="V475" s="32"/>
      <c r="W475" s="32"/>
      <c r="X475" s="34">
        <f t="shared" si="176"/>
        <v>0</v>
      </c>
      <c r="Y475" s="22"/>
    </row>
    <row r="476" spans="1:25">
      <c r="A476" s="8" t="s">
        <v>27</v>
      </c>
      <c r="B476" s="29">
        <v>1</v>
      </c>
      <c r="C476" s="30"/>
      <c r="D476" s="30"/>
      <c r="E476" s="30"/>
      <c r="F476" s="30"/>
      <c r="G476" s="32"/>
      <c r="H476" s="33"/>
      <c r="I476" s="32"/>
      <c r="J476" s="32">
        <v>1</v>
      </c>
      <c r="K476" s="34">
        <f t="shared" si="174"/>
        <v>2</v>
      </c>
      <c r="L476" s="22">
        <v>42961</v>
      </c>
      <c r="N476" s="20"/>
      <c r="O476" s="29"/>
      <c r="P476" s="30"/>
      <c r="Q476" s="30"/>
      <c r="R476" s="30"/>
      <c r="S476" s="30"/>
      <c r="T476" s="32"/>
      <c r="U476" s="32"/>
      <c r="V476" s="32"/>
      <c r="W476" s="32"/>
      <c r="X476" s="34">
        <f t="shared" si="176"/>
        <v>0</v>
      </c>
      <c r="Y476" s="22"/>
    </row>
    <row r="477" spans="1:25">
      <c r="A477" s="8" t="s">
        <v>27</v>
      </c>
      <c r="B477" s="29">
        <v>1</v>
      </c>
      <c r="C477" s="30">
        <v>1</v>
      </c>
      <c r="D477" s="30"/>
      <c r="E477" s="30"/>
      <c r="F477" s="30"/>
      <c r="G477" s="32"/>
      <c r="H477" s="33"/>
      <c r="I477" s="33"/>
      <c r="J477" s="33"/>
      <c r="K477" s="34">
        <f t="shared" si="174"/>
        <v>2</v>
      </c>
      <c r="L477" s="22">
        <v>42957</v>
      </c>
      <c r="N477" s="20"/>
      <c r="O477" s="29"/>
      <c r="P477" s="30"/>
      <c r="Q477" s="30"/>
      <c r="R477" s="30"/>
      <c r="S477" s="30"/>
      <c r="T477" s="32"/>
      <c r="U477" s="32"/>
      <c r="V477" s="32"/>
      <c r="W477" s="32"/>
      <c r="X477" s="34">
        <f t="shared" si="176"/>
        <v>0</v>
      </c>
      <c r="Y477" s="22"/>
    </row>
    <row r="478" spans="1:25">
      <c r="A478" s="8" t="s">
        <v>27</v>
      </c>
      <c r="B478" s="29"/>
      <c r="C478" s="30"/>
      <c r="D478" s="30"/>
      <c r="E478" s="31"/>
      <c r="F478" s="31"/>
      <c r="G478" s="32"/>
      <c r="H478" s="33"/>
      <c r="I478" s="33"/>
      <c r="J478" s="33">
        <v>2</v>
      </c>
      <c r="K478" s="34">
        <f t="shared" si="174"/>
        <v>2</v>
      </c>
      <c r="L478" s="22">
        <v>42968</v>
      </c>
      <c r="N478" s="28"/>
      <c r="O478" s="29"/>
      <c r="P478" s="30"/>
      <c r="Q478" s="30"/>
      <c r="R478" s="31"/>
      <c r="S478" s="31"/>
      <c r="T478" s="32"/>
      <c r="U478" s="33"/>
      <c r="V478" s="33"/>
      <c r="W478" s="33"/>
      <c r="X478" s="34">
        <f t="shared" si="176"/>
        <v>0</v>
      </c>
      <c r="Y478" s="22"/>
    </row>
    <row r="479" spans="1:25">
      <c r="A479" s="8" t="s">
        <v>27</v>
      </c>
      <c r="B479" s="35"/>
      <c r="C479" s="31"/>
      <c r="D479" s="31"/>
      <c r="E479" s="31"/>
      <c r="F479" s="31"/>
      <c r="G479" s="33"/>
      <c r="H479" s="33">
        <v>1</v>
      </c>
      <c r="I479" s="33"/>
      <c r="J479" s="33"/>
      <c r="K479" s="34">
        <f t="shared" si="174"/>
        <v>1</v>
      </c>
      <c r="L479" s="22">
        <v>42969</v>
      </c>
      <c r="N479" s="28"/>
      <c r="O479" s="35"/>
      <c r="P479" s="31"/>
      <c r="Q479" s="31"/>
      <c r="R479" s="31"/>
      <c r="S479" s="31"/>
      <c r="T479" s="33"/>
      <c r="U479" s="33"/>
      <c r="V479" s="33"/>
      <c r="W479" s="33"/>
      <c r="X479" s="34">
        <f t="shared" si="176"/>
        <v>0</v>
      </c>
      <c r="Y479" s="22"/>
    </row>
    <row r="480" spans="1:25">
      <c r="A480" s="8" t="s">
        <v>27</v>
      </c>
      <c r="B480" s="35"/>
      <c r="C480" s="31"/>
      <c r="D480" s="31"/>
      <c r="E480" s="31"/>
      <c r="F480" s="31"/>
      <c r="G480" s="33"/>
      <c r="H480" s="33"/>
      <c r="I480" s="33"/>
      <c r="J480" s="33">
        <v>2</v>
      </c>
      <c r="K480" s="34">
        <f t="shared" si="174"/>
        <v>2</v>
      </c>
      <c r="L480" s="22">
        <v>42984</v>
      </c>
      <c r="N480" s="28"/>
      <c r="O480" s="35"/>
      <c r="P480" s="31"/>
      <c r="Q480" s="31"/>
      <c r="R480" s="31"/>
      <c r="S480" s="31"/>
      <c r="T480" s="33"/>
      <c r="U480" s="33"/>
      <c r="V480" s="33"/>
      <c r="W480" s="33"/>
      <c r="X480" s="34">
        <f t="shared" si="176"/>
        <v>0</v>
      </c>
      <c r="Y480" s="22"/>
    </row>
    <row r="481" spans="1:25">
      <c r="A481" s="8" t="s">
        <v>27</v>
      </c>
      <c r="B481" s="35"/>
      <c r="C481" s="31"/>
      <c r="D481" s="31"/>
      <c r="E481" s="31"/>
      <c r="F481" s="31"/>
      <c r="G481" s="33"/>
      <c r="H481" s="33">
        <v>1</v>
      </c>
      <c r="I481" s="33"/>
      <c r="J481" s="33"/>
      <c r="K481" s="34">
        <f t="shared" si="174"/>
        <v>1</v>
      </c>
      <c r="L481" s="22">
        <v>42997</v>
      </c>
      <c r="N481" s="28"/>
      <c r="O481" s="35"/>
      <c r="P481" s="31"/>
      <c r="Q481" s="31"/>
      <c r="R481" s="31"/>
      <c r="S481" s="31"/>
      <c r="T481" s="33"/>
      <c r="U481" s="33"/>
      <c r="V481" s="33"/>
      <c r="W481" s="33"/>
      <c r="X481" s="34">
        <f t="shared" si="176"/>
        <v>0</v>
      </c>
      <c r="Y481" s="22"/>
    </row>
    <row r="482" spans="1:25">
      <c r="A482" s="8" t="s">
        <v>27</v>
      </c>
      <c r="B482" s="29"/>
      <c r="C482" s="30"/>
      <c r="D482" s="30"/>
      <c r="E482" s="30"/>
      <c r="F482" s="30"/>
      <c r="G482" s="32"/>
      <c r="H482" s="32"/>
      <c r="I482" s="32"/>
      <c r="J482" s="32">
        <v>1</v>
      </c>
      <c r="K482" s="34">
        <f t="shared" si="174"/>
        <v>1</v>
      </c>
      <c r="L482" s="22">
        <v>43008</v>
      </c>
      <c r="N482" s="28"/>
      <c r="O482" s="29"/>
      <c r="P482" s="30"/>
      <c r="Q482" s="30"/>
      <c r="R482" s="30"/>
      <c r="S482" s="30"/>
      <c r="T482" s="32"/>
      <c r="U482" s="32"/>
      <c r="V482" s="32"/>
      <c r="W482" s="32"/>
      <c r="X482" s="34">
        <f t="shared" si="176"/>
        <v>0</v>
      </c>
      <c r="Y482" s="22"/>
    </row>
    <row r="483" spans="1:25">
      <c r="A483" s="8" t="s">
        <v>27</v>
      </c>
      <c r="B483" s="35"/>
      <c r="C483" s="31"/>
      <c r="D483" s="31">
        <v>2</v>
      </c>
      <c r="E483" s="31"/>
      <c r="F483" s="31"/>
      <c r="G483" s="33"/>
      <c r="H483" s="33"/>
      <c r="I483" s="33"/>
      <c r="J483" s="33"/>
      <c r="K483" s="34">
        <f t="shared" si="174"/>
        <v>2</v>
      </c>
      <c r="L483" s="22">
        <v>43013</v>
      </c>
      <c r="N483" s="28"/>
      <c r="O483" s="35"/>
      <c r="P483" s="31"/>
      <c r="Q483" s="31"/>
      <c r="R483" s="31"/>
      <c r="S483" s="31"/>
      <c r="T483" s="33"/>
      <c r="U483" s="33"/>
      <c r="V483" s="33"/>
      <c r="W483" s="33"/>
      <c r="X483" s="34">
        <f t="shared" si="176"/>
        <v>0</v>
      </c>
      <c r="Y483" s="22"/>
    </row>
    <row r="484" spans="1:25">
      <c r="A484" s="8" t="s">
        <v>27</v>
      </c>
      <c r="B484" s="29"/>
      <c r="C484" s="30"/>
      <c r="D484" s="30"/>
      <c r="E484" s="30"/>
      <c r="F484" s="30"/>
      <c r="G484" s="32"/>
      <c r="H484" s="33">
        <v>1</v>
      </c>
      <c r="I484" s="33"/>
      <c r="J484" s="33"/>
      <c r="K484" s="34">
        <f t="shared" si="174"/>
        <v>1</v>
      </c>
      <c r="L484" s="22">
        <v>43031</v>
      </c>
      <c r="N484" s="28"/>
      <c r="O484" s="29"/>
      <c r="P484" s="30"/>
      <c r="Q484" s="30"/>
      <c r="R484" s="30"/>
      <c r="S484" s="30"/>
      <c r="T484" s="32"/>
      <c r="U484" s="33"/>
      <c r="V484" s="33"/>
      <c r="W484" s="33"/>
      <c r="X484" s="34">
        <f t="shared" si="176"/>
        <v>0</v>
      </c>
      <c r="Y484" s="22"/>
    </row>
    <row r="485" spans="1:25">
      <c r="A485" s="8" t="s">
        <v>27</v>
      </c>
      <c r="B485" s="29"/>
      <c r="C485" s="30"/>
      <c r="D485" s="30"/>
      <c r="E485" s="30"/>
      <c r="F485" s="30"/>
      <c r="G485" s="32"/>
      <c r="H485" s="32"/>
      <c r="I485" s="32"/>
      <c r="J485" s="32">
        <v>2</v>
      </c>
      <c r="K485" s="34">
        <f t="shared" si="174"/>
        <v>2</v>
      </c>
      <c r="L485" s="19">
        <v>43038</v>
      </c>
      <c r="N485" s="28"/>
      <c r="O485" s="35"/>
      <c r="P485" s="31"/>
      <c r="Q485" s="31"/>
      <c r="R485" s="31"/>
      <c r="S485" s="31"/>
      <c r="T485" s="33"/>
      <c r="U485" s="33"/>
      <c r="V485" s="33"/>
      <c r="W485" s="33"/>
      <c r="X485" s="34">
        <f t="shared" si="176"/>
        <v>0</v>
      </c>
      <c r="Y485" s="22"/>
    </row>
    <row r="486" spans="1:25">
      <c r="A486" s="8" t="s">
        <v>27</v>
      </c>
      <c r="B486" s="35"/>
      <c r="C486" s="31"/>
      <c r="D486" s="31"/>
      <c r="E486" s="31"/>
      <c r="F486" s="31"/>
      <c r="G486" s="33">
        <v>1</v>
      </c>
      <c r="H486" s="33"/>
      <c r="I486" s="33"/>
      <c r="J486" s="33"/>
      <c r="K486" s="34">
        <f t="shared" si="174"/>
        <v>1</v>
      </c>
      <c r="L486" s="22">
        <v>43043</v>
      </c>
      <c r="N486" s="28"/>
      <c r="O486" s="35"/>
      <c r="P486" s="31"/>
      <c r="Q486" s="31"/>
      <c r="R486" s="31"/>
      <c r="S486" s="31"/>
      <c r="T486" s="33"/>
      <c r="U486" s="33"/>
      <c r="V486" s="33"/>
      <c r="W486" s="33"/>
      <c r="X486" s="34">
        <f t="shared" si="176"/>
        <v>0</v>
      </c>
      <c r="Y486" s="22"/>
    </row>
    <row r="487" spans="1:25">
      <c r="A487" s="8" t="s">
        <v>27</v>
      </c>
      <c r="B487" s="29">
        <v>2</v>
      </c>
      <c r="C487" s="30"/>
      <c r="D487" s="30"/>
      <c r="E487" s="30"/>
      <c r="F487" s="30"/>
      <c r="G487" s="32"/>
      <c r="H487" s="32"/>
      <c r="I487" s="32"/>
      <c r="J487" s="32"/>
      <c r="K487" s="34">
        <f t="shared" si="174"/>
        <v>2</v>
      </c>
      <c r="L487" s="22">
        <v>43048</v>
      </c>
      <c r="N487" s="65"/>
      <c r="O487" s="29"/>
      <c r="P487" s="30"/>
      <c r="Q487" s="30"/>
      <c r="R487" s="30"/>
      <c r="S487" s="30"/>
      <c r="T487" s="32"/>
      <c r="U487" s="32"/>
      <c r="V487" s="32"/>
      <c r="W487" s="32"/>
      <c r="X487" s="34">
        <f t="shared" si="176"/>
        <v>0</v>
      </c>
      <c r="Y487" s="22"/>
    </row>
    <row r="488" spans="1:25">
      <c r="A488" s="8" t="s">
        <v>27</v>
      </c>
      <c r="B488" s="29"/>
      <c r="C488" s="30"/>
      <c r="D488" s="30"/>
      <c r="E488" s="30"/>
      <c r="F488" s="30"/>
      <c r="G488" s="32"/>
      <c r="H488" s="32">
        <v>2</v>
      </c>
      <c r="I488" s="32"/>
      <c r="J488" s="32"/>
      <c r="K488" s="34">
        <f t="shared" si="174"/>
        <v>2</v>
      </c>
      <c r="L488" s="19">
        <v>43073</v>
      </c>
      <c r="N488" s="28"/>
      <c r="O488" s="29"/>
      <c r="P488" s="30"/>
      <c r="Q488" s="30"/>
      <c r="R488" s="30"/>
      <c r="S488" s="30"/>
      <c r="T488" s="32"/>
      <c r="U488" s="32"/>
      <c r="V488" s="32"/>
      <c r="W488" s="32"/>
      <c r="X488" s="34">
        <f t="shared" si="176"/>
        <v>0</v>
      </c>
      <c r="Y488" s="19"/>
    </row>
    <row r="489" spans="1:25">
      <c r="A489" s="8" t="s">
        <v>27</v>
      </c>
      <c r="B489" s="29">
        <v>1</v>
      </c>
      <c r="C489" s="30">
        <v>10</v>
      </c>
      <c r="D489" s="30"/>
      <c r="E489" s="30"/>
      <c r="F489" s="30"/>
      <c r="G489" s="32"/>
      <c r="H489" s="32"/>
      <c r="I489" s="32"/>
      <c r="J489" s="32"/>
      <c r="K489" s="34">
        <f t="shared" si="174"/>
        <v>11</v>
      </c>
      <c r="L489" s="19">
        <v>43076</v>
      </c>
      <c r="N489" s="65"/>
      <c r="O489" s="29"/>
      <c r="P489" s="30"/>
      <c r="Q489" s="30"/>
      <c r="R489" s="30"/>
      <c r="S489" s="30"/>
      <c r="T489" s="32"/>
      <c r="U489" s="32"/>
      <c r="V489" s="32"/>
      <c r="W489" s="32"/>
      <c r="X489" s="34">
        <f t="shared" si="176"/>
        <v>0</v>
      </c>
      <c r="Y489" s="19"/>
    </row>
    <row r="490" spans="1:25">
      <c r="A490" s="8" t="s">
        <v>27</v>
      </c>
      <c r="B490" s="29"/>
      <c r="C490" s="30"/>
      <c r="D490" s="30"/>
      <c r="E490" s="30"/>
      <c r="F490" s="30"/>
      <c r="G490" s="32"/>
      <c r="H490" s="32"/>
      <c r="I490" s="32"/>
      <c r="J490" s="32">
        <v>1</v>
      </c>
      <c r="K490" s="34">
        <f t="shared" si="174"/>
        <v>1</v>
      </c>
      <c r="L490" s="19">
        <v>43082</v>
      </c>
      <c r="M490" s="74"/>
      <c r="N490" s="65"/>
      <c r="O490" s="29"/>
      <c r="P490" s="30"/>
      <c r="Q490" s="30"/>
      <c r="R490" s="30"/>
      <c r="S490" s="30"/>
      <c r="T490" s="32"/>
      <c r="U490" s="32"/>
      <c r="V490" s="32"/>
      <c r="W490" s="32"/>
      <c r="X490" s="34">
        <f t="shared" si="176"/>
        <v>0</v>
      </c>
      <c r="Y490" s="19"/>
    </row>
    <row r="491" spans="1:25" ht="14.25" thickBot="1">
      <c r="A491" s="8" t="s">
        <v>27</v>
      </c>
      <c r="B491" s="29"/>
      <c r="C491" s="30"/>
      <c r="D491" s="30"/>
      <c r="E491" s="31">
        <v>2</v>
      </c>
      <c r="F491" s="31"/>
      <c r="G491" s="32"/>
      <c r="H491" s="33">
        <v>1</v>
      </c>
      <c r="I491" s="33"/>
      <c r="J491" s="33"/>
      <c r="K491" s="34">
        <f t="shared" si="174"/>
        <v>3</v>
      </c>
      <c r="L491" s="36">
        <v>43117</v>
      </c>
      <c r="N491" s="20"/>
      <c r="O491" s="29"/>
      <c r="P491" s="30"/>
      <c r="Q491" s="30"/>
      <c r="R491" s="30"/>
      <c r="S491" s="30"/>
      <c r="T491" s="32"/>
      <c r="U491" s="32"/>
      <c r="V491" s="32"/>
      <c r="W491" s="32"/>
      <c r="X491" s="34">
        <f t="shared" si="176"/>
        <v>0</v>
      </c>
      <c r="Y491" s="22"/>
    </row>
    <row r="492" spans="1:25" ht="14.25" thickBot="1">
      <c r="A492" s="2" t="s">
        <v>19</v>
      </c>
      <c r="B492" s="23">
        <f t="shared" ref="B492:J492" si="177">SUM(B472:B491)</f>
        <v>5</v>
      </c>
      <c r="C492" s="24">
        <f t="shared" si="177"/>
        <v>11</v>
      </c>
      <c r="D492" s="24">
        <f t="shared" si="177"/>
        <v>4</v>
      </c>
      <c r="E492" s="24">
        <f t="shared" si="177"/>
        <v>2</v>
      </c>
      <c r="F492" s="24">
        <f t="shared" si="177"/>
        <v>0</v>
      </c>
      <c r="G492" s="25">
        <f t="shared" si="177"/>
        <v>1</v>
      </c>
      <c r="H492" s="25">
        <f t="shared" si="177"/>
        <v>6</v>
      </c>
      <c r="I492" s="25">
        <f t="shared" si="177"/>
        <v>0</v>
      </c>
      <c r="J492" s="25">
        <f t="shared" si="177"/>
        <v>11</v>
      </c>
      <c r="K492" s="37">
        <f>SUM(B492:J492)</f>
        <v>40</v>
      </c>
      <c r="L492" s="27"/>
      <c r="N492" s="2" t="s">
        <v>19</v>
      </c>
      <c r="O492" s="23">
        <f t="shared" ref="O492:W492" si="178">SUM(O472:O491)</f>
        <v>0</v>
      </c>
      <c r="P492" s="24">
        <f t="shared" si="178"/>
        <v>0</v>
      </c>
      <c r="Q492" s="24">
        <f t="shared" si="178"/>
        <v>0</v>
      </c>
      <c r="R492" s="24">
        <f t="shared" si="178"/>
        <v>0</v>
      </c>
      <c r="S492" s="24">
        <f t="shared" si="178"/>
        <v>0</v>
      </c>
      <c r="T492" s="25">
        <f t="shared" si="178"/>
        <v>0</v>
      </c>
      <c r="U492" s="25">
        <f t="shared" si="178"/>
        <v>0</v>
      </c>
      <c r="V492" s="25">
        <f t="shared" si="178"/>
        <v>0</v>
      </c>
      <c r="W492" s="25">
        <f t="shared" si="178"/>
        <v>0</v>
      </c>
      <c r="X492" s="37">
        <f>SUM(O492:W492)</f>
        <v>0</v>
      </c>
      <c r="Y492" s="27"/>
    </row>
    <row r="493" spans="1:25" ht="14.25" thickBot="1">
      <c r="A493" s="38" t="s">
        <v>17</v>
      </c>
      <c r="B493" s="39">
        <f>B471-B492</f>
        <v>21</v>
      </c>
      <c r="C493" s="39">
        <f t="shared" ref="C493:K493" si="179">C471-C492</f>
        <v>14</v>
      </c>
      <c r="D493" s="39">
        <f t="shared" si="179"/>
        <v>6</v>
      </c>
      <c r="E493" s="39">
        <f t="shared" si="179"/>
        <v>3</v>
      </c>
      <c r="F493" s="39">
        <f t="shared" si="179"/>
        <v>0</v>
      </c>
      <c r="G493" s="39">
        <f t="shared" si="179"/>
        <v>0</v>
      </c>
      <c r="H493" s="39">
        <f t="shared" si="179"/>
        <v>4</v>
      </c>
      <c r="I493" s="39">
        <f t="shared" si="179"/>
        <v>7</v>
      </c>
      <c r="J493" s="40">
        <f t="shared" si="179"/>
        <v>10</v>
      </c>
      <c r="K493" s="37">
        <f t="shared" si="179"/>
        <v>65</v>
      </c>
      <c r="L493" s="41"/>
      <c r="N493" s="38" t="s">
        <v>17</v>
      </c>
      <c r="O493" s="39">
        <f>O471-O492</f>
        <v>0</v>
      </c>
      <c r="P493" s="39">
        <f t="shared" ref="P493:X493" si="180">P471-P492</f>
        <v>0</v>
      </c>
      <c r="Q493" s="39">
        <f t="shared" si="180"/>
        <v>0</v>
      </c>
      <c r="R493" s="39">
        <f t="shared" si="180"/>
        <v>0</v>
      </c>
      <c r="S493" s="39">
        <f t="shared" si="180"/>
        <v>0</v>
      </c>
      <c r="T493" s="39">
        <f t="shared" si="180"/>
        <v>0</v>
      </c>
      <c r="U493" s="39">
        <f t="shared" si="180"/>
        <v>0</v>
      </c>
      <c r="V493" s="39">
        <f t="shared" si="180"/>
        <v>0</v>
      </c>
      <c r="W493" s="40">
        <f t="shared" si="180"/>
        <v>0</v>
      </c>
      <c r="X493" s="37">
        <f t="shared" si="180"/>
        <v>0</v>
      </c>
      <c r="Y493" s="41"/>
    </row>
    <row r="494" spans="1:25">
      <c r="A494" s="82"/>
    </row>
    <row r="495" spans="1:25">
      <c r="A495" s="82"/>
      <c r="B495" s="81"/>
      <c r="C495" s="81"/>
      <c r="D495" s="81"/>
      <c r="E495" s="81"/>
      <c r="F495" s="81"/>
      <c r="G495" s="81"/>
      <c r="H495" s="81"/>
      <c r="I495" s="81"/>
      <c r="J495" s="81"/>
      <c r="K495" s="81"/>
    </row>
    <row r="496" spans="1:25" ht="19.5" thickBot="1">
      <c r="A496" s="1" t="s">
        <v>22</v>
      </c>
    </row>
    <row r="497" spans="1:12" ht="19.5" thickBot="1">
      <c r="A497" s="2" t="s">
        <v>0</v>
      </c>
      <c r="B497" s="163" t="s">
        <v>20</v>
      </c>
      <c r="C497" s="164"/>
      <c r="D497" s="164"/>
      <c r="E497" s="164"/>
      <c r="F497" s="164"/>
      <c r="G497" s="164"/>
      <c r="H497" s="165"/>
      <c r="I497" s="165"/>
      <c r="J497" s="165"/>
      <c r="K497" s="166"/>
      <c r="L497" s="161" t="s">
        <v>1</v>
      </c>
    </row>
    <row r="498" spans="1:12" ht="14.25" thickBot="1">
      <c r="A498" s="2" t="s">
        <v>2</v>
      </c>
      <c r="B498" s="3" t="s">
        <v>3</v>
      </c>
      <c r="C498" s="4" t="s">
        <v>4</v>
      </c>
      <c r="D498" s="4" t="s">
        <v>5</v>
      </c>
      <c r="E498" s="4" t="s">
        <v>6</v>
      </c>
      <c r="F498" s="4" t="s">
        <v>7</v>
      </c>
      <c r="G498" s="5" t="s">
        <v>8</v>
      </c>
      <c r="H498" s="4" t="s">
        <v>9</v>
      </c>
      <c r="I498" s="6" t="s">
        <v>10</v>
      </c>
      <c r="J498" s="5" t="s">
        <v>11</v>
      </c>
      <c r="K498" s="7" t="s">
        <v>12</v>
      </c>
      <c r="L498" s="167"/>
    </row>
    <row r="499" spans="1:12">
      <c r="A499" s="52" t="s">
        <v>17</v>
      </c>
      <c r="B499" s="55">
        <f>B493</f>
        <v>21</v>
      </c>
      <c r="C499" s="56">
        <f>C493</f>
        <v>14</v>
      </c>
      <c r="D499" s="56">
        <f t="shared" ref="D499:J499" si="181">D493</f>
        <v>6</v>
      </c>
      <c r="E499" s="56">
        <f t="shared" si="181"/>
        <v>3</v>
      </c>
      <c r="F499" s="56">
        <f t="shared" si="181"/>
        <v>0</v>
      </c>
      <c r="G499" s="56">
        <f t="shared" si="181"/>
        <v>0</v>
      </c>
      <c r="H499" s="56">
        <f t="shared" si="181"/>
        <v>4</v>
      </c>
      <c r="I499" s="56">
        <f t="shared" si="181"/>
        <v>7</v>
      </c>
      <c r="J499" s="56">
        <f t="shared" si="181"/>
        <v>10</v>
      </c>
      <c r="K499" s="83">
        <f t="shared" ref="K499:K501" si="182">SUM(B499:J499)</f>
        <v>65</v>
      </c>
      <c r="L499" s="86"/>
    </row>
    <row r="500" spans="1:12">
      <c r="A500" s="8" t="s">
        <v>221</v>
      </c>
      <c r="B500" s="9"/>
      <c r="C500" s="10"/>
      <c r="D500" s="10"/>
      <c r="E500" s="10"/>
      <c r="F500" s="10"/>
      <c r="G500" s="11"/>
      <c r="H500" s="11"/>
      <c r="I500" s="11"/>
      <c r="J500" s="11"/>
      <c r="K500" s="84">
        <f t="shared" si="182"/>
        <v>0</v>
      </c>
      <c r="L500" s="87"/>
    </row>
    <row r="501" spans="1:12">
      <c r="A501" s="8" t="s">
        <v>221</v>
      </c>
      <c r="B501" s="9"/>
      <c r="C501" s="10"/>
      <c r="D501" s="10"/>
      <c r="E501" s="10"/>
      <c r="F501" s="10"/>
      <c r="G501" s="11"/>
      <c r="H501" s="11"/>
      <c r="I501" s="11"/>
      <c r="J501" s="21"/>
      <c r="K501" s="84">
        <f t="shared" si="182"/>
        <v>0</v>
      </c>
      <c r="L501" s="87"/>
    </row>
    <row r="502" spans="1:12">
      <c r="A502" s="8" t="s">
        <v>221</v>
      </c>
      <c r="B502" s="67"/>
      <c r="C502" s="35"/>
      <c r="D502" s="35"/>
      <c r="E502" s="35"/>
      <c r="F502" s="35"/>
      <c r="G502" s="35"/>
      <c r="H502" s="35"/>
      <c r="I502" s="35"/>
      <c r="J502" s="68"/>
      <c r="K502" s="85">
        <f>SUM(B502:J502)</f>
        <v>0</v>
      </c>
      <c r="L502" s="87"/>
    </row>
    <row r="503" spans="1:12" ht="14.25" thickBot="1">
      <c r="A503" s="8" t="s">
        <v>221</v>
      </c>
      <c r="B503" s="70"/>
      <c r="C503" s="71"/>
      <c r="D503" s="71"/>
      <c r="E503" s="71"/>
      <c r="F503" s="71"/>
      <c r="G503" s="71"/>
      <c r="H503" s="71"/>
      <c r="I503" s="71"/>
      <c r="J503" s="72"/>
      <c r="K503" s="88">
        <f>SUM(B503:J503)</f>
        <v>0</v>
      </c>
      <c r="L503" s="36"/>
    </row>
    <row r="504" spans="1:12" ht="14.25" thickBot="1">
      <c r="A504" s="76" t="s">
        <v>18</v>
      </c>
      <c r="B504" s="77">
        <f>SUM(B499:B503)</f>
        <v>21</v>
      </c>
      <c r="C504" s="78">
        <f t="shared" ref="C504:J504" si="183">SUM(C499:C503)</f>
        <v>14</v>
      </c>
      <c r="D504" s="78">
        <f t="shared" si="183"/>
        <v>6</v>
      </c>
      <c r="E504" s="78">
        <f t="shared" si="183"/>
        <v>3</v>
      </c>
      <c r="F504" s="78">
        <f t="shared" si="183"/>
        <v>0</v>
      </c>
      <c r="G504" s="79">
        <f t="shared" si="183"/>
        <v>0</v>
      </c>
      <c r="H504" s="79">
        <f t="shared" si="183"/>
        <v>4</v>
      </c>
      <c r="I504" s="79">
        <f t="shared" si="183"/>
        <v>7</v>
      </c>
      <c r="J504" s="79">
        <f t="shared" si="183"/>
        <v>10</v>
      </c>
      <c r="K504" s="26">
        <f t="shared" ref="K504:K524" si="184">SUM(B504:J504)</f>
        <v>65</v>
      </c>
      <c r="L504" s="41"/>
    </row>
    <row r="505" spans="1:12">
      <c r="A505" s="8" t="s">
        <v>27</v>
      </c>
      <c r="B505" s="29"/>
      <c r="C505" s="30">
        <v>5</v>
      </c>
      <c r="D505" s="30"/>
      <c r="E505" s="30"/>
      <c r="F505" s="30"/>
      <c r="G505" s="32"/>
      <c r="H505" s="32"/>
      <c r="I505" s="32"/>
      <c r="J505" s="32"/>
      <c r="K505" s="34">
        <f t="shared" si="184"/>
        <v>5</v>
      </c>
      <c r="L505" s="19">
        <v>43124</v>
      </c>
    </row>
    <row r="506" spans="1:12">
      <c r="A506" s="8" t="s">
        <v>27</v>
      </c>
      <c r="B506" s="29"/>
      <c r="C506" s="30"/>
      <c r="D506" s="30"/>
      <c r="E506" s="30">
        <v>1</v>
      </c>
      <c r="F506" s="30"/>
      <c r="G506" s="32"/>
      <c r="H506" s="32"/>
      <c r="I506" s="32"/>
      <c r="J506" s="32"/>
      <c r="K506" s="34">
        <f t="shared" si="184"/>
        <v>1</v>
      </c>
      <c r="L506" s="22">
        <v>43125</v>
      </c>
    </row>
    <row r="507" spans="1:12">
      <c r="A507" s="8" t="s">
        <v>27</v>
      </c>
      <c r="B507" s="29"/>
      <c r="C507" s="30"/>
      <c r="D507" s="30">
        <v>1</v>
      </c>
      <c r="E507" s="30"/>
      <c r="F507" s="30"/>
      <c r="G507" s="32"/>
      <c r="H507" s="32"/>
      <c r="I507" s="32"/>
      <c r="J507" s="32"/>
      <c r="K507" s="34">
        <f t="shared" si="184"/>
        <v>1</v>
      </c>
      <c r="L507" s="22">
        <v>43131</v>
      </c>
    </row>
    <row r="508" spans="1:12">
      <c r="A508" s="8" t="s">
        <v>27</v>
      </c>
      <c r="B508" s="29"/>
      <c r="C508" s="30"/>
      <c r="D508" s="30">
        <v>2</v>
      </c>
      <c r="E508" s="30"/>
      <c r="F508" s="30"/>
      <c r="G508" s="32"/>
      <c r="H508" s="32"/>
      <c r="I508" s="32"/>
      <c r="J508" s="32"/>
      <c r="K508" s="34">
        <f t="shared" si="184"/>
        <v>2</v>
      </c>
      <c r="L508" s="22">
        <v>43132</v>
      </c>
    </row>
    <row r="509" spans="1:12">
      <c r="A509" s="8" t="s">
        <v>27</v>
      </c>
      <c r="B509" s="29"/>
      <c r="C509" s="30"/>
      <c r="D509" s="30">
        <v>2</v>
      </c>
      <c r="E509" s="30"/>
      <c r="F509" s="30"/>
      <c r="G509" s="32"/>
      <c r="H509" s="33"/>
      <c r="I509" s="32"/>
      <c r="J509" s="32">
        <v>2</v>
      </c>
      <c r="K509" s="34">
        <f t="shared" si="184"/>
        <v>4</v>
      </c>
      <c r="L509" s="22">
        <v>43136</v>
      </c>
    </row>
    <row r="510" spans="1:12">
      <c r="A510" s="8" t="s">
        <v>228</v>
      </c>
      <c r="B510" s="29"/>
      <c r="C510" s="30"/>
      <c r="D510" s="30">
        <v>1</v>
      </c>
      <c r="E510" s="30">
        <v>2</v>
      </c>
      <c r="F510" s="30"/>
      <c r="G510" s="32"/>
      <c r="H510" s="33"/>
      <c r="I510" s="33">
        <v>1</v>
      </c>
      <c r="J510" s="33"/>
      <c r="K510" s="34">
        <f t="shared" si="184"/>
        <v>4</v>
      </c>
      <c r="L510" s="22">
        <v>43171</v>
      </c>
    </row>
    <row r="511" spans="1:12">
      <c r="A511" s="8" t="s">
        <v>229</v>
      </c>
      <c r="B511" s="29"/>
      <c r="C511" s="30">
        <v>2</v>
      </c>
      <c r="D511" s="30"/>
      <c r="E511" s="31"/>
      <c r="F511" s="31"/>
      <c r="G511" s="32"/>
      <c r="H511" s="33"/>
      <c r="I511" s="33"/>
      <c r="J511" s="33"/>
      <c r="K511" s="34">
        <f t="shared" si="184"/>
        <v>2</v>
      </c>
      <c r="L511" s="22">
        <v>43187</v>
      </c>
    </row>
    <row r="512" spans="1:12">
      <c r="A512" s="8" t="s">
        <v>27</v>
      </c>
      <c r="B512" s="35"/>
      <c r="C512" s="31"/>
      <c r="D512" s="31"/>
      <c r="E512" s="31"/>
      <c r="F512" s="31"/>
      <c r="G512" s="33"/>
      <c r="H512" s="33"/>
      <c r="I512" s="33">
        <v>3</v>
      </c>
      <c r="J512" s="33"/>
      <c r="K512" s="34">
        <f t="shared" si="184"/>
        <v>3</v>
      </c>
      <c r="L512" s="22">
        <v>43200</v>
      </c>
    </row>
    <row r="513" spans="1:12">
      <c r="A513" s="8" t="s">
        <v>27</v>
      </c>
      <c r="B513" s="35"/>
      <c r="C513" s="31"/>
      <c r="D513" s="31"/>
      <c r="E513" s="31"/>
      <c r="F513" s="31"/>
      <c r="G513" s="33"/>
      <c r="H513" s="33"/>
      <c r="I513" s="33">
        <v>1</v>
      </c>
      <c r="J513" s="33">
        <v>1</v>
      </c>
      <c r="K513" s="34">
        <f t="shared" si="184"/>
        <v>2</v>
      </c>
      <c r="L513" s="22">
        <v>43208</v>
      </c>
    </row>
    <row r="514" spans="1:12">
      <c r="A514" s="8" t="s">
        <v>27</v>
      </c>
      <c r="B514" s="35"/>
      <c r="C514" s="31"/>
      <c r="D514" s="31"/>
      <c r="E514" s="31"/>
      <c r="F514" s="31"/>
      <c r="G514" s="33"/>
      <c r="H514" s="33"/>
      <c r="I514" s="33"/>
      <c r="J514" s="33">
        <v>1</v>
      </c>
      <c r="K514" s="34">
        <f t="shared" si="184"/>
        <v>1</v>
      </c>
      <c r="L514" s="22">
        <v>43221</v>
      </c>
    </row>
    <row r="515" spans="1:12">
      <c r="A515" s="8" t="s">
        <v>27</v>
      </c>
      <c r="B515" s="29"/>
      <c r="C515" s="30"/>
      <c r="D515" s="30"/>
      <c r="E515" s="30"/>
      <c r="F515" s="30"/>
      <c r="G515" s="32"/>
      <c r="H515" s="32"/>
      <c r="I515" s="32">
        <v>1</v>
      </c>
      <c r="J515" s="32"/>
      <c r="K515" s="34">
        <f t="shared" si="184"/>
        <v>1</v>
      </c>
      <c r="L515" s="22">
        <v>43222</v>
      </c>
    </row>
    <row r="516" spans="1:12">
      <c r="A516" s="8" t="s">
        <v>27</v>
      </c>
      <c r="B516" s="35"/>
      <c r="C516" s="31"/>
      <c r="D516" s="31"/>
      <c r="E516" s="31"/>
      <c r="F516" s="31"/>
      <c r="G516" s="33"/>
      <c r="H516" s="33"/>
      <c r="I516" s="33"/>
      <c r="J516" s="33">
        <v>3</v>
      </c>
      <c r="K516" s="34">
        <f t="shared" si="184"/>
        <v>3</v>
      </c>
      <c r="L516" s="22">
        <v>43227</v>
      </c>
    </row>
    <row r="517" spans="1:12">
      <c r="A517" s="8" t="s">
        <v>27</v>
      </c>
      <c r="B517" s="29"/>
      <c r="C517" s="30">
        <v>2</v>
      </c>
      <c r="D517" s="30"/>
      <c r="E517" s="30"/>
      <c r="F517" s="30"/>
      <c r="G517" s="32"/>
      <c r="H517" s="33"/>
      <c r="I517" s="33">
        <v>1</v>
      </c>
      <c r="J517" s="33"/>
      <c r="K517" s="34">
        <f t="shared" si="184"/>
        <v>3</v>
      </c>
      <c r="L517" s="22">
        <v>43234</v>
      </c>
    </row>
    <row r="518" spans="1:12">
      <c r="A518" s="8" t="s">
        <v>27</v>
      </c>
      <c r="B518" s="29"/>
      <c r="C518" s="30"/>
      <c r="D518" s="30"/>
      <c r="E518" s="30"/>
      <c r="F518" s="30"/>
      <c r="G518" s="32"/>
      <c r="H518" s="32"/>
      <c r="I518" s="32"/>
      <c r="J518" s="32">
        <v>1</v>
      </c>
      <c r="K518" s="34">
        <f t="shared" si="184"/>
        <v>1</v>
      </c>
      <c r="L518" s="19">
        <v>43257</v>
      </c>
    </row>
    <row r="519" spans="1:12">
      <c r="A519" s="8" t="s">
        <v>27</v>
      </c>
      <c r="B519" s="35"/>
      <c r="C519" s="31">
        <v>1</v>
      </c>
      <c r="D519" s="31"/>
      <c r="E519" s="31"/>
      <c r="F519" s="31"/>
      <c r="G519" s="33"/>
      <c r="H519" s="33"/>
      <c r="I519" s="33"/>
      <c r="J519" s="33"/>
      <c r="K519" s="34">
        <f t="shared" si="184"/>
        <v>1</v>
      </c>
      <c r="L519" s="22">
        <v>43259</v>
      </c>
    </row>
    <row r="520" spans="1:12">
      <c r="A520" s="8" t="s">
        <v>27</v>
      </c>
      <c r="B520" s="29"/>
      <c r="C520" s="30">
        <v>1</v>
      </c>
      <c r="D520" s="30"/>
      <c r="E520" s="30"/>
      <c r="F520" s="30"/>
      <c r="G520" s="32"/>
      <c r="H520" s="32"/>
      <c r="I520" s="32"/>
      <c r="J520" s="32"/>
      <c r="K520" s="34">
        <f t="shared" si="184"/>
        <v>1</v>
      </c>
      <c r="L520" s="22">
        <v>43266</v>
      </c>
    </row>
    <row r="521" spans="1:12">
      <c r="A521" s="8" t="s">
        <v>27</v>
      </c>
      <c r="B521" s="29"/>
      <c r="C521" s="30"/>
      <c r="D521" s="30"/>
      <c r="E521" s="30"/>
      <c r="F521" s="30"/>
      <c r="G521" s="32"/>
      <c r="H521" s="32"/>
      <c r="I521" s="32"/>
      <c r="J521" s="32">
        <v>1</v>
      </c>
      <c r="K521" s="34">
        <f t="shared" si="184"/>
        <v>1</v>
      </c>
      <c r="L521" s="19">
        <v>43269</v>
      </c>
    </row>
    <row r="522" spans="1:12">
      <c r="A522" s="8" t="s">
        <v>27</v>
      </c>
      <c r="B522" s="29"/>
      <c r="C522" s="30"/>
      <c r="D522" s="30"/>
      <c r="E522" s="30"/>
      <c r="F522" s="30"/>
      <c r="G522" s="32"/>
      <c r="H522" s="32">
        <v>2</v>
      </c>
      <c r="I522" s="32"/>
      <c r="J522" s="32"/>
      <c r="K522" s="34">
        <f t="shared" si="184"/>
        <v>2</v>
      </c>
      <c r="L522" s="19">
        <v>43290</v>
      </c>
    </row>
    <row r="523" spans="1:12">
      <c r="A523" s="8" t="s">
        <v>27</v>
      </c>
      <c r="B523" s="29">
        <v>1</v>
      </c>
      <c r="C523" s="30"/>
      <c r="D523" s="30"/>
      <c r="E523" s="30"/>
      <c r="F523" s="30"/>
      <c r="G523" s="32"/>
      <c r="H523" s="32"/>
      <c r="I523" s="32"/>
      <c r="J523" s="32">
        <v>1</v>
      </c>
      <c r="K523" s="34">
        <f t="shared" si="184"/>
        <v>2</v>
      </c>
      <c r="L523" s="19">
        <v>43298</v>
      </c>
    </row>
    <row r="524" spans="1:12" ht="14.25" thickBot="1">
      <c r="A524" s="8" t="s">
        <v>27</v>
      </c>
      <c r="B524" s="29">
        <v>5</v>
      </c>
      <c r="C524" s="30"/>
      <c r="D524" s="30"/>
      <c r="E524" s="31"/>
      <c r="F524" s="31"/>
      <c r="G524" s="32"/>
      <c r="H524" s="33"/>
      <c r="I524" s="33"/>
      <c r="J524" s="33"/>
      <c r="K524" s="34">
        <f t="shared" si="184"/>
        <v>5</v>
      </c>
      <c r="L524" s="36">
        <v>43328</v>
      </c>
    </row>
    <row r="525" spans="1:12" ht="14.25" thickBot="1">
      <c r="A525" s="2" t="s">
        <v>19</v>
      </c>
      <c r="B525" s="23">
        <f t="shared" ref="B525:J525" si="185">SUM(B505:B524)</f>
        <v>6</v>
      </c>
      <c r="C525" s="24">
        <f t="shared" si="185"/>
        <v>11</v>
      </c>
      <c r="D525" s="24">
        <f t="shared" si="185"/>
        <v>6</v>
      </c>
      <c r="E525" s="24">
        <f t="shared" si="185"/>
        <v>3</v>
      </c>
      <c r="F525" s="24">
        <f t="shared" si="185"/>
        <v>0</v>
      </c>
      <c r="G525" s="25">
        <f t="shared" si="185"/>
        <v>0</v>
      </c>
      <c r="H525" s="25">
        <f t="shared" si="185"/>
        <v>2</v>
      </c>
      <c r="I525" s="25">
        <f t="shared" si="185"/>
        <v>7</v>
      </c>
      <c r="J525" s="25">
        <f t="shared" si="185"/>
        <v>10</v>
      </c>
      <c r="K525" s="37">
        <f>SUM(B525:J525)</f>
        <v>45</v>
      </c>
      <c r="L525" s="27"/>
    </row>
    <row r="526" spans="1:12" ht="14.25" thickBot="1">
      <c r="A526" s="38" t="s">
        <v>17</v>
      </c>
      <c r="B526" s="39">
        <f>B504-B525</f>
        <v>15</v>
      </c>
      <c r="C526" s="39">
        <f t="shared" ref="C526:K526" si="186">C504-C525</f>
        <v>3</v>
      </c>
      <c r="D526" s="39">
        <f t="shared" si="186"/>
        <v>0</v>
      </c>
      <c r="E526" s="39">
        <f t="shared" si="186"/>
        <v>0</v>
      </c>
      <c r="F526" s="39">
        <f t="shared" si="186"/>
        <v>0</v>
      </c>
      <c r="G526" s="39">
        <f t="shared" si="186"/>
        <v>0</v>
      </c>
      <c r="H526" s="39">
        <f t="shared" si="186"/>
        <v>2</v>
      </c>
      <c r="I526" s="39">
        <f t="shared" si="186"/>
        <v>0</v>
      </c>
      <c r="J526" s="40">
        <f t="shared" si="186"/>
        <v>0</v>
      </c>
      <c r="K526" s="37">
        <f t="shared" si="186"/>
        <v>20</v>
      </c>
      <c r="L526" s="41"/>
    </row>
    <row r="527" spans="1:12">
      <c r="A527" s="82"/>
    </row>
    <row r="528" spans="1:12">
      <c r="A528" s="82"/>
      <c r="B528" s="81"/>
      <c r="C528" s="81"/>
      <c r="D528" s="81"/>
      <c r="E528" s="81"/>
      <c r="F528" s="81"/>
      <c r="G528" s="81"/>
      <c r="H528" s="81"/>
      <c r="I528" s="81"/>
      <c r="J528" s="81"/>
      <c r="K528" s="81"/>
    </row>
    <row r="529" spans="1:12" ht="19.5" thickBot="1">
      <c r="A529" s="1" t="s">
        <v>22</v>
      </c>
    </row>
    <row r="530" spans="1:12" ht="19.5" thickBot="1">
      <c r="A530" s="2" t="s">
        <v>0</v>
      </c>
      <c r="B530" s="163" t="s">
        <v>20</v>
      </c>
      <c r="C530" s="164"/>
      <c r="D530" s="164"/>
      <c r="E530" s="164"/>
      <c r="F530" s="164"/>
      <c r="G530" s="164"/>
      <c r="H530" s="165"/>
      <c r="I530" s="165"/>
      <c r="J530" s="165"/>
      <c r="K530" s="166"/>
      <c r="L530" s="161" t="s">
        <v>1</v>
      </c>
    </row>
    <row r="531" spans="1:12" ht="14.25" thickBot="1">
      <c r="A531" s="2" t="s">
        <v>2</v>
      </c>
      <c r="B531" s="3" t="s">
        <v>3</v>
      </c>
      <c r="C531" s="4" t="s">
        <v>4</v>
      </c>
      <c r="D531" s="4" t="s">
        <v>5</v>
      </c>
      <c r="E531" s="4" t="s">
        <v>6</v>
      </c>
      <c r="F531" s="4" t="s">
        <v>7</v>
      </c>
      <c r="G531" s="5" t="s">
        <v>8</v>
      </c>
      <c r="H531" s="4" t="s">
        <v>9</v>
      </c>
      <c r="I531" s="6" t="s">
        <v>10</v>
      </c>
      <c r="J531" s="5" t="s">
        <v>11</v>
      </c>
      <c r="K531" s="7" t="s">
        <v>12</v>
      </c>
      <c r="L531" s="167"/>
    </row>
    <row r="532" spans="1:12">
      <c r="A532" s="52" t="s">
        <v>17</v>
      </c>
      <c r="B532" s="55">
        <f>B526</f>
        <v>15</v>
      </c>
      <c r="C532" s="56">
        <f>C526</f>
        <v>3</v>
      </c>
      <c r="D532" s="56">
        <f t="shared" ref="D532:J532" si="187">D526</f>
        <v>0</v>
      </c>
      <c r="E532" s="56">
        <f t="shared" si="187"/>
        <v>0</v>
      </c>
      <c r="F532" s="56">
        <f t="shared" si="187"/>
        <v>0</v>
      </c>
      <c r="G532" s="56">
        <f t="shared" si="187"/>
        <v>0</v>
      </c>
      <c r="H532" s="56">
        <f t="shared" si="187"/>
        <v>2</v>
      </c>
      <c r="I532" s="56">
        <f t="shared" si="187"/>
        <v>0</v>
      </c>
      <c r="J532" s="56">
        <f t="shared" si="187"/>
        <v>0</v>
      </c>
      <c r="K532" s="83">
        <f t="shared" ref="K532:K534" si="188">SUM(B532:J532)</f>
        <v>20</v>
      </c>
      <c r="L532" s="86"/>
    </row>
    <row r="533" spans="1:12">
      <c r="A533" s="8" t="s">
        <v>221</v>
      </c>
      <c r="B533" s="9"/>
      <c r="C533" s="10"/>
      <c r="D533" s="10"/>
      <c r="E533" s="10"/>
      <c r="F533" s="10"/>
      <c r="G533" s="11"/>
      <c r="H533" s="11"/>
      <c r="I533" s="11"/>
      <c r="J533" s="11"/>
      <c r="K533" s="84">
        <f t="shared" si="188"/>
        <v>0</v>
      </c>
      <c r="L533" s="87"/>
    </row>
    <row r="534" spans="1:12">
      <c r="A534" s="8" t="s">
        <v>221</v>
      </c>
      <c r="B534" s="9"/>
      <c r="C534" s="10"/>
      <c r="D534" s="10"/>
      <c r="E534" s="10"/>
      <c r="F534" s="10"/>
      <c r="G534" s="11"/>
      <c r="H534" s="11"/>
      <c r="I534" s="11"/>
      <c r="J534" s="21"/>
      <c r="K534" s="84">
        <f t="shared" si="188"/>
        <v>0</v>
      </c>
      <c r="L534" s="87"/>
    </row>
    <row r="535" spans="1:12">
      <c r="A535" s="8" t="s">
        <v>221</v>
      </c>
      <c r="B535" s="67"/>
      <c r="C535" s="35"/>
      <c r="D535" s="35"/>
      <c r="E535" s="35"/>
      <c r="F535" s="35"/>
      <c r="G535" s="35"/>
      <c r="H535" s="35"/>
      <c r="I535" s="35"/>
      <c r="J535" s="68"/>
      <c r="K535" s="85">
        <f>SUM(B535:J535)</f>
        <v>0</v>
      </c>
      <c r="L535" s="87"/>
    </row>
    <row r="536" spans="1:12" ht="14.25" thickBot="1">
      <c r="A536" s="8" t="s">
        <v>221</v>
      </c>
      <c r="B536" s="70"/>
      <c r="C536" s="71"/>
      <c r="D536" s="71"/>
      <c r="E536" s="71"/>
      <c r="F536" s="71"/>
      <c r="G536" s="71"/>
      <c r="H536" s="71"/>
      <c r="I536" s="71"/>
      <c r="J536" s="72"/>
      <c r="K536" s="88">
        <f>SUM(B536:J536)</f>
        <v>0</v>
      </c>
      <c r="L536" s="36"/>
    </row>
    <row r="537" spans="1:12" ht="14.25" thickBot="1">
      <c r="A537" s="76" t="s">
        <v>18</v>
      </c>
      <c r="B537" s="77">
        <f>SUM(B532:B536)</f>
        <v>15</v>
      </c>
      <c r="C537" s="78">
        <f t="shared" ref="C537:J537" si="189">SUM(C532:C536)</f>
        <v>3</v>
      </c>
      <c r="D537" s="78">
        <f t="shared" si="189"/>
        <v>0</v>
      </c>
      <c r="E537" s="78">
        <f t="shared" si="189"/>
        <v>0</v>
      </c>
      <c r="F537" s="78">
        <f t="shared" si="189"/>
        <v>0</v>
      </c>
      <c r="G537" s="79">
        <f t="shared" si="189"/>
        <v>0</v>
      </c>
      <c r="H537" s="79">
        <f t="shared" si="189"/>
        <v>2</v>
      </c>
      <c r="I537" s="79">
        <f t="shared" si="189"/>
        <v>0</v>
      </c>
      <c r="J537" s="79">
        <f t="shared" si="189"/>
        <v>0</v>
      </c>
      <c r="K537" s="26">
        <f t="shared" ref="K537:K557" si="190">SUM(B537:J537)</f>
        <v>20</v>
      </c>
      <c r="L537" s="41"/>
    </row>
    <row r="538" spans="1:12">
      <c r="A538" s="8" t="s">
        <v>27</v>
      </c>
      <c r="B538" s="29">
        <v>1</v>
      </c>
      <c r="C538" s="30"/>
      <c r="D538" s="30"/>
      <c r="E538" s="30"/>
      <c r="F538" s="30"/>
      <c r="G538" s="32"/>
      <c r="H538" s="32"/>
      <c r="I538" s="32"/>
      <c r="J538" s="32"/>
      <c r="K538" s="34">
        <f t="shared" si="190"/>
        <v>1</v>
      </c>
      <c r="L538" s="19">
        <v>43382</v>
      </c>
    </row>
    <row r="539" spans="1:12">
      <c r="A539" s="8" t="s">
        <v>27</v>
      </c>
      <c r="B539" s="29">
        <v>2</v>
      </c>
      <c r="C539" s="30"/>
      <c r="D539" s="30"/>
      <c r="E539" s="30"/>
      <c r="F539" s="30"/>
      <c r="G539" s="32"/>
      <c r="H539" s="32">
        <v>1</v>
      </c>
      <c r="I539" s="32"/>
      <c r="J539" s="32"/>
      <c r="K539" s="34">
        <f t="shared" si="190"/>
        <v>3</v>
      </c>
      <c r="L539" s="22">
        <v>43413</v>
      </c>
    </row>
    <row r="540" spans="1:12">
      <c r="A540" s="8" t="s">
        <v>27</v>
      </c>
      <c r="B540" s="29"/>
      <c r="C540" s="30"/>
      <c r="D540" s="30"/>
      <c r="E540" s="30"/>
      <c r="F540" s="30"/>
      <c r="G540" s="32"/>
      <c r="H540" s="32">
        <v>1</v>
      </c>
      <c r="I540" s="32"/>
      <c r="J540" s="32"/>
      <c r="K540" s="34">
        <f t="shared" si="190"/>
        <v>1</v>
      </c>
      <c r="L540" s="22">
        <v>43416</v>
      </c>
    </row>
    <row r="541" spans="1:12">
      <c r="A541" s="8" t="s">
        <v>27</v>
      </c>
      <c r="B541" s="29">
        <v>2</v>
      </c>
      <c r="C541" s="30"/>
      <c r="D541" s="30"/>
      <c r="E541" s="30"/>
      <c r="F541" s="30"/>
      <c r="G541" s="32"/>
      <c r="H541" s="32"/>
      <c r="I541" s="32"/>
      <c r="J541" s="32"/>
      <c r="K541" s="34">
        <f t="shared" si="190"/>
        <v>2</v>
      </c>
      <c r="L541" s="22">
        <v>43472</v>
      </c>
    </row>
    <row r="542" spans="1:12">
      <c r="A542" s="8" t="s">
        <v>27</v>
      </c>
      <c r="B542" s="29">
        <v>1</v>
      </c>
      <c r="C542" s="30">
        <v>1</v>
      </c>
      <c r="D542" s="30"/>
      <c r="E542" s="30"/>
      <c r="F542" s="30"/>
      <c r="G542" s="32"/>
      <c r="H542" s="33"/>
      <c r="I542" s="32"/>
      <c r="J542" s="32"/>
      <c r="K542" s="34">
        <f t="shared" si="190"/>
        <v>2</v>
      </c>
      <c r="L542" s="22">
        <v>43480</v>
      </c>
    </row>
    <row r="543" spans="1:12">
      <c r="A543" s="8" t="s">
        <v>27</v>
      </c>
      <c r="B543" s="29">
        <v>3</v>
      </c>
      <c r="C543" s="30"/>
      <c r="D543" s="30"/>
      <c r="E543" s="30"/>
      <c r="F543" s="30"/>
      <c r="G543" s="32"/>
      <c r="H543" s="33"/>
      <c r="I543" s="33"/>
      <c r="J543" s="33"/>
      <c r="K543" s="34">
        <f t="shared" si="190"/>
        <v>3</v>
      </c>
      <c r="L543" s="22">
        <v>43481</v>
      </c>
    </row>
    <row r="544" spans="1:12">
      <c r="A544" s="8" t="s">
        <v>27</v>
      </c>
      <c r="B544" s="29">
        <v>1</v>
      </c>
      <c r="C544" s="30"/>
      <c r="D544" s="30"/>
      <c r="E544" s="31"/>
      <c r="F544" s="31"/>
      <c r="G544" s="32"/>
      <c r="H544" s="33"/>
      <c r="I544" s="33"/>
      <c r="J544" s="33"/>
      <c r="K544" s="34">
        <f t="shared" si="190"/>
        <v>1</v>
      </c>
      <c r="L544" s="22">
        <v>43496</v>
      </c>
    </row>
    <row r="545" spans="1:12">
      <c r="A545" s="8" t="s">
        <v>27</v>
      </c>
      <c r="B545" s="35">
        <v>1</v>
      </c>
      <c r="C545" s="31"/>
      <c r="D545" s="31"/>
      <c r="E545" s="31"/>
      <c r="F545" s="31"/>
      <c r="G545" s="33"/>
      <c r="H545" s="33"/>
      <c r="I545" s="33"/>
      <c r="J545" s="33"/>
      <c r="K545" s="34">
        <f t="shared" si="190"/>
        <v>1</v>
      </c>
      <c r="L545" s="22">
        <v>43500</v>
      </c>
    </row>
    <row r="546" spans="1:12">
      <c r="A546" s="8" t="s">
        <v>27</v>
      </c>
      <c r="B546" s="35">
        <v>1</v>
      </c>
      <c r="C546" s="31"/>
      <c r="D546" s="31"/>
      <c r="E546" s="31"/>
      <c r="F546" s="31"/>
      <c r="G546" s="33"/>
      <c r="H546" s="33"/>
      <c r="I546" s="33"/>
      <c r="J546" s="33"/>
      <c r="K546" s="34">
        <f t="shared" si="190"/>
        <v>1</v>
      </c>
      <c r="L546" s="22">
        <v>43511</v>
      </c>
    </row>
    <row r="547" spans="1:12">
      <c r="A547" s="8" t="s">
        <v>27</v>
      </c>
      <c r="B547" s="35">
        <v>2</v>
      </c>
      <c r="C547" s="31">
        <v>2</v>
      </c>
      <c r="D547" s="31"/>
      <c r="E547" s="31"/>
      <c r="F547" s="31"/>
      <c r="G547" s="33"/>
      <c r="H547" s="33"/>
      <c r="I547" s="33"/>
      <c r="J547" s="33"/>
      <c r="K547" s="34">
        <f t="shared" si="190"/>
        <v>4</v>
      </c>
      <c r="L547" s="22">
        <v>43622</v>
      </c>
    </row>
    <row r="548" spans="1:12">
      <c r="A548" s="8" t="s">
        <v>27</v>
      </c>
      <c r="B548" s="29">
        <v>1</v>
      </c>
      <c r="C548" s="30"/>
      <c r="D548" s="30"/>
      <c r="E548" s="30"/>
      <c r="F548" s="30"/>
      <c r="G548" s="32"/>
      <c r="H548" s="32"/>
      <c r="I548" s="32"/>
      <c r="J548" s="32"/>
      <c r="K548" s="34">
        <f t="shared" si="190"/>
        <v>1</v>
      </c>
      <c r="L548" s="22">
        <v>43636</v>
      </c>
    </row>
    <row r="549" spans="1:12">
      <c r="A549" s="8"/>
      <c r="B549" s="35"/>
      <c r="C549" s="31"/>
      <c r="D549" s="31"/>
      <c r="E549" s="31"/>
      <c r="F549" s="31"/>
      <c r="G549" s="33"/>
      <c r="H549" s="33"/>
      <c r="I549" s="33"/>
      <c r="J549" s="33"/>
      <c r="K549" s="34">
        <f t="shared" si="190"/>
        <v>0</v>
      </c>
      <c r="L549" s="22"/>
    </row>
    <row r="550" spans="1:12">
      <c r="A550" s="8"/>
      <c r="B550" s="29"/>
      <c r="C550" s="30"/>
      <c r="D550" s="30"/>
      <c r="E550" s="30"/>
      <c r="F550" s="30"/>
      <c r="G550" s="32"/>
      <c r="H550" s="33"/>
      <c r="I550" s="33"/>
      <c r="J550" s="33"/>
      <c r="K550" s="34">
        <f t="shared" si="190"/>
        <v>0</v>
      </c>
      <c r="L550" s="22"/>
    </row>
    <row r="551" spans="1:12">
      <c r="A551" s="8"/>
      <c r="B551" s="29"/>
      <c r="C551" s="30"/>
      <c r="D551" s="30"/>
      <c r="E551" s="30"/>
      <c r="F551" s="30"/>
      <c r="G551" s="32"/>
      <c r="H551" s="32"/>
      <c r="I551" s="32"/>
      <c r="J551" s="32"/>
      <c r="K551" s="34">
        <f t="shared" si="190"/>
        <v>0</v>
      </c>
      <c r="L551" s="19"/>
    </row>
    <row r="552" spans="1:12">
      <c r="A552" s="8"/>
      <c r="B552" s="35"/>
      <c r="C552" s="31"/>
      <c r="D552" s="31"/>
      <c r="E552" s="31"/>
      <c r="F552" s="31"/>
      <c r="G552" s="33"/>
      <c r="H552" s="33"/>
      <c r="I552" s="33"/>
      <c r="J552" s="33"/>
      <c r="K552" s="34">
        <f t="shared" si="190"/>
        <v>0</v>
      </c>
      <c r="L552" s="22"/>
    </row>
    <row r="553" spans="1:12">
      <c r="A553" s="8"/>
      <c r="B553" s="29"/>
      <c r="C553" s="30"/>
      <c r="D553" s="30"/>
      <c r="E553" s="30"/>
      <c r="F553" s="30"/>
      <c r="G553" s="32"/>
      <c r="H553" s="32"/>
      <c r="I553" s="32"/>
      <c r="J553" s="32"/>
      <c r="K553" s="34">
        <f t="shared" si="190"/>
        <v>0</v>
      </c>
      <c r="L553" s="22"/>
    </row>
    <row r="554" spans="1:12">
      <c r="A554" s="8"/>
      <c r="B554" s="29"/>
      <c r="C554" s="30"/>
      <c r="D554" s="30"/>
      <c r="E554" s="30"/>
      <c r="F554" s="30"/>
      <c r="G554" s="32"/>
      <c r="H554" s="32"/>
      <c r="I554" s="32"/>
      <c r="J554" s="32"/>
      <c r="K554" s="34">
        <f t="shared" si="190"/>
        <v>0</v>
      </c>
      <c r="L554" s="19"/>
    </row>
    <row r="555" spans="1:12">
      <c r="A555" s="8"/>
      <c r="B555" s="29"/>
      <c r="C555" s="30"/>
      <c r="D555" s="30"/>
      <c r="E555" s="30"/>
      <c r="F555" s="30"/>
      <c r="G555" s="32"/>
      <c r="H555" s="32"/>
      <c r="I555" s="32"/>
      <c r="J555" s="32"/>
      <c r="K555" s="34">
        <f t="shared" si="190"/>
        <v>0</v>
      </c>
      <c r="L555" s="19"/>
    </row>
    <row r="556" spans="1:12">
      <c r="A556" s="8"/>
      <c r="B556" s="29"/>
      <c r="C556" s="30"/>
      <c r="D556" s="30"/>
      <c r="E556" s="30"/>
      <c r="F556" s="30"/>
      <c r="G556" s="32"/>
      <c r="H556" s="32"/>
      <c r="I556" s="32"/>
      <c r="J556" s="32"/>
      <c r="K556" s="34">
        <f t="shared" si="190"/>
        <v>0</v>
      </c>
      <c r="L556" s="19"/>
    </row>
    <row r="557" spans="1:12" ht="14.25" thickBot="1">
      <c r="A557" s="8"/>
      <c r="B557" s="29"/>
      <c r="C557" s="30"/>
      <c r="D557" s="30"/>
      <c r="E557" s="31"/>
      <c r="F557" s="31"/>
      <c r="G557" s="32"/>
      <c r="H557" s="33"/>
      <c r="I557" s="33"/>
      <c r="J557" s="33"/>
      <c r="K557" s="34">
        <f t="shared" si="190"/>
        <v>0</v>
      </c>
      <c r="L557" s="36"/>
    </row>
    <row r="558" spans="1:12" ht="14.25" thickBot="1">
      <c r="A558" s="2" t="s">
        <v>19</v>
      </c>
      <c r="B558" s="23">
        <f t="shared" ref="B558:J558" si="191">SUM(B538:B557)</f>
        <v>15</v>
      </c>
      <c r="C558" s="24">
        <f t="shared" si="191"/>
        <v>3</v>
      </c>
      <c r="D558" s="24">
        <f t="shared" si="191"/>
        <v>0</v>
      </c>
      <c r="E558" s="24">
        <f t="shared" si="191"/>
        <v>0</v>
      </c>
      <c r="F558" s="24">
        <f t="shared" si="191"/>
        <v>0</v>
      </c>
      <c r="G558" s="25">
        <f t="shared" si="191"/>
        <v>0</v>
      </c>
      <c r="H558" s="25">
        <f t="shared" si="191"/>
        <v>2</v>
      </c>
      <c r="I558" s="25">
        <f t="shared" si="191"/>
        <v>0</v>
      </c>
      <c r="J558" s="25">
        <f t="shared" si="191"/>
        <v>0</v>
      </c>
      <c r="K558" s="37">
        <f>SUM(B558:J558)</f>
        <v>20</v>
      </c>
      <c r="L558" s="27"/>
    </row>
    <row r="559" spans="1:12" ht="14.25" thickBot="1">
      <c r="A559" s="38" t="s">
        <v>17</v>
      </c>
      <c r="B559" s="39">
        <f>B537-B558</f>
        <v>0</v>
      </c>
      <c r="C559" s="39">
        <f t="shared" ref="C559:K559" si="192">C537-C558</f>
        <v>0</v>
      </c>
      <c r="D559" s="39">
        <f t="shared" si="192"/>
        <v>0</v>
      </c>
      <c r="E559" s="39">
        <f t="shared" si="192"/>
        <v>0</v>
      </c>
      <c r="F559" s="39">
        <f t="shared" si="192"/>
        <v>0</v>
      </c>
      <c r="G559" s="39">
        <f t="shared" si="192"/>
        <v>0</v>
      </c>
      <c r="H559" s="39">
        <f t="shared" si="192"/>
        <v>0</v>
      </c>
      <c r="I559" s="39">
        <f t="shared" si="192"/>
        <v>0</v>
      </c>
      <c r="J559" s="40">
        <f t="shared" si="192"/>
        <v>0</v>
      </c>
      <c r="K559" s="37">
        <f t="shared" si="192"/>
        <v>0</v>
      </c>
      <c r="L559" s="41"/>
    </row>
  </sheetData>
  <mergeCells count="64">
    <mergeCell ref="B530:K530"/>
    <mergeCell ref="L530:L531"/>
    <mergeCell ref="B497:K497"/>
    <mergeCell ref="L497:L498"/>
    <mergeCell ref="B464:K464"/>
    <mergeCell ref="L464:L465"/>
    <mergeCell ref="O464:X464"/>
    <mergeCell ref="Y464:Y465"/>
    <mergeCell ref="B431:K431"/>
    <mergeCell ref="L431:L432"/>
    <mergeCell ref="O431:X431"/>
    <mergeCell ref="Y431:Y432"/>
    <mergeCell ref="B101:K101"/>
    <mergeCell ref="L101:L102"/>
    <mergeCell ref="O101:X101"/>
    <mergeCell ref="Y101:Y102"/>
    <mergeCell ref="B398:K398"/>
    <mergeCell ref="L398:L399"/>
    <mergeCell ref="O398:X398"/>
    <mergeCell ref="Y398:Y399"/>
    <mergeCell ref="Y365:Y366"/>
    <mergeCell ref="B365:K365"/>
    <mergeCell ref="L365:L366"/>
    <mergeCell ref="O365:X365"/>
    <mergeCell ref="B134:K134"/>
    <mergeCell ref="L134:L135"/>
    <mergeCell ref="O134:X134"/>
    <mergeCell ref="Y134:Y135"/>
    <mergeCell ref="Y2:Y3"/>
    <mergeCell ref="O35:X35"/>
    <mergeCell ref="Y35:Y36"/>
    <mergeCell ref="B35:K35"/>
    <mergeCell ref="L35:L36"/>
    <mergeCell ref="B2:K2"/>
    <mergeCell ref="L2:L3"/>
    <mergeCell ref="O2:X2"/>
    <mergeCell ref="B68:K68"/>
    <mergeCell ref="L68:L69"/>
    <mergeCell ref="O68:X68"/>
    <mergeCell ref="Y68:Y69"/>
    <mergeCell ref="B233:K233"/>
    <mergeCell ref="L233:L234"/>
    <mergeCell ref="O233:X233"/>
    <mergeCell ref="Y233:Y234"/>
    <mergeCell ref="B200:K200"/>
    <mergeCell ref="L200:L201"/>
    <mergeCell ref="O200:X200"/>
    <mergeCell ref="Y200:Y201"/>
    <mergeCell ref="B167:K167"/>
    <mergeCell ref="L167:L168"/>
    <mergeCell ref="O167:X167"/>
    <mergeCell ref="Y167:Y168"/>
    <mergeCell ref="Y332:Y333"/>
    <mergeCell ref="B266:K266"/>
    <mergeCell ref="L266:L267"/>
    <mergeCell ref="O266:X266"/>
    <mergeCell ref="Y266:Y267"/>
    <mergeCell ref="B332:K332"/>
    <mergeCell ref="L332:L333"/>
    <mergeCell ref="O332:X332"/>
    <mergeCell ref="B299:K299"/>
    <mergeCell ref="L299:L300"/>
    <mergeCell ref="O299:X299"/>
    <mergeCell ref="Y299:Y300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1"/>
  <sheetViews>
    <sheetView topLeftCell="K337" workbookViewId="0">
      <selection activeCell="P349" sqref="P349"/>
    </sheetView>
  </sheetViews>
  <sheetFormatPr defaultRowHeight="13.5"/>
  <cols>
    <col min="1" max="1" width="14.875" customWidth="1"/>
    <col min="12" max="12" width="9.25" bestFit="1" customWidth="1"/>
    <col min="14" max="14" width="15" customWidth="1"/>
    <col min="25" max="25" width="9.25" bestFit="1" customWidth="1"/>
  </cols>
  <sheetData>
    <row r="1" spans="1:25" ht="19.5" thickBot="1">
      <c r="A1" s="1" t="s">
        <v>22</v>
      </c>
      <c r="N1" s="1" t="s">
        <v>21</v>
      </c>
    </row>
    <row r="2" spans="1:25" ht="19.5" thickBot="1">
      <c r="A2" s="2" t="s">
        <v>0</v>
      </c>
      <c r="B2" s="163" t="s">
        <v>20</v>
      </c>
      <c r="C2" s="164"/>
      <c r="D2" s="164"/>
      <c r="E2" s="164"/>
      <c r="F2" s="164"/>
      <c r="G2" s="164"/>
      <c r="H2" s="165"/>
      <c r="I2" s="165"/>
      <c r="J2" s="165"/>
      <c r="K2" s="166"/>
      <c r="L2" s="161" t="s">
        <v>1</v>
      </c>
      <c r="N2" s="2" t="s">
        <v>0</v>
      </c>
      <c r="O2" s="163" t="s">
        <v>20</v>
      </c>
      <c r="P2" s="164"/>
      <c r="Q2" s="164"/>
      <c r="R2" s="164"/>
      <c r="S2" s="164"/>
      <c r="T2" s="164"/>
      <c r="U2" s="165"/>
      <c r="V2" s="165"/>
      <c r="W2" s="165"/>
      <c r="X2" s="166"/>
      <c r="Y2" s="161" t="s">
        <v>1</v>
      </c>
    </row>
    <row r="3" spans="1:25" ht="14.25" thickBot="1">
      <c r="A3" s="2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4" t="s">
        <v>9</v>
      </c>
      <c r="I3" s="6" t="s">
        <v>10</v>
      </c>
      <c r="J3" s="5" t="s">
        <v>11</v>
      </c>
      <c r="K3" s="7" t="s">
        <v>12</v>
      </c>
      <c r="L3" s="162"/>
      <c r="N3" s="2" t="s">
        <v>2</v>
      </c>
      <c r="O3" s="3" t="s">
        <v>3</v>
      </c>
      <c r="P3" s="4" t="s">
        <v>4</v>
      </c>
      <c r="Q3" s="4" t="s">
        <v>5</v>
      </c>
      <c r="R3" s="4" t="s">
        <v>6</v>
      </c>
      <c r="S3" s="4" t="s">
        <v>7</v>
      </c>
      <c r="T3" s="5" t="s">
        <v>8</v>
      </c>
      <c r="U3" s="4" t="s">
        <v>9</v>
      </c>
      <c r="V3" s="6" t="s">
        <v>10</v>
      </c>
      <c r="W3" s="5" t="s">
        <v>11</v>
      </c>
      <c r="X3" s="7" t="s">
        <v>12</v>
      </c>
      <c r="Y3" s="162"/>
    </row>
    <row r="4" spans="1:25">
      <c r="A4" s="8" t="s">
        <v>13</v>
      </c>
      <c r="B4" s="9">
        <v>3</v>
      </c>
      <c r="C4" s="10">
        <v>3</v>
      </c>
      <c r="D4" s="10">
        <v>3</v>
      </c>
      <c r="E4" s="10">
        <v>3</v>
      </c>
      <c r="F4" s="10">
        <v>3</v>
      </c>
      <c r="G4" s="11">
        <v>3</v>
      </c>
      <c r="H4" s="11">
        <v>3</v>
      </c>
      <c r="I4" s="11">
        <v>3</v>
      </c>
      <c r="J4" s="11">
        <v>3</v>
      </c>
      <c r="K4" s="50">
        <f t="shared" ref="K4:K29" si="0">SUM(B4:J4)</f>
        <v>27</v>
      </c>
      <c r="L4" s="12">
        <v>42310</v>
      </c>
      <c r="N4" s="8" t="s">
        <v>13</v>
      </c>
      <c r="O4" s="9">
        <v>250</v>
      </c>
      <c r="P4" s="10">
        <v>140</v>
      </c>
      <c r="Q4" s="10">
        <v>80</v>
      </c>
      <c r="R4" s="10">
        <v>513</v>
      </c>
      <c r="S4" s="10">
        <v>432</v>
      </c>
      <c r="T4" s="11">
        <v>130</v>
      </c>
      <c r="U4" s="11">
        <v>130</v>
      </c>
      <c r="V4" s="11">
        <v>170</v>
      </c>
      <c r="W4" s="11">
        <v>160</v>
      </c>
      <c r="X4" s="50">
        <f t="shared" ref="X4:X29" si="1">SUM(O4:W4)</f>
        <v>2005</v>
      </c>
      <c r="Y4" s="12">
        <v>42313</v>
      </c>
    </row>
    <row r="5" spans="1:25">
      <c r="A5" s="8" t="s">
        <v>14</v>
      </c>
      <c r="B5" s="9"/>
      <c r="C5" s="10"/>
      <c r="D5" s="10"/>
      <c r="E5" s="10"/>
      <c r="F5" s="10"/>
      <c r="G5" s="11"/>
      <c r="H5" s="11"/>
      <c r="I5" s="11"/>
      <c r="J5" s="11">
        <v>3</v>
      </c>
      <c r="K5" s="13">
        <f t="shared" si="0"/>
        <v>3</v>
      </c>
      <c r="L5" s="12">
        <v>42324</v>
      </c>
      <c r="N5" s="8" t="s">
        <v>14</v>
      </c>
      <c r="O5" s="9">
        <v>50</v>
      </c>
      <c r="P5" s="10"/>
      <c r="Q5" s="10"/>
      <c r="R5" s="10">
        <v>100</v>
      </c>
      <c r="S5" s="10">
        <v>100</v>
      </c>
      <c r="T5" s="11"/>
      <c r="U5" s="11"/>
      <c r="V5" s="11">
        <v>50</v>
      </c>
      <c r="W5" s="11"/>
      <c r="X5" s="13">
        <f t="shared" si="1"/>
        <v>300</v>
      </c>
      <c r="Y5" s="12">
        <v>42313</v>
      </c>
    </row>
    <row r="6" spans="1:25">
      <c r="A6" s="14" t="s">
        <v>15</v>
      </c>
      <c r="B6" s="15"/>
      <c r="C6" s="16"/>
      <c r="D6" s="16"/>
      <c r="E6" s="16">
        <v>5</v>
      </c>
      <c r="F6" s="16">
        <v>3</v>
      </c>
      <c r="G6" s="17"/>
      <c r="H6" s="17"/>
      <c r="I6" s="17"/>
      <c r="J6" s="17"/>
      <c r="K6" s="18">
        <f t="shared" si="0"/>
        <v>8</v>
      </c>
      <c r="L6" s="19">
        <v>42327</v>
      </c>
      <c r="N6" s="14" t="s">
        <v>15</v>
      </c>
      <c r="O6" s="15"/>
      <c r="P6" s="16"/>
      <c r="Q6" s="16"/>
      <c r="R6" s="16"/>
      <c r="S6" s="16"/>
      <c r="T6" s="17"/>
      <c r="U6" s="17"/>
      <c r="V6" s="17"/>
      <c r="W6" s="17"/>
      <c r="X6" s="18">
        <f t="shared" si="1"/>
        <v>0</v>
      </c>
      <c r="Y6" s="19"/>
    </row>
    <row r="7" spans="1:25">
      <c r="A7" s="20" t="s">
        <v>16</v>
      </c>
      <c r="B7" s="9">
        <v>3</v>
      </c>
      <c r="C7" s="10">
        <v>3</v>
      </c>
      <c r="D7" s="10"/>
      <c r="E7" s="10">
        <v>5</v>
      </c>
      <c r="F7" s="10">
        <v>5</v>
      </c>
      <c r="G7" s="10"/>
      <c r="H7" s="10"/>
      <c r="I7" s="10">
        <v>2</v>
      </c>
      <c r="J7" s="21"/>
      <c r="K7" s="13">
        <f>SUM(B7:J7)</f>
        <v>18</v>
      </c>
      <c r="L7" s="22">
        <v>42342</v>
      </c>
      <c r="N7" s="20" t="s">
        <v>16</v>
      </c>
      <c r="O7" s="9"/>
      <c r="P7" s="10"/>
      <c r="Q7" s="10"/>
      <c r="R7" s="10"/>
      <c r="S7" s="10"/>
      <c r="T7" s="10"/>
      <c r="U7" s="10"/>
      <c r="V7" s="10"/>
      <c r="W7" s="21"/>
      <c r="X7" s="13">
        <f t="shared" si="1"/>
        <v>0</v>
      </c>
      <c r="Y7" s="22"/>
    </row>
    <row r="8" spans="1:25" ht="14.25" thickBot="1">
      <c r="A8" s="20" t="s">
        <v>23</v>
      </c>
      <c r="B8" s="42"/>
      <c r="C8" s="43">
        <v>5</v>
      </c>
      <c r="D8" s="43"/>
      <c r="E8" s="43"/>
      <c r="F8" s="43"/>
      <c r="G8" s="43">
        <v>3</v>
      </c>
      <c r="H8" s="43"/>
      <c r="I8" s="43"/>
      <c r="J8" s="44"/>
      <c r="K8" s="45">
        <f>SUM(B8:J8)</f>
        <v>8</v>
      </c>
      <c r="L8" s="19">
        <v>42353</v>
      </c>
      <c r="N8" s="20" t="s">
        <v>23</v>
      </c>
      <c r="O8" s="42"/>
      <c r="P8" s="43"/>
      <c r="Q8" s="43"/>
      <c r="R8" s="43"/>
      <c r="S8" s="43"/>
      <c r="T8" s="43"/>
      <c r="U8" s="43"/>
      <c r="V8" s="43"/>
      <c r="W8" s="44"/>
      <c r="X8" s="45">
        <f t="shared" si="1"/>
        <v>0</v>
      </c>
      <c r="Y8" s="19"/>
    </row>
    <row r="9" spans="1:25" ht="14.25" thickBot="1">
      <c r="A9" s="2" t="s">
        <v>18</v>
      </c>
      <c r="B9" s="23">
        <f>SUM(B4:B8)</f>
        <v>6</v>
      </c>
      <c r="C9" s="24">
        <f t="shared" ref="C9:J9" si="2">SUM(C4:C8)</f>
        <v>11</v>
      </c>
      <c r="D9" s="24">
        <f t="shared" si="2"/>
        <v>3</v>
      </c>
      <c r="E9" s="24">
        <f t="shared" si="2"/>
        <v>13</v>
      </c>
      <c r="F9" s="24">
        <f t="shared" si="2"/>
        <v>11</v>
      </c>
      <c r="G9" s="25">
        <f t="shared" si="2"/>
        <v>6</v>
      </c>
      <c r="H9" s="25">
        <f t="shared" si="2"/>
        <v>3</v>
      </c>
      <c r="I9" s="25">
        <f t="shared" si="2"/>
        <v>5</v>
      </c>
      <c r="J9" s="25">
        <f t="shared" si="2"/>
        <v>6</v>
      </c>
      <c r="K9" s="26">
        <f t="shared" si="0"/>
        <v>64</v>
      </c>
      <c r="L9" s="27"/>
      <c r="N9" s="2" t="s">
        <v>18</v>
      </c>
      <c r="O9" s="23">
        <f t="shared" ref="O9:W9" si="3">SUM(O4:O8)</f>
        <v>300</v>
      </c>
      <c r="P9" s="24">
        <f t="shared" si="3"/>
        <v>140</v>
      </c>
      <c r="Q9" s="24">
        <f t="shared" si="3"/>
        <v>80</v>
      </c>
      <c r="R9" s="24">
        <f t="shared" si="3"/>
        <v>613</v>
      </c>
      <c r="S9" s="24">
        <f t="shared" si="3"/>
        <v>532</v>
      </c>
      <c r="T9" s="25">
        <f t="shared" si="3"/>
        <v>130</v>
      </c>
      <c r="U9" s="25">
        <f t="shared" si="3"/>
        <v>130</v>
      </c>
      <c r="V9" s="25">
        <f t="shared" si="3"/>
        <v>220</v>
      </c>
      <c r="W9" s="25">
        <f t="shared" si="3"/>
        <v>160</v>
      </c>
      <c r="X9" s="26">
        <f t="shared" si="1"/>
        <v>2305</v>
      </c>
      <c r="Y9" s="27"/>
    </row>
    <row r="10" spans="1:25">
      <c r="A10" s="28" t="s">
        <v>27</v>
      </c>
      <c r="B10" s="29"/>
      <c r="C10" s="30"/>
      <c r="D10" s="30"/>
      <c r="E10" s="31"/>
      <c r="F10" s="31"/>
      <c r="G10" s="32"/>
      <c r="H10" s="33"/>
      <c r="I10" s="33"/>
      <c r="J10" s="33">
        <v>1</v>
      </c>
      <c r="K10" s="34">
        <f t="shared" si="0"/>
        <v>1</v>
      </c>
      <c r="L10" s="12">
        <v>42312</v>
      </c>
      <c r="N10" s="28" t="s">
        <v>24</v>
      </c>
      <c r="O10" s="29">
        <v>150</v>
      </c>
      <c r="P10" s="30">
        <v>60</v>
      </c>
      <c r="Q10" s="30">
        <v>30</v>
      </c>
      <c r="R10" s="31">
        <v>280</v>
      </c>
      <c r="S10" s="31">
        <v>200</v>
      </c>
      <c r="T10" s="32">
        <v>60</v>
      </c>
      <c r="U10" s="33">
        <v>60</v>
      </c>
      <c r="V10" s="33">
        <v>90</v>
      </c>
      <c r="W10" s="33">
        <v>70</v>
      </c>
      <c r="X10" s="34">
        <f t="shared" si="1"/>
        <v>1000</v>
      </c>
      <c r="Y10" s="12">
        <v>42313</v>
      </c>
    </row>
    <row r="11" spans="1:25">
      <c r="A11" s="51" t="s">
        <v>26</v>
      </c>
      <c r="B11" s="29"/>
      <c r="C11" s="30"/>
      <c r="D11" s="30"/>
      <c r="E11" s="30"/>
      <c r="F11" s="30">
        <v>1</v>
      </c>
      <c r="G11" s="32"/>
      <c r="H11" s="32"/>
      <c r="I11" s="32"/>
      <c r="J11" s="32"/>
      <c r="K11" s="34">
        <f t="shared" si="0"/>
        <v>1</v>
      </c>
      <c r="L11" s="22">
        <v>42313</v>
      </c>
      <c r="N11" s="20" t="s">
        <v>25</v>
      </c>
      <c r="O11" s="29">
        <v>3</v>
      </c>
      <c r="P11" s="30">
        <v>3</v>
      </c>
      <c r="Q11" s="30">
        <v>3</v>
      </c>
      <c r="R11" s="30">
        <v>3</v>
      </c>
      <c r="S11" s="30">
        <v>3</v>
      </c>
      <c r="T11" s="32">
        <v>3</v>
      </c>
      <c r="U11" s="32">
        <v>3</v>
      </c>
      <c r="V11" s="32">
        <v>3</v>
      </c>
      <c r="W11" s="32">
        <v>3</v>
      </c>
      <c r="X11" s="34">
        <f t="shared" si="1"/>
        <v>27</v>
      </c>
      <c r="Y11" s="22">
        <v>42310</v>
      </c>
    </row>
    <row r="12" spans="1:25">
      <c r="A12" s="20" t="s">
        <v>27</v>
      </c>
      <c r="B12" s="29"/>
      <c r="C12" s="30"/>
      <c r="D12" s="30"/>
      <c r="E12" s="30"/>
      <c r="F12" s="30"/>
      <c r="G12" s="32"/>
      <c r="H12" s="32"/>
      <c r="I12" s="32"/>
      <c r="J12" s="32">
        <v>1</v>
      </c>
      <c r="K12" s="34">
        <f t="shared" si="0"/>
        <v>1</v>
      </c>
      <c r="L12" s="22">
        <v>42313</v>
      </c>
      <c r="N12" s="20" t="s">
        <v>29</v>
      </c>
      <c r="O12" s="29"/>
      <c r="P12" s="30"/>
      <c r="Q12" s="30"/>
      <c r="R12" s="30"/>
      <c r="S12" s="30"/>
      <c r="T12" s="32"/>
      <c r="U12" s="32"/>
      <c r="V12" s="32"/>
      <c r="W12" s="32">
        <v>3</v>
      </c>
      <c r="X12" s="34">
        <f t="shared" si="1"/>
        <v>3</v>
      </c>
      <c r="Y12" s="22">
        <v>42324</v>
      </c>
    </row>
    <row r="13" spans="1:25">
      <c r="A13" s="20" t="s">
        <v>27</v>
      </c>
      <c r="B13" s="29"/>
      <c r="C13" s="30"/>
      <c r="D13" s="30"/>
      <c r="E13" s="30"/>
      <c r="F13" s="30"/>
      <c r="G13" s="32"/>
      <c r="H13" s="33"/>
      <c r="I13" s="32"/>
      <c r="J13" s="32">
        <v>1</v>
      </c>
      <c r="K13" s="34">
        <f t="shared" si="0"/>
        <v>1</v>
      </c>
      <c r="L13" s="22">
        <v>42313</v>
      </c>
      <c r="N13" s="20" t="s">
        <v>29</v>
      </c>
      <c r="O13" s="29"/>
      <c r="P13" s="30"/>
      <c r="Q13" s="30"/>
      <c r="R13" s="30">
        <v>5</v>
      </c>
      <c r="S13" s="30">
        <v>3</v>
      </c>
      <c r="T13" s="32"/>
      <c r="U13" s="33"/>
      <c r="V13" s="32"/>
      <c r="W13" s="32"/>
      <c r="X13" s="34">
        <f t="shared" si="1"/>
        <v>8</v>
      </c>
      <c r="Y13" s="22">
        <v>42328</v>
      </c>
    </row>
    <row r="14" spans="1:25">
      <c r="A14" s="20" t="s">
        <v>27</v>
      </c>
      <c r="B14" s="29"/>
      <c r="C14" s="30"/>
      <c r="D14" s="30"/>
      <c r="E14" s="30">
        <v>1</v>
      </c>
      <c r="F14" s="30"/>
      <c r="G14" s="32"/>
      <c r="H14" s="32"/>
      <c r="I14" s="32"/>
      <c r="J14" s="32"/>
      <c r="K14" s="34">
        <f t="shared" si="0"/>
        <v>1</v>
      </c>
      <c r="L14" s="22">
        <v>42319</v>
      </c>
      <c r="N14" s="20" t="s">
        <v>29</v>
      </c>
      <c r="O14" s="29">
        <v>3</v>
      </c>
      <c r="P14" s="30">
        <v>3</v>
      </c>
      <c r="Q14" s="30"/>
      <c r="R14" s="30">
        <v>5</v>
      </c>
      <c r="S14" s="30">
        <v>5</v>
      </c>
      <c r="T14" s="32"/>
      <c r="U14" s="32"/>
      <c r="V14" s="32">
        <v>2</v>
      </c>
      <c r="W14" s="32"/>
      <c r="X14" s="34">
        <f t="shared" si="1"/>
        <v>18</v>
      </c>
      <c r="Y14" s="22">
        <v>42342</v>
      </c>
    </row>
    <row r="15" spans="1:25">
      <c r="A15" s="20" t="s">
        <v>27</v>
      </c>
      <c r="B15" s="29"/>
      <c r="C15" s="30"/>
      <c r="D15" s="30"/>
      <c r="E15" s="30">
        <v>1</v>
      </c>
      <c r="F15" s="30"/>
      <c r="G15" s="32"/>
      <c r="H15" s="33"/>
      <c r="I15" s="33"/>
      <c r="J15" s="33"/>
      <c r="K15" s="34">
        <f t="shared" si="0"/>
        <v>1</v>
      </c>
      <c r="L15" s="22">
        <v>42324</v>
      </c>
      <c r="N15" s="20" t="s">
        <v>29</v>
      </c>
      <c r="O15" s="29"/>
      <c r="P15" s="30">
        <v>5</v>
      </c>
      <c r="Q15" s="30"/>
      <c r="R15" s="30"/>
      <c r="S15" s="30"/>
      <c r="T15" s="32">
        <v>3</v>
      </c>
      <c r="U15" s="33"/>
      <c r="V15" s="33"/>
      <c r="W15" s="33"/>
      <c r="X15" s="34">
        <f t="shared" si="1"/>
        <v>8</v>
      </c>
      <c r="Y15" s="22">
        <v>42353</v>
      </c>
    </row>
    <row r="16" spans="1:25">
      <c r="A16" s="28" t="s">
        <v>30</v>
      </c>
      <c r="B16" s="29"/>
      <c r="C16" s="30"/>
      <c r="D16" s="30"/>
      <c r="E16" s="31"/>
      <c r="F16" s="31">
        <v>1</v>
      </c>
      <c r="G16" s="32"/>
      <c r="H16" s="33"/>
      <c r="I16" s="33"/>
      <c r="J16" s="33"/>
      <c r="K16" s="34">
        <f t="shared" si="0"/>
        <v>1</v>
      </c>
      <c r="L16" s="22">
        <v>42325</v>
      </c>
      <c r="N16" s="20" t="s">
        <v>29</v>
      </c>
      <c r="O16" s="29">
        <v>3</v>
      </c>
      <c r="P16" s="30"/>
      <c r="Q16" s="30"/>
      <c r="R16" s="31">
        <v>3</v>
      </c>
      <c r="S16" s="31">
        <v>6</v>
      </c>
      <c r="T16" s="32"/>
      <c r="U16" s="33"/>
      <c r="V16" s="33">
        <v>3</v>
      </c>
      <c r="W16" s="33">
        <v>3</v>
      </c>
      <c r="X16" s="34">
        <f t="shared" si="1"/>
        <v>18</v>
      </c>
      <c r="Y16" s="22">
        <v>42390</v>
      </c>
    </row>
    <row r="17" spans="1:25">
      <c r="A17" s="28" t="s">
        <v>27</v>
      </c>
      <c r="B17" s="35"/>
      <c r="C17" s="31"/>
      <c r="D17" s="31"/>
      <c r="E17" s="31"/>
      <c r="F17" s="31"/>
      <c r="G17" s="33">
        <v>1</v>
      </c>
      <c r="H17" s="33"/>
      <c r="I17" s="33"/>
      <c r="J17" s="33"/>
      <c r="K17" s="34">
        <f t="shared" si="0"/>
        <v>1</v>
      </c>
      <c r="L17" s="22">
        <v>42325</v>
      </c>
      <c r="N17" s="28"/>
      <c r="O17" s="35"/>
      <c r="P17" s="31"/>
      <c r="Q17" s="31"/>
      <c r="R17" s="31"/>
      <c r="S17" s="31"/>
      <c r="T17" s="33"/>
      <c r="U17" s="33"/>
      <c r="V17" s="33"/>
      <c r="W17" s="33"/>
      <c r="X17" s="34">
        <f t="shared" si="1"/>
        <v>0</v>
      </c>
      <c r="Y17" s="22"/>
    </row>
    <row r="18" spans="1:25">
      <c r="A18" s="28" t="s">
        <v>27</v>
      </c>
      <c r="B18" s="35"/>
      <c r="C18" s="31"/>
      <c r="D18" s="31"/>
      <c r="E18" s="31">
        <v>2</v>
      </c>
      <c r="F18" s="31"/>
      <c r="G18" s="33"/>
      <c r="H18" s="33"/>
      <c r="I18" s="33"/>
      <c r="J18" s="33"/>
      <c r="K18" s="34">
        <f t="shared" si="0"/>
        <v>2</v>
      </c>
      <c r="L18" s="22">
        <v>42328</v>
      </c>
      <c r="N18" s="28"/>
      <c r="O18" s="35"/>
      <c r="P18" s="31"/>
      <c r="Q18" s="31"/>
      <c r="R18" s="31"/>
      <c r="S18" s="31"/>
      <c r="T18" s="33"/>
      <c r="U18" s="33"/>
      <c r="V18" s="33"/>
      <c r="W18" s="33"/>
      <c r="X18" s="34">
        <f t="shared" si="1"/>
        <v>0</v>
      </c>
      <c r="Y18" s="22"/>
    </row>
    <row r="19" spans="1:25">
      <c r="A19" s="28" t="s">
        <v>27</v>
      </c>
      <c r="B19" s="35"/>
      <c r="C19" s="31">
        <v>1</v>
      </c>
      <c r="D19" s="31"/>
      <c r="E19" s="31"/>
      <c r="F19" s="31"/>
      <c r="G19" s="33"/>
      <c r="H19" s="33"/>
      <c r="I19" s="33"/>
      <c r="J19" s="33"/>
      <c r="K19" s="34">
        <f t="shared" si="0"/>
        <v>1</v>
      </c>
      <c r="L19" s="22">
        <v>42334</v>
      </c>
      <c r="N19" s="28"/>
      <c r="O19" s="35"/>
      <c r="P19" s="31"/>
      <c r="Q19" s="31"/>
      <c r="R19" s="31"/>
      <c r="S19" s="31"/>
      <c r="T19" s="33"/>
      <c r="U19" s="33"/>
      <c r="V19" s="33"/>
      <c r="W19" s="33"/>
      <c r="X19" s="34">
        <f t="shared" si="1"/>
        <v>0</v>
      </c>
      <c r="Y19" s="22"/>
    </row>
    <row r="20" spans="1:25">
      <c r="A20" s="28" t="s">
        <v>27</v>
      </c>
      <c r="B20" s="29"/>
      <c r="C20" s="30"/>
      <c r="D20" s="30"/>
      <c r="E20" s="30"/>
      <c r="F20" s="30"/>
      <c r="G20" s="32"/>
      <c r="H20" s="32"/>
      <c r="I20" s="32">
        <v>1</v>
      </c>
      <c r="J20" s="32"/>
      <c r="K20" s="34">
        <f t="shared" si="0"/>
        <v>1</v>
      </c>
      <c r="L20" s="22">
        <v>42336</v>
      </c>
      <c r="N20" s="28"/>
      <c r="O20" s="29"/>
      <c r="P20" s="30"/>
      <c r="Q20" s="30"/>
      <c r="R20" s="30"/>
      <c r="S20" s="30"/>
      <c r="T20" s="32"/>
      <c r="U20" s="32"/>
      <c r="V20" s="32"/>
      <c r="W20" s="32"/>
      <c r="X20" s="34">
        <f t="shared" si="1"/>
        <v>0</v>
      </c>
      <c r="Y20" s="22"/>
    </row>
    <row r="21" spans="1:25">
      <c r="A21" s="28" t="s">
        <v>27</v>
      </c>
      <c r="B21" s="35"/>
      <c r="C21" s="31"/>
      <c r="D21" s="31"/>
      <c r="E21" s="31"/>
      <c r="F21" s="31"/>
      <c r="G21" s="33"/>
      <c r="H21" s="33"/>
      <c r="I21" s="33">
        <v>1</v>
      </c>
      <c r="J21" s="33"/>
      <c r="K21" s="34">
        <f t="shared" si="0"/>
        <v>1</v>
      </c>
      <c r="L21" s="22">
        <v>42338</v>
      </c>
      <c r="N21" s="28"/>
      <c r="O21" s="35"/>
      <c r="P21" s="31"/>
      <c r="Q21" s="31"/>
      <c r="R21" s="31"/>
      <c r="S21" s="31"/>
      <c r="T21" s="33"/>
      <c r="U21" s="33"/>
      <c r="V21" s="33"/>
      <c r="W21" s="33"/>
      <c r="X21" s="34">
        <f t="shared" si="1"/>
        <v>0</v>
      </c>
      <c r="Y21" s="22"/>
    </row>
    <row r="22" spans="1:25">
      <c r="A22" s="28" t="s">
        <v>33</v>
      </c>
      <c r="B22" s="29">
        <v>3</v>
      </c>
      <c r="C22" s="30">
        <v>3</v>
      </c>
      <c r="D22" s="30"/>
      <c r="E22" s="30">
        <v>5</v>
      </c>
      <c r="F22" s="30">
        <v>5</v>
      </c>
      <c r="G22" s="32"/>
      <c r="H22" s="33"/>
      <c r="I22" s="33"/>
      <c r="J22" s="33"/>
      <c r="K22" s="34">
        <f t="shared" si="0"/>
        <v>16</v>
      </c>
      <c r="L22" s="22">
        <v>42347</v>
      </c>
      <c r="N22" s="28"/>
      <c r="O22" s="29"/>
      <c r="P22" s="30"/>
      <c r="Q22" s="30"/>
      <c r="R22" s="30"/>
      <c r="S22" s="30"/>
      <c r="T22" s="32"/>
      <c r="U22" s="33"/>
      <c r="V22" s="33"/>
      <c r="W22" s="33"/>
      <c r="X22" s="34">
        <f t="shared" si="1"/>
        <v>0</v>
      </c>
      <c r="Y22" s="22"/>
    </row>
    <row r="23" spans="1:25">
      <c r="A23" s="28" t="s">
        <v>27</v>
      </c>
      <c r="B23" s="35"/>
      <c r="C23" s="31">
        <v>2</v>
      </c>
      <c r="D23" s="31"/>
      <c r="E23" s="31"/>
      <c r="F23" s="31"/>
      <c r="G23" s="33"/>
      <c r="H23" s="33"/>
      <c r="I23" s="33"/>
      <c r="J23" s="33"/>
      <c r="K23" s="34">
        <f t="shared" si="0"/>
        <v>2</v>
      </c>
      <c r="L23" s="22">
        <v>42350</v>
      </c>
      <c r="N23" s="28"/>
      <c r="O23" s="35"/>
      <c r="P23" s="31"/>
      <c r="Q23" s="31"/>
      <c r="R23" s="31"/>
      <c r="S23" s="31"/>
      <c r="T23" s="33"/>
      <c r="U23" s="33"/>
      <c r="V23" s="33"/>
      <c r="W23" s="33"/>
      <c r="X23" s="34">
        <f t="shared" si="1"/>
        <v>0</v>
      </c>
      <c r="Y23" s="22"/>
    </row>
    <row r="24" spans="1:25">
      <c r="A24" s="28" t="s">
        <v>27</v>
      </c>
      <c r="B24" s="35"/>
      <c r="C24" s="31"/>
      <c r="D24" s="31"/>
      <c r="E24" s="31"/>
      <c r="F24" s="31"/>
      <c r="G24" s="33">
        <v>2</v>
      </c>
      <c r="H24" s="33"/>
      <c r="I24" s="33"/>
      <c r="J24" s="33"/>
      <c r="K24" s="34">
        <f t="shared" si="0"/>
        <v>2</v>
      </c>
      <c r="L24" s="22">
        <v>42354</v>
      </c>
      <c r="N24" s="28"/>
      <c r="O24" s="35"/>
      <c r="P24" s="31"/>
      <c r="Q24" s="31"/>
      <c r="R24" s="31"/>
      <c r="S24" s="31"/>
      <c r="T24" s="33"/>
      <c r="U24" s="33"/>
      <c r="V24" s="33"/>
      <c r="W24" s="33"/>
      <c r="X24" s="34">
        <f t="shared" si="1"/>
        <v>0</v>
      </c>
      <c r="Y24" s="22"/>
    </row>
    <row r="25" spans="1:25">
      <c r="A25" s="28" t="s">
        <v>27</v>
      </c>
      <c r="B25" s="29"/>
      <c r="C25" s="30"/>
      <c r="D25" s="30"/>
      <c r="E25" s="30"/>
      <c r="F25" s="30"/>
      <c r="G25" s="32"/>
      <c r="H25" s="32"/>
      <c r="I25" s="32">
        <v>1</v>
      </c>
      <c r="J25" s="32">
        <v>1</v>
      </c>
      <c r="K25" s="34">
        <f t="shared" si="0"/>
        <v>2</v>
      </c>
      <c r="L25" s="22">
        <v>42362</v>
      </c>
      <c r="N25" s="28"/>
      <c r="O25" s="29"/>
      <c r="P25" s="30"/>
      <c r="Q25" s="30"/>
      <c r="R25" s="30"/>
      <c r="S25" s="30"/>
      <c r="T25" s="32"/>
      <c r="U25" s="32"/>
      <c r="V25" s="32"/>
      <c r="W25" s="32"/>
      <c r="X25" s="34">
        <f t="shared" si="1"/>
        <v>0</v>
      </c>
      <c r="Y25" s="22"/>
    </row>
    <row r="26" spans="1:25">
      <c r="A26" s="28" t="s">
        <v>27</v>
      </c>
      <c r="B26" s="29"/>
      <c r="C26" s="30">
        <v>1</v>
      </c>
      <c r="D26" s="30"/>
      <c r="E26" s="30"/>
      <c r="F26" s="30"/>
      <c r="G26" s="32"/>
      <c r="H26" s="32"/>
      <c r="I26" s="32"/>
      <c r="J26" s="32"/>
      <c r="K26" s="34">
        <f t="shared" si="0"/>
        <v>1</v>
      </c>
      <c r="L26" s="19">
        <v>42363</v>
      </c>
      <c r="N26" s="28"/>
      <c r="O26" s="29"/>
      <c r="P26" s="30"/>
      <c r="Q26" s="30"/>
      <c r="R26" s="30"/>
      <c r="S26" s="30"/>
      <c r="T26" s="32"/>
      <c r="U26" s="32"/>
      <c r="V26" s="32"/>
      <c r="W26" s="32"/>
      <c r="X26" s="34">
        <f t="shared" si="1"/>
        <v>0</v>
      </c>
      <c r="Y26" s="19"/>
    </row>
    <row r="27" spans="1:25">
      <c r="A27" s="28" t="s">
        <v>27</v>
      </c>
      <c r="B27" s="29"/>
      <c r="C27" s="30"/>
      <c r="D27" s="30"/>
      <c r="E27" s="30"/>
      <c r="F27" s="30">
        <v>1</v>
      </c>
      <c r="G27" s="32"/>
      <c r="H27" s="32"/>
      <c r="I27" s="32"/>
      <c r="J27" s="32"/>
      <c r="K27" s="34">
        <f t="shared" si="0"/>
        <v>1</v>
      </c>
      <c r="L27" s="19">
        <v>42376</v>
      </c>
      <c r="N27" s="28"/>
      <c r="O27" s="29"/>
      <c r="P27" s="30"/>
      <c r="Q27" s="30"/>
      <c r="R27" s="30"/>
      <c r="S27" s="30"/>
      <c r="T27" s="32"/>
      <c r="U27" s="32"/>
      <c r="V27" s="32"/>
      <c r="W27" s="32"/>
      <c r="X27" s="34">
        <f t="shared" si="1"/>
        <v>0</v>
      </c>
      <c r="Y27" s="19"/>
    </row>
    <row r="28" spans="1:25">
      <c r="A28" s="28" t="s">
        <v>27</v>
      </c>
      <c r="B28" s="29"/>
      <c r="C28" s="30"/>
      <c r="D28" s="30"/>
      <c r="E28" s="30"/>
      <c r="F28" s="30"/>
      <c r="G28" s="32"/>
      <c r="H28" s="32"/>
      <c r="I28" s="32">
        <v>1</v>
      </c>
      <c r="J28" s="32"/>
      <c r="K28" s="34">
        <f t="shared" si="0"/>
        <v>1</v>
      </c>
      <c r="L28" s="19">
        <v>42381</v>
      </c>
      <c r="N28" s="20"/>
      <c r="O28" s="29"/>
      <c r="P28" s="30"/>
      <c r="Q28" s="30"/>
      <c r="R28" s="30"/>
      <c r="S28" s="30"/>
      <c r="T28" s="32"/>
      <c r="U28" s="32"/>
      <c r="V28" s="32"/>
      <c r="W28" s="32"/>
      <c r="X28" s="34">
        <f t="shared" si="1"/>
        <v>0</v>
      </c>
      <c r="Y28" s="19"/>
    </row>
    <row r="29" spans="1:25" ht="14.25" thickBot="1">
      <c r="A29" s="28" t="s">
        <v>27</v>
      </c>
      <c r="B29" s="29"/>
      <c r="C29" s="30"/>
      <c r="D29" s="30"/>
      <c r="E29" s="31">
        <v>1</v>
      </c>
      <c r="F29" s="31"/>
      <c r="G29" s="32"/>
      <c r="H29" s="33"/>
      <c r="I29" s="33"/>
      <c r="J29" s="33"/>
      <c r="K29" s="34">
        <f t="shared" si="0"/>
        <v>1</v>
      </c>
      <c r="L29" s="36">
        <v>42384</v>
      </c>
      <c r="N29" s="28"/>
      <c r="O29" s="29"/>
      <c r="P29" s="30"/>
      <c r="Q29" s="30"/>
      <c r="R29" s="31"/>
      <c r="S29" s="31"/>
      <c r="T29" s="32"/>
      <c r="U29" s="33"/>
      <c r="V29" s="33"/>
      <c r="W29" s="33"/>
      <c r="X29" s="34">
        <f t="shared" si="1"/>
        <v>0</v>
      </c>
      <c r="Y29" s="36"/>
    </row>
    <row r="30" spans="1:25" ht="14.25" thickBot="1">
      <c r="A30" s="2" t="s">
        <v>19</v>
      </c>
      <c r="B30" s="23">
        <f t="shared" ref="B30:J30" si="4">SUM(B10:B29)</f>
        <v>3</v>
      </c>
      <c r="C30" s="24">
        <f t="shared" si="4"/>
        <v>7</v>
      </c>
      <c r="D30" s="24">
        <f t="shared" si="4"/>
        <v>0</v>
      </c>
      <c r="E30" s="24">
        <f t="shared" si="4"/>
        <v>10</v>
      </c>
      <c r="F30" s="24">
        <f t="shared" si="4"/>
        <v>8</v>
      </c>
      <c r="G30" s="25">
        <f t="shared" si="4"/>
        <v>3</v>
      </c>
      <c r="H30" s="25">
        <f t="shared" si="4"/>
        <v>0</v>
      </c>
      <c r="I30" s="25">
        <f t="shared" si="4"/>
        <v>4</v>
      </c>
      <c r="J30" s="25">
        <f t="shared" si="4"/>
        <v>4</v>
      </c>
      <c r="K30" s="37">
        <f>SUM(B30:J30)</f>
        <v>39</v>
      </c>
      <c r="L30" s="27"/>
      <c r="N30" s="2" t="s">
        <v>19</v>
      </c>
      <c r="O30" s="23">
        <f t="shared" ref="O30:W30" si="5">SUM(O10:O29)</f>
        <v>159</v>
      </c>
      <c r="P30" s="24">
        <f t="shared" si="5"/>
        <v>71</v>
      </c>
      <c r="Q30" s="24">
        <f t="shared" si="5"/>
        <v>33</v>
      </c>
      <c r="R30" s="24">
        <f t="shared" si="5"/>
        <v>296</v>
      </c>
      <c r="S30" s="24">
        <f t="shared" si="5"/>
        <v>217</v>
      </c>
      <c r="T30" s="25">
        <f t="shared" si="5"/>
        <v>66</v>
      </c>
      <c r="U30" s="25">
        <f t="shared" si="5"/>
        <v>63</v>
      </c>
      <c r="V30" s="25">
        <f t="shared" si="5"/>
        <v>98</v>
      </c>
      <c r="W30" s="25">
        <f t="shared" si="5"/>
        <v>79</v>
      </c>
      <c r="X30" s="37">
        <f>SUM(O30:W30)</f>
        <v>1082</v>
      </c>
      <c r="Y30" s="27"/>
    </row>
    <row r="31" spans="1:25" ht="14.25" thickBot="1">
      <c r="A31" s="38" t="s">
        <v>17</v>
      </c>
      <c r="B31" s="39">
        <f>B9-B30</f>
        <v>3</v>
      </c>
      <c r="C31" s="39">
        <f t="shared" ref="C31:K31" si="6">C9-C30</f>
        <v>4</v>
      </c>
      <c r="D31" s="39">
        <f t="shared" si="6"/>
        <v>3</v>
      </c>
      <c r="E31" s="39">
        <f t="shared" si="6"/>
        <v>3</v>
      </c>
      <c r="F31" s="39">
        <f t="shared" si="6"/>
        <v>3</v>
      </c>
      <c r="G31" s="39">
        <f t="shared" si="6"/>
        <v>3</v>
      </c>
      <c r="H31" s="39">
        <f t="shared" si="6"/>
        <v>3</v>
      </c>
      <c r="I31" s="39">
        <f t="shared" si="6"/>
        <v>1</v>
      </c>
      <c r="J31" s="40">
        <f t="shared" si="6"/>
        <v>2</v>
      </c>
      <c r="K31" s="37">
        <f t="shared" si="6"/>
        <v>25</v>
      </c>
      <c r="L31" s="41"/>
      <c r="N31" s="38" t="s">
        <v>17</v>
      </c>
      <c r="O31" s="39">
        <f>O9-O30</f>
        <v>141</v>
      </c>
      <c r="P31" s="39">
        <f t="shared" ref="P31:X31" si="7">P9-P30</f>
        <v>69</v>
      </c>
      <c r="Q31" s="39">
        <f t="shared" si="7"/>
        <v>47</v>
      </c>
      <c r="R31" s="39">
        <f t="shared" si="7"/>
        <v>317</v>
      </c>
      <c r="S31" s="39">
        <f t="shared" si="7"/>
        <v>315</v>
      </c>
      <c r="T31" s="39">
        <f t="shared" si="7"/>
        <v>64</v>
      </c>
      <c r="U31" s="39">
        <f t="shared" si="7"/>
        <v>67</v>
      </c>
      <c r="V31" s="39">
        <f t="shared" si="7"/>
        <v>122</v>
      </c>
      <c r="W31" s="40">
        <f t="shared" si="7"/>
        <v>81</v>
      </c>
      <c r="X31" s="37">
        <f t="shared" si="7"/>
        <v>1223</v>
      </c>
      <c r="Y31" s="41"/>
    </row>
    <row r="34" spans="1:25" ht="19.5" thickBot="1">
      <c r="A34" s="1" t="s">
        <v>22</v>
      </c>
      <c r="N34" s="1" t="s">
        <v>21</v>
      </c>
    </row>
    <row r="35" spans="1:25" ht="19.5" thickBot="1">
      <c r="A35" s="2" t="s">
        <v>0</v>
      </c>
      <c r="B35" s="163" t="s">
        <v>20</v>
      </c>
      <c r="C35" s="164"/>
      <c r="D35" s="164"/>
      <c r="E35" s="164"/>
      <c r="F35" s="164"/>
      <c r="G35" s="164"/>
      <c r="H35" s="165"/>
      <c r="I35" s="165"/>
      <c r="J35" s="165"/>
      <c r="K35" s="166"/>
      <c r="L35" s="161" t="s">
        <v>1</v>
      </c>
      <c r="N35" s="2" t="s">
        <v>0</v>
      </c>
      <c r="O35" s="163" t="s">
        <v>20</v>
      </c>
      <c r="P35" s="164"/>
      <c r="Q35" s="164"/>
      <c r="R35" s="164"/>
      <c r="S35" s="164"/>
      <c r="T35" s="164"/>
      <c r="U35" s="165"/>
      <c r="V35" s="165"/>
      <c r="W35" s="165"/>
      <c r="X35" s="166"/>
      <c r="Y35" s="161" t="s">
        <v>1</v>
      </c>
    </row>
    <row r="36" spans="1:25" ht="14.25" thickBot="1">
      <c r="A36" s="2" t="s">
        <v>2</v>
      </c>
      <c r="B36" s="3" t="s">
        <v>3</v>
      </c>
      <c r="C36" s="4" t="s">
        <v>4</v>
      </c>
      <c r="D36" s="4" t="s">
        <v>5</v>
      </c>
      <c r="E36" s="4" t="s">
        <v>6</v>
      </c>
      <c r="F36" s="4" t="s">
        <v>7</v>
      </c>
      <c r="G36" s="5" t="s">
        <v>8</v>
      </c>
      <c r="H36" s="4" t="s">
        <v>9</v>
      </c>
      <c r="I36" s="6" t="s">
        <v>10</v>
      </c>
      <c r="J36" s="5" t="s">
        <v>11</v>
      </c>
      <c r="K36" s="7" t="s">
        <v>12</v>
      </c>
      <c r="L36" s="162"/>
      <c r="N36" s="2" t="s">
        <v>2</v>
      </c>
      <c r="O36" s="3" t="s">
        <v>3</v>
      </c>
      <c r="P36" s="4" t="s">
        <v>4</v>
      </c>
      <c r="Q36" s="4" t="s">
        <v>5</v>
      </c>
      <c r="R36" s="4" t="s">
        <v>6</v>
      </c>
      <c r="S36" s="4" t="s">
        <v>7</v>
      </c>
      <c r="T36" s="5" t="s">
        <v>8</v>
      </c>
      <c r="U36" s="4" t="s">
        <v>9</v>
      </c>
      <c r="V36" s="6" t="s">
        <v>10</v>
      </c>
      <c r="W36" s="5" t="s">
        <v>11</v>
      </c>
      <c r="X36" s="7" t="s">
        <v>12</v>
      </c>
      <c r="Y36" s="162"/>
    </row>
    <row r="37" spans="1:25">
      <c r="A37" s="52" t="s">
        <v>17</v>
      </c>
      <c r="B37" s="55">
        <f>B31</f>
        <v>3</v>
      </c>
      <c r="C37" s="56">
        <f>C31</f>
        <v>4</v>
      </c>
      <c r="D37" s="56">
        <f t="shared" ref="D37:J37" si="8">D31</f>
        <v>3</v>
      </c>
      <c r="E37" s="56">
        <f t="shared" si="8"/>
        <v>3</v>
      </c>
      <c r="F37" s="56">
        <f t="shared" si="8"/>
        <v>3</v>
      </c>
      <c r="G37" s="56">
        <f t="shared" si="8"/>
        <v>3</v>
      </c>
      <c r="H37" s="56">
        <f t="shared" si="8"/>
        <v>3</v>
      </c>
      <c r="I37" s="56">
        <f t="shared" si="8"/>
        <v>1</v>
      </c>
      <c r="J37" s="56">
        <f t="shared" si="8"/>
        <v>2</v>
      </c>
      <c r="K37" s="53">
        <f t="shared" ref="K37:K39" si="9">SUM(B37:J37)</f>
        <v>25</v>
      </c>
      <c r="L37" s="54"/>
      <c r="N37" s="52" t="s">
        <v>17</v>
      </c>
      <c r="O37" s="55">
        <f>O31</f>
        <v>141</v>
      </c>
      <c r="P37" s="56">
        <f>P31</f>
        <v>69</v>
      </c>
      <c r="Q37" s="56">
        <f t="shared" ref="Q37:W37" si="10">Q31</f>
        <v>47</v>
      </c>
      <c r="R37" s="56">
        <f t="shared" si="10"/>
        <v>317</v>
      </c>
      <c r="S37" s="56">
        <f t="shared" si="10"/>
        <v>315</v>
      </c>
      <c r="T37" s="56">
        <f t="shared" si="10"/>
        <v>64</v>
      </c>
      <c r="U37" s="56">
        <f t="shared" si="10"/>
        <v>67</v>
      </c>
      <c r="V37" s="56">
        <f t="shared" si="10"/>
        <v>122</v>
      </c>
      <c r="W37" s="56">
        <f t="shared" si="10"/>
        <v>81</v>
      </c>
      <c r="X37" s="53">
        <f t="shared" ref="X37:X62" si="11">SUM(O37:W37)</f>
        <v>1223</v>
      </c>
      <c r="Y37" s="54"/>
    </row>
    <row r="38" spans="1:25">
      <c r="A38" s="8" t="s">
        <v>14</v>
      </c>
      <c r="B38" s="9">
        <v>3</v>
      </c>
      <c r="C38" s="10"/>
      <c r="D38" s="10"/>
      <c r="E38" s="10">
        <v>3</v>
      </c>
      <c r="F38" s="10">
        <v>6</v>
      </c>
      <c r="G38" s="11"/>
      <c r="H38" s="11"/>
      <c r="I38" s="11">
        <v>3</v>
      </c>
      <c r="J38" s="11">
        <v>3</v>
      </c>
      <c r="K38" s="13">
        <f t="shared" si="9"/>
        <v>18</v>
      </c>
      <c r="L38" s="12">
        <v>42390</v>
      </c>
      <c r="N38" s="8" t="s">
        <v>14</v>
      </c>
      <c r="O38" s="9"/>
      <c r="P38" s="10"/>
      <c r="Q38" s="10"/>
      <c r="R38" s="10"/>
      <c r="S38" s="10"/>
      <c r="T38" s="11"/>
      <c r="U38" s="11"/>
      <c r="V38" s="11"/>
      <c r="W38" s="11"/>
      <c r="X38" s="13">
        <f t="shared" si="11"/>
        <v>0</v>
      </c>
      <c r="Y38" s="12"/>
    </row>
    <row r="39" spans="1:25">
      <c r="A39" s="14" t="s">
        <v>15</v>
      </c>
      <c r="B39" s="15">
        <v>5</v>
      </c>
      <c r="C39" s="16">
        <v>5</v>
      </c>
      <c r="D39" s="16">
        <v>5</v>
      </c>
      <c r="E39" s="16">
        <v>5</v>
      </c>
      <c r="F39" s="16">
        <v>5</v>
      </c>
      <c r="G39" s="17">
        <v>10</v>
      </c>
      <c r="H39" s="17">
        <v>10</v>
      </c>
      <c r="I39" s="17">
        <v>15</v>
      </c>
      <c r="J39" s="17">
        <v>10</v>
      </c>
      <c r="K39" s="18">
        <f t="shared" si="9"/>
        <v>70</v>
      </c>
      <c r="L39" s="19">
        <v>42419</v>
      </c>
      <c r="N39" s="8" t="s">
        <v>15</v>
      </c>
      <c r="O39" s="15"/>
      <c r="P39" s="16"/>
      <c r="Q39" s="16"/>
      <c r="R39" s="16"/>
      <c r="S39" s="16"/>
      <c r="T39" s="17"/>
      <c r="U39" s="17"/>
      <c r="V39" s="17"/>
      <c r="W39" s="17"/>
      <c r="X39" s="18">
        <f t="shared" si="11"/>
        <v>0</v>
      </c>
      <c r="Y39" s="19"/>
    </row>
    <row r="40" spans="1:25">
      <c r="A40" s="20" t="s">
        <v>16</v>
      </c>
      <c r="B40" s="9"/>
      <c r="C40" s="10"/>
      <c r="D40" s="10">
        <v>5</v>
      </c>
      <c r="E40" s="10">
        <v>5</v>
      </c>
      <c r="F40" s="10">
        <v>10</v>
      </c>
      <c r="G40" s="10">
        <v>5</v>
      </c>
      <c r="H40" s="10">
        <v>5</v>
      </c>
      <c r="I40" s="10"/>
      <c r="J40" s="21"/>
      <c r="K40" s="13">
        <f>SUM(B40:J40)</f>
        <v>30</v>
      </c>
      <c r="L40" s="22">
        <v>42425</v>
      </c>
      <c r="N40" s="8" t="s">
        <v>16</v>
      </c>
      <c r="O40" s="9"/>
      <c r="P40" s="10"/>
      <c r="Q40" s="10"/>
      <c r="R40" s="10"/>
      <c r="S40" s="10"/>
      <c r="T40" s="10"/>
      <c r="U40" s="10"/>
      <c r="V40" s="10"/>
      <c r="W40" s="21"/>
      <c r="X40" s="18">
        <f t="shared" si="11"/>
        <v>0</v>
      </c>
      <c r="Y40" s="22"/>
    </row>
    <row r="41" spans="1:25" ht="14.25" thickBot="1">
      <c r="A41" s="20" t="s">
        <v>23</v>
      </c>
      <c r="B41" s="42"/>
      <c r="C41" s="43"/>
      <c r="D41" s="43"/>
      <c r="E41" s="43">
        <v>5</v>
      </c>
      <c r="F41" s="43"/>
      <c r="G41" s="43"/>
      <c r="H41" s="43">
        <v>10</v>
      </c>
      <c r="I41" s="43">
        <v>5</v>
      </c>
      <c r="J41" s="44"/>
      <c r="K41" s="45">
        <f>SUM(B41:J41)</f>
        <v>20</v>
      </c>
      <c r="L41" s="19">
        <v>42427</v>
      </c>
      <c r="N41" s="20" t="s">
        <v>23</v>
      </c>
      <c r="O41" s="42"/>
      <c r="P41" s="43"/>
      <c r="Q41" s="43"/>
      <c r="R41" s="43"/>
      <c r="S41" s="43"/>
      <c r="T41" s="43"/>
      <c r="U41" s="43"/>
      <c r="V41" s="43"/>
      <c r="W41" s="44"/>
      <c r="X41" s="45">
        <f t="shared" si="11"/>
        <v>0</v>
      </c>
      <c r="Y41" s="19"/>
    </row>
    <row r="42" spans="1:25" ht="14.25" thickBot="1">
      <c r="A42" s="2" t="s">
        <v>18</v>
      </c>
      <c r="B42" s="23">
        <f>SUM(B37:B41)</f>
        <v>11</v>
      </c>
      <c r="C42" s="24">
        <f t="shared" ref="C42:J42" si="12">SUM(C37:C41)</f>
        <v>9</v>
      </c>
      <c r="D42" s="24">
        <f t="shared" si="12"/>
        <v>13</v>
      </c>
      <c r="E42" s="24">
        <f t="shared" si="12"/>
        <v>21</v>
      </c>
      <c r="F42" s="24">
        <f t="shared" si="12"/>
        <v>24</v>
      </c>
      <c r="G42" s="25">
        <f t="shared" si="12"/>
        <v>18</v>
      </c>
      <c r="H42" s="25">
        <f t="shared" si="12"/>
        <v>28</v>
      </c>
      <c r="I42" s="25">
        <f t="shared" si="12"/>
        <v>24</v>
      </c>
      <c r="J42" s="25">
        <f t="shared" si="12"/>
        <v>15</v>
      </c>
      <c r="K42" s="26">
        <f t="shared" ref="K42:K62" si="13">SUM(B42:J42)</f>
        <v>163</v>
      </c>
      <c r="L42" s="27"/>
      <c r="N42" s="2" t="s">
        <v>18</v>
      </c>
      <c r="O42" s="23">
        <f t="shared" ref="O42:W42" si="14">SUM(O37:O41)</f>
        <v>141</v>
      </c>
      <c r="P42" s="24">
        <f t="shared" si="14"/>
        <v>69</v>
      </c>
      <c r="Q42" s="24">
        <f t="shared" si="14"/>
        <v>47</v>
      </c>
      <c r="R42" s="24">
        <f t="shared" si="14"/>
        <v>317</v>
      </c>
      <c r="S42" s="24">
        <f t="shared" si="14"/>
        <v>315</v>
      </c>
      <c r="T42" s="25">
        <f t="shared" si="14"/>
        <v>64</v>
      </c>
      <c r="U42" s="25">
        <f t="shared" si="14"/>
        <v>67</v>
      </c>
      <c r="V42" s="25">
        <f t="shared" si="14"/>
        <v>122</v>
      </c>
      <c r="W42" s="25">
        <f t="shared" si="14"/>
        <v>81</v>
      </c>
      <c r="X42" s="26">
        <f t="shared" si="11"/>
        <v>1223</v>
      </c>
      <c r="Y42" s="27"/>
    </row>
    <row r="43" spans="1:25">
      <c r="A43" s="28" t="s">
        <v>27</v>
      </c>
      <c r="B43" s="29"/>
      <c r="C43" s="30"/>
      <c r="D43" s="30"/>
      <c r="E43" s="31"/>
      <c r="F43" s="31">
        <v>2</v>
      </c>
      <c r="G43" s="32"/>
      <c r="H43" s="33"/>
      <c r="I43" s="33"/>
      <c r="J43" s="33"/>
      <c r="K43" s="34">
        <f t="shared" si="13"/>
        <v>2</v>
      </c>
      <c r="L43" s="12">
        <v>42385</v>
      </c>
      <c r="N43" s="58" t="s">
        <v>29</v>
      </c>
      <c r="O43" s="59">
        <v>5</v>
      </c>
      <c r="P43" s="60">
        <v>5</v>
      </c>
      <c r="Q43" s="60">
        <v>5</v>
      </c>
      <c r="R43" s="60">
        <v>5</v>
      </c>
      <c r="S43" s="60">
        <v>5</v>
      </c>
      <c r="T43" s="61">
        <v>10</v>
      </c>
      <c r="U43" s="61">
        <v>10</v>
      </c>
      <c r="V43" s="61">
        <v>15</v>
      </c>
      <c r="W43" s="61">
        <v>10</v>
      </c>
      <c r="X43" s="50">
        <f t="shared" si="11"/>
        <v>70</v>
      </c>
      <c r="Y43" s="62">
        <v>42419</v>
      </c>
    </row>
    <row r="44" spans="1:25">
      <c r="A44" s="28" t="s">
        <v>27</v>
      </c>
      <c r="B44" s="29"/>
      <c r="C44" s="30"/>
      <c r="D44" s="30"/>
      <c r="E44" s="30"/>
      <c r="F44" s="30">
        <v>1</v>
      </c>
      <c r="G44" s="32"/>
      <c r="H44" s="32"/>
      <c r="I44" s="32"/>
      <c r="J44" s="32"/>
      <c r="K44" s="34">
        <f t="shared" si="13"/>
        <v>1</v>
      </c>
      <c r="L44" s="22">
        <v>42387</v>
      </c>
      <c r="N44" s="28" t="s">
        <v>29</v>
      </c>
      <c r="O44" s="29"/>
      <c r="P44" s="30"/>
      <c r="Q44" s="30">
        <v>5</v>
      </c>
      <c r="R44" s="30">
        <v>5</v>
      </c>
      <c r="S44" s="30">
        <v>10</v>
      </c>
      <c r="T44" s="32">
        <v>5</v>
      </c>
      <c r="U44" s="32">
        <v>5</v>
      </c>
      <c r="V44" s="32"/>
      <c r="W44" s="32"/>
      <c r="X44" s="34">
        <f t="shared" si="11"/>
        <v>30</v>
      </c>
      <c r="Y44" s="12">
        <v>42425</v>
      </c>
    </row>
    <row r="45" spans="1:25">
      <c r="A45" s="57" t="s">
        <v>38</v>
      </c>
      <c r="B45" s="29">
        <v>1</v>
      </c>
      <c r="C45" s="30"/>
      <c r="D45" s="30"/>
      <c r="E45" s="30"/>
      <c r="F45" s="30"/>
      <c r="G45" s="32"/>
      <c r="H45" s="32"/>
      <c r="I45" s="32"/>
      <c r="J45" s="32"/>
      <c r="K45" s="34">
        <f t="shared" si="13"/>
        <v>1</v>
      </c>
      <c r="L45" s="22">
        <v>42390</v>
      </c>
      <c r="N45" s="28" t="s">
        <v>29</v>
      </c>
      <c r="O45" s="29"/>
      <c r="P45" s="30"/>
      <c r="Q45" s="30"/>
      <c r="R45" s="30">
        <v>5</v>
      </c>
      <c r="S45" s="30"/>
      <c r="T45" s="32"/>
      <c r="U45" s="32">
        <v>10</v>
      </c>
      <c r="V45" s="32">
        <v>5</v>
      </c>
      <c r="W45" s="32"/>
      <c r="X45" s="34">
        <f t="shared" si="11"/>
        <v>20</v>
      </c>
      <c r="Y45" s="22">
        <v>42427</v>
      </c>
    </row>
    <row r="46" spans="1:25">
      <c r="A46" s="20" t="s">
        <v>27</v>
      </c>
      <c r="B46" s="29"/>
      <c r="C46" s="30"/>
      <c r="D46" s="30"/>
      <c r="E46" s="30"/>
      <c r="F46" s="30"/>
      <c r="G46" s="32"/>
      <c r="H46" s="33"/>
      <c r="I46" s="32"/>
      <c r="J46" s="32">
        <v>1</v>
      </c>
      <c r="K46" s="34">
        <f t="shared" si="13"/>
        <v>1</v>
      </c>
      <c r="L46" s="22">
        <v>42397</v>
      </c>
      <c r="N46" s="28"/>
      <c r="O46" s="29"/>
      <c r="P46" s="30"/>
      <c r="Q46" s="30"/>
      <c r="R46" s="30"/>
      <c r="S46" s="30"/>
      <c r="T46" s="32"/>
      <c r="U46" s="33"/>
      <c r="V46" s="32"/>
      <c r="W46" s="32"/>
      <c r="X46" s="34">
        <f t="shared" si="11"/>
        <v>0</v>
      </c>
      <c r="Y46" s="22"/>
    </row>
    <row r="47" spans="1:25">
      <c r="A47" s="20" t="s">
        <v>42</v>
      </c>
      <c r="B47" s="29"/>
      <c r="C47" s="30"/>
      <c r="D47" s="30"/>
      <c r="E47" s="30"/>
      <c r="F47" s="30"/>
      <c r="G47" s="32">
        <v>4</v>
      </c>
      <c r="H47" s="32">
        <v>4</v>
      </c>
      <c r="I47" s="32">
        <v>8</v>
      </c>
      <c r="J47" s="32">
        <v>2</v>
      </c>
      <c r="K47" s="34">
        <f t="shared" si="13"/>
        <v>18</v>
      </c>
      <c r="L47" s="22">
        <v>42422</v>
      </c>
      <c r="N47" s="20"/>
      <c r="O47" s="29"/>
      <c r="P47" s="30"/>
      <c r="Q47" s="30"/>
      <c r="R47" s="30"/>
      <c r="S47" s="30"/>
      <c r="T47" s="32"/>
      <c r="U47" s="32"/>
      <c r="V47" s="32"/>
      <c r="W47" s="32"/>
      <c r="X47" s="34">
        <f t="shared" si="11"/>
        <v>0</v>
      </c>
      <c r="Y47" s="22"/>
    </row>
    <row r="48" spans="1:25">
      <c r="A48" s="20" t="s">
        <v>42</v>
      </c>
      <c r="B48" s="29"/>
      <c r="C48" s="30"/>
      <c r="D48" s="30">
        <v>2</v>
      </c>
      <c r="E48" s="30">
        <v>4</v>
      </c>
      <c r="F48" s="30">
        <v>6</v>
      </c>
      <c r="G48" s="32">
        <v>2</v>
      </c>
      <c r="H48" s="33">
        <v>4</v>
      </c>
      <c r="I48" s="33"/>
      <c r="J48" s="33"/>
      <c r="K48" s="34">
        <f t="shared" si="13"/>
        <v>18</v>
      </c>
      <c r="L48" s="22">
        <v>42426</v>
      </c>
      <c r="N48" s="20"/>
      <c r="O48" s="29"/>
      <c r="P48" s="30"/>
      <c r="Q48" s="30"/>
      <c r="R48" s="30"/>
      <c r="S48" s="30"/>
      <c r="T48" s="32"/>
      <c r="U48" s="33"/>
      <c r="V48" s="33"/>
      <c r="W48" s="33"/>
      <c r="X48" s="34">
        <f t="shared" si="11"/>
        <v>0</v>
      </c>
      <c r="Y48" s="22"/>
    </row>
    <row r="49" spans="1:25">
      <c r="A49" s="28" t="s">
        <v>27</v>
      </c>
      <c r="B49" s="29"/>
      <c r="C49" s="30"/>
      <c r="D49" s="30"/>
      <c r="E49" s="31"/>
      <c r="F49" s="31">
        <v>1</v>
      </c>
      <c r="G49" s="32"/>
      <c r="H49" s="33"/>
      <c r="I49" s="33"/>
      <c r="J49" s="33"/>
      <c r="K49" s="34">
        <f t="shared" si="13"/>
        <v>1</v>
      </c>
      <c r="L49" s="22">
        <v>42424</v>
      </c>
      <c r="N49" s="28"/>
      <c r="O49" s="29"/>
      <c r="P49" s="30"/>
      <c r="Q49" s="30"/>
      <c r="R49" s="31"/>
      <c r="S49" s="31"/>
      <c r="T49" s="32"/>
      <c r="U49" s="33"/>
      <c r="V49" s="33"/>
      <c r="W49" s="33"/>
      <c r="X49" s="34">
        <f t="shared" si="11"/>
        <v>0</v>
      </c>
      <c r="Y49" s="22"/>
    </row>
    <row r="50" spans="1:25">
      <c r="A50" s="20" t="s">
        <v>42</v>
      </c>
      <c r="B50" s="35"/>
      <c r="C50" s="31"/>
      <c r="D50" s="31"/>
      <c r="E50" s="31">
        <v>4</v>
      </c>
      <c r="F50" s="31"/>
      <c r="G50" s="33"/>
      <c r="H50" s="33">
        <v>8</v>
      </c>
      <c r="I50" s="33">
        <v>6</v>
      </c>
      <c r="J50" s="33"/>
      <c r="K50" s="34">
        <f t="shared" si="13"/>
        <v>18</v>
      </c>
      <c r="L50" s="22">
        <v>42429</v>
      </c>
      <c r="N50" s="28"/>
      <c r="O50" s="35"/>
      <c r="P50" s="31"/>
      <c r="Q50" s="31"/>
      <c r="R50" s="31"/>
      <c r="S50" s="31"/>
      <c r="T50" s="33"/>
      <c r="U50" s="33"/>
      <c r="V50" s="33"/>
      <c r="W50" s="33"/>
      <c r="X50" s="34">
        <f t="shared" si="11"/>
        <v>0</v>
      </c>
      <c r="Y50" s="22"/>
    </row>
    <row r="51" spans="1:25">
      <c r="A51" s="64" t="s">
        <v>45</v>
      </c>
      <c r="B51" s="35"/>
      <c r="C51" s="31">
        <v>1</v>
      </c>
      <c r="D51" s="31"/>
      <c r="E51" s="31"/>
      <c r="F51" s="31"/>
      <c r="G51" s="33"/>
      <c r="H51" s="33"/>
      <c r="I51" s="33"/>
      <c r="J51" s="33"/>
      <c r="K51" s="34">
        <f t="shared" si="13"/>
        <v>1</v>
      </c>
      <c r="L51" s="22">
        <v>42429</v>
      </c>
      <c r="N51" s="28"/>
      <c r="O51" s="35"/>
      <c r="P51" s="31"/>
      <c r="Q51" s="31"/>
      <c r="R51" s="31"/>
      <c r="S51" s="31"/>
      <c r="T51" s="33"/>
      <c r="U51" s="33"/>
      <c r="V51" s="33"/>
      <c r="W51" s="33"/>
      <c r="X51" s="34">
        <f t="shared" si="11"/>
        <v>0</v>
      </c>
      <c r="Y51" s="22"/>
    </row>
    <row r="52" spans="1:25">
      <c r="A52" s="28" t="s">
        <v>27</v>
      </c>
      <c r="B52" s="35"/>
      <c r="C52" s="31"/>
      <c r="D52" s="31"/>
      <c r="E52" s="31"/>
      <c r="F52" s="31"/>
      <c r="G52" s="33">
        <v>1</v>
      </c>
      <c r="H52" s="33"/>
      <c r="I52" s="33"/>
      <c r="J52" s="33"/>
      <c r="K52" s="34">
        <f t="shared" si="13"/>
        <v>1</v>
      </c>
      <c r="L52" s="22">
        <v>42425</v>
      </c>
      <c r="N52" s="28"/>
      <c r="O52" s="35"/>
      <c r="P52" s="31"/>
      <c r="Q52" s="31"/>
      <c r="R52" s="31"/>
      <c r="S52" s="31"/>
      <c r="T52" s="33"/>
      <c r="U52" s="33"/>
      <c r="V52" s="33"/>
      <c r="W52" s="33"/>
      <c r="X52" s="34">
        <f t="shared" si="11"/>
        <v>0</v>
      </c>
      <c r="Y52" s="22"/>
    </row>
    <row r="53" spans="1:25">
      <c r="A53" s="28" t="s">
        <v>27</v>
      </c>
      <c r="B53" s="29"/>
      <c r="C53" s="30"/>
      <c r="D53" s="30"/>
      <c r="E53" s="30"/>
      <c r="F53" s="30">
        <v>2</v>
      </c>
      <c r="G53" s="32">
        <v>1</v>
      </c>
      <c r="H53" s="32"/>
      <c r="I53" s="32"/>
      <c r="J53" s="32"/>
      <c r="K53" s="34">
        <f t="shared" si="13"/>
        <v>3</v>
      </c>
      <c r="L53" s="22">
        <v>42426</v>
      </c>
      <c r="N53" s="28"/>
      <c r="O53" s="29"/>
      <c r="P53" s="30"/>
      <c r="Q53" s="30"/>
      <c r="R53" s="30"/>
      <c r="S53" s="30"/>
      <c r="T53" s="32"/>
      <c r="U53" s="32"/>
      <c r="V53" s="32"/>
      <c r="W53" s="32"/>
      <c r="X53" s="34">
        <f t="shared" si="11"/>
        <v>0</v>
      </c>
      <c r="Y53" s="22"/>
    </row>
    <row r="54" spans="1:25">
      <c r="A54" s="28" t="s">
        <v>27</v>
      </c>
      <c r="B54" s="35"/>
      <c r="C54" s="31"/>
      <c r="D54" s="31"/>
      <c r="E54" s="31"/>
      <c r="F54" s="31"/>
      <c r="G54" s="33"/>
      <c r="H54" s="33"/>
      <c r="I54" s="33"/>
      <c r="J54" s="33">
        <v>1</v>
      </c>
      <c r="K54" s="34">
        <f t="shared" si="13"/>
        <v>1</v>
      </c>
      <c r="L54" s="22">
        <v>42427</v>
      </c>
      <c r="N54" s="28"/>
      <c r="O54" s="35"/>
      <c r="P54" s="31"/>
      <c r="Q54" s="31"/>
      <c r="R54" s="31"/>
      <c r="S54" s="31"/>
      <c r="T54" s="33"/>
      <c r="U54" s="33"/>
      <c r="V54" s="33"/>
      <c r="W54" s="33"/>
      <c r="X54" s="34">
        <f t="shared" si="11"/>
        <v>0</v>
      </c>
      <c r="Y54" s="22"/>
    </row>
    <row r="55" spans="1:25">
      <c r="A55" s="20" t="s">
        <v>42</v>
      </c>
      <c r="B55" s="29">
        <v>4</v>
      </c>
      <c r="C55" s="30"/>
      <c r="D55" s="30"/>
      <c r="E55" s="30"/>
      <c r="F55" s="30"/>
      <c r="G55" s="32"/>
      <c r="H55" s="33"/>
      <c r="I55" s="33"/>
      <c r="J55" s="33">
        <v>4</v>
      </c>
      <c r="K55" s="34">
        <f t="shared" si="13"/>
        <v>8</v>
      </c>
      <c r="L55" s="22">
        <v>42432</v>
      </c>
      <c r="N55" s="28"/>
      <c r="O55" s="29"/>
      <c r="P55" s="30"/>
      <c r="Q55" s="30"/>
      <c r="R55" s="30"/>
      <c r="S55" s="30"/>
      <c r="T55" s="32"/>
      <c r="U55" s="33"/>
      <c r="V55" s="33"/>
      <c r="W55" s="33"/>
      <c r="X55" s="34">
        <f t="shared" si="11"/>
        <v>0</v>
      </c>
      <c r="Y55" s="22"/>
    </row>
    <row r="56" spans="1:25">
      <c r="A56" s="65" t="s">
        <v>41</v>
      </c>
      <c r="B56" s="29">
        <v>5</v>
      </c>
      <c r="C56" s="30">
        <v>5</v>
      </c>
      <c r="D56" s="30">
        <v>5</v>
      </c>
      <c r="E56" s="30">
        <v>5</v>
      </c>
      <c r="F56" s="30">
        <v>5</v>
      </c>
      <c r="G56" s="32">
        <v>5</v>
      </c>
      <c r="H56" s="32">
        <v>5</v>
      </c>
      <c r="I56" s="32">
        <v>5</v>
      </c>
      <c r="J56" s="32">
        <v>5</v>
      </c>
      <c r="K56" s="34">
        <f t="shared" si="13"/>
        <v>45</v>
      </c>
      <c r="L56" s="19">
        <v>42431</v>
      </c>
      <c r="N56" s="28"/>
      <c r="O56" s="35"/>
      <c r="P56" s="31"/>
      <c r="Q56" s="31"/>
      <c r="R56" s="31"/>
      <c r="S56" s="31"/>
      <c r="T56" s="33"/>
      <c r="U56" s="33"/>
      <c r="V56" s="33"/>
      <c r="W56" s="33"/>
      <c r="X56" s="34">
        <f t="shared" si="11"/>
        <v>0</v>
      </c>
      <c r="Y56" s="22"/>
    </row>
    <row r="57" spans="1:25">
      <c r="A57" s="66" t="s">
        <v>48</v>
      </c>
      <c r="B57" s="35"/>
      <c r="C57" s="31"/>
      <c r="D57" s="31"/>
      <c r="E57" s="31"/>
      <c r="F57" s="31">
        <v>-1</v>
      </c>
      <c r="G57" s="33"/>
      <c r="H57" s="33"/>
      <c r="I57" s="33"/>
      <c r="J57" s="33"/>
      <c r="K57" s="34">
        <f t="shared" si="13"/>
        <v>-1</v>
      </c>
      <c r="L57" s="22">
        <v>42430</v>
      </c>
      <c r="N57" s="28"/>
      <c r="O57" s="35"/>
      <c r="P57" s="31"/>
      <c r="Q57" s="31"/>
      <c r="R57" s="31"/>
      <c r="S57" s="31"/>
      <c r="T57" s="33"/>
      <c r="U57" s="33"/>
      <c r="V57" s="33"/>
      <c r="W57" s="33"/>
      <c r="X57" s="34">
        <f t="shared" si="11"/>
        <v>0</v>
      </c>
      <c r="Y57" s="22"/>
    </row>
    <row r="58" spans="1:25">
      <c r="A58" s="28" t="s">
        <v>27</v>
      </c>
      <c r="B58" s="29"/>
      <c r="C58" s="30">
        <v>2</v>
      </c>
      <c r="D58" s="30"/>
      <c r="E58" s="30"/>
      <c r="F58" s="30"/>
      <c r="G58" s="32"/>
      <c r="H58" s="32"/>
      <c r="I58" s="32"/>
      <c r="J58" s="32"/>
      <c r="K58" s="34">
        <f t="shared" si="13"/>
        <v>2</v>
      </c>
      <c r="L58" s="22">
        <v>42432</v>
      </c>
      <c r="N58" s="28"/>
      <c r="O58" s="29"/>
      <c r="P58" s="30"/>
      <c r="Q58" s="30"/>
      <c r="R58" s="30"/>
      <c r="S58" s="30"/>
      <c r="T58" s="32"/>
      <c r="U58" s="32"/>
      <c r="V58" s="32"/>
      <c r="W58" s="32"/>
      <c r="X58" s="34">
        <f t="shared" si="11"/>
        <v>0</v>
      </c>
      <c r="Y58" s="22"/>
    </row>
    <row r="59" spans="1:25">
      <c r="A59" s="28"/>
      <c r="B59" s="29"/>
      <c r="C59" s="30"/>
      <c r="D59" s="30"/>
      <c r="E59" s="30"/>
      <c r="F59" s="30"/>
      <c r="G59" s="32"/>
      <c r="H59" s="32"/>
      <c r="I59" s="32"/>
      <c r="J59" s="32"/>
      <c r="K59" s="34">
        <f t="shared" si="13"/>
        <v>0</v>
      </c>
      <c r="L59" s="19"/>
      <c r="N59" s="28"/>
      <c r="O59" s="29"/>
      <c r="P59" s="30"/>
      <c r="Q59" s="30"/>
      <c r="R59" s="30"/>
      <c r="S59" s="30"/>
      <c r="T59" s="32"/>
      <c r="U59" s="32"/>
      <c r="V59" s="32"/>
      <c r="W59" s="32"/>
      <c r="X59" s="34">
        <f t="shared" si="11"/>
        <v>0</v>
      </c>
      <c r="Y59" s="19"/>
    </row>
    <row r="60" spans="1:25">
      <c r="A60" s="65"/>
      <c r="B60" s="29"/>
      <c r="C60" s="30"/>
      <c r="D60" s="30"/>
      <c r="E60" s="30"/>
      <c r="F60" s="30"/>
      <c r="G60" s="32"/>
      <c r="H60" s="32"/>
      <c r="I60" s="32"/>
      <c r="J60" s="32"/>
      <c r="K60" s="34">
        <f t="shared" si="13"/>
        <v>0</v>
      </c>
      <c r="L60" s="19"/>
      <c r="N60" s="28"/>
      <c r="O60" s="29"/>
      <c r="P60" s="30"/>
      <c r="Q60" s="30"/>
      <c r="R60" s="30"/>
      <c r="S60" s="30"/>
      <c r="T60" s="32"/>
      <c r="U60" s="32"/>
      <c r="V60" s="32"/>
      <c r="W60" s="32"/>
      <c r="X60" s="34">
        <f t="shared" si="11"/>
        <v>0</v>
      </c>
      <c r="Y60" s="19"/>
    </row>
    <row r="61" spans="1:25">
      <c r="A61" s="20"/>
      <c r="B61" s="29"/>
      <c r="C61" s="30"/>
      <c r="D61" s="30"/>
      <c r="E61" s="30"/>
      <c r="F61" s="30"/>
      <c r="G61" s="32"/>
      <c r="H61" s="32"/>
      <c r="I61" s="32"/>
      <c r="J61" s="32"/>
      <c r="K61" s="34">
        <f t="shared" si="13"/>
        <v>0</v>
      </c>
      <c r="L61" s="19"/>
      <c r="N61" s="28"/>
      <c r="O61" s="29"/>
      <c r="P61" s="30"/>
      <c r="Q61" s="30"/>
      <c r="R61" s="30"/>
      <c r="S61" s="30"/>
      <c r="T61" s="32"/>
      <c r="U61" s="32"/>
      <c r="V61" s="32"/>
      <c r="W61" s="32"/>
      <c r="X61" s="34">
        <f t="shared" si="11"/>
        <v>0</v>
      </c>
      <c r="Y61" s="19"/>
    </row>
    <row r="62" spans="1:25" ht="14.25" thickBot="1">
      <c r="A62" s="28"/>
      <c r="B62" s="29"/>
      <c r="C62" s="30"/>
      <c r="D62" s="30"/>
      <c r="E62" s="31"/>
      <c r="F62" s="31"/>
      <c r="G62" s="32"/>
      <c r="H62" s="33"/>
      <c r="I62" s="33"/>
      <c r="J62" s="33"/>
      <c r="K62" s="34">
        <f t="shared" si="13"/>
        <v>0</v>
      </c>
      <c r="L62" s="36"/>
      <c r="N62" s="28"/>
      <c r="O62" s="29"/>
      <c r="P62" s="30"/>
      <c r="Q62" s="30"/>
      <c r="R62" s="31"/>
      <c r="S62" s="31"/>
      <c r="T62" s="32"/>
      <c r="U62" s="33"/>
      <c r="V62" s="33"/>
      <c r="W62" s="33"/>
      <c r="X62" s="34">
        <f t="shared" si="11"/>
        <v>0</v>
      </c>
      <c r="Y62" s="36"/>
    </row>
    <row r="63" spans="1:25" ht="14.25" thickBot="1">
      <c r="A63" s="2" t="s">
        <v>19</v>
      </c>
      <c r="B63" s="23">
        <f t="shared" ref="B63:J63" si="15">SUM(B43:B62)</f>
        <v>10</v>
      </c>
      <c r="C63" s="24">
        <f t="shared" si="15"/>
        <v>8</v>
      </c>
      <c r="D63" s="24">
        <f t="shared" si="15"/>
        <v>7</v>
      </c>
      <c r="E63" s="24">
        <f t="shared" si="15"/>
        <v>13</v>
      </c>
      <c r="F63" s="24">
        <f t="shared" si="15"/>
        <v>16</v>
      </c>
      <c r="G63" s="25">
        <f t="shared" si="15"/>
        <v>13</v>
      </c>
      <c r="H63" s="25">
        <f t="shared" si="15"/>
        <v>21</v>
      </c>
      <c r="I63" s="25">
        <f t="shared" si="15"/>
        <v>19</v>
      </c>
      <c r="J63" s="25">
        <f t="shared" si="15"/>
        <v>13</v>
      </c>
      <c r="K63" s="37">
        <f>SUM(B63:J63)</f>
        <v>120</v>
      </c>
      <c r="L63" s="27"/>
      <c r="N63" s="2" t="s">
        <v>19</v>
      </c>
      <c r="O63" s="23">
        <f t="shared" ref="O63:W63" si="16">SUM(O43:O62)</f>
        <v>5</v>
      </c>
      <c r="P63" s="24">
        <f t="shared" si="16"/>
        <v>5</v>
      </c>
      <c r="Q63" s="24">
        <f t="shared" si="16"/>
        <v>10</v>
      </c>
      <c r="R63" s="24">
        <f t="shared" si="16"/>
        <v>15</v>
      </c>
      <c r="S63" s="24">
        <f t="shared" si="16"/>
        <v>15</v>
      </c>
      <c r="T63" s="25">
        <f t="shared" si="16"/>
        <v>15</v>
      </c>
      <c r="U63" s="25">
        <f t="shared" si="16"/>
        <v>25</v>
      </c>
      <c r="V63" s="25">
        <f t="shared" si="16"/>
        <v>20</v>
      </c>
      <c r="W63" s="25">
        <f t="shared" si="16"/>
        <v>10</v>
      </c>
      <c r="X63" s="37">
        <f>SUM(O63:W63)</f>
        <v>120</v>
      </c>
      <c r="Y63" s="27"/>
    </row>
    <row r="64" spans="1:25" ht="14.25" thickBot="1">
      <c r="A64" s="38" t="s">
        <v>17</v>
      </c>
      <c r="B64" s="39">
        <f>B42-B63</f>
        <v>1</v>
      </c>
      <c r="C64" s="39">
        <f t="shared" ref="C64:K64" si="17">C42-C63</f>
        <v>1</v>
      </c>
      <c r="D64" s="39">
        <f t="shared" si="17"/>
        <v>6</v>
      </c>
      <c r="E64" s="39">
        <f t="shared" si="17"/>
        <v>8</v>
      </c>
      <c r="F64" s="39">
        <f t="shared" si="17"/>
        <v>8</v>
      </c>
      <c r="G64" s="39">
        <f t="shared" si="17"/>
        <v>5</v>
      </c>
      <c r="H64" s="39">
        <f t="shared" si="17"/>
        <v>7</v>
      </c>
      <c r="I64" s="39">
        <f t="shared" si="17"/>
        <v>5</v>
      </c>
      <c r="J64" s="40">
        <f t="shared" si="17"/>
        <v>2</v>
      </c>
      <c r="K64" s="37">
        <f t="shared" si="17"/>
        <v>43</v>
      </c>
      <c r="L64" s="41"/>
      <c r="N64" s="38" t="s">
        <v>17</v>
      </c>
      <c r="O64" s="39">
        <f>O42-O63</f>
        <v>136</v>
      </c>
      <c r="P64" s="39">
        <f t="shared" ref="P64:X64" si="18">P42-P63</f>
        <v>64</v>
      </c>
      <c r="Q64" s="39">
        <f t="shared" si="18"/>
        <v>37</v>
      </c>
      <c r="R64" s="39">
        <f t="shared" si="18"/>
        <v>302</v>
      </c>
      <c r="S64" s="39">
        <f t="shared" si="18"/>
        <v>300</v>
      </c>
      <c r="T64" s="39">
        <f t="shared" si="18"/>
        <v>49</v>
      </c>
      <c r="U64" s="39">
        <f t="shared" si="18"/>
        <v>42</v>
      </c>
      <c r="V64" s="39">
        <f t="shared" si="18"/>
        <v>102</v>
      </c>
      <c r="W64" s="40">
        <f t="shared" si="18"/>
        <v>71</v>
      </c>
      <c r="X64" s="37">
        <f t="shared" si="18"/>
        <v>1103</v>
      </c>
      <c r="Y64" s="41"/>
    </row>
    <row r="67" spans="1:25" ht="19.5" thickBot="1">
      <c r="A67" s="1" t="s">
        <v>22</v>
      </c>
      <c r="N67" s="1" t="s">
        <v>21</v>
      </c>
    </row>
    <row r="68" spans="1:25" ht="19.5" thickBot="1">
      <c r="A68" s="2" t="s">
        <v>0</v>
      </c>
      <c r="B68" s="163" t="s">
        <v>20</v>
      </c>
      <c r="C68" s="164"/>
      <c r="D68" s="164"/>
      <c r="E68" s="164"/>
      <c r="F68" s="164"/>
      <c r="G68" s="164"/>
      <c r="H68" s="165"/>
      <c r="I68" s="165"/>
      <c r="J68" s="165"/>
      <c r="K68" s="166"/>
      <c r="L68" s="161" t="s">
        <v>1</v>
      </c>
      <c r="N68" s="2" t="s">
        <v>0</v>
      </c>
      <c r="O68" s="163" t="s">
        <v>20</v>
      </c>
      <c r="P68" s="164"/>
      <c r="Q68" s="164"/>
      <c r="R68" s="164"/>
      <c r="S68" s="164"/>
      <c r="T68" s="164"/>
      <c r="U68" s="165"/>
      <c r="V68" s="165"/>
      <c r="W68" s="165"/>
      <c r="X68" s="166"/>
      <c r="Y68" s="161" t="s">
        <v>1</v>
      </c>
    </row>
    <row r="69" spans="1:25" ht="14.25" thickBot="1">
      <c r="A69" s="2" t="s">
        <v>2</v>
      </c>
      <c r="B69" s="3" t="s">
        <v>3</v>
      </c>
      <c r="C69" s="4" t="s">
        <v>4</v>
      </c>
      <c r="D69" s="4" t="s">
        <v>5</v>
      </c>
      <c r="E69" s="4" t="s">
        <v>6</v>
      </c>
      <c r="F69" s="4" t="s">
        <v>7</v>
      </c>
      <c r="G69" s="5" t="s">
        <v>8</v>
      </c>
      <c r="H69" s="4" t="s">
        <v>9</v>
      </c>
      <c r="I69" s="6" t="s">
        <v>10</v>
      </c>
      <c r="J69" s="5" t="s">
        <v>11</v>
      </c>
      <c r="K69" s="7" t="s">
        <v>12</v>
      </c>
      <c r="L69" s="162"/>
      <c r="N69" s="2" t="s">
        <v>2</v>
      </c>
      <c r="O69" s="3" t="s">
        <v>3</v>
      </c>
      <c r="P69" s="4" t="s">
        <v>4</v>
      </c>
      <c r="Q69" s="4" t="s">
        <v>5</v>
      </c>
      <c r="R69" s="4" t="s">
        <v>6</v>
      </c>
      <c r="S69" s="4" t="s">
        <v>7</v>
      </c>
      <c r="T69" s="5" t="s">
        <v>8</v>
      </c>
      <c r="U69" s="4" t="s">
        <v>9</v>
      </c>
      <c r="V69" s="6" t="s">
        <v>10</v>
      </c>
      <c r="W69" s="5" t="s">
        <v>11</v>
      </c>
      <c r="X69" s="7" t="s">
        <v>12</v>
      </c>
      <c r="Y69" s="162"/>
    </row>
    <row r="70" spans="1:25">
      <c r="A70" s="52" t="s">
        <v>17</v>
      </c>
      <c r="B70" s="55">
        <f>B64</f>
        <v>1</v>
      </c>
      <c r="C70" s="56">
        <f>C64</f>
        <v>1</v>
      </c>
      <c r="D70" s="56">
        <f t="shared" ref="D70:J70" si="19">D64</f>
        <v>6</v>
      </c>
      <c r="E70" s="56">
        <f t="shared" si="19"/>
        <v>8</v>
      </c>
      <c r="F70" s="56">
        <f t="shared" si="19"/>
        <v>8</v>
      </c>
      <c r="G70" s="56">
        <f t="shared" si="19"/>
        <v>5</v>
      </c>
      <c r="H70" s="56">
        <f t="shared" si="19"/>
        <v>7</v>
      </c>
      <c r="I70" s="56">
        <f t="shared" si="19"/>
        <v>5</v>
      </c>
      <c r="J70" s="56">
        <f t="shared" si="19"/>
        <v>2</v>
      </c>
      <c r="K70" s="53">
        <f t="shared" ref="K70:K72" si="20">SUM(B70:J70)</f>
        <v>43</v>
      </c>
      <c r="L70" s="54"/>
      <c r="N70" s="52" t="s">
        <v>17</v>
      </c>
      <c r="O70" s="55">
        <f>O64</f>
        <v>136</v>
      </c>
      <c r="P70" s="56">
        <f>P64</f>
        <v>64</v>
      </c>
      <c r="Q70" s="56">
        <f t="shared" ref="Q70:W70" si="21">Q64</f>
        <v>37</v>
      </c>
      <c r="R70" s="56">
        <f t="shared" si="21"/>
        <v>302</v>
      </c>
      <c r="S70" s="56">
        <f t="shared" si="21"/>
        <v>300</v>
      </c>
      <c r="T70" s="56">
        <f t="shared" si="21"/>
        <v>49</v>
      </c>
      <c r="U70" s="56">
        <f t="shared" si="21"/>
        <v>42</v>
      </c>
      <c r="V70" s="56">
        <f t="shared" si="21"/>
        <v>102</v>
      </c>
      <c r="W70" s="56">
        <f t="shared" si="21"/>
        <v>71</v>
      </c>
      <c r="X70" s="53">
        <f t="shared" ref="X70:X95" si="22">SUM(O70:W70)</f>
        <v>1103</v>
      </c>
      <c r="Y70" s="54"/>
    </row>
    <row r="71" spans="1:25">
      <c r="A71" s="8" t="s">
        <v>14</v>
      </c>
      <c r="B71" s="9">
        <v>5</v>
      </c>
      <c r="C71" s="10">
        <v>5</v>
      </c>
      <c r="D71" s="10"/>
      <c r="E71" s="10">
        <v>5</v>
      </c>
      <c r="F71" s="10">
        <v>5</v>
      </c>
      <c r="G71" s="11"/>
      <c r="H71" s="11"/>
      <c r="I71" s="11">
        <v>5</v>
      </c>
      <c r="J71" s="11">
        <v>10</v>
      </c>
      <c r="K71" s="13">
        <f t="shared" si="20"/>
        <v>35</v>
      </c>
      <c r="L71" s="12">
        <v>42433</v>
      </c>
      <c r="N71" s="8" t="s">
        <v>14</v>
      </c>
      <c r="O71" s="9"/>
      <c r="P71" s="10"/>
      <c r="Q71" s="10"/>
      <c r="R71" s="10"/>
      <c r="S71" s="10"/>
      <c r="T71" s="11"/>
      <c r="U71" s="11"/>
      <c r="V71" s="11"/>
      <c r="W71" s="11"/>
      <c r="X71" s="13">
        <f t="shared" si="22"/>
        <v>0</v>
      </c>
      <c r="Y71" s="12"/>
    </row>
    <row r="72" spans="1:25">
      <c r="A72" s="14" t="s">
        <v>51</v>
      </c>
      <c r="B72" s="15"/>
      <c r="C72" s="16"/>
      <c r="D72" s="16"/>
      <c r="E72" s="16"/>
      <c r="F72" s="16"/>
      <c r="G72" s="17"/>
      <c r="H72" s="17">
        <v>2</v>
      </c>
      <c r="I72" s="17">
        <v>2</v>
      </c>
      <c r="J72" s="17">
        <v>2</v>
      </c>
      <c r="K72" s="18">
        <f t="shared" si="20"/>
        <v>6</v>
      </c>
      <c r="L72" s="19">
        <v>42439</v>
      </c>
      <c r="N72" s="14" t="s">
        <v>15</v>
      </c>
      <c r="O72" s="15">
        <v>100</v>
      </c>
      <c r="P72" s="16">
        <v>240</v>
      </c>
      <c r="Q72" s="16">
        <v>150</v>
      </c>
      <c r="R72" s="16">
        <v>180</v>
      </c>
      <c r="S72" s="16">
        <v>182</v>
      </c>
      <c r="T72" s="17">
        <v>230</v>
      </c>
      <c r="U72" s="17">
        <v>117</v>
      </c>
      <c r="V72" s="17">
        <v>178</v>
      </c>
      <c r="W72" s="17">
        <v>217</v>
      </c>
      <c r="X72" s="18">
        <f t="shared" si="22"/>
        <v>1594</v>
      </c>
      <c r="Y72" s="19">
        <v>42461</v>
      </c>
    </row>
    <row r="73" spans="1:25">
      <c r="A73" s="20" t="s">
        <v>57</v>
      </c>
      <c r="B73" s="67">
        <v>5</v>
      </c>
      <c r="C73" s="35">
        <v>5</v>
      </c>
      <c r="D73" s="35"/>
      <c r="E73" s="35">
        <v>40</v>
      </c>
      <c r="F73" s="35">
        <v>5</v>
      </c>
      <c r="G73" s="35"/>
      <c r="H73" s="35">
        <v>5</v>
      </c>
      <c r="I73" s="35"/>
      <c r="J73" s="69"/>
      <c r="K73" s="13">
        <f>SUM(B73:J73)</f>
        <v>60</v>
      </c>
      <c r="L73" s="22">
        <v>42448</v>
      </c>
      <c r="N73" s="20" t="s">
        <v>16</v>
      </c>
      <c r="O73" s="9">
        <v>10</v>
      </c>
      <c r="P73" s="10">
        <v>10</v>
      </c>
      <c r="Q73" s="10">
        <v>10</v>
      </c>
      <c r="R73" s="10">
        <v>10</v>
      </c>
      <c r="S73" s="10">
        <v>10</v>
      </c>
      <c r="T73" s="10">
        <v>10</v>
      </c>
      <c r="U73" s="10">
        <v>10</v>
      </c>
      <c r="V73" s="10">
        <v>10</v>
      </c>
      <c r="W73" s="21">
        <v>10</v>
      </c>
      <c r="X73" s="18">
        <f t="shared" si="22"/>
        <v>90</v>
      </c>
      <c r="Y73" s="22">
        <v>42461</v>
      </c>
    </row>
    <row r="74" spans="1:25" ht="14.25" thickBot="1">
      <c r="A74" s="20" t="s">
        <v>23</v>
      </c>
      <c r="B74" s="70">
        <v>28</v>
      </c>
      <c r="C74" s="71"/>
      <c r="D74" s="71"/>
      <c r="E74" s="71"/>
      <c r="F74" s="71">
        <v>28</v>
      </c>
      <c r="G74" s="71"/>
      <c r="H74" s="71">
        <v>28</v>
      </c>
      <c r="I74" s="71"/>
      <c r="J74" s="72"/>
      <c r="K74" s="26">
        <f>SUM(B74:J74)</f>
        <v>84</v>
      </c>
      <c r="L74" s="73">
        <v>42454</v>
      </c>
      <c r="N74" s="20" t="s">
        <v>23</v>
      </c>
      <c r="O74" s="42"/>
      <c r="P74" s="43"/>
      <c r="Q74" s="43"/>
      <c r="R74" s="43"/>
      <c r="S74" s="43"/>
      <c r="T74" s="43"/>
      <c r="U74" s="43"/>
      <c r="V74" s="43"/>
      <c r="W74" s="44"/>
      <c r="X74" s="45">
        <f t="shared" si="22"/>
        <v>0</v>
      </c>
      <c r="Y74" s="19"/>
    </row>
    <row r="75" spans="1:25" ht="14.25" thickBot="1">
      <c r="A75" s="2" t="s">
        <v>18</v>
      </c>
      <c r="B75" s="23">
        <f>SUM(B70:B74)</f>
        <v>39</v>
      </c>
      <c r="C75" s="24">
        <f t="shared" ref="C75:J75" si="23">SUM(C70:C74)</f>
        <v>11</v>
      </c>
      <c r="D75" s="24">
        <f t="shared" si="23"/>
        <v>6</v>
      </c>
      <c r="E75" s="24">
        <f t="shared" si="23"/>
        <v>53</v>
      </c>
      <c r="F75" s="24">
        <f t="shared" si="23"/>
        <v>46</v>
      </c>
      <c r="G75" s="25">
        <f t="shared" si="23"/>
        <v>5</v>
      </c>
      <c r="H75" s="25">
        <f t="shared" si="23"/>
        <v>42</v>
      </c>
      <c r="I75" s="25">
        <f t="shared" si="23"/>
        <v>12</v>
      </c>
      <c r="J75" s="25">
        <f t="shared" si="23"/>
        <v>14</v>
      </c>
      <c r="K75" s="26">
        <f t="shared" ref="K75:K95" si="24">SUM(B75:J75)</f>
        <v>228</v>
      </c>
      <c r="L75" s="27"/>
      <c r="N75" s="2" t="s">
        <v>18</v>
      </c>
      <c r="O75" s="23">
        <f t="shared" ref="O75:W75" si="25">SUM(O70:O74)</f>
        <v>246</v>
      </c>
      <c r="P75" s="24">
        <f t="shared" si="25"/>
        <v>314</v>
      </c>
      <c r="Q75" s="24">
        <f t="shared" si="25"/>
        <v>197</v>
      </c>
      <c r="R75" s="24">
        <f t="shared" si="25"/>
        <v>492</v>
      </c>
      <c r="S75" s="24">
        <f t="shared" si="25"/>
        <v>492</v>
      </c>
      <c r="T75" s="25">
        <f t="shared" si="25"/>
        <v>289</v>
      </c>
      <c r="U75" s="25">
        <f t="shared" si="25"/>
        <v>169</v>
      </c>
      <c r="V75" s="25">
        <f t="shared" si="25"/>
        <v>290</v>
      </c>
      <c r="W75" s="25">
        <f t="shared" si="25"/>
        <v>298</v>
      </c>
      <c r="X75" s="26">
        <f t="shared" si="22"/>
        <v>2787</v>
      </c>
      <c r="Y75" s="27"/>
    </row>
    <row r="76" spans="1:25">
      <c r="A76" s="20" t="s">
        <v>42</v>
      </c>
      <c r="B76" s="29"/>
      <c r="C76" s="30"/>
      <c r="D76" s="30"/>
      <c r="E76" s="31">
        <v>4</v>
      </c>
      <c r="F76" s="31">
        <v>4</v>
      </c>
      <c r="G76" s="32"/>
      <c r="H76" s="33">
        <v>4</v>
      </c>
      <c r="I76" s="33">
        <v>6</v>
      </c>
      <c r="J76" s="33"/>
      <c r="K76" s="34">
        <f t="shared" si="24"/>
        <v>18</v>
      </c>
      <c r="L76" s="12">
        <v>42436</v>
      </c>
      <c r="N76" s="58" t="s">
        <v>29</v>
      </c>
      <c r="O76" s="9">
        <v>5</v>
      </c>
      <c r="P76" s="10">
        <v>5</v>
      </c>
      <c r="Q76" s="10"/>
      <c r="R76" s="10">
        <v>5</v>
      </c>
      <c r="S76" s="10">
        <v>5</v>
      </c>
      <c r="T76" s="11"/>
      <c r="U76" s="11"/>
      <c r="V76" s="11">
        <v>5</v>
      </c>
      <c r="W76" s="11">
        <v>10</v>
      </c>
      <c r="X76" s="13">
        <f t="shared" si="22"/>
        <v>35</v>
      </c>
      <c r="Y76" s="12">
        <v>42433</v>
      </c>
    </row>
    <row r="77" spans="1:25">
      <c r="A77" s="65" t="s">
        <v>52</v>
      </c>
      <c r="B77" s="29"/>
      <c r="C77" s="30"/>
      <c r="D77" s="30"/>
      <c r="E77" s="30">
        <v>1</v>
      </c>
      <c r="F77" s="30"/>
      <c r="G77" s="32"/>
      <c r="H77" s="32"/>
      <c r="I77" s="32"/>
      <c r="J77" s="32"/>
      <c r="K77" s="34">
        <f t="shared" si="24"/>
        <v>1</v>
      </c>
      <c r="L77" s="22">
        <v>42439</v>
      </c>
      <c r="N77" s="28" t="s">
        <v>29</v>
      </c>
      <c r="O77" s="67">
        <v>5</v>
      </c>
      <c r="P77" s="35">
        <v>5</v>
      </c>
      <c r="Q77" s="35"/>
      <c r="R77" s="35">
        <v>40</v>
      </c>
      <c r="S77" s="35">
        <v>5</v>
      </c>
      <c r="T77" s="35"/>
      <c r="U77" s="35">
        <v>5</v>
      </c>
      <c r="V77" s="35"/>
      <c r="W77" s="68"/>
      <c r="X77" s="13">
        <f>SUM(O77:W77)</f>
        <v>60</v>
      </c>
      <c r="Y77" s="19">
        <v>42448</v>
      </c>
    </row>
    <row r="78" spans="1:25">
      <c r="A78" s="28" t="s">
        <v>33</v>
      </c>
      <c r="B78" s="29">
        <v>2</v>
      </c>
      <c r="C78" s="30">
        <v>2</v>
      </c>
      <c r="D78" s="30"/>
      <c r="E78" s="30">
        <v>3</v>
      </c>
      <c r="F78" s="30">
        <v>5</v>
      </c>
      <c r="G78" s="32"/>
      <c r="H78" s="32"/>
      <c r="I78" s="32"/>
      <c r="J78" s="32"/>
      <c r="K78" s="34">
        <f t="shared" si="24"/>
        <v>12</v>
      </c>
      <c r="L78" s="22">
        <v>42444</v>
      </c>
      <c r="N78" s="28" t="s">
        <v>29</v>
      </c>
      <c r="O78" s="29">
        <v>28</v>
      </c>
      <c r="P78" s="30"/>
      <c r="Q78" s="30"/>
      <c r="R78" s="30"/>
      <c r="S78" s="30">
        <v>28</v>
      </c>
      <c r="T78" s="32"/>
      <c r="U78" s="32">
        <v>28</v>
      </c>
      <c r="V78" s="32"/>
      <c r="W78" s="32"/>
      <c r="X78" s="34">
        <f t="shared" si="22"/>
        <v>84</v>
      </c>
      <c r="Y78" s="22">
        <v>42454</v>
      </c>
    </row>
    <row r="79" spans="1:25">
      <c r="A79" s="20" t="s">
        <v>42</v>
      </c>
      <c r="B79" s="29"/>
      <c r="C79" s="30"/>
      <c r="D79" s="30"/>
      <c r="E79" s="30">
        <v>2</v>
      </c>
      <c r="F79" s="30"/>
      <c r="G79" s="32"/>
      <c r="H79" s="33"/>
      <c r="I79" s="32"/>
      <c r="J79" s="32"/>
      <c r="K79" s="34">
        <f t="shared" si="24"/>
        <v>2</v>
      </c>
      <c r="L79" s="22">
        <v>42445</v>
      </c>
      <c r="N79" s="28"/>
      <c r="O79" s="29"/>
      <c r="P79" s="30"/>
      <c r="Q79" s="30"/>
      <c r="R79" s="30"/>
      <c r="S79" s="30"/>
      <c r="T79" s="32"/>
      <c r="U79" s="33"/>
      <c r="V79" s="32"/>
      <c r="W79" s="32"/>
      <c r="X79" s="34">
        <f t="shared" si="22"/>
        <v>0</v>
      </c>
      <c r="Y79" s="22"/>
    </row>
    <row r="80" spans="1:25">
      <c r="A80" s="57" t="s">
        <v>53</v>
      </c>
      <c r="B80" s="29">
        <v>1</v>
      </c>
      <c r="C80" s="30"/>
      <c r="D80" s="30"/>
      <c r="E80" s="30"/>
      <c r="F80" s="30"/>
      <c r="G80" s="32"/>
      <c r="H80" s="32"/>
      <c r="I80" s="32"/>
      <c r="J80" s="32"/>
      <c r="K80" s="34">
        <f t="shared" si="24"/>
        <v>1</v>
      </c>
      <c r="L80" s="22">
        <v>42446</v>
      </c>
      <c r="N80" s="20"/>
      <c r="O80" s="29"/>
      <c r="P80" s="30"/>
      <c r="Q80" s="30"/>
      <c r="R80" s="30"/>
      <c r="S80" s="30"/>
      <c r="T80" s="32"/>
      <c r="U80" s="32"/>
      <c r="V80" s="32"/>
      <c r="W80" s="32"/>
      <c r="X80" s="34">
        <f t="shared" si="22"/>
        <v>0</v>
      </c>
      <c r="Y80" s="22"/>
    </row>
    <row r="81" spans="1:25">
      <c r="A81" s="20" t="s">
        <v>54</v>
      </c>
      <c r="B81" s="29"/>
      <c r="C81" s="30"/>
      <c r="D81" s="30"/>
      <c r="E81" s="30">
        <v>3</v>
      </c>
      <c r="F81" s="30"/>
      <c r="G81" s="32"/>
      <c r="H81" s="33">
        <v>3</v>
      </c>
      <c r="I81" s="33"/>
      <c r="J81" s="33"/>
      <c r="K81" s="34">
        <f t="shared" si="24"/>
        <v>6</v>
      </c>
      <c r="L81" s="22">
        <v>42451</v>
      </c>
      <c r="N81" s="20"/>
      <c r="O81" s="29"/>
      <c r="P81" s="30"/>
      <c r="Q81" s="30"/>
      <c r="R81" s="30"/>
      <c r="S81" s="30"/>
      <c r="T81" s="32"/>
      <c r="U81" s="33"/>
      <c r="V81" s="33"/>
      <c r="W81" s="33"/>
      <c r="X81" s="34">
        <f t="shared" si="22"/>
        <v>0</v>
      </c>
      <c r="Y81" s="22"/>
    </row>
    <row r="82" spans="1:25">
      <c r="A82" s="20" t="s">
        <v>54</v>
      </c>
      <c r="B82" s="29"/>
      <c r="C82" s="30"/>
      <c r="D82" s="30"/>
      <c r="E82" s="31">
        <v>30</v>
      </c>
      <c r="F82" s="31"/>
      <c r="G82" s="32"/>
      <c r="H82" s="33"/>
      <c r="I82" s="33"/>
      <c r="J82" s="33"/>
      <c r="K82" s="34">
        <f t="shared" si="24"/>
        <v>30</v>
      </c>
      <c r="L82" s="22">
        <v>42452</v>
      </c>
      <c r="N82" s="28"/>
      <c r="O82" s="29"/>
      <c r="P82" s="30"/>
      <c r="Q82" s="30"/>
      <c r="R82" s="31"/>
      <c r="S82" s="31"/>
      <c r="T82" s="32"/>
      <c r="U82" s="33"/>
      <c r="V82" s="33"/>
      <c r="W82" s="33"/>
      <c r="X82" s="34">
        <f t="shared" si="22"/>
        <v>0</v>
      </c>
      <c r="Y82" s="22"/>
    </row>
    <row r="83" spans="1:25">
      <c r="A83" s="20" t="s">
        <v>27</v>
      </c>
      <c r="B83" s="35">
        <v>1</v>
      </c>
      <c r="C83" s="31"/>
      <c r="D83" s="31"/>
      <c r="E83" s="31"/>
      <c r="F83" s="31"/>
      <c r="G83" s="33"/>
      <c r="H83" s="33"/>
      <c r="I83" s="33"/>
      <c r="J83" s="33"/>
      <c r="K83" s="34">
        <f t="shared" si="24"/>
        <v>1</v>
      </c>
      <c r="L83" s="22">
        <v>42446</v>
      </c>
      <c r="N83" s="28"/>
      <c r="O83" s="35"/>
      <c r="P83" s="31"/>
      <c r="Q83" s="31"/>
      <c r="R83" s="31"/>
      <c r="S83" s="31"/>
      <c r="T83" s="33"/>
      <c r="U83" s="33"/>
      <c r="V83" s="33"/>
      <c r="W83" s="33"/>
      <c r="X83" s="34">
        <f t="shared" si="22"/>
        <v>0</v>
      </c>
      <c r="Y83" s="22"/>
    </row>
    <row r="84" spans="1:25">
      <c r="A84" s="20" t="s">
        <v>27</v>
      </c>
      <c r="B84" s="35"/>
      <c r="C84" s="31"/>
      <c r="D84" s="31"/>
      <c r="E84" s="31"/>
      <c r="F84" s="31">
        <v>1</v>
      </c>
      <c r="G84" s="33"/>
      <c r="H84" s="33"/>
      <c r="I84" s="33"/>
      <c r="J84" s="33"/>
      <c r="K84" s="34">
        <f t="shared" si="24"/>
        <v>1</v>
      </c>
      <c r="L84" s="22">
        <v>42447</v>
      </c>
      <c r="N84" s="28"/>
      <c r="O84" s="35"/>
      <c r="P84" s="31"/>
      <c r="Q84" s="31"/>
      <c r="R84" s="31"/>
      <c r="S84" s="31"/>
      <c r="T84" s="33"/>
      <c r="U84" s="33"/>
      <c r="V84" s="33"/>
      <c r="W84" s="33"/>
      <c r="X84" s="34">
        <f t="shared" si="22"/>
        <v>0</v>
      </c>
      <c r="Y84" s="22"/>
    </row>
    <row r="85" spans="1:25">
      <c r="A85" s="20" t="s">
        <v>27</v>
      </c>
      <c r="B85" s="35"/>
      <c r="C85" s="31"/>
      <c r="D85" s="31"/>
      <c r="E85" s="31"/>
      <c r="F85" s="31">
        <v>1</v>
      </c>
      <c r="G85" s="33"/>
      <c r="H85" s="33"/>
      <c r="I85" s="33"/>
      <c r="J85" s="33"/>
      <c r="K85" s="34">
        <f t="shared" si="24"/>
        <v>1</v>
      </c>
      <c r="L85" s="22">
        <v>42448</v>
      </c>
      <c r="N85" s="28"/>
      <c r="O85" s="35"/>
      <c r="P85" s="31"/>
      <c r="Q85" s="31"/>
      <c r="R85" s="31"/>
      <c r="S85" s="31"/>
      <c r="T85" s="33"/>
      <c r="U85" s="33"/>
      <c r="V85" s="33"/>
      <c r="W85" s="33"/>
      <c r="X85" s="34">
        <f t="shared" si="22"/>
        <v>0</v>
      </c>
      <c r="Y85" s="22"/>
    </row>
    <row r="86" spans="1:25">
      <c r="A86" s="28" t="s">
        <v>51</v>
      </c>
      <c r="B86" s="29"/>
      <c r="C86" s="30"/>
      <c r="D86" s="30"/>
      <c r="E86" s="30">
        <v>-2</v>
      </c>
      <c r="F86" s="30">
        <v>-2</v>
      </c>
      <c r="G86" s="32"/>
      <c r="H86" s="32"/>
      <c r="I86" s="32"/>
      <c r="J86" s="32"/>
      <c r="K86" s="34">
        <f t="shared" si="24"/>
        <v>-4</v>
      </c>
      <c r="L86" s="22">
        <v>42448</v>
      </c>
      <c r="N86" s="28"/>
      <c r="O86" s="29"/>
      <c r="P86" s="30"/>
      <c r="Q86" s="30"/>
      <c r="R86" s="30"/>
      <c r="S86" s="30"/>
      <c r="T86" s="32"/>
      <c r="U86" s="32"/>
      <c r="V86" s="32"/>
      <c r="W86" s="32"/>
      <c r="X86" s="34">
        <f t="shared" si="22"/>
        <v>0</v>
      </c>
      <c r="Y86" s="22"/>
    </row>
    <row r="87" spans="1:25">
      <c r="A87" s="20" t="s">
        <v>54</v>
      </c>
      <c r="B87" s="35">
        <v>20</v>
      </c>
      <c r="C87" s="31"/>
      <c r="D87" s="31"/>
      <c r="E87" s="31"/>
      <c r="F87" s="31">
        <v>20</v>
      </c>
      <c r="G87" s="33"/>
      <c r="H87" s="33">
        <v>20</v>
      </c>
      <c r="I87" s="33"/>
      <c r="J87" s="33">
        <v>10</v>
      </c>
      <c r="K87" s="34">
        <f t="shared" si="24"/>
        <v>70</v>
      </c>
      <c r="L87" s="22">
        <v>42457</v>
      </c>
      <c r="N87" s="28"/>
      <c r="O87" s="35"/>
      <c r="P87" s="31"/>
      <c r="Q87" s="31"/>
      <c r="R87" s="31"/>
      <c r="S87" s="31"/>
      <c r="T87" s="33"/>
      <c r="U87" s="33"/>
      <c r="V87" s="33"/>
      <c r="W87" s="33"/>
      <c r="X87" s="34">
        <f t="shared" si="22"/>
        <v>0</v>
      </c>
      <c r="Y87" s="22"/>
    </row>
    <row r="88" spans="1:25">
      <c r="A88" s="20" t="s">
        <v>27</v>
      </c>
      <c r="B88" s="29"/>
      <c r="C88" s="30"/>
      <c r="D88" s="30"/>
      <c r="E88" s="30"/>
      <c r="F88" s="30"/>
      <c r="G88" s="32">
        <v>1</v>
      </c>
      <c r="H88" s="33"/>
      <c r="I88" s="33"/>
      <c r="J88" s="33"/>
      <c r="K88" s="34">
        <f t="shared" si="24"/>
        <v>1</v>
      </c>
      <c r="L88" s="22">
        <v>42458</v>
      </c>
      <c r="N88" s="28"/>
      <c r="O88" s="29"/>
      <c r="P88" s="30"/>
      <c r="Q88" s="30"/>
      <c r="R88" s="30"/>
      <c r="S88" s="30"/>
      <c r="T88" s="32"/>
      <c r="U88" s="33"/>
      <c r="V88" s="33"/>
      <c r="W88" s="33"/>
      <c r="X88" s="34">
        <f t="shared" si="22"/>
        <v>0</v>
      </c>
      <c r="Y88" s="22"/>
    </row>
    <row r="89" spans="1:25">
      <c r="A89" s="66" t="s">
        <v>27</v>
      </c>
      <c r="B89" s="35"/>
      <c r="C89" s="31"/>
      <c r="D89" s="31"/>
      <c r="E89" s="31">
        <v>1</v>
      </c>
      <c r="F89" s="31"/>
      <c r="G89" s="33"/>
      <c r="H89" s="33"/>
      <c r="I89" s="33"/>
      <c r="J89" s="33"/>
      <c r="K89" s="34">
        <f t="shared" si="24"/>
        <v>1</v>
      </c>
      <c r="L89" s="22">
        <v>42462</v>
      </c>
      <c r="N89" s="28"/>
      <c r="O89" s="35"/>
      <c r="P89" s="31"/>
      <c r="Q89" s="31"/>
      <c r="R89" s="31"/>
      <c r="S89" s="31"/>
      <c r="T89" s="33"/>
      <c r="U89" s="33"/>
      <c r="V89" s="33"/>
      <c r="W89" s="33"/>
      <c r="X89" s="34">
        <f t="shared" si="22"/>
        <v>0</v>
      </c>
      <c r="Y89" s="22"/>
    </row>
    <row r="90" spans="1:25">
      <c r="A90" s="66" t="s">
        <v>63</v>
      </c>
      <c r="B90" s="35">
        <v>-1</v>
      </c>
      <c r="C90" s="31"/>
      <c r="D90" s="31"/>
      <c r="E90" s="31"/>
      <c r="F90" s="31">
        <v>-1</v>
      </c>
      <c r="G90" s="33">
        <v>-1</v>
      </c>
      <c r="H90" s="33"/>
      <c r="I90" s="33"/>
      <c r="J90" s="33"/>
      <c r="K90" s="34">
        <f t="shared" si="24"/>
        <v>-3</v>
      </c>
      <c r="L90" s="22">
        <v>42467</v>
      </c>
      <c r="N90" s="28"/>
      <c r="O90" s="35"/>
      <c r="P90" s="31"/>
      <c r="Q90" s="31"/>
      <c r="R90" s="31"/>
      <c r="S90" s="31"/>
      <c r="T90" s="33"/>
      <c r="U90" s="33"/>
      <c r="V90" s="33"/>
      <c r="W90" s="33"/>
      <c r="X90" s="34">
        <f t="shared" si="22"/>
        <v>0</v>
      </c>
      <c r="Y90" s="22"/>
    </row>
    <row r="91" spans="1:25">
      <c r="A91" s="28"/>
      <c r="B91" s="29"/>
      <c r="C91" s="30"/>
      <c r="D91" s="30"/>
      <c r="E91" s="30"/>
      <c r="F91" s="30"/>
      <c r="G91" s="32"/>
      <c r="H91" s="32"/>
      <c r="I91" s="32"/>
      <c r="J91" s="32"/>
      <c r="K91" s="34">
        <f t="shared" si="24"/>
        <v>0</v>
      </c>
      <c r="L91" s="22"/>
      <c r="N91" s="65"/>
      <c r="O91" s="29"/>
      <c r="P91" s="30"/>
      <c r="Q91" s="30"/>
      <c r="R91" s="30"/>
      <c r="S91" s="30"/>
      <c r="T91" s="32"/>
      <c r="U91" s="32"/>
      <c r="V91" s="32"/>
      <c r="W91" s="32"/>
      <c r="X91" s="34">
        <f t="shared" si="22"/>
        <v>0</v>
      </c>
      <c r="Y91" s="22"/>
    </row>
    <row r="92" spans="1:25">
      <c r="A92" s="28"/>
      <c r="B92" s="29"/>
      <c r="C92" s="30"/>
      <c r="D92" s="30"/>
      <c r="E92" s="30"/>
      <c r="F92" s="30"/>
      <c r="G92" s="32"/>
      <c r="H92" s="32"/>
      <c r="I92" s="32"/>
      <c r="J92" s="32"/>
      <c r="K92" s="34">
        <f t="shared" si="24"/>
        <v>0</v>
      </c>
      <c r="L92" s="19"/>
      <c r="N92" s="28"/>
      <c r="O92" s="29"/>
      <c r="P92" s="30"/>
      <c r="Q92" s="30"/>
      <c r="R92" s="30"/>
      <c r="S92" s="30"/>
      <c r="T92" s="32"/>
      <c r="U92" s="32"/>
      <c r="V92" s="32"/>
      <c r="W92" s="32"/>
      <c r="X92" s="34">
        <f t="shared" si="22"/>
        <v>0</v>
      </c>
      <c r="Y92" s="19"/>
    </row>
    <row r="93" spans="1:25">
      <c r="A93" s="65"/>
      <c r="B93" s="29"/>
      <c r="C93" s="30"/>
      <c r="D93" s="30"/>
      <c r="E93" s="30"/>
      <c r="F93" s="30"/>
      <c r="G93" s="32"/>
      <c r="H93" s="32"/>
      <c r="I93" s="32"/>
      <c r="J93" s="32"/>
      <c r="K93" s="34">
        <f t="shared" si="24"/>
        <v>0</v>
      </c>
      <c r="L93" s="19"/>
      <c r="N93" s="65"/>
      <c r="O93" s="29"/>
      <c r="P93" s="30"/>
      <c r="Q93" s="30"/>
      <c r="R93" s="30"/>
      <c r="S93" s="30"/>
      <c r="T93" s="32"/>
      <c r="U93" s="32"/>
      <c r="V93" s="32"/>
      <c r="W93" s="32"/>
      <c r="X93" s="34">
        <f t="shared" si="22"/>
        <v>0</v>
      </c>
      <c r="Y93" s="19"/>
    </row>
    <row r="94" spans="1:25">
      <c r="A94" s="20"/>
      <c r="B94" s="29"/>
      <c r="C94" s="30"/>
      <c r="D94" s="30"/>
      <c r="E94" s="30"/>
      <c r="F94" s="30"/>
      <c r="G94" s="32"/>
      <c r="H94" s="32"/>
      <c r="I94" s="32"/>
      <c r="J94" s="32"/>
      <c r="K94" s="34">
        <f t="shared" si="24"/>
        <v>0</v>
      </c>
      <c r="L94" s="19"/>
      <c r="N94" s="28"/>
      <c r="O94" s="29"/>
      <c r="P94" s="30"/>
      <c r="Q94" s="30"/>
      <c r="R94" s="30"/>
      <c r="S94" s="30"/>
      <c r="T94" s="32"/>
      <c r="U94" s="32"/>
      <c r="V94" s="32"/>
      <c r="W94" s="32"/>
      <c r="X94" s="34">
        <f t="shared" si="22"/>
        <v>0</v>
      </c>
      <c r="Y94" s="19"/>
    </row>
    <row r="95" spans="1:25" ht="14.25" thickBot="1">
      <c r="A95" s="28"/>
      <c r="B95" s="29"/>
      <c r="C95" s="30"/>
      <c r="D95" s="30"/>
      <c r="E95" s="31"/>
      <c r="F95" s="31"/>
      <c r="G95" s="32"/>
      <c r="H95" s="33"/>
      <c r="I95" s="33"/>
      <c r="J95" s="33"/>
      <c r="K95" s="34">
        <f t="shared" si="24"/>
        <v>0</v>
      </c>
      <c r="L95" s="36"/>
      <c r="N95" s="28"/>
      <c r="O95" s="29"/>
      <c r="P95" s="30"/>
      <c r="Q95" s="30"/>
      <c r="R95" s="31"/>
      <c r="S95" s="31"/>
      <c r="T95" s="32"/>
      <c r="U95" s="33"/>
      <c r="V95" s="33"/>
      <c r="W95" s="33"/>
      <c r="X95" s="34">
        <f t="shared" si="22"/>
        <v>0</v>
      </c>
      <c r="Y95" s="36"/>
    </row>
    <row r="96" spans="1:25" ht="14.25" thickBot="1">
      <c r="A96" s="2" t="s">
        <v>19</v>
      </c>
      <c r="B96" s="23">
        <f t="shared" ref="B96:J96" si="26">SUM(B76:B95)</f>
        <v>23</v>
      </c>
      <c r="C96" s="24">
        <f t="shared" si="26"/>
        <v>2</v>
      </c>
      <c r="D96" s="24">
        <f t="shared" si="26"/>
        <v>0</v>
      </c>
      <c r="E96" s="24">
        <f t="shared" si="26"/>
        <v>42</v>
      </c>
      <c r="F96" s="24">
        <f t="shared" si="26"/>
        <v>28</v>
      </c>
      <c r="G96" s="25">
        <f t="shared" si="26"/>
        <v>0</v>
      </c>
      <c r="H96" s="25">
        <f t="shared" si="26"/>
        <v>27</v>
      </c>
      <c r="I96" s="25">
        <f t="shared" si="26"/>
        <v>6</v>
      </c>
      <c r="J96" s="25">
        <f t="shared" si="26"/>
        <v>10</v>
      </c>
      <c r="K96" s="37">
        <f>SUM(B96:J96)</f>
        <v>138</v>
      </c>
      <c r="L96" s="27"/>
      <c r="N96" s="2" t="s">
        <v>19</v>
      </c>
      <c r="O96" s="23">
        <f t="shared" ref="O96:W96" si="27">SUM(O76:O95)</f>
        <v>38</v>
      </c>
      <c r="P96" s="24">
        <f t="shared" si="27"/>
        <v>10</v>
      </c>
      <c r="Q96" s="24">
        <f t="shared" si="27"/>
        <v>0</v>
      </c>
      <c r="R96" s="24">
        <f t="shared" si="27"/>
        <v>45</v>
      </c>
      <c r="S96" s="24">
        <f t="shared" si="27"/>
        <v>38</v>
      </c>
      <c r="T96" s="25">
        <f t="shared" si="27"/>
        <v>0</v>
      </c>
      <c r="U96" s="25">
        <f t="shared" si="27"/>
        <v>33</v>
      </c>
      <c r="V96" s="25">
        <f t="shared" si="27"/>
        <v>5</v>
      </c>
      <c r="W96" s="25">
        <f t="shared" si="27"/>
        <v>10</v>
      </c>
      <c r="X96" s="37">
        <f>SUM(O96:W96)</f>
        <v>179</v>
      </c>
      <c r="Y96" s="27"/>
    </row>
    <row r="97" spans="1:25" ht="14.25" thickBot="1">
      <c r="A97" s="38" t="s">
        <v>17</v>
      </c>
      <c r="B97" s="39">
        <f>B75-B96</f>
        <v>16</v>
      </c>
      <c r="C97" s="39">
        <f t="shared" ref="C97:K97" si="28">C75-C96</f>
        <v>9</v>
      </c>
      <c r="D97" s="39">
        <f t="shared" si="28"/>
        <v>6</v>
      </c>
      <c r="E97" s="39">
        <f t="shared" si="28"/>
        <v>11</v>
      </c>
      <c r="F97" s="39">
        <f t="shared" si="28"/>
        <v>18</v>
      </c>
      <c r="G97" s="39">
        <f t="shared" si="28"/>
        <v>5</v>
      </c>
      <c r="H97" s="39">
        <f t="shared" si="28"/>
        <v>15</v>
      </c>
      <c r="I97" s="39">
        <f t="shared" si="28"/>
        <v>6</v>
      </c>
      <c r="J97" s="40">
        <f t="shared" si="28"/>
        <v>4</v>
      </c>
      <c r="K97" s="37">
        <f t="shared" si="28"/>
        <v>90</v>
      </c>
      <c r="L97" s="41"/>
      <c r="N97" s="38" t="s">
        <v>17</v>
      </c>
      <c r="O97" s="39">
        <f>O75-O96</f>
        <v>208</v>
      </c>
      <c r="P97" s="39">
        <f t="shared" ref="P97:X97" si="29">P75-P96</f>
        <v>304</v>
      </c>
      <c r="Q97" s="39">
        <f t="shared" si="29"/>
        <v>197</v>
      </c>
      <c r="R97" s="39">
        <f t="shared" si="29"/>
        <v>447</v>
      </c>
      <c r="S97" s="39">
        <f t="shared" si="29"/>
        <v>454</v>
      </c>
      <c r="T97" s="39">
        <f t="shared" si="29"/>
        <v>289</v>
      </c>
      <c r="U97" s="39">
        <f t="shared" si="29"/>
        <v>136</v>
      </c>
      <c r="V97" s="39">
        <f t="shared" si="29"/>
        <v>285</v>
      </c>
      <c r="W97" s="40">
        <f t="shared" si="29"/>
        <v>288</v>
      </c>
      <c r="X97" s="37">
        <f t="shared" si="29"/>
        <v>2608</v>
      </c>
      <c r="Y97" s="41"/>
    </row>
    <row r="100" spans="1:25" ht="19.5" thickBot="1">
      <c r="A100" s="1" t="s">
        <v>22</v>
      </c>
      <c r="N100" s="1" t="s">
        <v>21</v>
      </c>
    </row>
    <row r="101" spans="1:25" ht="19.5" thickBot="1">
      <c r="A101" s="2" t="s">
        <v>0</v>
      </c>
      <c r="B101" s="163" t="s">
        <v>20</v>
      </c>
      <c r="C101" s="164"/>
      <c r="D101" s="164"/>
      <c r="E101" s="164"/>
      <c r="F101" s="164"/>
      <c r="G101" s="164"/>
      <c r="H101" s="165"/>
      <c r="I101" s="165"/>
      <c r="J101" s="165"/>
      <c r="K101" s="166"/>
      <c r="L101" s="161" t="s">
        <v>1</v>
      </c>
      <c r="N101" s="2" t="s">
        <v>0</v>
      </c>
      <c r="O101" s="163" t="s">
        <v>20</v>
      </c>
      <c r="P101" s="164"/>
      <c r="Q101" s="164"/>
      <c r="R101" s="164"/>
      <c r="S101" s="164"/>
      <c r="T101" s="164"/>
      <c r="U101" s="165"/>
      <c r="V101" s="165"/>
      <c r="W101" s="165"/>
      <c r="X101" s="166"/>
      <c r="Y101" s="161" t="s">
        <v>1</v>
      </c>
    </row>
    <row r="102" spans="1:25" ht="14.25" thickBot="1">
      <c r="A102" s="2" t="s">
        <v>2</v>
      </c>
      <c r="B102" s="3" t="s">
        <v>3</v>
      </c>
      <c r="C102" s="4" t="s">
        <v>4</v>
      </c>
      <c r="D102" s="4" t="s">
        <v>5</v>
      </c>
      <c r="E102" s="4" t="s">
        <v>6</v>
      </c>
      <c r="F102" s="4" t="s">
        <v>7</v>
      </c>
      <c r="G102" s="5" t="s">
        <v>8</v>
      </c>
      <c r="H102" s="4" t="s">
        <v>9</v>
      </c>
      <c r="I102" s="6" t="s">
        <v>10</v>
      </c>
      <c r="J102" s="5" t="s">
        <v>11</v>
      </c>
      <c r="K102" s="7" t="s">
        <v>12</v>
      </c>
      <c r="L102" s="162"/>
      <c r="N102" s="2" t="s">
        <v>2</v>
      </c>
      <c r="O102" s="3" t="s">
        <v>3</v>
      </c>
      <c r="P102" s="4" t="s">
        <v>4</v>
      </c>
      <c r="Q102" s="4" t="s">
        <v>5</v>
      </c>
      <c r="R102" s="4" t="s">
        <v>6</v>
      </c>
      <c r="S102" s="4" t="s">
        <v>7</v>
      </c>
      <c r="T102" s="5" t="s">
        <v>8</v>
      </c>
      <c r="U102" s="4" t="s">
        <v>9</v>
      </c>
      <c r="V102" s="6" t="s">
        <v>10</v>
      </c>
      <c r="W102" s="5" t="s">
        <v>11</v>
      </c>
      <c r="X102" s="7" t="s">
        <v>12</v>
      </c>
      <c r="Y102" s="162"/>
    </row>
    <row r="103" spans="1:25">
      <c r="A103" s="52" t="s">
        <v>17</v>
      </c>
      <c r="B103" s="55">
        <f>B97</f>
        <v>16</v>
      </c>
      <c r="C103" s="56">
        <f>C97</f>
        <v>9</v>
      </c>
      <c r="D103" s="56">
        <f t="shared" ref="D103:J103" si="30">D97</f>
        <v>6</v>
      </c>
      <c r="E103" s="56">
        <f t="shared" si="30"/>
        <v>11</v>
      </c>
      <c r="F103" s="56">
        <f t="shared" si="30"/>
        <v>18</v>
      </c>
      <c r="G103" s="56">
        <f t="shared" si="30"/>
        <v>5</v>
      </c>
      <c r="H103" s="56">
        <f t="shared" si="30"/>
        <v>15</v>
      </c>
      <c r="I103" s="56">
        <f t="shared" si="30"/>
        <v>6</v>
      </c>
      <c r="J103" s="56">
        <f t="shared" si="30"/>
        <v>4</v>
      </c>
      <c r="K103" s="53">
        <f t="shared" ref="K103:K105" si="31">SUM(B103:J103)</f>
        <v>90</v>
      </c>
      <c r="L103" s="54"/>
      <c r="N103" s="52" t="s">
        <v>17</v>
      </c>
      <c r="O103" s="55">
        <f>O97</f>
        <v>208</v>
      </c>
      <c r="P103" s="56">
        <f>P97</f>
        <v>304</v>
      </c>
      <c r="Q103" s="56">
        <f t="shared" ref="Q103:W103" si="32">Q97</f>
        <v>197</v>
      </c>
      <c r="R103" s="56">
        <f t="shared" si="32"/>
        <v>447</v>
      </c>
      <c r="S103" s="56">
        <f t="shared" si="32"/>
        <v>454</v>
      </c>
      <c r="T103" s="56">
        <f t="shared" si="32"/>
        <v>289</v>
      </c>
      <c r="U103" s="56">
        <f t="shared" si="32"/>
        <v>136</v>
      </c>
      <c r="V103" s="56">
        <f t="shared" si="32"/>
        <v>285</v>
      </c>
      <c r="W103" s="56">
        <f t="shared" si="32"/>
        <v>288</v>
      </c>
      <c r="X103" s="53">
        <f t="shared" ref="X103:X109" si="33">SUM(O103:W103)</f>
        <v>2608</v>
      </c>
      <c r="Y103" s="54"/>
    </row>
    <row r="104" spans="1:25">
      <c r="A104" s="8" t="s">
        <v>14</v>
      </c>
      <c r="B104" s="9"/>
      <c r="C104" s="10">
        <v>10</v>
      </c>
      <c r="D104" s="10">
        <v>10</v>
      </c>
      <c r="E104" s="10"/>
      <c r="F104" s="10"/>
      <c r="G104" s="11">
        <v>15</v>
      </c>
      <c r="H104" s="11"/>
      <c r="I104" s="11">
        <v>15</v>
      </c>
      <c r="J104" s="11">
        <v>10</v>
      </c>
      <c r="K104" s="13">
        <f t="shared" si="31"/>
        <v>60</v>
      </c>
      <c r="L104" s="12">
        <v>42468</v>
      </c>
      <c r="N104" s="8" t="s">
        <v>14</v>
      </c>
      <c r="O104" s="9"/>
      <c r="P104" s="10"/>
      <c r="Q104" s="10"/>
      <c r="R104" s="10"/>
      <c r="S104" s="10"/>
      <c r="T104" s="11"/>
      <c r="U104" s="11"/>
      <c r="V104" s="11"/>
      <c r="W104" s="11"/>
      <c r="X104" s="13">
        <f t="shared" si="33"/>
        <v>0</v>
      </c>
      <c r="Y104" s="12"/>
    </row>
    <row r="105" spans="1:25">
      <c r="A105" s="8" t="s">
        <v>15</v>
      </c>
      <c r="B105" s="15"/>
      <c r="C105" s="16"/>
      <c r="D105" s="16"/>
      <c r="E105" s="16"/>
      <c r="F105" s="16"/>
      <c r="G105" s="17"/>
      <c r="H105" s="17"/>
      <c r="I105" s="17">
        <v>2</v>
      </c>
      <c r="J105" s="17"/>
      <c r="K105" s="18">
        <f t="shared" si="31"/>
        <v>2</v>
      </c>
      <c r="L105" s="19">
        <v>42472</v>
      </c>
      <c r="N105" s="8" t="s">
        <v>15</v>
      </c>
      <c r="O105" s="15"/>
      <c r="P105" s="16"/>
      <c r="Q105" s="16"/>
      <c r="R105" s="16"/>
      <c r="S105" s="16"/>
      <c r="T105" s="17"/>
      <c r="U105" s="17"/>
      <c r="V105" s="17"/>
      <c r="W105" s="17"/>
      <c r="X105" s="18">
        <f t="shared" si="33"/>
        <v>0</v>
      </c>
      <c r="Y105" s="19"/>
    </row>
    <row r="106" spans="1:25">
      <c r="A106" s="20" t="s">
        <v>57</v>
      </c>
      <c r="B106" s="67">
        <v>5</v>
      </c>
      <c r="C106" s="35">
        <v>10</v>
      </c>
      <c r="D106" s="35">
        <v>10</v>
      </c>
      <c r="E106" s="35">
        <v>10</v>
      </c>
      <c r="F106" s="35">
        <v>5</v>
      </c>
      <c r="G106" s="35">
        <v>15</v>
      </c>
      <c r="H106" s="35">
        <v>15</v>
      </c>
      <c r="I106" s="35"/>
      <c r="J106" s="69">
        <v>15</v>
      </c>
      <c r="K106" s="13">
        <f>SUM(B106:J106)</f>
        <v>85</v>
      </c>
      <c r="L106" s="22">
        <v>42474</v>
      </c>
      <c r="N106" s="8" t="s">
        <v>16</v>
      </c>
      <c r="O106" s="9"/>
      <c r="P106" s="10"/>
      <c r="Q106" s="10"/>
      <c r="R106" s="10"/>
      <c r="S106" s="10"/>
      <c r="T106" s="10"/>
      <c r="U106" s="10"/>
      <c r="V106" s="10"/>
      <c r="W106" s="21"/>
      <c r="X106" s="18">
        <f t="shared" si="33"/>
        <v>0</v>
      </c>
      <c r="Y106" s="22"/>
    </row>
    <row r="107" spans="1:25" ht="14.25" thickBot="1">
      <c r="A107" s="20" t="s">
        <v>23</v>
      </c>
      <c r="B107" s="70"/>
      <c r="C107" s="71">
        <v>10</v>
      </c>
      <c r="D107" s="71">
        <v>10</v>
      </c>
      <c r="E107" s="71"/>
      <c r="F107" s="71"/>
      <c r="G107" s="71"/>
      <c r="H107" s="71"/>
      <c r="I107" s="71"/>
      <c r="J107" s="72"/>
      <c r="K107" s="26">
        <f>SUM(B107:J107)</f>
        <v>20</v>
      </c>
      <c r="L107" s="73">
        <v>42479</v>
      </c>
      <c r="N107" s="8" t="s">
        <v>23</v>
      </c>
      <c r="O107" s="42"/>
      <c r="P107" s="43"/>
      <c r="Q107" s="43"/>
      <c r="R107" s="43"/>
      <c r="S107" s="43"/>
      <c r="T107" s="43"/>
      <c r="U107" s="43"/>
      <c r="V107" s="43"/>
      <c r="W107" s="44"/>
      <c r="X107" s="45">
        <f t="shared" si="33"/>
        <v>0</v>
      </c>
      <c r="Y107" s="19"/>
    </row>
    <row r="108" spans="1:25" ht="14.25" thickBot="1">
      <c r="A108" s="2" t="s">
        <v>18</v>
      </c>
      <c r="B108" s="23">
        <f>SUM(B103:B107)</f>
        <v>21</v>
      </c>
      <c r="C108" s="24">
        <f t="shared" ref="C108:J108" si="34">SUM(C103:C107)</f>
        <v>39</v>
      </c>
      <c r="D108" s="24">
        <f t="shared" si="34"/>
        <v>36</v>
      </c>
      <c r="E108" s="24">
        <f t="shared" si="34"/>
        <v>21</v>
      </c>
      <c r="F108" s="24">
        <f t="shared" si="34"/>
        <v>23</v>
      </c>
      <c r="G108" s="25">
        <f t="shared" si="34"/>
        <v>35</v>
      </c>
      <c r="H108" s="25">
        <f t="shared" si="34"/>
        <v>30</v>
      </c>
      <c r="I108" s="25">
        <f t="shared" si="34"/>
        <v>23</v>
      </c>
      <c r="J108" s="25">
        <f t="shared" si="34"/>
        <v>29</v>
      </c>
      <c r="K108" s="26">
        <f t="shared" ref="K108:K128" si="35">SUM(B108:J108)</f>
        <v>257</v>
      </c>
      <c r="L108" s="27"/>
      <c r="N108" s="2" t="s">
        <v>18</v>
      </c>
      <c r="O108" s="23">
        <f t="shared" ref="O108:W108" si="36">SUM(O103:O107)</f>
        <v>208</v>
      </c>
      <c r="P108" s="24">
        <f t="shared" si="36"/>
        <v>304</v>
      </c>
      <c r="Q108" s="24">
        <f t="shared" si="36"/>
        <v>197</v>
      </c>
      <c r="R108" s="24">
        <f t="shared" si="36"/>
        <v>447</v>
      </c>
      <c r="S108" s="24">
        <f t="shared" si="36"/>
        <v>454</v>
      </c>
      <c r="T108" s="25">
        <f t="shared" si="36"/>
        <v>289</v>
      </c>
      <c r="U108" s="25">
        <f t="shared" si="36"/>
        <v>136</v>
      </c>
      <c r="V108" s="25">
        <f t="shared" si="36"/>
        <v>285</v>
      </c>
      <c r="W108" s="25">
        <f t="shared" si="36"/>
        <v>288</v>
      </c>
      <c r="X108" s="26">
        <f t="shared" si="33"/>
        <v>2608</v>
      </c>
      <c r="Y108" s="27"/>
    </row>
    <row r="109" spans="1:25">
      <c r="A109" s="65" t="s">
        <v>59</v>
      </c>
      <c r="B109" s="29">
        <v>7</v>
      </c>
      <c r="C109" s="30">
        <v>7</v>
      </c>
      <c r="D109" s="30">
        <v>7</v>
      </c>
      <c r="E109" s="30">
        <v>7</v>
      </c>
      <c r="F109" s="30">
        <v>7</v>
      </c>
      <c r="G109" s="32">
        <v>7</v>
      </c>
      <c r="H109" s="32">
        <v>7</v>
      </c>
      <c r="I109" s="32">
        <v>7</v>
      </c>
      <c r="J109" s="32">
        <v>7</v>
      </c>
      <c r="K109" s="34">
        <f t="shared" si="35"/>
        <v>63</v>
      </c>
      <c r="L109" s="19">
        <v>42474</v>
      </c>
      <c r="N109" s="58" t="s">
        <v>29</v>
      </c>
      <c r="O109" s="9"/>
      <c r="P109" s="10">
        <v>10</v>
      </c>
      <c r="Q109" s="10">
        <v>10</v>
      </c>
      <c r="R109" s="10"/>
      <c r="S109" s="10"/>
      <c r="T109" s="11">
        <v>15</v>
      </c>
      <c r="U109" s="11"/>
      <c r="V109" s="11">
        <v>15</v>
      </c>
      <c r="W109" s="11">
        <v>10</v>
      </c>
      <c r="X109" s="13">
        <f t="shared" si="33"/>
        <v>60</v>
      </c>
      <c r="Y109" s="12">
        <v>42468</v>
      </c>
    </row>
    <row r="110" spans="1:25">
      <c r="A110" s="65" t="s">
        <v>54</v>
      </c>
      <c r="B110" s="29"/>
      <c r="C110" s="30">
        <v>5</v>
      </c>
      <c r="D110" s="30">
        <v>5</v>
      </c>
      <c r="E110" s="30"/>
      <c r="F110" s="30"/>
      <c r="G110" s="32">
        <v>5</v>
      </c>
      <c r="H110" s="32"/>
      <c r="I110" s="32">
        <v>5</v>
      </c>
      <c r="J110" s="32"/>
      <c r="K110" s="34">
        <f t="shared" si="35"/>
        <v>20</v>
      </c>
      <c r="L110" s="22">
        <v>42471</v>
      </c>
      <c r="N110" s="20" t="s">
        <v>29</v>
      </c>
      <c r="O110" s="67">
        <v>5</v>
      </c>
      <c r="P110" s="35">
        <v>10</v>
      </c>
      <c r="Q110" s="35">
        <v>10</v>
      </c>
      <c r="R110" s="35">
        <v>10</v>
      </c>
      <c r="S110" s="35">
        <v>5</v>
      </c>
      <c r="T110" s="35">
        <v>15</v>
      </c>
      <c r="U110" s="35">
        <v>15</v>
      </c>
      <c r="V110" s="35"/>
      <c r="W110" s="68">
        <v>15</v>
      </c>
      <c r="X110" s="13">
        <f>SUM(O110:W110)</f>
        <v>85</v>
      </c>
      <c r="Y110" s="19">
        <v>42474</v>
      </c>
    </row>
    <row r="111" spans="1:25">
      <c r="A111" s="28" t="s">
        <v>64</v>
      </c>
      <c r="B111" s="29">
        <v>3</v>
      </c>
      <c r="C111" s="30">
        <v>3</v>
      </c>
      <c r="D111" s="30">
        <v>3</v>
      </c>
      <c r="E111" s="30">
        <v>3</v>
      </c>
      <c r="F111" s="30">
        <v>3</v>
      </c>
      <c r="G111" s="32">
        <v>3</v>
      </c>
      <c r="H111" s="32">
        <v>3</v>
      </c>
      <c r="I111" s="32">
        <v>3</v>
      </c>
      <c r="J111" s="32">
        <v>3</v>
      </c>
      <c r="K111" s="34">
        <f t="shared" si="35"/>
        <v>27</v>
      </c>
      <c r="L111" s="22">
        <v>42485</v>
      </c>
      <c r="M111" s="74"/>
      <c r="N111" s="28" t="s">
        <v>29</v>
      </c>
      <c r="O111" s="29"/>
      <c r="P111" s="30">
        <v>10</v>
      </c>
      <c r="Q111" s="30">
        <v>10</v>
      </c>
      <c r="R111" s="30"/>
      <c r="S111" s="30"/>
      <c r="T111" s="32"/>
      <c r="U111" s="32"/>
      <c r="V111" s="32"/>
      <c r="W111" s="32"/>
      <c r="X111" s="34">
        <f t="shared" ref="X111:X128" si="37">SUM(O111:W111)</f>
        <v>20</v>
      </c>
      <c r="Y111" s="22">
        <v>42479</v>
      </c>
    </row>
    <row r="112" spans="1:25">
      <c r="A112" s="20" t="s">
        <v>27</v>
      </c>
      <c r="B112" s="29"/>
      <c r="C112" s="30"/>
      <c r="D112" s="30"/>
      <c r="E112" s="30">
        <v>1</v>
      </c>
      <c r="F112" s="30"/>
      <c r="G112" s="32"/>
      <c r="H112" s="33"/>
      <c r="I112" s="32"/>
      <c r="J112" s="32"/>
      <c r="K112" s="34">
        <f t="shared" si="35"/>
        <v>1</v>
      </c>
      <c r="L112" s="22">
        <v>42467</v>
      </c>
      <c r="N112" s="28"/>
      <c r="O112" s="29"/>
      <c r="P112" s="30"/>
      <c r="Q112" s="30"/>
      <c r="R112" s="30"/>
      <c r="S112" s="30"/>
      <c r="T112" s="32"/>
      <c r="U112" s="33"/>
      <c r="V112" s="32"/>
      <c r="W112" s="32"/>
      <c r="X112" s="34">
        <f t="shared" si="37"/>
        <v>0</v>
      </c>
      <c r="Y112" s="22"/>
    </row>
    <row r="113" spans="1:25">
      <c r="A113" s="20" t="s">
        <v>27</v>
      </c>
      <c r="B113" s="29"/>
      <c r="C113" s="30"/>
      <c r="D113" s="30"/>
      <c r="E113" s="30">
        <v>1</v>
      </c>
      <c r="F113" s="30"/>
      <c r="G113" s="32"/>
      <c r="H113" s="32"/>
      <c r="I113" s="32"/>
      <c r="J113" s="32">
        <v>1</v>
      </c>
      <c r="K113" s="34">
        <f t="shared" si="35"/>
        <v>2</v>
      </c>
      <c r="L113" s="22">
        <v>42471</v>
      </c>
      <c r="N113" s="20"/>
      <c r="O113" s="29"/>
      <c r="P113" s="30"/>
      <c r="Q113" s="30"/>
      <c r="R113" s="30"/>
      <c r="S113" s="30"/>
      <c r="T113" s="32"/>
      <c r="U113" s="32"/>
      <c r="V113" s="32"/>
      <c r="W113" s="32"/>
      <c r="X113" s="34">
        <f t="shared" si="37"/>
        <v>0</v>
      </c>
      <c r="Y113" s="22"/>
    </row>
    <row r="114" spans="1:25">
      <c r="A114" s="20" t="s">
        <v>42</v>
      </c>
      <c r="B114" s="29"/>
      <c r="C114" s="30"/>
      <c r="D114" s="30"/>
      <c r="E114" s="30"/>
      <c r="F114" s="30"/>
      <c r="G114" s="32">
        <v>2</v>
      </c>
      <c r="H114" s="33"/>
      <c r="I114" s="33"/>
      <c r="J114" s="33"/>
      <c r="K114" s="34">
        <f t="shared" si="35"/>
        <v>2</v>
      </c>
      <c r="L114" s="22">
        <v>42473</v>
      </c>
      <c r="N114" s="20"/>
      <c r="O114" s="29"/>
      <c r="P114" s="30"/>
      <c r="Q114" s="30"/>
      <c r="R114" s="30"/>
      <c r="S114" s="30"/>
      <c r="T114" s="32"/>
      <c r="U114" s="33"/>
      <c r="V114" s="33"/>
      <c r="W114" s="33"/>
      <c r="X114" s="34">
        <f t="shared" si="37"/>
        <v>0</v>
      </c>
      <c r="Y114" s="22"/>
    </row>
    <row r="115" spans="1:25">
      <c r="A115" s="20" t="s">
        <v>39</v>
      </c>
      <c r="B115" s="29">
        <v>2</v>
      </c>
      <c r="C115" s="30">
        <v>2</v>
      </c>
      <c r="D115" s="30">
        <v>2</v>
      </c>
      <c r="E115" s="31">
        <v>2</v>
      </c>
      <c r="F115" s="31">
        <v>2</v>
      </c>
      <c r="G115" s="32">
        <v>2</v>
      </c>
      <c r="H115" s="33">
        <v>2</v>
      </c>
      <c r="I115" s="33">
        <v>2</v>
      </c>
      <c r="J115" s="33">
        <v>2</v>
      </c>
      <c r="K115" s="34">
        <f t="shared" si="35"/>
        <v>18</v>
      </c>
      <c r="L115" s="22">
        <v>42475</v>
      </c>
      <c r="N115" s="28"/>
      <c r="O115" s="29"/>
      <c r="P115" s="30"/>
      <c r="Q115" s="30"/>
      <c r="R115" s="31"/>
      <c r="S115" s="31"/>
      <c r="T115" s="32"/>
      <c r="U115" s="33"/>
      <c r="V115" s="33"/>
      <c r="W115" s="33"/>
      <c r="X115" s="34">
        <f t="shared" si="37"/>
        <v>0</v>
      </c>
      <c r="Y115" s="22"/>
    </row>
    <row r="116" spans="1:25">
      <c r="A116" s="20" t="s">
        <v>42</v>
      </c>
      <c r="B116" s="35"/>
      <c r="C116" s="31"/>
      <c r="D116" s="31"/>
      <c r="E116" s="31"/>
      <c r="F116" s="31"/>
      <c r="G116" s="33">
        <v>8</v>
      </c>
      <c r="H116" s="33">
        <v>10</v>
      </c>
      <c r="I116" s="33"/>
      <c r="J116" s="33"/>
      <c r="K116" s="34">
        <f t="shared" si="35"/>
        <v>18</v>
      </c>
      <c r="L116" s="22">
        <v>42475</v>
      </c>
      <c r="N116" s="28"/>
      <c r="O116" s="35"/>
      <c r="P116" s="31"/>
      <c r="Q116" s="31"/>
      <c r="R116" s="31"/>
      <c r="S116" s="31"/>
      <c r="T116" s="33"/>
      <c r="U116" s="33"/>
      <c r="V116" s="33"/>
      <c r="W116" s="33"/>
      <c r="X116" s="34">
        <f t="shared" si="37"/>
        <v>0</v>
      </c>
      <c r="Y116" s="22"/>
    </row>
    <row r="117" spans="1:25">
      <c r="A117" s="20" t="s">
        <v>54</v>
      </c>
      <c r="B117" s="35"/>
      <c r="C117" s="31"/>
      <c r="D117" s="31"/>
      <c r="E117" s="31"/>
      <c r="F117" s="31"/>
      <c r="G117" s="33"/>
      <c r="H117" s="33"/>
      <c r="I117" s="33"/>
      <c r="J117" s="33">
        <v>10</v>
      </c>
      <c r="K117" s="34">
        <f t="shared" si="35"/>
        <v>10</v>
      </c>
      <c r="L117" s="22">
        <v>42475</v>
      </c>
      <c r="N117" s="28"/>
      <c r="O117" s="35"/>
      <c r="P117" s="31"/>
      <c r="Q117" s="31"/>
      <c r="R117" s="31"/>
      <c r="S117" s="31"/>
      <c r="T117" s="33"/>
      <c r="U117" s="33"/>
      <c r="V117" s="33"/>
      <c r="W117" s="33"/>
      <c r="X117" s="34">
        <f t="shared" si="37"/>
        <v>0</v>
      </c>
      <c r="Y117" s="22"/>
    </row>
    <row r="118" spans="1:25">
      <c r="A118" s="20" t="s">
        <v>27</v>
      </c>
      <c r="B118" s="35"/>
      <c r="C118" s="31"/>
      <c r="D118" s="31"/>
      <c r="E118" s="31">
        <v>1</v>
      </c>
      <c r="F118" s="31"/>
      <c r="G118" s="33"/>
      <c r="H118" s="33"/>
      <c r="I118" s="33"/>
      <c r="J118" s="33"/>
      <c r="K118" s="34">
        <f t="shared" si="35"/>
        <v>1</v>
      </c>
      <c r="L118" s="22">
        <v>42475</v>
      </c>
      <c r="N118" s="28"/>
      <c r="O118" s="35"/>
      <c r="P118" s="31"/>
      <c r="Q118" s="31"/>
      <c r="R118" s="31"/>
      <c r="S118" s="31"/>
      <c r="T118" s="33"/>
      <c r="U118" s="33"/>
      <c r="V118" s="33"/>
      <c r="W118" s="33"/>
      <c r="X118" s="34">
        <f t="shared" si="37"/>
        <v>0</v>
      </c>
      <c r="Y118" s="22"/>
    </row>
    <row r="119" spans="1:25">
      <c r="A119" s="20" t="s">
        <v>54</v>
      </c>
      <c r="B119" s="29"/>
      <c r="C119" s="30">
        <v>10</v>
      </c>
      <c r="D119" s="30">
        <v>10</v>
      </c>
      <c r="E119" s="30"/>
      <c r="F119" s="30"/>
      <c r="G119" s="32"/>
      <c r="H119" s="32"/>
      <c r="I119" s="32"/>
      <c r="J119" s="32"/>
      <c r="K119" s="34">
        <f t="shared" si="35"/>
        <v>20</v>
      </c>
      <c r="L119" s="22">
        <v>42480</v>
      </c>
      <c r="N119" s="28"/>
      <c r="O119" s="29"/>
      <c r="P119" s="30"/>
      <c r="Q119" s="30"/>
      <c r="R119" s="30"/>
      <c r="S119" s="30"/>
      <c r="T119" s="32"/>
      <c r="U119" s="32"/>
      <c r="V119" s="32"/>
      <c r="W119" s="32"/>
      <c r="X119" s="34">
        <f t="shared" si="37"/>
        <v>0</v>
      </c>
      <c r="Y119" s="22"/>
    </row>
    <row r="120" spans="1:25">
      <c r="A120" s="20" t="s">
        <v>63</v>
      </c>
      <c r="B120" s="35">
        <v>-2</v>
      </c>
      <c r="C120" s="31"/>
      <c r="D120" s="31"/>
      <c r="E120" s="31"/>
      <c r="F120" s="31"/>
      <c r="G120" s="33"/>
      <c r="H120" s="33"/>
      <c r="I120" s="33"/>
      <c r="J120" s="33"/>
      <c r="K120" s="34">
        <f t="shared" si="35"/>
        <v>-2</v>
      </c>
      <c r="L120" s="22">
        <v>42480</v>
      </c>
      <c r="N120" s="28"/>
      <c r="O120" s="35"/>
      <c r="P120" s="31"/>
      <c r="Q120" s="31"/>
      <c r="R120" s="31"/>
      <c r="S120" s="31"/>
      <c r="T120" s="33"/>
      <c r="U120" s="33"/>
      <c r="V120" s="33"/>
      <c r="W120" s="33"/>
      <c r="X120" s="34">
        <f t="shared" si="37"/>
        <v>0</v>
      </c>
      <c r="Y120" s="22"/>
    </row>
    <row r="121" spans="1:25">
      <c r="A121" s="20" t="s">
        <v>39</v>
      </c>
      <c r="B121" s="29"/>
      <c r="C121" s="30"/>
      <c r="D121" s="30"/>
      <c r="E121" s="30"/>
      <c r="F121" s="30">
        <v>1</v>
      </c>
      <c r="G121" s="32"/>
      <c r="H121" s="33"/>
      <c r="I121" s="33"/>
      <c r="J121" s="33"/>
      <c r="K121" s="34">
        <f t="shared" si="35"/>
        <v>1</v>
      </c>
      <c r="L121" s="22">
        <v>42482</v>
      </c>
      <c r="N121" s="28"/>
      <c r="O121" s="29"/>
      <c r="P121" s="30"/>
      <c r="Q121" s="30"/>
      <c r="R121" s="30"/>
      <c r="S121" s="30"/>
      <c r="T121" s="32"/>
      <c r="U121" s="33"/>
      <c r="V121" s="33"/>
      <c r="W121" s="33"/>
      <c r="X121" s="34">
        <f t="shared" si="37"/>
        <v>0</v>
      </c>
      <c r="Y121" s="22"/>
    </row>
    <row r="122" spans="1:25">
      <c r="A122" s="65" t="s">
        <v>27</v>
      </c>
      <c r="B122" s="29"/>
      <c r="C122" s="30"/>
      <c r="D122" s="30"/>
      <c r="E122" s="30"/>
      <c r="F122" s="30">
        <v>1</v>
      </c>
      <c r="G122" s="32"/>
      <c r="H122" s="32"/>
      <c r="I122" s="32"/>
      <c r="J122" s="32"/>
      <c r="K122" s="34">
        <f t="shared" si="35"/>
        <v>1</v>
      </c>
      <c r="L122" s="19">
        <v>42481</v>
      </c>
      <c r="N122" s="28"/>
      <c r="O122" s="35"/>
      <c r="P122" s="31"/>
      <c r="Q122" s="31"/>
      <c r="R122" s="31"/>
      <c r="S122" s="31"/>
      <c r="T122" s="33"/>
      <c r="U122" s="33"/>
      <c r="V122" s="33"/>
      <c r="W122" s="33"/>
      <c r="X122" s="34">
        <f t="shared" si="37"/>
        <v>0</v>
      </c>
      <c r="Y122" s="22"/>
    </row>
    <row r="123" spans="1:25">
      <c r="A123" s="66" t="s">
        <v>39</v>
      </c>
      <c r="B123" s="35"/>
      <c r="C123" s="31"/>
      <c r="D123" s="31"/>
      <c r="E123" s="31"/>
      <c r="F123" s="31">
        <v>3</v>
      </c>
      <c r="G123" s="33"/>
      <c r="H123" s="33"/>
      <c r="I123" s="33"/>
      <c r="J123" s="33"/>
      <c r="K123" s="34">
        <f t="shared" si="35"/>
        <v>3</v>
      </c>
      <c r="L123" s="22">
        <v>42485</v>
      </c>
      <c r="N123" s="28"/>
      <c r="O123" s="35"/>
      <c r="P123" s="31"/>
      <c r="Q123" s="31"/>
      <c r="R123" s="31"/>
      <c r="S123" s="31"/>
      <c r="T123" s="33"/>
      <c r="U123" s="33"/>
      <c r="V123" s="33"/>
      <c r="W123" s="33"/>
      <c r="X123" s="34">
        <f t="shared" si="37"/>
        <v>0</v>
      </c>
      <c r="Y123" s="22"/>
    </row>
    <row r="124" spans="1:25">
      <c r="A124" s="20" t="s">
        <v>63</v>
      </c>
      <c r="B124" s="29"/>
      <c r="C124" s="30"/>
      <c r="D124" s="30">
        <v>-1</v>
      </c>
      <c r="E124" s="30">
        <v>-3</v>
      </c>
      <c r="F124" s="30"/>
      <c r="G124" s="32"/>
      <c r="H124" s="32"/>
      <c r="I124" s="32"/>
      <c r="J124" s="32"/>
      <c r="K124" s="34">
        <f t="shared" si="35"/>
        <v>-4</v>
      </c>
      <c r="L124" s="22">
        <v>42483</v>
      </c>
      <c r="N124" s="65"/>
      <c r="O124" s="29"/>
      <c r="P124" s="30"/>
      <c r="Q124" s="30"/>
      <c r="R124" s="30"/>
      <c r="S124" s="30"/>
      <c r="T124" s="32"/>
      <c r="U124" s="32"/>
      <c r="V124" s="32"/>
      <c r="W124" s="32"/>
      <c r="X124" s="34">
        <f t="shared" si="37"/>
        <v>0</v>
      </c>
      <c r="Y124" s="22"/>
    </row>
    <row r="125" spans="1:25">
      <c r="A125" s="66" t="s">
        <v>39</v>
      </c>
      <c r="B125" s="29"/>
      <c r="C125" s="30"/>
      <c r="D125" s="30"/>
      <c r="E125" s="30">
        <v>1</v>
      </c>
      <c r="F125" s="30"/>
      <c r="G125" s="32"/>
      <c r="H125" s="32"/>
      <c r="I125" s="32"/>
      <c r="J125" s="32"/>
      <c r="K125" s="34">
        <f t="shared" si="35"/>
        <v>1</v>
      </c>
      <c r="L125" s="19">
        <v>42486</v>
      </c>
      <c r="N125" s="28"/>
      <c r="O125" s="29"/>
      <c r="P125" s="30"/>
      <c r="Q125" s="30"/>
      <c r="R125" s="30"/>
      <c r="S125" s="30"/>
      <c r="T125" s="32"/>
      <c r="U125" s="32"/>
      <c r="V125" s="32"/>
      <c r="W125" s="32"/>
      <c r="X125" s="34">
        <f t="shared" si="37"/>
        <v>0</v>
      </c>
      <c r="Y125" s="19"/>
    </row>
    <row r="126" spans="1:25">
      <c r="A126" s="65" t="s">
        <v>27</v>
      </c>
      <c r="B126" s="29"/>
      <c r="C126" s="30"/>
      <c r="D126" s="30"/>
      <c r="E126" s="30"/>
      <c r="F126" s="30">
        <v>1</v>
      </c>
      <c r="G126" s="32"/>
      <c r="H126" s="32"/>
      <c r="I126" s="32"/>
      <c r="J126" s="32"/>
      <c r="K126" s="34">
        <f t="shared" si="35"/>
        <v>1</v>
      </c>
      <c r="L126" s="19">
        <v>42485</v>
      </c>
      <c r="N126" s="65"/>
      <c r="O126" s="29"/>
      <c r="P126" s="30"/>
      <c r="Q126" s="30"/>
      <c r="R126" s="30"/>
      <c r="S126" s="30"/>
      <c r="T126" s="32"/>
      <c r="U126" s="32"/>
      <c r="V126" s="32"/>
      <c r="W126" s="32"/>
      <c r="X126" s="34">
        <f t="shared" si="37"/>
        <v>0</v>
      </c>
      <c r="Y126" s="19"/>
    </row>
    <row r="127" spans="1:25">
      <c r="A127" s="20" t="s">
        <v>63</v>
      </c>
      <c r="B127" s="29"/>
      <c r="C127" s="30"/>
      <c r="D127" s="30"/>
      <c r="E127" s="30"/>
      <c r="F127" s="30">
        <v>-1</v>
      </c>
      <c r="G127" s="32"/>
      <c r="H127" s="32"/>
      <c r="I127" s="32">
        <v>-2</v>
      </c>
      <c r="J127" s="32"/>
      <c r="K127" s="34">
        <f t="shared" si="35"/>
        <v>-3</v>
      </c>
      <c r="L127" s="19">
        <v>42487</v>
      </c>
      <c r="N127" s="28"/>
      <c r="O127" s="29"/>
      <c r="P127" s="30"/>
      <c r="Q127" s="30"/>
      <c r="R127" s="30"/>
      <c r="S127" s="30"/>
      <c r="T127" s="32"/>
      <c r="U127" s="32"/>
      <c r="V127" s="32"/>
      <c r="W127" s="32"/>
      <c r="X127" s="34">
        <f t="shared" si="37"/>
        <v>0</v>
      </c>
      <c r="Y127" s="19"/>
    </row>
    <row r="128" spans="1:25" ht="14.25" thickBot="1">
      <c r="A128" s="28"/>
      <c r="B128" s="29"/>
      <c r="C128" s="30"/>
      <c r="D128" s="30"/>
      <c r="E128" s="31"/>
      <c r="F128" s="31"/>
      <c r="G128" s="32"/>
      <c r="H128" s="33"/>
      <c r="I128" s="33"/>
      <c r="J128" s="33"/>
      <c r="K128" s="34">
        <f t="shared" si="35"/>
        <v>0</v>
      </c>
      <c r="L128" s="36"/>
      <c r="N128" s="28"/>
      <c r="O128" s="29"/>
      <c r="P128" s="30"/>
      <c r="Q128" s="30"/>
      <c r="R128" s="31"/>
      <c r="S128" s="31"/>
      <c r="T128" s="32"/>
      <c r="U128" s="33"/>
      <c r="V128" s="33"/>
      <c r="W128" s="33"/>
      <c r="X128" s="34">
        <f t="shared" si="37"/>
        <v>0</v>
      </c>
      <c r="Y128" s="36"/>
    </row>
    <row r="129" spans="1:25" ht="14.25" thickBot="1">
      <c r="A129" s="2" t="s">
        <v>19</v>
      </c>
      <c r="B129" s="23">
        <f t="shared" ref="B129:J129" si="38">SUM(B109:B128)</f>
        <v>10</v>
      </c>
      <c r="C129" s="24">
        <f t="shared" si="38"/>
        <v>27</v>
      </c>
      <c r="D129" s="24">
        <f t="shared" si="38"/>
        <v>26</v>
      </c>
      <c r="E129" s="24">
        <f t="shared" si="38"/>
        <v>13</v>
      </c>
      <c r="F129" s="24">
        <f t="shared" si="38"/>
        <v>17</v>
      </c>
      <c r="G129" s="25">
        <f t="shared" si="38"/>
        <v>27</v>
      </c>
      <c r="H129" s="25">
        <f t="shared" si="38"/>
        <v>22</v>
      </c>
      <c r="I129" s="25">
        <f t="shared" si="38"/>
        <v>15</v>
      </c>
      <c r="J129" s="25">
        <f t="shared" si="38"/>
        <v>23</v>
      </c>
      <c r="K129" s="37">
        <f>SUM(B129:J129)</f>
        <v>180</v>
      </c>
      <c r="L129" s="27"/>
      <c r="N129" s="2" t="s">
        <v>19</v>
      </c>
      <c r="O129" s="23">
        <f t="shared" ref="O129:W129" si="39">SUM(O109:O128)</f>
        <v>5</v>
      </c>
      <c r="P129" s="24">
        <f t="shared" si="39"/>
        <v>30</v>
      </c>
      <c r="Q129" s="24">
        <f t="shared" si="39"/>
        <v>30</v>
      </c>
      <c r="R129" s="24">
        <f t="shared" si="39"/>
        <v>10</v>
      </c>
      <c r="S129" s="24">
        <f t="shared" si="39"/>
        <v>5</v>
      </c>
      <c r="T129" s="25">
        <f t="shared" si="39"/>
        <v>30</v>
      </c>
      <c r="U129" s="25">
        <f t="shared" si="39"/>
        <v>15</v>
      </c>
      <c r="V129" s="25">
        <f t="shared" si="39"/>
        <v>15</v>
      </c>
      <c r="W129" s="25">
        <f t="shared" si="39"/>
        <v>25</v>
      </c>
      <c r="X129" s="37">
        <f>SUM(O129:W129)</f>
        <v>165</v>
      </c>
      <c r="Y129" s="27"/>
    </row>
    <row r="130" spans="1:25" ht="14.25" thickBot="1">
      <c r="A130" s="38" t="s">
        <v>17</v>
      </c>
      <c r="B130" s="39">
        <f>B108-B129</f>
        <v>11</v>
      </c>
      <c r="C130" s="39">
        <f t="shared" ref="C130:K130" si="40">C108-C129</f>
        <v>12</v>
      </c>
      <c r="D130" s="39">
        <f t="shared" si="40"/>
        <v>10</v>
      </c>
      <c r="E130" s="39">
        <f t="shared" si="40"/>
        <v>8</v>
      </c>
      <c r="F130" s="39">
        <f t="shared" si="40"/>
        <v>6</v>
      </c>
      <c r="G130" s="39">
        <f t="shared" si="40"/>
        <v>8</v>
      </c>
      <c r="H130" s="39">
        <f t="shared" si="40"/>
        <v>8</v>
      </c>
      <c r="I130" s="39">
        <f t="shared" si="40"/>
        <v>8</v>
      </c>
      <c r="J130" s="40">
        <f t="shared" si="40"/>
        <v>6</v>
      </c>
      <c r="K130" s="37">
        <f t="shared" si="40"/>
        <v>77</v>
      </c>
      <c r="L130" s="41"/>
      <c r="N130" s="38" t="s">
        <v>17</v>
      </c>
      <c r="O130" s="39">
        <f>O108-O129</f>
        <v>203</v>
      </c>
      <c r="P130" s="39">
        <f t="shared" ref="P130:X130" si="41">P108-P129</f>
        <v>274</v>
      </c>
      <c r="Q130" s="39">
        <f t="shared" si="41"/>
        <v>167</v>
      </c>
      <c r="R130" s="39">
        <f t="shared" si="41"/>
        <v>437</v>
      </c>
      <c r="S130" s="39">
        <f t="shared" si="41"/>
        <v>449</v>
      </c>
      <c r="T130" s="39">
        <f t="shared" si="41"/>
        <v>259</v>
      </c>
      <c r="U130" s="39">
        <f t="shared" si="41"/>
        <v>121</v>
      </c>
      <c r="V130" s="39">
        <f t="shared" si="41"/>
        <v>270</v>
      </c>
      <c r="W130" s="40">
        <f t="shared" si="41"/>
        <v>263</v>
      </c>
      <c r="X130" s="37">
        <f t="shared" si="41"/>
        <v>2443</v>
      </c>
      <c r="Y130" s="41"/>
    </row>
    <row r="133" spans="1:25" ht="19.5" thickBot="1">
      <c r="A133" s="1" t="s">
        <v>22</v>
      </c>
      <c r="N133" s="1" t="s">
        <v>21</v>
      </c>
    </row>
    <row r="134" spans="1:25" ht="19.5" thickBot="1">
      <c r="A134" s="2" t="s">
        <v>0</v>
      </c>
      <c r="B134" s="163" t="s">
        <v>20</v>
      </c>
      <c r="C134" s="164"/>
      <c r="D134" s="164"/>
      <c r="E134" s="164"/>
      <c r="F134" s="164"/>
      <c r="G134" s="164"/>
      <c r="H134" s="165"/>
      <c r="I134" s="165"/>
      <c r="J134" s="165"/>
      <c r="K134" s="166"/>
      <c r="L134" s="161" t="s">
        <v>1</v>
      </c>
      <c r="N134" s="2" t="s">
        <v>0</v>
      </c>
      <c r="O134" s="163" t="s">
        <v>20</v>
      </c>
      <c r="P134" s="164"/>
      <c r="Q134" s="164"/>
      <c r="R134" s="164"/>
      <c r="S134" s="164"/>
      <c r="T134" s="164"/>
      <c r="U134" s="165"/>
      <c r="V134" s="165"/>
      <c r="W134" s="165"/>
      <c r="X134" s="166"/>
      <c r="Y134" s="161" t="s">
        <v>1</v>
      </c>
    </row>
    <row r="135" spans="1:25" ht="14.25" thickBot="1">
      <c r="A135" s="2" t="s">
        <v>2</v>
      </c>
      <c r="B135" s="3" t="s">
        <v>3</v>
      </c>
      <c r="C135" s="4" t="s">
        <v>4</v>
      </c>
      <c r="D135" s="4" t="s">
        <v>5</v>
      </c>
      <c r="E135" s="4" t="s">
        <v>6</v>
      </c>
      <c r="F135" s="4" t="s">
        <v>7</v>
      </c>
      <c r="G135" s="5" t="s">
        <v>8</v>
      </c>
      <c r="H135" s="4" t="s">
        <v>9</v>
      </c>
      <c r="I135" s="6" t="s">
        <v>10</v>
      </c>
      <c r="J135" s="5" t="s">
        <v>11</v>
      </c>
      <c r="K135" s="7" t="s">
        <v>12</v>
      </c>
      <c r="L135" s="162"/>
      <c r="N135" s="2" t="s">
        <v>2</v>
      </c>
      <c r="O135" s="3" t="s">
        <v>3</v>
      </c>
      <c r="P135" s="4" t="s">
        <v>4</v>
      </c>
      <c r="Q135" s="4" t="s">
        <v>5</v>
      </c>
      <c r="R135" s="4" t="s">
        <v>6</v>
      </c>
      <c r="S135" s="4" t="s">
        <v>7</v>
      </c>
      <c r="T135" s="5" t="s">
        <v>8</v>
      </c>
      <c r="U135" s="4" t="s">
        <v>9</v>
      </c>
      <c r="V135" s="6" t="s">
        <v>10</v>
      </c>
      <c r="W135" s="5" t="s">
        <v>11</v>
      </c>
      <c r="X135" s="7" t="s">
        <v>12</v>
      </c>
      <c r="Y135" s="162"/>
    </row>
    <row r="136" spans="1:25">
      <c r="A136" s="52" t="s">
        <v>17</v>
      </c>
      <c r="B136" s="55">
        <f>B130</f>
        <v>11</v>
      </c>
      <c r="C136" s="56">
        <f>C130</f>
        <v>12</v>
      </c>
      <c r="D136" s="56">
        <f t="shared" ref="D136:J136" si="42">D130</f>
        <v>10</v>
      </c>
      <c r="E136" s="56">
        <f t="shared" si="42"/>
        <v>8</v>
      </c>
      <c r="F136" s="56">
        <f t="shared" si="42"/>
        <v>6</v>
      </c>
      <c r="G136" s="56">
        <f t="shared" si="42"/>
        <v>8</v>
      </c>
      <c r="H136" s="56">
        <f t="shared" si="42"/>
        <v>8</v>
      </c>
      <c r="I136" s="56">
        <f t="shared" si="42"/>
        <v>8</v>
      </c>
      <c r="J136" s="56">
        <f t="shared" si="42"/>
        <v>6</v>
      </c>
      <c r="K136" s="53">
        <f t="shared" ref="K136:K138" si="43">SUM(B136:J136)</f>
        <v>77</v>
      </c>
      <c r="L136" s="54"/>
      <c r="N136" s="52" t="s">
        <v>17</v>
      </c>
      <c r="O136" s="55">
        <f>O130</f>
        <v>203</v>
      </c>
      <c r="P136" s="56">
        <f>P130</f>
        <v>274</v>
      </c>
      <c r="Q136" s="56">
        <f t="shared" ref="Q136:W136" si="44">Q130</f>
        <v>167</v>
      </c>
      <c r="R136" s="56">
        <f t="shared" si="44"/>
        <v>437</v>
      </c>
      <c r="S136" s="56">
        <f t="shared" si="44"/>
        <v>449</v>
      </c>
      <c r="T136" s="56">
        <f t="shared" si="44"/>
        <v>259</v>
      </c>
      <c r="U136" s="56">
        <f t="shared" si="44"/>
        <v>121</v>
      </c>
      <c r="V136" s="56">
        <f t="shared" si="44"/>
        <v>270</v>
      </c>
      <c r="W136" s="56">
        <f t="shared" si="44"/>
        <v>263</v>
      </c>
      <c r="X136" s="53">
        <f t="shared" ref="X136:X142" si="45">SUM(O136:W136)</f>
        <v>2443</v>
      </c>
      <c r="Y136" s="54"/>
    </row>
    <row r="137" spans="1:25">
      <c r="A137" s="8" t="s">
        <v>14</v>
      </c>
      <c r="B137" s="9"/>
      <c r="C137" s="10"/>
      <c r="D137" s="10"/>
      <c r="E137" s="10"/>
      <c r="F137" s="10"/>
      <c r="G137" s="11">
        <v>14</v>
      </c>
      <c r="H137" s="11"/>
      <c r="I137" s="11">
        <v>14</v>
      </c>
      <c r="J137" s="11"/>
      <c r="K137" s="13">
        <f t="shared" si="43"/>
        <v>28</v>
      </c>
      <c r="L137" s="12">
        <v>42490</v>
      </c>
      <c r="N137" s="8" t="s">
        <v>14</v>
      </c>
      <c r="O137" s="9"/>
      <c r="P137" s="10"/>
      <c r="Q137" s="10"/>
      <c r="R137" s="10"/>
      <c r="S137" s="10"/>
      <c r="T137" s="11"/>
      <c r="U137" s="11"/>
      <c r="V137" s="11"/>
      <c r="W137" s="11"/>
      <c r="X137" s="13">
        <f t="shared" si="45"/>
        <v>0</v>
      </c>
      <c r="Y137" s="12"/>
    </row>
    <row r="138" spans="1:25">
      <c r="A138" s="8" t="s">
        <v>75</v>
      </c>
      <c r="B138" s="15"/>
      <c r="C138" s="16"/>
      <c r="D138" s="16"/>
      <c r="E138" s="16"/>
      <c r="F138" s="16"/>
      <c r="G138" s="17">
        <v>3</v>
      </c>
      <c r="H138" s="17"/>
      <c r="I138" s="17"/>
      <c r="J138" s="17"/>
      <c r="K138" s="18">
        <f t="shared" si="43"/>
        <v>3</v>
      </c>
      <c r="L138" s="19">
        <v>42492</v>
      </c>
      <c r="N138" s="8" t="s">
        <v>15</v>
      </c>
      <c r="O138" s="15"/>
      <c r="P138" s="16"/>
      <c r="Q138" s="16"/>
      <c r="R138" s="16"/>
      <c r="S138" s="16"/>
      <c r="T138" s="17"/>
      <c r="U138" s="17"/>
      <c r="V138" s="17"/>
      <c r="W138" s="17"/>
      <c r="X138" s="18">
        <f t="shared" si="45"/>
        <v>0</v>
      </c>
      <c r="Y138" s="19"/>
    </row>
    <row r="139" spans="1:25">
      <c r="A139" s="20" t="s">
        <v>57</v>
      </c>
      <c r="B139" s="67"/>
      <c r="C139" s="35"/>
      <c r="D139" s="35"/>
      <c r="E139" s="35"/>
      <c r="F139" s="35">
        <v>10</v>
      </c>
      <c r="G139" s="35"/>
      <c r="H139" s="35"/>
      <c r="I139" s="35"/>
      <c r="J139" s="69">
        <v>10</v>
      </c>
      <c r="K139" s="13">
        <f>SUM(B139:J139)</f>
        <v>20</v>
      </c>
      <c r="L139" s="22">
        <v>42504</v>
      </c>
      <c r="N139" s="8" t="s">
        <v>16</v>
      </c>
      <c r="O139" s="9"/>
      <c r="P139" s="10"/>
      <c r="Q139" s="10"/>
      <c r="R139" s="10"/>
      <c r="S139" s="10"/>
      <c r="T139" s="10"/>
      <c r="U139" s="10"/>
      <c r="V139" s="10"/>
      <c r="W139" s="21"/>
      <c r="X139" s="18">
        <f t="shared" si="45"/>
        <v>0</v>
      </c>
      <c r="Y139" s="22"/>
    </row>
    <row r="140" spans="1:25" ht="14.25" thickBot="1">
      <c r="A140" s="20" t="s">
        <v>88</v>
      </c>
      <c r="B140" s="70"/>
      <c r="C140" s="71"/>
      <c r="D140" s="71">
        <v>10</v>
      </c>
      <c r="E140" s="71">
        <v>10</v>
      </c>
      <c r="F140" s="71">
        <v>10</v>
      </c>
      <c r="G140" s="71">
        <v>5</v>
      </c>
      <c r="H140" s="71">
        <v>5</v>
      </c>
      <c r="I140" s="71">
        <v>5</v>
      </c>
      <c r="J140" s="72">
        <v>10</v>
      </c>
      <c r="K140" s="26">
        <f>SUM(B140:J140)</f>
        <v>55</v>
      </c>
      <c r="L140" s="73">
        <v>42515</v>
      </c>
      <c r="N140" s="8" t="s">
        <v>23</v>
      </c>
      <c r="O140" s="42"/>
      <c r="P140" s="43"/>
      <c r="Q140" s="43"/>
      <c r="R140" s="43"/>
      <c r="S140" s="43"/>
      <c r="T140" s="43"/>
      <c r="U140" s="43"/>
      <c r="V140" s="43"/>
      <c r="W140" s="44"/>
      <c r="X140" s="45">
        <f t="shared" si="45"/>
        <v>0</v>
      </c>
      <c r="Y140" s="19"/>
    </row>
    <row r="141" spans="1:25" ht="14.25" thickBot="1">
      <c r="A141" s="2" t="s">
        <v>18</v>
      </c>
      <c r="B141" s="23">
        <f>SUM(B136:B140)</f>
        <v>11</v>
      </c>
      <c r="C141" s="24">
        <f t="shared" ref="C141:J141" si="46">SUM(C136:C140)</f>
        <v>12</v>
      </c>
      <c r="D141" s="24">
        <f t="shared" si="46"/>
        <v>20</v>
      </c>
      <c r="E141" s="24">
        <f t="shared" si="46"/>
        <v>18</v>
      </c>
      <c r="F141" s="24">
        <f t="shared" si="46"/>
        <v>26</v>
      </c>
      <c r="G141" s="25">
        <f t="shared" si="46"/>
        <v>30</v>
      </c>
      <c r="H141" s="25">
        <f t="shared" si="46"/>
        <v>13</v>
      </c>
      <c r="I141" s="25">
        <f t="shared" si="46"/>
        <v>27</v>
      </c>
      <c r="J141" s="25">
        <f t="shared" si="46"/>
        <v>26</v>
      </c>
      <c r="K141" s="26">
        <f t="shared" ref="K141:K161" si="47">SUM(B141:J141)</f>
        <v>183</v>
      </c>
      <c r="L141" s="27"/>
      <c r="N141" s="2" t="s">
        <v>18</v>
      </c>
      <c r="O141" s="23">
        <f t="shared" ref="O141:W141" si="48">SUM(O136:O140)</f>
        <v>203</v>
      </c>
      <c r="P141" s="24">
        <f t="shared" si="48"/>
        <v>274</v>
      </c>
      <c r="Q141" s="24">
        <f t="shared" si="48"/>
        <v>167</v>
      </c>
      <c r="R141" s="24">
        <f t="shared" si="48"/>
        <v>437</v>
      </c>
      <c r="S141" s="24">
        <f t="shared" si="48"/>
        <v>449</v>
      </c>
      <c r="T141" s="25">
        <f t="shared" si="48"/>
        <v>259</v>
      </c>
      <c r="U141" s="25">
        <f t="shared" si="48"/>
        <v>121</v>
      </c>
      <c r="V141" s="25">
        <f t="shared" si="48"/>
        <v>270</v>
      </c>
      <c r="W141" s="25">
        <f t="shared" si="48"/>
        <v>263</v>
      </c>
      <c r="X141" s="26">
        <f t="shared" si="45"/>
        <v>2443</v>
      </c>
      <c r="Y141" s="27"/>
    </row>
    <row r="142" spans="1:25">
      <c r="A142" s="20" t="s">
        <v>54</v>
      </c>
      <c r="B142" s="29"/>
      <c r="C142" s="30"/>
      <c r="D142" s="30"/>
      <c r="E142" s="30"/>
      <c r="F142" s="30"/>
      <c r="G142" s="32">
        <v>10</v>
      </c>
      <c r="H142" s="32"/>
      <c r="I142" s="32">
        <v>10</v>
      </c>
      <c r="J142" s="32"/>
      <c r="K142" s="34">
        <f t="shared" si="47"/>
        <v>20</v>
      </c>
      <c r="L142" s="19">
        <v>42492</v>
      </c>
      <c r="N142" s="28" t="s">
        <v>29</v>
      </c>
      <c r="O142" s="9"/>
      <c r="P142" s="10"/>
      <c r="Q142" s="10"/>
      <c r="R142" s="10"/>
      <c r="S142" s="10"/>
      <c r="T142" s="11">
        <v>14</v>
      </c>
      <c r="U142" s="11"/>
      <c r="V142" s="11">
        <v>14</v>
      </c>
      <c r="W142" s="11"/>
      <c r="X142" s="13">
        <f t="shared" si="45"/>
        <v>28</v>
      </c>
      <c r="Y142" s="12">
        <v>42490</v>
      </c>
    </row>
    <row r="143" spans="1:25">
      <c r="A143" s="65" t="s">
        <v>27</v>
      </c>
      <c r="B143" s="29"/>
      <c r="C143" s="30"/>
      <c r="D143" s="30"/>
      <c r="E143" s="30">
        <v>1</v>
      </c>
      <c r="F143" s="30">
        <v>1</v>
      </c>
      <c r="G143" s="32"/>
      <c r="H143" s="32"/>
      <c r="I143" s="32"/>
      <c r="J143" s="32">
        <v>1</v>
      </c>
      <c r="K143" s="34">
        <f t="shared" si="47"/>
        <v>3</v>
      </c>
      <c r="L143" s="22">
        <v>42490</v>
      </c>
      <c r="N143" s="28" t="s">
        <v>29</v>
      </c>
      <c r="O143" s="67"/>
      <c r="P143" s="35"/>
      <c r="Q143" s="35"/>
      <c r="R143" s="35"/>
      <c r="S143" s="35">
        <v>10</v>
      </c>
      <c r="T143" s="35"/>
      <c r="U143" s="35"/>
      <c r="V143" s="35"/>
      <c r="W143" s="68">
        <v>10</v>
      </c>
      <c r="X143" s="13">
        <f>SUM(O143:W143)</f>
        <v>20</v>
      </c>
      <c r="Y143" s="19">
        <v>42504</v>
      </c>
    </row>
    <row r="144" spans="1:25">
      <c r="A144" s="65" t="s">
        <v>27</v>
      </c>
      <c r="B144" s="29"/>
      <c r="C144" s="30"/>
      <c r="D144" s="30"/>
      <c r="E144" s="30">
        <v>1</v>
      </c>
      <c r="F144" s="30"/>
      <c r="G144" s="32"/>
      <c r="H144" s="32"/>
      <c r="I144" s="32"/>
      <c r="J144" s="32"/>
      <c r="K144" s="34">
        <f t="shared" si="47"/>
        <v>1</v>
      </c>
      <c r="L144" s="22">
        <v>42492</v>
      </c>
      <c r="M144" s="74"/>
      <c r="N144" s="28" t="s">
        <v>29</v>
      </c>
      <c r="O144" s="29"/>
      <c r="P144" s="30"/>
      <c r="Q144" s="30">
        <v>10</v>
      </c>
      <c r="R144" s="30">
        <v>10</v>
      </c>
      <c r="S144" s="30">
        <v>10</v>
      </c>
      <c r="T144" s="32">
        <v>5</v>
      </c>
      <c r="U144" s="32">
        <v>5</v>
      </c>
      <c r="V144" s="32">
        <v>5</v>
      </c>
      <c r="W144" s="32">
        <v>10</v>
      </c>
      <c r="X144" s="34">
        <f t="shared" ref="X144:X161" si="49">SUM(O144:W144)</f>
        <v>55</v>
      </c>
      <c r="Y144" s="22">
        <v>42515</v>
      </c>
    </row>
    <row r="145" spans="1:25">
      <c r="A145" s="65" t="s">
        <v>27</v>
      </c>
      <c r="B145" s="29"/>
      <c r="C145" s="30"/>
      <c r="D145" s="30"/>
      <c r="E145" s="30"/>
      <c r="F145" s="30">
        <v>1</v>
      </c>
      <c r="G145" s="32">
        <v>2</v>
      </c>
      <c r="H145" s="33"/>
      <c r="I145" s="32"/>
      <c r="J145" s="32"/>
      <c r="K145" s="34">
        <f t="shared" si="47"/>
        <v>3</v>
      </c>
      <c r="L145" s="22">
        <v>42494</v>
      </c>
      <c r="N145" s="28"/>
      <c r="O145" s="29"/>
      <c r="P145" s="30"/>
      <c r="Q145" s="30"/>
      <c r="R145" s="30"/>
      <c r="S145" s="30"/>
      <c r="T145" s="32"/>
      <c r="U145" s="33"/>
      <c r="V145" s="32"/>
      <c r="W145" s="32"/>
      <c r="X145" s="34">
        <f t="shared" si="49"/>
        <v>0</v>
      </c>
      <c r="Y145" s="22"/>
    </row>
    <row r="146" spans="1:25">
      <c r="A146" s="75" t="s">
        <v>76</v>
      </c>
      <c r="B146" s="29">
        <v>1</v>
      </c>
      <c r="C146" s="30"/>
      <c r="D146" s="30"/>
      <c r="E146" s="30"/>
      <c r="F146" s="30"/>
      <c r="G146" s="32"/>
      <c r="H146" s="32"/>
      <c r="I146" s="32"/>
      <c r="J146" s="32"/>
      <c r="K146" s="34">
        <f t="shared" si="47"/>
        <v>1</v>
      </c>
      <c r="L146" s="22">
        <v>42502</v>
      </c>
      <c r="N146" s="20"/>
      <c r="O146" s="29"/>
      <c r="P146" s="30"/>
      <c r="Q146" s="30"/>
      <c r="R146" s="30"/>
      <c r="S146" s="30"/>
      <c r="T146" s="32"/>
      <c r="U146" s="32"/>
      <c r="V146" s="32"/>
      <c r="W146" s="32"/>
      <c r="X146" s="34">
        <f t="shared" si="49"/>
        <v>0</v>
      </c>
      <c r="Y146" s="22"/>
    </row>
    <row r="147" spans="1:25">
      <c r="A147" s="75" t="s">
        <v>77</v>
      </c>
      <c r="B147" s="29"/>
      <c r="C147" s="30"/>
      <c r="D147" s="30"/>
      <c r="E147" s="30">
        <v>1</v>
      </c>
      <c r="F147" s="30"/>
      <c r="G147" s="32"/>
      <c r="H147" s="33"/>
      <c r="I147" s="33"/>
      <c r="J147" s="33"/>
      <c r="K147" s="34">
        <f t="shared" si="47"/>
        <v>1</v>
      </c>
      <c r="L147" s="22">
        <v>42502</v>
      </c>
      <c r="N147" s="20"/>
      <c r="O147" s="29"/>
      <c r="P147" s="30"/>
      <c r="Q147" s="30"/>
      <c r="R147" s="30"/>
      <c r="S147" s="30"/>
      <c r="T147" s="32"/>
      <c r="U147" s="33"/>
      <c r="V147" s="33"/>
      <c r="W147" s="33"/>
      <c r="X147" s="34">
        <f t="shared" si="49"/>
        <v>0</v>
      </c>
      <c r="Y147" s="22"/>
    </row>
    <row r="148" spans="1:25">
      <c r="A148" s="20" t="s">
        <v>27</v>
      </c>
      <c r="B148" s="29"/>
      <c r="C148" s="30"/>
      <c r="D148" s="30"/>
      <c r="E148" s="31"/>
      <c r="F148" s="31">
        <v>1</v>
      </c>
      <c r="G148" s="32"/>
      <c r="H148" s="33"/>
      <c r="I148" s="33"/>
      <c r="J148" s="33"/>
      <c r="K148" s="34">
        <f t="shared" si="47"/>
        <v>1</v>
      </c>
      <c r="L148" s="22">
        <v>42502</v>
      </c>
      <c r="N148" s="28"/>
      <c r="O148" s="29"/>
      <c r="P148" s="30"/>
      <c r="Q148" s="30"/>
      <c r="R148" s="31"/>
      <c r="S148" s="31"/>
      <c r="T148" s="32"/>
      <c r="U148" s="33"/>
      <c r="V148" s="33"/>
      <c r="W148" s="33"/>
      <c r="X148" s="34">
        <f t="shared" si="49"/>
        <v>0</v>
      </c>
      <c r="Y148" s="22"/>
    </row>
    <row r="149" spans="1:25">
      <c r="A149" s="20" t="s">
        <v>82</v>
      </c>
      <c r="B149" s="35"/>
      <c r="C149" s="31"/>
      <c r="D149" s="31"/>
      <c r="E149" s="31"/>
      <c r="F149" s="31"/>
      <c r="G149" s="33"/>
      <c r="H149" s="33"/>
      <c r="I149" s="33">
        <v>2</v>
      </c>
      <c r="J149" s="33"/>
      <c r="K149" s="34">
        <f t="shared" si="47"/>
        <v>2</v>
      </c>
      <c r="L149" s="22">
        <v>42506</v>
      </c>
      <c r="N149" s="28"/>
      <c r="O149" s="35"/>
      <c r="P149" s="31"/>
      <c r="Q149" s="31"/>
      <c r="R149" s="31"/>
      <c r="S149" s="31"/>
      <c r="T149" s="33"/>
      <c r="U149" s="33"/>
      <c r="V149" s="33"/>
      <c r="W149" s="33"/>
      <c r="X149" s="34">
        <f t="shared" si="49"/>
        <v>0</v>
      </c>
      <c r="Y149" s="22"/>
    </row>
    <row r="150" spans="1:25">
      <c r="A150" s="20" t="s">
        <v>27</v>
      </c>
      <c r="B150" s="35"/>
      <c r="C150" s="31"/>
      <c r="D150" s="31"/>
      <c r="E150" s="31">
        <v>1</v>
      </c>
      <c r="F150" s="31"/>
      <c r="G150" s="33"/>
      <c r="H150" s="33"/>
      <c r="I150" s="33"/>
      <c r="J150" s="33"/>
      <c r="K150" s="34">
        <f t="shared" si="47"/>
        <v>1</v>
      </c>
      <c r="L150" s="22">
        <v>42503</v>
      </c>
      <c r="N150" s="28"/>
      <c r="O150" s="35"/>
      <c r="P150" s="31"/>
      <c r="Q150" s="31"/>
      <c r="R150" s="31"/>
      <c r="S150" s="31"/>
      <c r="T150" s="33"/>
      <c r="U150" s="33"/>
      <c r="V150" s="33"/>
      <c r="W150" s="33"/>
      <c r="X150" s="34">
        <f t="shared" si="49"/>
        <v>0</v>
      </c>
      <c r="Y150" s="22"/>
    </row>
    <row r="151" spans="1:25">
      <c r="A151" s="20" t="s">
        <v>63</v>
      </c>
      <c r="B151" s="35"/>
      <c r="C151" s="31">
        <v>-3</v>
      </c>
      <c r="D151" s="31"/>
      <c r="E151" s="31"/>
      <c r="F151" s="31"/>
      <c r="G151" s="33"/>
      <c r="H151" s="33"/>
      <c r="I151" s="33"/>
      <c r="J151" s="33">
        <v>-1</v>
      </c>
      <c r="K151" s="34">
        <f t="shared" si="47"/>
        <v>-4</v>
      </c>
      <c r="L151" s="22">
        <v>42506</v>
      </c>
      <c r="N151" s="28"/>
      <c r="O151" s="35"/>
      <c r="P151" s="31"/>
      <c r="Q151" s="31"/>
      <c r="R151" s="31"/>
      <c r="S151" s="31"/>
      <c r="T151" s="33"/>
      <c r="U151" s="33"/>
      <c r="V151" s="33"/>
      <c r="W151" s="33"/>
      <c r="X151" s="34">
        <f t="shared" si="49"/>
        <v>0</v>
      </c>
      <c r="Y151" s="22"/>
    </row>
    <row r="152" spans="1:25">
      <c r="A152" s="20" t="s">
        <v>27</v>
      </c>
      <c r="B152" s="29"/>
      <c r="C152" s="30"/>
      <c r="D152" s="30"/>
      <c r="E152" s="30"/>
      <c r="F152" s="30"/>
      <c r="G152" s="32"/>
      <c r="H152" s="32"/>
      <c r="I152" s="32">
        <v>1</v>
      </c>
      <c r="J152" s="32"/>
      <c r="K152" s="34">
        <f t="shared" si="47"/>
        <v>1</v>
      </c>
      <c r="L152" s="22">
        <v>42506</v>
      </c>
      <c r="N152" s="28"/>
      <c r="O152" s="29"/>
      <c r="P152" s="30"/>
      <c r="Q152" s="30"/>
      <c r="R152" s="30"/>
      <c r="S152" s="30"/>
      <c r="T152" s="32"/>
      <c r="U152" s="32"/>
      <c r="V152" s="32"/>
      <c r="W152" s="32"/>
      <c r="X152" s="34">
        <f t="shared" si="49"/>
        <v>0</v>
      </c>
      <c r="Y152" s="22"/>
    </row>
    <row r="153" spans="1:25">
      <c r="A153" s="20" t="s">
        <v>39</v>
      </c>
      <c r="B153" s="35"/>
      <c r="C153" s="31"/>
      <c r="D153" s="31"/>
      <c r="E153" s="31"/>
      <c r="F153" s="31"/>
      <c r="G153" s="33"/>
      <c r="H153" s="33"/>
      <c r="I153" s="33">
        <v>1</v>
      </c>
      <c r="J153" s="33"/>
      <c r="K153" s="34">
        <f t="shared" si="47"/>
        <v>1</v>
      </c>
      <c r="L153" s="22">
        <v>42509</v>
      </c>
      <c r="N153" s="28"/>
      <c r="O153" s="35"/>
      <c r="P153" s="31"/>
      <c r="Q153" s="31"/>
      <c r="R153" s="31"/>
      <c r="S153" s="31"/>
      <c r="T153" s="33"/>
      <c r="U153" s="33"/>
      <c r="V153" s="33"/>
      <c r="W153" s="33"/>
      <c r="X153" s="34">
        <f t="shared" si="49"/>
        <v>0</v>
      </c>
      <c r="Y153" s="22"/>
    </row>
    <row r="154" spans="1:25">
      <c r="A154" s="20" t="s">
        <v>83</v>
      </c>
      <c r="B154" s="29"/>
      <c r="C154" s="30"/>
      <c r="D154" s="30"/>
      <c r="E154" s="30"/>
      <c r="F154" s="30"/>
      <c r="G154" s="32">
        <v>-2</v>
      </c>
      <c r="H154" s="33"/>
      <c r="I154" s="33"/>
      <c r="J154" s="33">
        <v>2</v>
      </c>
      <c r="K154" s="34">
        <f t="shared" si="47"/>
        <v>0</v>
      </c>
      <c r="L154" s="22">
        <v>42515</v>
      </c>
      <c r="N154" s="28"/>
      <c r="O154" s="29"/>
      <c r="P154" s="30"/>
      <c r="Q154" s="30"/>
      <c r="R154" s="30"/>
      <c r="S154" s="30"/>
      <c r="T154" s="32"/>
      <c r="U154" s="33"/>
      <c r="V154" s="33"/>
      <c r="W154" s="33"/>
      <c r="X154" s="34">
        <f t="shared" si="49"/>
        <v>0</v>
      </c>
      <c r="Y154" s="22"/>
    </row>
    <row r="155" spans="1:25">
      <c r="A155" s="65" t="s">
        <v>27</v>
      </c>
      <c r="B155" s="29"/>
      <c r="C155" s="30"/>
      <c r="D155" s="30"/>
      <c r="E155" s="30">
        <v>1</v>
      </c>
      <c r="F155" s="30"/>
      <c r="G155" s="32">
        <v>1</v>
      </c>
      <c r="H155" s="32"/>
      <c r="I155" s="32"/>
      <c r="J155" s="32"/>
      <c r="K155" s="34">
        <f t="shared" si="47"/>
        <v>2</v>
      </c>
      <c r="L155" s="19">
        <v>42510</v>
      </c>
      <c r="N155" s="28"/>
      <c r="O155" s="35"/>
      <c r="P155" s="31"/>
      <c r="Q155" s="31"/>
      <c r="R155" s="31"/>
      <c r="S155" s="31"/>
      <c r="T155" s="33"/>
      <c r="U155" s="33"/>
      <c r="V155" s="33"/>
      <c r="W155" s="33"/>
      <c r="X155" s="34">
        <f t="shared" si="49"/>
        <v>0</v>
      </c>
      <c r="Y155" s="22"/>
    </row>
    <row r="156" spans="1:25">
      <c r="A156" s="66" t="s">
        <v>54</v>
      </c>
      <c r="B156" s="35"/>
      <c r="C156" s="31"/>
      <c r="D156" s="31">
        <v>10</v>
      </c>
      <c r="E156" s="31"/>
      <c r="F156" s="31">
        <v>10</v>
      </c>
      <c r="G156" s="33"/>
      <c r="H156" s="33"/>
      <c r="I156" s="33"/>
      <c r="J156" s="33">
        <v>10</v>
      </c>
      <c r="K156" s="34">
        <f t="shared" si="47"/>
        <v>30</v>
      </c>
      <c r="L156" s="22">
        <v>42515</v>
      </c>
      <c r="N156" s="28"/>
      <c r="O156" s="35"/>
      <c r="P156" s="31"/>
      <c r="Q156" s="31"/>
      <c r="R156" s="31"/>
      <c r="S156" s="31"/>
      <c r="T156" s="33"/>
      <c r="U156" s="33"/>
      <c r="V156" s="33"/>
      <c r="W156" s="33"/>
      <c r="X156" s="34">
        <f t="shared" si="49"/>
        <v>0</v>
      </c>
      <c r="Y156" s="22"/>
    </row>
    <row r="157" spans="1:25">
      <c r="A157" s="20" t="s">
        <v>27</v>
      </c>
      <c r="B157" s="29"/>
      <c r="C157" s="30"/>
      <c r="D157" s="30"/>
      <c r="E157" s="30">
        <v>1</v>
      </c>
      <c r="F157" s="30"/>
      <c r="G157" s="32"/>
      <c r="H157" s="32"/>
      <c r="I157" s="32"/>
      <c r="J157" s="32"/>
      <c r="K157" s="34">
        <f t="shared" si="47"/>
        <v>1</v>
      </c>
      <c r="L157" s="22">
        <v>42513</v>
      </c>
      <c r="N157" s="65"/>
      <c r="O157" s="29"/>
      <c r="P157" s="30"/>
      <c r="Q157" s="30"/>
      <c r="R157" s="30"/>
      <c r="S157" s="30"/>
      <c r="T157" s="32"/>
      <c r="U157" s="32"/>
      <c r="V157" s="32"/>
      <c r="W157" s="32"/>
      <c r="X157" s="34">
        <f t="shared" si="49"/>
        <v>0</v>
      </c>
      <c r="Y157" s="22"/>
    </row>
    <row r="158" spans="1:25">
      <c r="A158" s="66" t="s">
        <v>59</v>
      </c>
      <c r="B158" s="29"/>
      <c r="C158" s="30"/>
      <c r="D158" s="30"/>
      <c r="E158" s="30"/>
      <c r="F158" s="30"/>
      <c r="G158" s="32">
        <v>7</v>
      </c>
      <c r="H158" s="32"/>
      <c r="I158" s="32"/>
      <c r="J158" s="32"/>
      <c r="K158" s="34">
        <f t="shared" si="47"/>
        <v>7</v>
      </c>
      <c r="L158" s="19">
        <v>42520</v>
      </c>
      <c r="N158" s="28"/>
      <c r="O158" s="29"/>
      <c r="P158" s="30"/>
      <c r="Q158" s="30"/>
      <c r="R158" s="30"/>
      <c r="S158" s="30"/>
      <c r="T158" s="32"/>
      <c r="U158" s="32"/>
      <c r="V158" s="32"/>
      <c r="W158" s="32"/>
      <c r="X158" s="34">
        <f t="shared" si="49"/>
        <v>0</v>
      </c>
      <c r="Y158" s="19"/>
    </row>
    <row r="159" spans="1:25">
      <c r="A159" s="65" t="s">
        <v>63</v>
      </c>
      <c r="B159" s="29"/>
      <c r="C159" s="30"/>
      <c r="D159" s="30"/>
      <c r="E159" s="30"/>
      <c r="F159" s="30"/>
      <c r="G159" s="32">
        <v>-1</v>
      </c>
      <c r="H159" s="32"/>
      <c r="I159" s="32"/>
      <c r="J159" s="32"/>
      <c r="K159" s="34">
        <f t="shared" si="47"/>
        <v>-1</v>
      </c>
      <c r="L159" s="19">
        <v>42517</v>
      </c>
      <c r="N159" s="65"/>
      <c r="O159" s="29"/>
      <c r="P159" s="30"/>
      <c r="Q159" s="30"/>
      <c r="R159" s="30"/>
      <c r="S159" s="30"/>
      <c r="T159" s="32"/>
      <c r="U159" s="32"/>
      <c r="V159" s="32"/>
      <c r="W159" s="32"/>
      <c r="X159" s="34">
        <f t="shared" si="49"/>
        <v>0</v>
      </c>
      <c r="Y159" s="19"/>
    </row>
    <row r="160" spans="1:25">
      <c r="A160" s="20" t="s">
        <v>27</v>
      </c>
      <c r="B160" s="29">
        <v>1</v>
      </c>
      <c r="C160" s="30"/>
      <c r="D160" s="30"/>
      <c r="E160" s="30"/>
      <c r="F160" s="30"/>
      <c r="G160" s="32"/>
      <c r="H160" s="32"/>
      <c r="I160" s="32"/>
      <c r="J160" s="32"/>
      <c r="K160" s="34">
        <f t="shared" si="47"/>
        <v>1</v>
      </c>
      <c r="L160" s="19">
        <v>42517</v>
      </c>
      <c r="N160" s="28"/>
      <c r="O160" s="29"/>
      <c r="P160" s="30"/>
      <c r="Q160" s="30"/>
      <c r="R160" s="30"/>
      <c r="S160" s="30"/>
      <c r="T160" s="32"/>
      <c r="U160" s="32"/>
      <c r="V160" s="32"/>
      <c r="W160" s="32"/>
      <c r="X160" s="34">
        <f t="shared" si="49"/>
        <v>0</v>
      </c>
      <c r="Y160" s="19"/>
    </row>
    <row r="161" spans="1:25" ht="14.25" thickBot="1">
      <c r="A161" s="28" t="s">
        <v>27</v>
      </c>
      <c r="B161" s="29"/>
      <c r="C161" s="30"/>
      <c r="D161" s="30"/>
      <c r="E161" s="31"/>
      <c r="F161" s="31"/>
      <c r="G161" s="32">
        <v>1</v>
      </c>
      <c r="H161" s="33"/>
      <c r="I161" s="33"/>
      <c r="J161" s="33"/>
      <c r="K161" s="34">
        <f t="shared" si="47"/>
        <v>1</v>
      </c>
      <c r="L161" s="36">
        <v>42518</v>
      </c>
      <c r="N161" s="28"/>
      <c r="O161" s="29"/>
      <c r="P161" s="30"/>
      <c r="Q161" s="30"/>
      <c r="R161" s="31"/>
      <c r="S161" s="31"/>
      <c r="T161" s="32"/>
      <c r="U161" s="33"/>
      <c r="V161" s="33"/>
      <c r="W161" s="33"/>
      <c r="X161" s="34">
        <f t="shared" si="49"/>
        <v>0</v>
      </c>
      <c r="Y161" s="36"/>
    </row>
    <row r="162" spans="1:25" ht="14.25" thickBot="1">
      <c r="A162" s="2" t="s">
        <v>19</v>
      </c>
      <c r="B162" s="23">
        <f t="shared" ref="B162:J162" si="50">SUM(B142:B161)</f>
        <v>2</v>
      </c>
      <c r="C162" s="24">
        <f t="shared" si="50"/>
        <v>-3</v>
      </c>
      <c r="D162" s="24">
        <f t="shared" si="50"/>
        <v>10</v>
      </c>
      <c r="E162" s="24">
        <f t="shared" si="50"/>
        <v>6</v>
      </c>
      <c r="F162" s="24">
        <f t="shared" si="50"/>
        <v>13</v>
      </c>
      <c r="G162" s="25">
        <f t="shared" si="50"/>
        <v>18</v>
      </c>
      <c r="H162" s="25">
        <f t="shared" si="50"/>
        <v>0</v>
      </c>
      <c r="I162" s="25">
        <f t="shared" si="50"/>
        <v>14</v>
      </c>
      <c r="J162" s="25">
        <f t="shared" si="50"/>
        <v>12</v>
      </c>
      <c r="K162" s="37">
        <f>SUM(B162:J162)</f>
        <v>72</v>
      </c>
      <c r="L162" s="27"/>
      <c r="N162" s="2" t="s">
        <v>19</v>
      </c>
      <c r="O162" s="23">
        <f t="shared" ref="O162:W162" si="51">SUM(O142:O161)</f>
        <v>0</v>
      </c>
      <c r="P162" s="24">
        <f t="shared" si="51"/>
        <v>0</v>
      </c>
      <c r="Q162" s="24">
        <f t="shared" si="51"/>
        <v>10</v>
      </c>
      <c r="R162" s="24">
        <f t="shared" si="51"/>
        <v>10</v>
      </c>
      <c r="S162" s="24">
        <f t="shared" si="51"/>
        <v>20</v>
      </c>
      <c r="T162" s="25">
        <f t="shared" si="51"/>
        <v>19</v>
      </c>
      <c r="U162" s="25">
        <f t="shared" si="51"/>
        <v>5</v>
      </c>
      <c r="V162" s="25">
        <f t="shared" si="51"/>
        <v>19</v>
      </c>
      <c r="W162" s="25">
        <f t="shared" si="51"/>
        <v>20</v>
      </c>
      <c r="X162" s="37">
        <f>SUM(O162:W162)</f>
        <v>103</v>
      </c>
      <c r="Y162" s="27"/>
    </row>
    <row r="163" spans="1:25" ht="14.25" thickBot="1">
      <c r="A163" s="38" t="s">
        <v>17</v>
      </c>
      <c r="B163" s="39">
        <f>B141-B162</f>
        <v>9</v>
      </c>
      <c r="C163" s="39">
        <f t="shared" ref="C163:K163" si="52">C141-C162</f>
        <v>15</v>
      </c>
      <c r="D163" s="39">
        <f t="shared" si="52"/>
        <v>10</v>
      </c>
      <c r="E163" s="39">
        <f t="shared" si="52"/>
        <v>12</v>
      </c>
      <c r="F163" s="39">
        <f t="shared" si="52"/>
        <v>13</v>
      </c>
      <c r="G163" s="39">
        <f t="shared" si="52"/>
        <v>12</v>
      </c>
      <c r="H163" s="39">
        <f t="shared" si="52"/>
        <v>13</v>
      </c>
      <c r="I163" s="39">
        <f t="shared" si="52"/>
        <v>13</v>
      </c>
      <c r="J163" s="40">
        <f t="shared" si="52"/>
        <v>14</v>
      </c>
      <c r="K163" s="37">
        <f t="shared" si="52"/>
        <v>111</v>
      </c>
      <c r="L163" s="41"/>
      <c r="N163" s="38" t="s">
        <v>17</v>
      </c>
      <c r="O163" s="39">
        <f>O141-O162</f>
        <v>203</v>
      </c>
      <c r="P163" s="39">
        <f t="shared" ref="P163:X163" si="53">P141-P162</f>
        <v>274</v>
      </c>
      <c r="Q163" s="39">
        <f t="shared" si="53"/>
        <v>157</v>
      </c>
      <c r="R163" s="39">
        <f t="shared" si="53"/>
        <v>427</v>
      </c>
      <c r="S163" s="39">
        <f t="shared" si="53"/>
        <v>429</v>
      </c>
      <c r="T163" s="39">
        <f t="shared" si="53"/>
        <v>240</v>
      </c>
      <c r="U163" s="39">
        <f t="shared" si="53"/>
        <v>116</v>
      </c>
      <c r="V163" s="39">
        <f t="shared" si="53"/>
        <v>251</v>
      </c>
      <c r="W163" s="40">
        <f t="shared" si="53"/>
        <v>243</v>
      </c>
      <c r="X163" s="37">
        <f t="shared" si="53"/>
        <v>2340</v>
      </c>
      <c r="Y163" s="41"/>
    </row>
    <row r="166" spans="1:25" ht="19.5" thickBot="1">
      <c r="A166" s="1" t="s">
        <v>22</v>
      </c>
      <c r="N166" s="1" t="s">
        <v>21</v>
      </c>
    </row>
    <row r="167" spans="1:25" ht="19.5" thickBot="1">
      <c r="A167" s="2" t="s">
        <v>0</v>
      </c>
      <c r="B167" s="163" t="s">
        <v>20</v>
      </c>
      <c r="C167" s="164"/>
      <c r="D167" s="164"/>
      <c r="E167" s="164"/>
      <c r="F167" s="164"/>
      <c r="G167" s="164"/>
      <c r="H167" s="165"/>
      <c r="I167" s="165"/>
      <c r="J167" s="165"/>
      <c r="K167" s="166"/>
      <c r="L167" s="161" t="s">
        <v>1</v>
      </c>
      <c r="N167" s="2" t="s">
        <v>0</v>
      </c>
      <c r="O167" s="163" t="s">
        <v>20</v>
      </c>
      <c r="P167" s="164"/>
      <c r="Q167" s="164"/>
      <c r="R167" s="164"/>
      <c r="S167" s="164"/>
      <c r="T167" s="164"/>
      <c r="U167" s="165"/>
      <c r="V167" s="165"/>
      <c r="W167" s="165"/>
      <c r="X167" s="166"/>
      <c r="Y167" s="161" t="s">
        <v>1</v>
      </c>
    </row>
    <row r="168" spans="1:25" ht="14.25" thickBot="1">
      <c r="A168" s="2" t="s">
        <v>2</v>
      </c>
      <c r="B168" s="3" t="s">
        <v>3</v>
      </c>
      <c r="C168" s="4" t="s">
        <v>4</v>
      </c>
      <c r="D168" s="4" t="s">
        <v>5</v>
      </c>
      <c r="E168" s="4" t="s">
        <v>6</v>
      </c>
      <c r="F168" s="4" t="s">
        <v>7</v>
      </c>
      <c r="G168" s="5" t="s">
        <v>8</v>
      </c>
      <c r="H168" s="4" t="s">
        <v>9</v>
      </c>
      <c r="I168" s="6" t="s">
        <v>10</v>
      </c>
      <c r="J168" s="5" t="s">
        <v>11</v>
      </c>
      <c r="K168" s="7" t="s">
        <v>12</v>
      </c>
      <c r="L168" s="162"/>
      <c r="N168" s="2" t="s">
        <v>2</v>
      </c>
      <c r="O168" s="3" t="s">
        <v>3</v>
      </c>
      <c r="P168" s="4" t="s">
        <v>4</v>
      </c>
      <c r="Q168" s="4" t="s">
        <v>5</v>
      </c>
      <c r="R168" s="4" t="s">
        <v>6</v>
      </c>
      <c r="S168" s="4" t="s">
        <v>7</v>
      </c>
      <c r="T168" s="5" t="s">
        <v>8</v>
      </c>
      <c r="U168" s="4" t="s">
        <v>9</v>
      </c>
      <c r="V168" s="6" t="s">
        <v>10</v>
      </c>
      <c r="W168" s="5" t="s">
        <v>11</v>
      </c>
      <c r="X168" s="7" t="s">
        <v>12</v>
      </c>
      <c r="Y168" s="162"/>
    </row>
    <row r="169" spans="1:25">
      <c r="A169" s="52" t="s">
        <v>17</v>
      </c>
      <c r="B169" s="55">
        <f>B163</f>
        <v>9</v>
      </c>
      <c r="C169" s="56">
        <f>C163</f>
        <v>15</v>
      </c>
      <c r="D169" s="56">
        <f t="shared" ref="D169:J169" si="54">D163</f>
        <v>10</v>
      </c>
      <c r="E169" s="56">
        <f t="shared" si="54"/>
        <v>12</v>
      </c>
      <c r="F169" s="56">
        <f t="shared" si="54"/>
        <v>13</v>
      </c>
      <c r="G169" s="56">
        <f t="shared" si="54"/>
        <v>12</v>
      </c>
      <c r="H169" s="56">
        <f t="shared" si="54"/>
        <v>13</v>
      </c>
      <c r="I169" s="56">
        <f t="shared" si="54"/>
        <v>13</v>
      </c>
      <c r="J169" s="56">
        <f t="shared" si="54"/>
        <v>14</v>
      </c>
      <c r="K169" s="53">
        <f t="shared" ref="K169:K171" si="55">SUM(B169:J169)</f>
        <v>111</v>
      </c>
      <c r="L169" s="54"/>
      <c r="N169" s="52" t="s">
        <v>17</v>
      </c>
      <c r="O169" s="55">
        <f>O163</f>
        <v>203</v>
      </c>
      <c r="P169" s="56">
        <f>P163</f>
        <v>274</v>
      </c>
      <c r="Q169" s="56">
        <f t="shared" ref="Q169:W169" si="56">Q163</f>
        <v>157</v>
      </c>
      <c r="R169" s="56">
        <f t="shared" si="56"/>
        <v>427</v>
      </c>
      <c r="S169" s="56">
        <f t="shared" si="56"/>
        <v>429</v>
      </c>
      <c r="T169" s="56">
        <f t="shared" si="56"/>
        <v>240</v>
      </c>
      <c r="U169" s="56">
        <f t="shared" si="56"/>
        <v>116</v>
      </c>
      <c r="V169" s="56">
        <f t="shared" si="56"/>
        <v>251</v>
      </c>
      <c r="W169" s="56">
        <f t="shared" si="56"/>
        <v>243</v>
      </c>
      <c r="X169" s="53">
        <f t="shared" ref="X169:X175" si="57">SUM(O169:W169)</f>
        <v>2340</v>
      </c>
      <c r="Y169" s="54"/>
    </row>
    <row r="170" spans="1:25">
      <c r="A170" s="8" t="s">
        <v>14</v>
      </c>
      <c r="B170" s="9"/>
      <c r="C170" s="10"/>
      <c r="D170" s="10"/>
      <c r="E170" s="10"/>
      <c r="F170" s="10">
        <v>10</v>
      </c>
      <c r="G170" s="11"/>
      <c r="H170" s="11"/>
      <c r="I170" s="11">
        <v>10</v>
      </c>
      <c r="J170" s="11">
        <v>8</v>
      </c>
      <c r="K170" s="13">
        <f t="shared" si="55"/>
        <v>28</v>
      </c>
      <c r="L170" s="12">
        <v>42524</v>
      </c>
      <c r="M170" s="74"/>
      <c r="N170" s="8" t="s">
        <v>14</v>
      </c>
      <c r="O170" s="9"/>
      <c r="P170" s="10"/>
      <c r="Q170" s="10"/>
      <c r="R170" s="10"/>
      <c r="S170" s="10"/>
      <c r="T170" s="11"/>
      <c r="U170" s="11"/>
      <c r="V170" s="11"/>
      <c r="W170" s="11"/>
      <c r="X170" s="13">
        <f t="shared" si="57"/>
        <v>0</v>
      </c>
      <c r="Y170" s="12"/>
    </row>
    <row r="171" spans="1:25">
      <c r="A171" s="20" t="s">
        <v>94</v>
      </c>
      <c r="B171" s="15"/>
      <c r="C171" s="16">
        <v>10</v>
      </c>
      <c r="D171" s="16"/>
      <c r="E171" s="16"/>
      <c r="F171" s="16"/>
      <c r="G171" s="17">
        <v>2</v>
      </c>
      <c r="H171" s="17"/>
      <c r="I171" s="17"/>
      <c r="J171" s="17">
        <v>10</v>
      </c>
      <c r="K171" s="18">
        <f t="shared" si="55"/>
        <v>22</v>
      </c>
      <c r="L171" s="19">
        <v>42528</v>
      </c>
      <c r="N171" s="8" t="s">
        <v>15</v>
      </c>
      <c r="O171" s="15"/>
      <c r="P171" s="16"/>
      <c r="Q171" s="16"/>
      <c r="R171" s="16"/>
      <c r="S171" s="16"/>
      <c r="T171" s="17"/>
      <c r="U171" s="17"/>
      <c r="V171" s="17"/>
      <c r="W171" s="17"/>
      <c r="X171" s="18">
        <f t="shared" si="57"/>
        <v>0</v>
      </c>
      <c r="Y171" s="19"/>
    </row>
    <row r="172" spans="1:25">
      <c r="A172" s="20" t="s">
        <v>100</v>
      </c>
      <c r="B172" s="67">
        <v>2</v>
      </c>
      <c r="C172" s="35">
        <v>2</v>
      </c>
      <c r="D172" s="35">
        <v>2</v>
      </c>
      <c r="E172" s="35"/>
      <c r="F172" s="35">
        <v>2</v>
      </c>
      <c r="G172" s="35">
        <v>2</v>
      </c>
      <c r="H172" s="35">
        <v>2</v>
      </c>
      <c r="I172" s="35"/>
      <c r="J172" s="69">
        <v>2</v>
      </c>
      <c r="K172" s="13">
        <f>SUM(B172:J172)</f>
        <v>14</v>
      </c>
      <c r="L172" s="22">
        <v>42529</v>
      </c>
      <c r="N172" s="8" t="s">
        <v>16</v>
      </c>
      <c r="O172" s="9"/>
      <c r="P172" s="10"/>
      <c r="Q172" s="10"/>
      <c r="R172" s="10"/>
      <c r="S172" s="10"/>
      <c r="T172" s="10"/>
      <c r="U172" s="10"/>
      <c r="V172" s="10"/>
      <c r="W172" s="21"/>
      <c r="X172" s="18">
        <f t="shared" si="57"/>
        <v>0</v>
      </c>
      <c r="Y172" s="22"/>
    </row>
    <row r="173" spans="1:25" ht="14.25" thickBot="1">
      <c r="A173" s="20" t="s">
        <v>88</v>
      </c>
      <c r="B173" s="70">
        <v>5</v>
      </c>
      <c r="C173" s="71"/>
      <c r="D173" s="71"/>
      <c r="E173" s="71">
        <v>15</v>
      </c>
      <c r="F173" s="71">
        <v>30</v>
      </c>
      <c r="G173" s="71">
        <v>10</v>
      </c>
      <c r="H173" s="71">
        <v>20</v>
      </c>
      <c r="I173" s="71">
        <v>30</v>
      </c>
      <c r="J173" s="72">
        <v>10</v>
      </c>
      <c r="K173" s="26">
        <f>SUM(B173:J173)</f>
        <v>120</v>
      </c>
      <c r="L173" s="73">
        <v>42536</v>
      </c>
      <c r="N173" s="8" t="s">
        <v>23</v>
      </c>
      <c r="O173" s="42"/>
      <c r="P173" s="43"/>
      <c r="Q173" s="43"/>
      <c r="R173" s="43"/>
      <c r="S173" s="43"/>
      <c r="T173" s="43"/>
      <c r="U173" s="43"/>
      <c r="V173" s="43"/>
      <c r="W173" s="44"/>
      <c r="X173" s="45">
        <f t="shared" si="57"/>
        <v>0</v>
      </c>
      <c r="Y173" s="19"/>
    </row>
    <row r="174" spans="1:25" ht="14.25" thickBot="1">
      <c r="A174" s="76" t="s">
        <v>18</v>
      </c>
      <c r="B174" s="77">
        <f>SUM(B169:B173)</f>
        <v>16</v>
      </c>
      <c r="C174" s="78">
        <f t="shared" ref="C174:J174" si="58">SUM(C169:C173)</f>
        <v>27</v>
      </c>
      <c r="D174" s="78">
        <f t="shared" si="58"/>
        <v>12</v>
      </c>
      <c r="E174" s="78">
        <f t="shared" si="58"/>
        <v>27</v>
      </c>
      <c r="F174" s="78">
        <f t="shared" si="58"/>
        <v>55</v>
      </c>
      <c r="G174" s="79">
        <f t="shared" si="58"/>
        <v>26</v>
      </c>
      <c r="H174" s="79">
        <f t="shared" si="58"/>
        <v>35</v>
      </c>
      <c r="I174" s="79">
        <f t="shared" si="58"/>
        <v>53</v>
      </c>
      <c r="J174" s="79">
        <f t="shared" si="58"/>
        <v>44</v>
      </c>
      <c r="K174" s="26">
        <f t="shared" ref="K174:K194" si="59">SUM(B174:J174)</f>
        <v>295</v>
      </c>
      <c r="L174" s="27"/>
      <c r="N174" s="2" t="s">
        <v>18</v>
      </c>
      <c r="O174" s="23">
        <f t="shared" ref="O174:W174" si="60">SUM(O169:O173)</f>
        <v>203</v>
      </c>
      <c r="P174" s="24">
        <f t="shared" si="60"/>
        <v>274</v>
      </c>
      <c r="Q174" s="24">
        <f t="shared" si="60"/>
        <v>157</v>
      </c>
      <c r="R174" s="24">
        <f t="shared" si="60"/>
        <v>427</v>
      </c>
      <c r="S174" s="24">
        <f t="shared" si="60"/>
        <v>429</v>
      </c>
      <c r="T174" s="25">
        <f t="shared" si="60"/>
        <v>240</v>
      </c>
      <c r="U174" s="25">
        <f t="shared" si="60"/>
        <v>116</v>
      </c>
      <c r="V174" s="25">
        <f t="shared" si="60"/>
        <v>251</v>
      </c>
      <c r="W174" s="25">
        <f t="shared" si="60"/>
        <v>243</v>
      </c>
      <c r="X174" s="26">
        <f t="shared" si="57"/>
        <v>2340</v>
      </c>
      <c r="Y174" s="27"/>
    </row>
    <row r="175" spans="1:25">
      <c r="A175" s="20" t="s">
        <v>92</v>
      </c>
      <c r="B175" s="29"/>
      <c r="C175" s="30"/>
      <c r="D175" s="30"/>
      <c r="E175" s="30"/>
      <c r="F175" s="30"/>
      <c r="G175" s="32"/>
      <c r="H175" s="32"/>
      <c r="I175" s="32"/>
      <c r="J175" s="32">
        <v>2</v>
      </c>
      <c r="K175" s="34">
        <f t="shared" si="59"/>
        <v>2</v>
      </c>
      <c r="L175" s="19">
        <v>42524</v>
      </c>
      <c r="N175" s="28" t="s">
        <v>29</v>
      </c>
      <c r="O175" s="9"/>
      <c r="P175" s="10"/>
      <c r="Q175" s="10"/>
      <c r="R175" s="10"/>
      <c r="S175" s="10">
        <v>10</v>
      </c>
      <c r="T175" s="11"/>
      <c r="U175" s="11"/>
      <c r="V175" s="11">
        <v>10</v>
      </c>
      <c r="W175" s="11">
        <v>8</v>
      </c>
      <c r="X175" s="13">
        <f t="shared" si="57"/>
        <v>28</v>
      </c>
      <c r="Y175" s="12">
        <v>42524</v>
      </c>
    </row>
    <row r="176" spans="1:25">
      <c r="A176" s="65" t="s">
        <v>59</v>
      </c>
      <c r="B176" s="29"/>
      <c r="C176" s="30"/>
      <c r="D176" s="30"/>
      <c r="E176" s="30">
        <v>7</v>
      </c>
      <c r="F176" s="30">
        <v>14</v>
      </c>
      <c r="G176" s="32"/>
      <c r="H176" s="32">
        <v>7</v>
      </c>
      <c r="I176" s="32">
        <v>14</v>
      </c>
      <c r="J176" s="32">
        <v>14</v>
      </c>
      <c r="K176" s="34">
        <f t="shared" si="59"/>
        <v>56</v>
      </c>
      <c r="L176" s="22">
        <v>42527</v>
      </c>
      <c r="N176" s="28" t="s">
        <v>96</v>
      </c>
      <c r="O176" s="67">
        <v>20</v>
      </c>
      <c r="P176" s="35">
        <v>10</v>
      </c>
      <c r="Q176" s="35">
        <v>10</v>
      </c>
      <c r="R176" s="35">
        <v>50</v>
      </c>
      <c r="S176" s="35">
        <v>50</v>
      </c>
      <c r="T176" s="35">
        <v>10</v>
      </c>
      <c r="U176" s="35">
        <v>10</v>
      </c>
      <c r="V176" s="35">
        <v>10</v>
      </c>
      <c r="W176" s="68">
        <v>5</v>
      </c>
      <c r="X176" s="13">
        <f>SUM(O176:W176)</f>
        <v>175</v>
      </c>
      <c r="Y176" s="19">
        <v>42536</v>
      </c>
    </row>
    <row r="177" spans="1:25">
      <c r="A177" s="20" t="s">
        <v>83</v>
      </c>
      <c r="B177" s="29"/>
      <c r="C177" s="30">
        <v>2</v>
      </c>
      <c r="D177" s="30"/>
      <c r="E177" s="30"/>
      <c r="F177" s="30"/>
      <c r="G177" s="32">
        <v>-2</v>
      </c>
      <c r="H177" s="32"/>
      <c r="I177" s="32"/>
      <c r="J177" s="32"/>
      <c r="K177" s="34">
        <f t="shared" si="59"/>
        <v>0</v>
      </c>
      <c r="L177" s="22">
        <v>42523</v>
      </c>
      <c r="M177" s="74"/>
      <c r="N177" s="28" t="s">
        <v>29</v>
      </c>
      <c r="O177" s="29"/>
      <c r="P177" s="30">
        <v>10</v>
      </c>
      <c r="Q177" s="30"/>
      <c r="R177" s="30"/>
      <c r="S177" s="30"/>
      <c r="T177" s="32"/>
      <c r="U177" s="32"/>
      <c r="V177" s="32"/>
      <c r="W177" s="32">
        <v>10</v>
      </c>
      <c r="X177" s="34">
        <f t="shared" ref="X177:X194" si="61">SUM(O177:W177)</f>
        <v>20</v>
      </c>
      <c r="Y177" s="22">
        <v>42528</v>
      </c>
    </row>
    <row r="178" spans="1:25">
      <c r="A178" s="65" t="s">
        <v>27</v>
      </c>
      <c r="B178" s="29"/>
      <c r="C178" s="30"/>
      <c r="D178" s="30"/>
      <c r="E178" s="30"/>
      <c r="F178" s="30">
        <v>1</v>
      </c>
      <c r="G178" s="32"/>
      <c r="H178" s="33"/>
      <c r="I178" s="32"/>
      <c r="J178" s="32"/>
      <c r="K178" s="34">
        <f t="shared" si="59"/>
        <v>1</v>
      </c>
      <c r="L178" s="22">
        <v>42524</v>
      </c>
      <c r="N178" s="28" t="s">
        <v>29</v>
      </c>
      <c r="O178" s="29">
        <v>5</v>
      </c>
      <c r="P178" s="30"/>
      <c r="Q178" s="30"/>
      <c r="R178" s="30">
        <v>15</v>
      </c>
      <c r="S178" s="30">
        <v>30</v>
      </c>
      <c r="T178" s="32">
        <v>10</v>
      </c>
      <c r="U178" s="33">
        <v>20</v>
      </c>
      <c r="V178" s="32">
        <v>30</v>
      </c>
      <c r="W178" s="32">
        <v>10</v>
      </c>
      <c r="X178" s="34">
        <f t="shared" si="61"/>
        <v>120</v>
      </c>
      <c r="Y178" s="22">
        <v>42536</v>
      </c>
    </row>
    <row r="179" spans="1:25">
      <c r="A179" s="75" t="s">
        <v>54</v>
      </c>
      <c r="B179" s="29"/>
      <c r="C179" s="30">
        <v>10</v>
      </c>
      <c r="D179" s="30"/>
      <c r="E179" s="30"/>
      <c r="F179" s="30"/>
      <c r="G179" s="32"/>
      <c r="H179" s="32"/>
      <c r="I179" s="32"/>
      <c r="J179" s="32">
        <v>10</v>
      </c>
      <c r="K179" s="34">
        <f t="shared" si="59"/>
        <v>20</v>
      </c>
      <c r="L179" s="22">
        <v>42529</v>
      </c>
      <c r="N179" s="20"/>
      <c r="O179" s="29"/>
      <c r="P179" s="30"/>
      <c r="Q179" s="30"/>
      <c r="R179" s="30"/>
      <c r="S179" s="30"/>
      <c r="T179" s="32"/>
      <c r="U179" s="32"/>
      <c r="V179" s="32"/>
      <c r="W179" s="32"/>
      <c r="X179" s="34">
        <f t="shared" si="61"/>
        <v>0</v>
      </c>
      <c r="Y179" s="22"/>
    </row>
    <row r="180" spans="1:25">
      <c r="A180" s="75" t="s">
        <v>27</v>
      </c>
      <c r="B180" s="29"/>
      <c r="C180" s="30"/>
      <c r="D180" s="30"/>
      <c r="E180" s="30"/>
      <c r="F180" s="30"/>
      <c r="G180" s="32">
        <v>2</v>
      </c>
      <c r="H180" s="33"/>
      <c r="I180" s="33"/>
      <c r="J180" s="33"/>
      <c r="K180" s="34">
        <f t="shared" si="59"/>
        <v>2</v>
      </c>
      <c r="L180" s="22">
        <v>42525</v>
      </c>
      <c r="N180" s="20"/>
      <c r="O180" s="29"/>
      <c r="P180" s="30"/>
      <c r="Q180" s="30"/>
      <c r="R180" s="30"/>
      <c r="S180" s="30"/>
      <c r="T180" s="32"/>
      <c r="U180" s="33"/>
      <c r="V180" s="33"/>
      <c r="W180" s="33"/>
      <c r="X180" s="34">
        <f t="shared" si="61"/>
        <v>0</v>
      </c>
      <c r="Y180" s="22"/>
    </row>
    <row r="181" spans="1:25">
      <c r="A181" s="20" t="s">
        <v>83</v>
      </c>
      <c r="B181" s="29">
        <v>2</v>
      </c>
      <c r="C181" s="30"/>
      <c r="D181" s="30"/>
      <c r="E181" s="31"/>
      <c r="F181" s="31"/>
      <c r="G181" s="32"/>
      <c r="H181" s="33">
        <v>-2</v>
      </c>
      <c r="I181" s="33"/>
      <c r="J181" s="33"/>
      <c r="K181" s="34">
        <f t="shared" si="59"/>
        <v>0</v>
      </c>
      <c r="L181" s="22">
        <v>42530</v>
      </c>
      <c r="N181" s="28"/>
      <c r="O181" s="29"/>
      <c r="P181" s="30"/>
      <c r="Q181" s="30"/>
      <c r="R181" s="31"/>
      <c r="S181" s="31"/>
      <c r="T181" s="32"/>
      <c r="U181" s="33"/>
      <c r="V181" s="33"/>
      <c r="W181" s="33"/>
      <c r="X181" s="34">
        <f t="shared" si="61"/>
        <v>0</v>
      </c>
      <c r="Y181" s="22"/>
    </row>
    <row r="182" spans="1:25">
      <c r="A182" s="20" t="s">
        <v>27</v>
      </c>
      <c r="B182" s="35"/>
      <c r="C182" s="31"/>
      <c r="D182" s="31"/>
      <c r="E182" s="31"/>
      <c r="F182" s="31"/>
      <c r="G182" s="33"/>
      <c r="H182" s="33">
        <v>1</v>
      </c>
      <c r="I182" s="33"/>
      <c r="J182" s="33"/>
      <c r="K182" s="34">
        <f t="shared" si="59"/>
        <v>1</v>
      </c>
      <c r="L182" s="22">
        <v>42529</v>
      </c>
      <c r="N182" s="28"/>
      <c r="O182" s="35"/>
      <c r="P182" s="31"/>
      <c r="Q182" s="31"/>
      <c r="R182" s="31"/>
      <c r="S182" s="31"/>
      <c r="T182" s="33"/>
      <c r="U182" s="33"/>
      <c r="V182" s="33"/>
      <c r="W182" s="33"/>
      <c r="X182" s="34">
        <f t="shared" si="61"/>
        <v>0</v>
      </c>
      <c r="Y182" s="22"/>
    </row>
    <row r="183" spans="1:25">
      <c r="A183" s="20" t="s">
        <v>54</v>
      </c>
      <c r="B183" s="35"/>
      <c r="C183" s="31"/>
      <c r="D183" s="31"/>
      <c r="E183" s="31"/>
      <c r="F183" s="31">
        <v>6</v>
      </c>
      <c r="G183" s="33"/>
      <c r="H183" s="33"/>
      <c r="I183" s="33"/>
      <c r="J183" s="33"/>
      <c r="K183" s="34">
        <f t="shared" si="59"/>
        <v>6</v>
      </c>
      <c r="L183" s="22">
        <v>42534</v>
      </c>
      <c r="N183" s="28"/>
      <c r="O183" s="35"/>
      <c r="P183" s="31"/>
      <c r="Q183" s="31"/>
      <c r="R183" s="31"/>
      <c r="S183" s="31"/>
      <c r="T183" s="33"/>
      <c r="U183" s="33"/>
      <c r="V183" s="33"/>
      <c r="W183" s="33"/>
      <c r="X183" s="34">
        <f t="shared" si="61"/>
        <v>0</v>
      </c>
      <c r="Y183" s="22"/>
    </row>
    <row r="184" spans="1:25">
      <c r="A184" s="20" t="s">
        <v>27</v>
      </c>
      <c r="B184" s="35"/>
      <c r="C184" s="31"/>
      <c r="D184" s="31"/>
      <c r="E184" s="31"/>
      <c r="F184" s="31"/>
      <c r="G184" s="33"/>
      <c r="H184" s="33"/>
      <c r="I184" s="33"/>
      <c r="J184" s="33"/>
      <c r="K184" s="34">
        <f t="shared" si="59"/>
        <v>0</v>
      </c>
      <c r="L184" s="22">
        <v>42531</v>
      </c>
      <c r="N184" s="28"/>
      <c r="O184" s="35"/>
      <c r="P184" s="31"/>
      <c r="Q184" s="31"/>
      <c r="R184" s="31"/>
      <c r="S184" s="31"/>
      <c r="T184" s="33"/>
      <c r="U184" s="33"/>
      <c r="V184" s="33"/>
      <c r="W184" s="33"/>
      <c r="X184" s="34">
        <f t="shared" si="61"/>
        <v>0</v>
      </c>
      <c r="Y184" s="22"/>
    </row>
    <row r="185" spans="1:25">
      <c r="A185" s="20" t="s">
        <v>104</v>
      </c>
      <c r="B185" s="29">
        <v>-1</v>
      </c>
      <c r="C185" s="30"/>
      <c r="D185" s="30"/>
      <c r="E185" s="30"/>
      <c r="F185" s="30">
        <v>-1</v>
      </c>
      <c r="G185" s="32"/>
      <c r="H185" s="32"/>
      <c r="I185" s="32"/>
      <c r="J185" s="32"/>
      <c r="K185" s="34">
        <f t="shared" si="59"/>
        <v>-2</v>
      </c>
      <c r="L185" s="22">
        <v>42534</v>
      </c>
      <c r="N185" s="28"/>
      <c r="O185" s="29"/>
      <c r="P185" s="30"/>
      <c r="Q185" s="30"/>
      <c r="R185" s="30"/>
      <c r="S185" s="30"/>
      <c r="T185" s="32"/>
      <c r="U185" s="32"/>
      <c r="V185" s="32"/>
      <c r="W185" s="32"/>
      <c r="X185" s="34">
        <f t="shared" si="61"/>
        <v>0</v>
      </c>
      <c r="Y185" s="22"/>
    </row>
    <row r="186" spans="1:25">
      <c r="A186" s="20" t="s">
        <v>42</v>
      </c>
      <c r="B186" s="35">
        <v>4</v>
      </c>
      <c r="C186" s="31">
        <v>2</v>
      </c>
      <c r="D186" s="31">
        <v>2</v>
      </c>
      <c r="E186" s="31">
        <v>10</v>
      </c>
      <c r="F186" s="31">
        <v>12</v>
      </c>
      <c r="G186" s="33">
        <v>10</v>
      </c>
      <c r="H186" s="33">
        <v>6</v>
      </c>
      <c r="I186" s="33">
        <v>16</v>
      </c>
      <c r="J186" s="33">
        <v>4</v>
      </c>
      <c r="K186" s="34">
        <f t="shared" si="59"/>
        <v>66</v>
      </c>
      <c r="L186" s="22">
        <v>42538</v>
      </c>
      <c r="N186" s="28"/>
      <c r="O186" s="35"/>
      <c r="P186" s="31"/>
      <c r="Q186" s="31"/>
      <c r="R186" s="31"/>
      <c r="S186" s="31"/>
      <c r="T186" s="33"/>
      <c r="U186" s="33"/>
      <c r="V186" s="33"/>
      <c r="W186" s="33"/>
      <c r="X186" s="34">
        <f t="shared" si="61"/>
        <v>0</v>
      </c>
      <c r="Y186" s="22"/>
    </row>
    <row r="187" spans="1:25">
      <c r="A187" s="20" t="s">
        <v>54</v>
      </c>
      <c r="B187" s="29"/>
      <c r="C187" s="30"/>
      <c r="D187" s="30"/>
      <c r="E187" s="30"/>
      <c r="F187" s="30">
        <v>10</v>
      </c>
      <c r="G187" s="32">
        <v>10</v>
      </c>
      <c r="H187" s="33">
        <v>10</v>
      </c>
      <c r="I187" s="33">
        <v>10</v>
      </c>
      <c r="J187" s="33"/>
      <c r="K187" s="34">
        <f t="shared" si="59"/>
        <v>40</v>
      </c>
      <c r="L187" s="22">
        <v>42537</v>
      </c>
      <c r="N187" s="28"/>
      <c r="O187" s="29"/>
      <c r="P187" s="30"/>
      <c r="Q187" s="30"/>
      <c r="R187" s="30"/>
      <c r="S187" s="30"/>
      <c r="T187" s="32"/>
      <c r="U187" s="33"/>
      <c r="V187" s="33"/>
      <c r="W187" s="33"/>
      <c r="X187" s="34">
        <f t="shared" si="61"/>
        <v>0</v>
      </c>
      <c r="Y187" s="22"/>
    </row>
    <row r="188" spans="1:25">
      <c r="A188" s="65" t="s">
        <v>63</v>
      </c>
      <c r="B188" s="29"/>
      <c r="C188" s="30"/>
      <c r="D188" s="30"/>
      <c r="E188" s="30"/>
      <c r="F188" s="30">
        <v>-1</v>
      </c>
      <c r="G188" s="32"/>
      <c r="H188" s="32"/>
      <c r="I188" s="32">
        <v>-1</v>
      </c>
      <c r="J188" s="32"/>
      <c r="K188" s="34">
        <f t="shared" si="59"/>
        <v>-2</v>
      </c>
      <c r="L188" s="19">
        <v>42535</v>
      </c>
      <c r="N188" s="28"/>
      <c r="O188" s="35"/>
      <c r="P188" s="31"/>
      <c r="Q188" s="31"/>
      <c r="R188" s="31"/>
      <c r="S188" s="31"/>
      <c r="T188" s="33"/>
      <c r="U188" s="33"/>
      <c r="V188" s="33"/>
      <c r="W188" s="33"/>
      <c r="X188" s="34">
        <f t="shared" si="61"/>
        <v>0</v>
      </c>
      <c r="Y188" s="22"/>
    </row>
    <row r="189" spans="1:25">
      <c r="A189" s="66" t="s">
        <v>107</v>
      </c>
      <c r="B189" s="35"/>
      <c r="C189" s="31"/>
      <c r="D189" s="31"/>
      <c r="E189" s="31"/>
      <c r="F189" s="31"/>
      <c r="G189" s="33">
        <v>-1</v>
      </c>
      <c r="H189" s="33"/>
      <c r="I189" s="33"/>
      <c r="J189" s="33"/>
      <c r="K189" s="34">
        <f t="shared" si="59"/>
        <v>-1</v>
      </c>
      <c r="L189" s="22">
        <v>42536</v>
      </c>
      <c r="N189" s="28"/>
      <c r="O189" s="35"/>
      <c r="P189" s="31"/>
      <c r="Q189" s="31"/>
      <c r="R189" s="31"/>
      <c r="S189" s="31"/>
      <c r="T189" s="33"/>
      <c r="U189" s="33"/>
      <c r="V189" s="33"/>
      <c r="W189" s="33"/>
      <c r="X189" s="34">
        <f t="shared" si="61"/>
        <v>0</v>
      </c>
      <c r="Y189" s="22"/>
    </row>
    <row r="190" spans="1:25">
      <c r="A190" s="20" t="s">
        <v>27</v>
      </c>
      <c r="B190" s="29"/>
      <c r="C190" s="30"/>
      <c r="D190" s="30"/>
      <c r="E190" s="30"/>
      <c r="F190" s="30">
        <v>1</v>
      </c>
      <c r="G190" s="32"/>
      <c r="H190" s="32"/>
      <c r="I190" s="32"/>
      <c r="J190" s="32"/>
      <c r="K190" s="34">
        <f t="shared" si="59"/>
        <v>1</v>
      </c>
      <c r="L190" s="22">
        <v>42536</v>
      </c>
      <c r="N190" s="65"/>
      <c r="O190" s="29"/>
      <c r="P190" s="30"/>
      <c r="Q190" s="30"/>
      <c r="R190" s="30"/>
      <c r="S190" s="30"/>
      <c r="T190" s="32"/>
      <c r="U190" s="32"/>
      <c r="V190" s="32"/>
      <c r="W190" s="32"/>
      <c r="X190" s="34">
        <f t="shared" si="61"/>
        <v>0</v>
      </c>
      <c r="Y190" s="22"/>
    </row>
    <row r="191" spans="1:25">
      <c r="A191" s="20" t="s">
        <v>27</v>
      </c>
      <c r="B191" s="29"/>
      <c r="C191" s="30"/>
      <c r="D191" s="30"/>
      <c r="E191" s="30"/>
      <c r="F191" s="30">
        <v>1</v>
      </c>
      <c r="G191" s="32"/>
      <c r="H191" s="32"/>
      <c r="I191" s="32"/>
      <c r="J191" s="32"/>
      <c r="K191" s="34">
        <f t="shared" si="59"/>
        <v>1</v>
      </c>
      <c r="L191" s="19">
        <v>42543</v>
      </c>
      <c r="N191" s="28"/>
      <c r="O191" s="29"/>
      <c r="P191" s="30"/>
      <c r="Q191" s="30"/>
      <c r="R191" s="30"/>
      <c r="S191" s="30"/>
      <c r="T191" s="32"/>
      <c r="U191" s="32"/>
      <c r="V191" s="32"/>
      <c r="W191" s="32"/>
      <c r="X191" s="34">
        <f t="shared" si="61"/>
        <v>0</v>
      </c>
      <c r="Y191" s="19"/>
    </row>
    <row r="192" spans="1:25">
      <c r="A192" s="20" t="s">
        <v>27</v>
      </c>
      <c r="B192" s="29"/>
      <c r="C192" s="30"/>
      <c r="D192" s="30"/>
      <c r="E192" s="30"/>
      <c r="F192" s="30"/>
      <c r="G192" s="32">
        <v>1</v>
      </c>
      <c r="H192" s="32"/>
      <c r="I192" s="32"/>
      <c r="J192" s="32"/>
      <c r="K192" s="34">
        <f t="shared" si="59"/>
        <v>1</v>
      </c>
      <c r="L192" s="19">
        <v>42545</v>
      </c>
      <c r="N192" s="65"/>
      <c r="O192" s="29"/>
      <c r="P192" s="30"/>
      <c r="Q192" s="30"/>
      <c r="R192" s="30"/>
      <c r="S192" s="30"/>
      <c r="T192" s="32"/>
      <c r="U192" s="32"/>
      <c r="V192" s="32"/>
      <c r="W192" s="32"/>
      <c r="X192" s="34">
        <f t="shared" si="61"/>
        <v>0</v>
      </c>
      <c r="Y192" s="19"/>
    </row>
    <row r="193" spans="1:25">
      <c r="A193" s="20" t="s">
        <v>63</v>
      </c>
      <c r="B193" s="29">
        <v>-2</v>
      </c>
      <c r="C193" s="30">
        <v>-1</v>
      </c>
      <c r="D193" s="30"/>
      <c r="E193" s="30"/>
      <c r="F193" s="30">
        <v>-1</v>
      </c>
      <c r="G193" s="32"/>
      <c r="H193" s="32"/>
      <c r="I193" s="32"/>
      <c r="J193" s="32"/>
      <c r="K193" s="34">
        <f t="shared" si="59"/>
        <v>-4</v>
      </c>
      <c r="L193" s="19">
        <v>42546</v>
      </c>
      <c r="N193" s="65"/>
      <c r="O193" s="29"/>
      <c r="P193" s="30"/>
      <c r="Q193" s="30"/>
      <c r="R193" s="30"/>
      <c r="S193" s="30"/>
      <c r="T193" s="32"/>
      <c r="U193" s="32"/>
      <c r="V193" s="32"/>
      <c r="W193" s="32"/>
      <c r="X193" s="34">
        <f t="shared" si="61"/>
        <v>0</v>
      </c>
      <c r="Y193" s="19"/>
    </row>
    <row r="194" spans="1:25" ht="14.25" thickBot="1">
      <c r="A194" s="20" t="s">
        <v>54</v>
      </c>
      <c r="B194" s="29"/>
      <c r="C194" s="30"/>
      <c r="D194" s="30"/>
      <c r="E194" s="31"/>
      <c r="F194" s="31"/>
      <c r="G194" s="32"/>
      <c r="H194" s="33"/>
      <c r="I194" s="33"/>
      <c r="J194" s="33">
        <v>10</v>
      </c>
      <c r="K194" s="34">
        <f t="shared" si="59"/>
        <v>10</v>
      </c>
      <c r="L194" s="36">
        <v>42551</v>
      </c>
      <c r="N194" s="28"/>
      <c r="O194" s="29"/>
      <c r="P194" s="30"/>
      <c r="Q194" s="30"/>
      <c r="R194" s="31"/>
      <c r="S194" s="31"/>
      <c r="T194" s="32"/>
      <c r="U194" s="33"/>
      <c r="V194" s="33"/>
      <c r="W194" s="33"/>
      <c r="X194" s="34">
        <f t="shared" si="61"/>
        <v>0</v>
      </c>
      <c r="Y194" s="36"/>
    </row>
    <row r="195" spans="1:25" ht="14.25" thickBot="1">
      <c r="A195" s="2" t="s">
        <v>19</v>
      </c>
      <c r="B195" s="23">
        <f t="shared" ref="B195:J195" si="62">SUM(B175:B194)</f>
        <v>3</v>
      </c>
      <c r="C195" s="24">
        <f t="shared" si="62"/>
        <v>13</v>
      </c>
      <c r="D195" s="24">
        <f t="shared" si="62"/>
        <v>2</v>
      </c>
      <c r="E195" s="24">
        <f t="shared" si="62"/>
        <v>17</v>
      </c>
      <c r="F195" s="24">
        <f t="shared" si="62"/>
        <v>42</v>
      </c>
      <c r="G195" s="25">
        <f t="shared" si="62"/>
        <v>20</v>
      </c>
      <c r="H195" s="25">
        <f t="shared" si="62"/>
        <v>22</v>
      </c>
      <c r="I195" s="25">
        <f t="shared" si="62"/>
        <v>39</v>
      </c>
      <c r="J195" s="25">
        <f t="shared" si="62"/>
        <v>40</v>
      </c>
      <c r="K195" s="37">
        <f>SUM(B195:J195)</f>
        <v>198</v>
      </c>
      <c r="L195" s="27"/>
      <c r="N195" s="2" t="s">
        <v>19</v>
      </c>
      <c r="O195" s="23">
        <f t="shared" ref="O195:W195" si="63">SUM(O175:O194)</f>
        <v>25</v>
      </c>
      <c r="P195" s="24">
        <f t="shared" si="63"/>
        <v>20</v>
      </c>
      <c r="Q195" s="24">
        <f t="shared" si="63"/>
        <v>10</v>
      </c>
      <c r="R195" s="24">
        <f t="shared" si="63"/>
        <v>65</v>
      </c>
      <c r="S195" s="24">
        <f t="shared" si="63"/>
        <v>90</v>
      </c>
      <c r="T195" s="25">
        <f t="shared" si="63"/>
        <v>20</v>
      </c>
      <c r="U195" s="25">
        <f t="shared" si="63"/>
        <v>30</v>
      </c>
      <c r="V195" s="25">
        <f t="shared" si="63"/>
        <v>50</v>
      </c>
      <c r="W195" s="25">
        <f t="shared" si="63"/>
        <v>33</v>
      </c>
      <c r="X195" s="37">
        <f>SUM(O195:W195)</f>
        <v>343</v>
      </c>
      <c r="Y195" s="27"/>
    </row>
    <row r="196" spans="1:25" ht="14.25" thickBot="1">
      <c r="A196" s="38" t="s">
        <v>17</v>
      </c>
      <c r="B196" s="39">
        <f>B174-B195</f>
        <v>13</v>
      </c>
      <c r="C196" s="39">
        <f t="shared" ref="C196:K196" si="64">C174-C195</f>
        <v>14</v>
      </c>
      <c r="D196" s="39">
        <f t="shared" si="64"/>
        <v>10</v>
      </c>
      <c r="E196" s="39">
        <f t="shared" si="64"/>
        <v>10</v>
      </c>
      <c r="F196" s="39">
        <f t="shared" si="64"/>
        <v>13</v>
      </c>
      <c r="G196" s="39">
        <f t="shared" si="64"/>
        <v>6</v>
      </c>
      <c r="H196" s="39">
        <f t="shared" si="64"/>
        <v>13</v>
      </c>
      <c r="I196" s="39">
        <f t="shared" si="64"/>
        <v>14</v>
      </c>
      <c r="J196" s="40">
        <f t="shared" si="64"/>
        <v>4</v>
      </c>
      <c r="K196" s="37">
        <f t="shared" si="64"/>
        <v>97</v>
      </c>
      <c r="L196" s="41"/>
      <c r="N196" s="38" t="s">
        <v>17</v>
      </c>
      <c r="O196" s="39">
        <f>O174-O195</f>
        <v>178</v>
      </c>
      <c r="P196" s="39">
        <f t="shared" ref="P196:X196" si="65">P174-P195</f>
        <v>254</v>
      </c>
      <c r="Q196" s="39">
        <f t="shared" si="65"/>
        <v>147</v>
      </c>
      <c r="R196" s="39">
        <f t="shared" si="65"/>
        <v>362</v>
      </c>
      <c r="S196" s="39">
        <f t="shared" si="65"/>
        <v>339</v>
      </c>
      <c r="T196" s="39">
        <f t="shared" si="65"/>
        <v>220</v>
      </c>
      <c r="U196" s="39">
        <f t="shared" si="65"/>
        <v>86</v>
      </c>
      <c r="V196" s="39">
        <f t="shared" si="65"/>
        <v>201</v>
      </c>
      <c r="W196" s="40">
        <f t="shared" si="65"/>
        <v>210</v>
      </c>
      <c r="X196" s="37">
        <f t="shared" si="65"/>
        <v>1997</v>
      </c>
      <c r="Y196" s="41"/>
    </row>
    <row r="199" spans="1:25" ht="19.5" thickBot="1">
      <c r="A199" s="1" t="s">
        <v>22</v>
      </c>
      <c r="N199" s="1" t="s">
        <v>21</v>
      </c>
    </row>
    <row r="200" spans="1:25" ht="19.5" thickBot="1">
      <c r="A200" s="2" t="s">
        <v>0</v>
      </c>
      <c r="B200" s="163" t="s">
        <v>20</v>
      </c>
      <c r="C200" s="164"/>
      <c r="D200" s="164"/>
      <c r="E200" s="164"/>
      <c r="F200" s="164"/>
      <c r="G200" s="164"/>
      <c r="H200" s="165"/>
      <c r="I200" s="165"/>
      <c r="J200" s="165"/>
      <c r="K200" s="166"/>
      <c r="L200" s="161" t="s">
        <v>1</v>
      </c>
      <c r="N200" s="2" t="s">
        <v>0</v>
      </c>
      <c r="O200" s="163" t="s">
        <v>20</v>
      </c>
      <c r="P200" s="164"/>
      <c r="Q200" s="164"/>
      <c r="R200" s="164"/>
      <c r="S200" s="164"/>
      <c r="T200" s="164"/>
      <c r="U200" s="165"/>
      <c r="V200" s="165"/>
      <c r="W200" s="165"/>
      <c r="X200" s="166"/>
      <c r="Y200" s="161" t="s">
        <v>1</v>
      </c>
    </row>
    <row r="201" spans="1:25" ht="14.25" thickBot="1">
      <c r="A201" s="2" t="s">
        <v>2</v>
      </c>
      <c r="B201" s="3" t="s">
        <v>3</v>
      </c>
      <c r="C201" s="4" t="s">
        <v>4</v>
      </c>
      <c r="D201" s="4" t="s">
        <v>5</v>
      </c>
      <c r="E201" s="4" t="s">
        <v>6</v>
      </c>
      <c r="F201" s="4" t="s">
        <v>7</v>
      </c>
      <c r="G201" s="5" t="s">
        <v>8</v>
      </c>
      <c r="H201" s="4" t="s">
        <v>9</v>
      </c>
      <c r="I201" s="6" t="s">
        <v>10</v>
      </c>
      <c r="J201" s="5" t="s">
        <v>11</v>
      </c>
      <c r="K201" s="7" t="s">
        <v>12</v>
      </c>
      <c r="L201" s="162"/>
      <c r="N201" s="2" t="s">
        <v>2</v>
      </c>
      <c r="O201" s="3" t="s">
        <v>3</v>
      </c>
      <c r="P201" s="4" t="s">
        <v>4</v>
      </c>
      <c r="Q201" s="4" t="s">
        <v>5</v>
      </c>
      <c r="R201" s="4" t="s">
        <v>6</v>
      </c>
      <c r="S201" s="4" t="s">
        <v>7</v>
      </c>
      <c r="T201" s="5" t="s">
        <v>8</v>
      </c>
      <c r="U201" s="4" t="s">
        <v>9</v>
      </c>
      <c r="V201" s="6" t="s">
        <v>10</v>
      </c>
      <c r="W201" s="5" t="s">
        <v>11</v>
      </c>
      <c r="X201" s="7" t="s">
        <v>12</v>
      </c>
      <c r="Y201" s="162"/>
    </row>
    <row r="202" spans="1:25">
      <c r="A202" s="8" t="s">
        <v>17</v>
      </c>
      <c r="B202" s="80">
        <f>B196</f>
        <v>13</v>
      </c>
      <c r="C202" s="60">
        <f>C196</f>
        <v>14</v>
      </c>
      <c r="D202" s="60">
        <f t="shared" ref="D202:J202" si="66">D196</f>
        <v>10</v>
      </c>
      <c r="E202" s="60">
        <f t="shared" si="66"/>
        <v>10</v>
      </c>
      <c r="F202" s="60">
        <f t="shared" si="66"/>
        <v>13</v>
      </c>
      <c r="G202" s="60">
        <f t="shared" si="66"/>
        <v>6</v>
      </c>
      <c r="H202" s="60">
        <f t="shared" si="66"/>
        <v>13</v>
      </c>
      <c r="I202" s="60">
        <f t="shared" si="66"/>
        <v>14</v>
      </c>
      <c r="J202" s="60">
        <f t="shared" si="66"/>
        <v>4</v>
      </c>
      <c r="K202" s="50">
        <f t="shared" ref="K202:K204" si="67">SUM(B202:J202)</f>
        <v>97</v>
      </c>
      <c r="L202" s="12"/>
      <c r="M202" s="74"/>
      <c r="N202" s="52" t="s">
        <v>17</v>
      </c>
      <c r="O202" s="55">
        <f>O196</f>
        <v>178</v>
      </c>
      <c r="P202" s="56">
        <f>P196</f>
        <v>254</v>
      </c>
      <c r="Q202" s="56">
        <f t="shared" ref="Q202:W202" si="68">Q196</f>
        <v>147</v>
      </c>
      <c r="R202" s="56">
        <f t="shared" si="68"/>
        <v>362</v>
      </c>
      <c r="S202" s="56">
        <f t="shared" si="68"/>
        <v>339</v>
      </c>
      <c r="T202" s="56">
        <f t="shared" si="68"/>
        <v>220</v>
      </c>
      <c r="U202" s="56">
        <f t="shared" si="68"/>
        <v>86</v>
      </c>
      <c r="V202" s="56">
        <f t="shared" si="68"/>
        <v>201</v>
      </c>
      <c r="W202" s="56">
        <f t="shared" si="68"/>
        <v>210</v>
      </c>
      <c r="X202" s="53">
        <f t="shared" ref="X202:X208" si="69">SUM(O202:W202)</f>
        <v>1997</v>
      </c>
      <c r="Y202" s="54"/>
    </row>
    <row r="203" spans="1:25">
      <c r="A203" s="8" t="s">
        <v>14</v>
      </c>
      <c r="B203" s="9"/>
      <c r="C203" s="10"/>
      <c r="D203" s="10"/>
      <c r="E203" s="10">
        <v>10</v>
      </c>
      <c r="F203" s="10"/>
      <c r="G203" s="11">
        <v>5</v>
      </c>
      <c r="H203" s="11"/>
      <c r="I203" s="11"/>
      <c r="J203" s="11">
        <v>5</v>
      </c>
      <c r="K203" s="13">
        <f t="shared" si="67"/>
        <v>20</v>
      </c>
      <c r="L203" s="12">
        <v>42553</v>
      </c>
      <c r="M203" s="74"/>
      <c r="N203" s="8" t="s">
        <v>14</v>
      </c>
      <c r="O203" s="9"/>
      <c r="P203" s="10"/>
      <c r="Q203" s="10"/>
      <c r="R203" s="10"/>
      <c r="S203" s="10"/>
      <c r="T203" s="11"/>
      <c r="U203" s="11"/>
      <c r="V203" s="11"/>
      <c r="W203" s="11"/>
      <c r="X203" s="13">
        <f t="shared" si="69"/>
        <v>0</v>
      </c>
      <c r="Y203" s="12"/>
    </row>
    <row r="204" spans="1:25">
      <c r="A204" s="8" t="s">
        <v>15</v>
      </c>
      <c r="B204" s="15">
        <v>15</v>
      </c>
      <c r="C204" s="16"/>
      <c r="D204" s="16"/>
      <c r="E204" s="16">
        <v>20</v>
      </c>
      <c r="F204" s="16">
        <v>20</v>
      </c>
      <c r="G204" s="17"/>
      <c r="H204" s="17">
        <v>15</v>
      </c>
      <c r="I204" s="17"/>
      <c r="J204" s="17">
        <v>20</v>
      </c>
      <c r="K204" s="18">
        <f t="shared" si="67"/>
        <v>90</v>
      </c>
      <c r="L204" s="19">
        <v>42558</v>
      </c>
      <c r="N204" s="8" t="s">
        <v>15</v>
      </c>
      <c r="O204" s="15"/>
      <c r="P204" s="16"/>
      <c r="Q204" s="16"/>
      <c r="R204" s="16"/>
      <c r="S204" s="16"/>
      <c r="T204" s="17"/>
      <c r="U204" s="17"/>
      <c r="V204" s="17"/>
      <c r="W204" s="17"/>
      <c r="X204" s="18">
        <f t="shared" si="69"/>
        <v>0</v>
      </c>
      <c r="Y204" s="19"/>
    </row>
    <row r="205" spans="1:25">
      <c r="A205" s="8" t="s">
        <v>117</v>
      </c>
      <c r="B205" s="67"/>
      <c r="C205" s="35"/>
      <c r="D205" s="35"/>
      <c r="E205" s="35"/>
      <c r="F205" s="35">
        <v>3</v>
      </c>
      <c r="G205" s="35"/>
      <c r="H205" s="35">
        <v>2</v>
      </c>
      <c r="I205" s="35">
        <v>2</v>
      </c>
      <c r="J205" s="69"/>
      <c r="K205" s="13">
        <f>SUM(B205:J205)</f>
        <v>7</v>
      </c>
      <c r="L205" s="22">
        <v>42555</v>
      </c>
      <c r="N205" s="8" t="s">
        <v>16</v>
      </c>
      <c r="O205" s="9"/>
      <c r="P205" s="10"/>
      <c r="Q205" s="10"/>
      <c r="R205" s="10"/>
      <c r="S205" s="10"/>
      <c r="T205" s="10"/>
      <c r="U205" s="10"/>
      <c r="V205" s="10"/>
      <c r="W205" s="21"/>
      <c r="X205" s="18">
        <f t="shared" si="69"/>
        <v>0</v>
      </c>
      <c r="Y205" s="22"/>
    </row>
    <row r="206" spans="1:25" ht="14.25" thickBot="1">
      <c r="A206" s="8" t="s">
        <v>88</v>
      </c>
      <c r="B206" s="70"/>
      <c r="C206" s="71">
        <v>20</v>
      </c>
      <c r="D206" s="71"/>
      <c r="E206" s="71">
        <v>5</v>
      </c>
      <c r="F206" s="71"/>
      <c r="G206" s="71"/>
      <c r="H206" s="71"/>
      <c r="I206" s="71"/>
      <c r="J206" s="72"/>
      <c r="K206" s="26">
        <f>SUM(B206:J206)</f>
        <v>25</v>
      </c>
      <c r="L206" s="73">
        <v>42572</v>
      </c>
      <c r="N206" s="8" t="s">
        <v>23</v>
      </c>
      <c r="O206" s="42"/>
      <c r="P206" s="43"/>
      <c r="Q206" s="43"/>
      <c r="R206" s="43"/>
      <c r="S206" s="43"/>
      <c r="T206" s="43"/>
      <c r="U206" s="43"/>
      <c r="V206" s="43"/>
      <c r="W206" s="44"/>
      <c r="X206" s="45">
        <f t="shared" si="69"/>
        <v>0</v>
      </c>
      <c r="Y206" s="19"/>
    </row>
    <row r="207" spans="1:25" ht="14.25" thickBot="1">
      <c r="A207" s="76" t="s">
        <v>18</v>
      </c>
      <c r="B207" s="77">
        <f>SUM(B202:B206)</f>
        <v>28</v>
      </c>
      <c r="C207" s="78">
        <f t="shared" ref="C207:J207" si="70">SUM(C202:C206)</f>
        <v>34</v>
      </c>
      <c r="D207" s="78">
        <f t="shared" si="70"/>
        <v>10</v>
      </c>
      <c r="E207" s="78">
        <f t="shared" si="70"/>
        <v>45</v>
      </c>
      <c r="F207" s="78">
        <f t="shared" si="70"/>
        <v>36</v>
      </c>
      <c r="G207" s="79">
        <f t="shared" si="70"/>
        <v>11</v>
      </c>
      <c r="H207" s="79">
        <f t="shared" si="70"/>
        <v>30</v>
      </c>
      <c r="I207" s="79">
        <f t="shared" si="70"/>
        <v>16</v>
      </c>
      <c r="J207" s="79">
        <f t="shared" si="70"/>
        <v>29</v>
      </c>
      <c r="K207" s="26">
        <f t="shared" ref="K207:K227" si="71">SUM(B207:J207)</f>
        <v>239</v>
      </c>
      <c r="L207" s="27"/>
      <c r="N207" s="2" t="s">
        <v>18</v>
      </c>
      <c r="O207" s="23">
        <f t="shared" ref="O207:W207" si="72">SUM(O202:O206)</f>
        <v>178</v>
      </c>
      <c r="P207" s="24">
        <f t="shared" si="72"/>
        <v>254</v>
      </c>
      <c r="Q207" s="24">
        <f t="shared" si="72"/>
        <v>147</v>
      </c>
      <c r="R207" s="24">
        <f t="shared" si="72"/>
        <v>362</v>
      </c>
      <c r="S207" s="24">
        <f t="shared" si="72"/>
        <v>339</v>
      </c>
      <c r="T207" s="25">
        <f t="shared" si="72"/>
        <v>220</v>
      </c>
      <c r="U207" s="25">
        <f t="shared" si="72"/>
        <v>86</v>
      </c>
      <c r="V207" s="25">
        <f t="shared" si="72"/>
        <v>201</v>
      </c>
      <c r="W207" s="25">
        <f t="shared" si="72"/>
        <v>210</v>
      </c>
      <c r="X207" s="26">
        <f t="shared" si="69"/>
        <v>1997</v>
      </c>
      <c r="Y207" s="27"/>
    </row>
    <row r="208" spans="1:25">
      <c r="A208" s="20" t="s">
        <v>27</v>
      </c>
      <c r="B208" s="29"/>
      <c r="C208" s="30"/>
      <c r="D208" s="30"/>
      <c r="E208" s="30"/>
      <c r="F208" s="30">
        <v>1</v>
      </c>
      <c r="G208" s="32"/>
      <c r="H208" s="32"/>
      <c r="I208" s="32"/>
      <c r="J208" s="32"/>
      <c r="K208" s="34">
        <f t="shared" si="71"/>
        <v>1</v>
      </c>
      <c r="L208" s="19">
        <v>42548</v>
      </c>
      <c r="N208" s="28" t="s">
        <v>29</v>
      </c>
      <c r="O208" s="9"/>
      <c r="P208" s="10"/>
      <c r="Q208" s="10"/>
      <c r="R208" s="10">
        <v>10</v>
      </c>
      <c r="S208" s="10"/>
      <c r="T208" s="11">
        <v>5</v>
      </c>
      <c r="U208" s="11"/>
      <c r="V208" s="11"/>
      <c r="W208" s="11">
        <v>5</v>
      </c>
      <c r="X208" s="13">
        <f t="shared" si="69"/>
        <v>20</v>
      </c>
      <c r="Y208" s="12">
        <v>42553</v>
      </c>
    </row>
    <row r="209" spans="1:25">
      <c r="A209" s="20" t="s">
        <v>92</v>
      </c>
      <c r="B209" s="29"/>
      <c r="C209" s="30"/>
      <c r="D209" s="30">
        <v>2</v>
      </c>
      <c r="E209" s="30"/>
      <c r="F209" s="30"/>
      <c r="G209" s="32"/>
      <c r="H209" s="32"/>
      <c r="I209" s="32"/>
      <c r="J209" s="32"/>
      <c r="K209" s="34">
        <f t="shared" si="71"/>
        <v>2</v>
      </c>
      <c r="L209" s="22">
        <v>42555</v>
      </c>
      <c r="N209" s="28" t="s">
        <v>29</v>
      </c>
      <c r="O209" s="67">
        <v>15</v>
      </c>
      <c r="P209" s="35"/>
      <c r="Q209" s="35"/>
      <c r="R209" s="35">
        <v>20</v>
      </c>
      <c r="S209" s="35">
        <v>20</v>
      </c>
      <c r="T209" s="35"/>
      <c r="U209" s="35">
        <v>15</v>
      </c>
      <c r="V209" s="35"/>
      <c r="W209" s="68">
        <v>20</v>
      </c>
      <c r="X209" s="13">
        <f>SUM(O209:W209)</f>
        <v>90</v>
      </c>
      <c r="Y209" s="19">
        <v>42558</v>
      </c>
    </row>
    <row r="210" spans="1:25">
      <c r="A210" s="20" t="s">
        <v>54</v>
      </c>
      <c r="B210" s="29"/>
      <c r="C210" s="30"/>
      <c r="D210" s="30"/>
      <c r="E210" s="30">
        <v>10</v>
      </c>
      <c r="F210" s="30"/>
      <c r="G210" s="32"/>
      <c r="H210" s="32"/>
      <c r="I210" s="32"/>
      <c r="J210" s="32"/>
      <c r="K210" s="34">
        <f t="shared" si="71"/>
        <v>10</v>
      </c>
      <c r="L210" s="22">
        <v>42555</v>
      </c>
      <c r="N210" s="28" t="s">
        <v>29</v>
      </c>
      <c r="O210" s="29"/>
      <c r="P210" s="30">
        <v>20</v>
      </c>
      <c r="Q210" s="30"/>
      <c r="R210" s="30">
        <v>5</v>
      </c>
      <c r="S210" s="30"/>
      <c r="T210" s="32"/>
      <c r="U210" s="32"/>
      <c r="V210" s="32"/>
      <c r="W210" s="32"/>
      <c r="X210" s="34">
        <f t="shared" ref="X210:X227" si="73">SUM(O210:W210)</f>
        <v>25</v>
      </c>
      <c r="Y210" s="22">
        <v>42572</v>
      </c>
    </row>
    <row r="211" spans="1:25">
      <c r="A211" s="65" t="s">
        <v>27</v>
      </c>
      <c r="B211" s="29"/>
      <c r="C211" s="30"/>
      <c r="D211" s="30"/>
      <c r="E211" s="30"/>
      <c r="F211" s="30">
        <v>3</v>
      </c>
      <c r="G211" s="32"/>
      <c r="H211" s="33"/>
      <c r="I211" s="32"/>
      <c r="J211" s="32"/>
      <c r="K211" s="34">
        <f t="shared" si="71"/>
        <v>3</v>
      </c>
      <c r="L211" s="22">
        <v>42551</v>
      </c>
      <c r="N211" s="28"/>
      <c r="O211" s="29"/>
      <c r="P211" s="30"/>
      <c r="Q211" s="30"/>
      <c r="R211" s="30"/>
      <c r="S211" s="30"/>
      <c r="T211" s="32"/>
      <c r="U211" s="33"/>
      <c r="V211" s="32"/>
      <c r="W211" s="32"/>
      <c r="X211" s="34">
        <f t="shared" si="73"/>
        <v>0</v>
      </c>
      <c r="Y211" s="22"/>
    </row>
    <row r="212" spans="1:25">
      <c r="A212" s="75" t="s">
        <v>27</v>
      </c>
      <c r="B212" s="29"/>
      <c r="C212" s="30"/>
      <c r="D212" s="30"/>
      <c r="E212" s="30"/>
      <c r="F212" s="30">
        <v>1</v>
      </c>
      <c r="G212" s="32"/>
      <c r="H212" s="32"/>
      <c r="I212" s="32"/>
      <c r="J212" s="32"/>
      <c r="K212" s="34">
        <f t="shared" si="71"/>
        <v>1</v>
      </c>
      <c r="L212" s="22">
        <v>42555</v>
      </c>
      <c r="N212" s="20"/>
      <c r="O212" s="29"/>
      <c r="P212" s="30"/>
      <c r="Q212" s="30"/>
      <c r="R212" s="30"/>
      <c r="S212" s="30"/>
      <c r="T212" s="32"/>
      <c r="U212" s="32"/>
      <c r="V212" s="32"/>
      <c r="W212" s="32"/>
      <c r="X212" s="34">
        <f t="shared" si="73"/>
        <v>0</v>
      </c>
      <c r="Y212" s="22"/>
    </row>
    <row r="213" spans="1:25">
      <c r="A213" s="75" t="s">
        <v>27</v>
      </c>
      <c r="B213" s="29"/>
      <c r="C213" s="30"/>
      <c r="D213" s="30"/>
      <c r="E213" s="30">
        <v>1</v>
      </c>
      <c r="F213" s="30"/>
      <c r="G213" s="32"/>
      <c r="H213" s="33"/>
      <c r="I213" s="33"/>
      <c r="J213" s="33"/>
      <c r="K213" s="34">
        <f t="shared" si="71"/>
        <v>1</v>
      </c>
      <c r="L213" s="22">
        <v>42556</v>
      </c>
      <c r="N213" s="20"/>
      <c r="O213" s="29"/>
      <c r="P213" s="30"/>
      <c r="Q213" s="30"/>
      <c r="R213" s="30"/>
      <c r="S213" s="30"/>
      <c r="T213" s="32"/>
      <c r="U213" s="33"/>
      <c r="V213" s="33"/>
      <c r="W213" s="33"/>
      <c r="X213" s="34">
        <f t="shared" si="73"/>
        <v>0</v>
      </c>
      <c r="Y213" s="22"/>
    </row>
    <row r="214" spans="1:25">
      <c r="A214" s="20" t="s">
        <v>116</v>
      </c>
      <c r="B214" s="29">
        <v>17</v>
      </c>
      <c r="C214" s="30"/>
      <c r="D214" s="30"/>
      <c r="E214" s="31">
        <v>17</v>
      </c>
      <c r="F214" s="31">
        <v>17</v>
      </c>
      <c r="G214" s="32"/>
      <c r="H214" s="33">
        <v>17</v>
      </c>
      <c r="I214" s="33"/>
      <c r="J214" s="33">
        <v>17</v>
      </c>
      <c r="K214" s="34">
        <f t="shared" si="71"/>
        <v>85</v>
      </c>
      <c r="L214" s="22">
        <v>42559</v>
      </c>
      <c r="N214" s="28"/>
      <c r="O214" s="29"/>
      <c r="P214" s="30"/>
      <c r="Q214" s="30"/>
      <c r="R214" s="31"/>
      <c r="S214" s="31"/>
      <c r="T214" s="32"/>
      <c r="U214" s="33"/>
      <c r="V214" s="33"/>
      <c r="W214" s="33"/>
      <c r="X214" s="34">
        <f t="shared" si="73"/>
        <v>0</v>
      </c>
      <c r="Y214" s="22"/>
    </row>
    <row r="215" spans="1:25">
      <c r="A215" s="20" t="s">
        <v>27</v>
      </c>
      <c r="B215" s="35"/>
      <c r="C215" s="31"/>
      <c r="D215" s="31"/>
      <c r="E215" s="31">
        <v>2</v>
      </c>
      <c r="F215" s="31"/>
      <c r="G215" s="33"/>
      <c r="H215" s="33"/>
      <c r="I215" s="33"/>
      <c r="J215" s="33"/>
      <c r="K215" s="34">
        <f t="shared" si="71"/>
        <v>2</v>
      </c>
      <c r="L215" s="22">
        <v>42559</v>
      </c>
      <c r="N215" s="28"/>
      <c r="O215" s="35"/>
      <c r="P215" s="31"/>
      <c r="Q215" s="31"/>
      <c r="R215" s="31"/>
      <c r="S215" s="31"/>
      <c r="T215" s="33"/>
      <c r="U215" s="33"/>
      <c r="V215" s="33"/>
      <c r="W215" s="33"/>
      <c r="X215" s="34">
        <f t="shared" si="73"/>
        <v>0</v>
      </c>
      <c r="Y215" s="22"/>
    </row>
    <row r="216" spans="1:25">
      <c r="A216" s="20" t="s">
        <v>27</v>
      </c>
      <c r="B216" s="35"/>
      <c r="C216" s="31"/>
      <c r="D216" s="31"/>
      <c r="E216" s="31"/>
      <c r="F216" s="31">
        <v>1</v>
      </c>
      <c r="G216" s="33"/>
      <c r="H216" s="33"/>
      <c r="I216" s="33"/>
      <c r="J216" s="33"/>
      <c r="K216" s="34">
        <f t="shared" si="71"/>
        <v>1</v>
      </c>
      <c r="L216" s="22">
        <v>42562</v>
      </c>
      <c r="N216" s="28"/>
      <c r="O216" s="35"/>
      <c r="P216" s="31"/>
      <c r="Q216" s="31"/>
      <c r="R216" s="31"/>
      <c r="S216" s="31"/>
      <c r="T216" s="33"/>
      <c r="U216" s="33"/>
      <c r="V216" s="33"/>
      <c r="W216" s="33"/>
      <c r="X216" s="34">
        <f t="shared" si="73"/>
        <v>0</v>
      </c>
      <c r="Y216" s="22"/>
    </row>
    <row r="217" spans="1:25">
      <c r="A217" s="20" t="s">
        <v>27</v>
      </c>
      <c r="B217" s="35"/>
      <c r="C217" s="31"/>
      <c r="D217" s="31"/>
      <c r="E217" s="31"/>
      <c r="F217" s="31">
        <v>1</v>
      </c>
      <c r="G217" s="33"/>
      <c r="H217" s="33"/>
      <c r="I217" s="33"/>
      <c r="J217" s="33"/>
      <c r="K217" s="34">
        <f t="shared" si="71"/>
        <v>1</v>
      </c>
      <c r="L217" s="22">
        <v>42563</v>
      </c>
      <c r="N217" s="28"/>
      <c r="O217" s="35"/>
      <c r="P217" s="31"/>
      <c r="Q217" s="31"/>
      <c r="R217" s="31"/>
      <c r="S217" s="31"/>
      <c r="T217" s="33"/>
      <c r="U217" s="33"/>
      <c r="V217" s="33"/>
      <c r="W217" s="33"/>
      <c r="X217" s="34">
        <f t="shared" si="73"/>
        <v>0</v>
      </c>
      <c r="Y217" s="22"/>
    </row>
    <row r="218" spans="1:25">
      <c r="A218" s="20" t="s">
        <v>42</v>
      </c>
      <c r="B218" s="29">
        <v>4</v>
      </c>
      <c r="C218" s="30">
        <v>6</v>
      </c>
      <c r="D218" s="30">
        <v>4</v>
      </c>
      <c r="E218" s="30"/>
      <c r="F218" s="30"/>
      <c r="G218" s="32"/>
      <c r="H218" s="32"/>
      <c r="I218" s="32"/>
      <c r="J218" s="32">
        <v>4</v>
      </c>
      <c r="K218" s="34">
        <f t="shared" si="71"/>
        <v>18</v>
      </c>
      <c r="L218" s="22">
        <v>42570</v>
      </c>
      <c r="N218" s="28"/>
      <c r="O218" s="29"/>
      <c r="P218" s="30"/>
      <c r="Q218" s="30"/>
      <c r="R218" s="30"/>
      <c r="S218" s="30"/>
      <c r="T218" s="32"/>
      <c r="U218" s="32"/>
      <c r="V218" s="32"/>
      <c r="W218" s="32"/>
      <c r="X218" s="34">
        <f t="shared" si="73"/>
        <v>0</v>
      </c>
      <c r="Y218" s="22"/>
    </row>
    <row r="219" spans="1:25">
      <c r="A219" s="20" t="s">
        <v>122</v>
      </c>
      <c r="B219" s="35"/>
      <c r="C219" s="31"/>
      <c r="D219" s="31"/>
      <c r="E219" s="31">
        <v>1</v>
      </c>
      <c r="F219" s="31"/>
      <c r="G219" s="33"/>
      <c r="H219" s="33"/>
      <c r="I219" s="33">
        <v>1</v>
      </c>
      <c r="J219" s="33"/>
      <c r="K219" s="34">
        <f t="shared" si="71"/>
        <v>2</v>
      </c>
      <c r="L219" s="22">
        <v>42569</v>
      </c>
      <c r="N219" s="28"/>
      <c r="O219" s="35"/>
      <c r="P219" s="31"/>
      <c r="Q219" s="31"/>
      <c r="R219" s="31"/>
      <c r="S219" s="31"/>
      <c r="T219" s="33"/>
      <c r="U219" s="33"/>
      <c r="V219" s="33"/>
      <c r="W219" s="33"/>
      <c r="X219" s="34">
        <f t="shared" si="73"/>
        <v>0</v>
      </c>
      <c r="Y219" s="22"/>
    </row>
    <row r="220" spans="1:25">
      <c r="A220" s="20" t="s">
        <v>123</v>
      </c>
      <c r="B220" s="29"/>
      <c r="C220" s="30"/>
      <c r="D220" s="30"/>
      <c r="E220" s="30">
        <v>2</v>
      </c>
      <c r="F220" s="30">
        <v>2</v>
      </c>
      <c r="G220" s="32">
        <v>2</v>
      </c>
      <c r="H220" s="33"/>
      <c r="I220" s="33"/>
      <c r="J220" s="33"/>
      <c r="K220" s="34">
        <f t="shared" si="71"/>
        <v>6</v>
      </c>
      <c r="L220" s="22">
        <v>42569</v>
      </c>
      <c r="N220" s="28"/>
      <c r="O220" s="29"/>
      <c r="P220" s="30"/>
      <c r="Q220" s="30"/>
      <c r="R220" s="30"/>
      <c r="S220" s="30"/>
      <c r="T220" s="32"/>
      <c r="U220" s="33"/>
      <c r="V220" s="33"/>
      <c r="W220" s="33"/>
      <c r="X220" s="34">
        <f t="shared" si="73"/>
        <v>0</v>
      </c>
      <c r="Y220" s="22"/>
    </row>
    <row r="221" spans="1:25">
      <c r="A221" s="65" t="s">
        <v>104</v>
      </c>
      <c r="B221" s="29"/>
      <c r="C221" s="30"/>
      <c r="D221" s="30"/>
      <c r="E221" s="30"/>
      <c r="F221" s="30">
        <v>-1</v>
      </c>
      <c r="G221" s="32"/>
      <c r="H221" s="32"/>
      <c r="I221" s="32"/>
      <c r="J221" s="32"/>
      <c r="K221" s="34">
        <f t="shared" si="71"/>
        <v>-1</v>
      </c>
      <c r="L221" s="19">
        <v>42566</v>
      </c>
      <c r="N221" s="28"/>
      <c r="O221" s="35"/>
      <c r="P221" s="31"/>
      <c r="Q221" s="31"/>
      <c r="R221" s="31"/>
      <c r="S221" s="31"/>
      <c r="T221" s="33"/>
      <c r="U221" s="33"/>
      <c r="V221" s="33"/>
      <c r="W221" s="33"/>
      <c r="X221" s="34">
        <f t="shared" si="73"/>
        <v>0</v>
      </c>
      <c r="Y221" s="22"/>
    </row>
    <row r="222" spans="1:25">
      <c r="A222" s="20" t="s">
        <v>122</v>
      </c>
      <c r="B222" s="35"/>
      <c r="C222" s="31"/>
      <c r="D222" s="31"/>
      <c r="E222" s="31">
        <v>2</v>
      </c>
      <c r="F222" s="31"/>
      <c r="G222" s="33"/>
      <c r="H222" s="33"/>
      <c r="I222" s="33"/>
      <c r="J222" s="33"/>
      <c r="K222" s="34">
        <f t="shared" si="71"/>
        <v>2</v>
      </c>
      <c r="L222" s="22">
        <v>42572</v>
      </c>
      <c r="N222" s="28"/>
      <c r="O222" s="35"/>
      <c r="P222" s="31"/>
      <c r="Q222" s="31"/>
      <c r="R222" s="31"/>
      <c r="S222" s="31"/>
      <c r="T222" s="33"/>
      <c r="U222" s="33"/>
      <c r="V222" s="33"/>
      <c r="W222" s="33"/>
      <c r="X222" s="34">
        <f t="shared" si="73"/>
        <v>0</v>
      </c>
      <c r="Y222" s="22"/>
    </row>
    <row r="223" spans="1:25">
      <c r="A223" s="8" t="s">
        <v>118</v>
      </c>
      <c r="B223" s="29">
        <v>-1</v>
      </c>
      <c r="C223" s="30">
        <v>-1</v>
      </c>
      <c r="D223" s="30"/>
      <c r="E223" s="30">
        <v>-1</v>
      </c>
      <c r="F223" s="30"/>
      <c r="G223" s="32"/>
      <c r="H223" s="32"/>
      <c r="I223" s="32"/>
      <c r="J223" s="32"/>
      <c r="K223" s="34">
        <f t="shared" si="71"/>
        <v>-3</v>
      </c>
      <c r="L223" s="22">
        <v>42570</v>
      </c>
      <c r="N223" s="65"/>
      <c r="O223" s="29"/>
      <c r="P223" s="30"/>
      <c r="Q223" s="30"/>
      <c r="R223" s="30"/>
      <c r="S223" s="30"/>
      <c r="T223" s="32"/>
      <c r="U223" s="32"/>
      <c r="V223" s="32"/>
      <c r="W223" s="32"/>
      <c r="X223" s="34">
        <f t="shared" si="73"/>
        <v>0</v>
      </c>
      <c r="Y223" s="22"/>
    </row>
    <row r="224" spans="1:25">
      <c r="A224" s="66" t="s">
        <v>27</v>
      </c>
      <c r="B224" s="29"/>
      <c r="C224" s="30"/>
      <c r="D224" s="30"/>
      <c r="E224" s="30">
        <v>1</v>
      </c>
      <c r="F224" s="30">
        <v>1</v>
      </c>
      <c r="G224" s="32"/>
      <c r="H224" s="32"/>
      <c r="I224" s="32"/>
      <c r="J224" s="32"/>
      <c r="K224" s="34">
        <f t="shared" si="71"/>
        <v>2</v>
      </c>
      <c r="L224" s="19">
        <v>42570</v>
      </c>
      <c r="N224" s="28"/>
      <c r="O224" s="29"/>
      <c r="P224" s="30"/>
      <c r="Q224" s="30"/>
      <c r="R224" s="30"/>
      <c r="S224" s="30"/>
      <c r="T224" s="32"/>
      <c r="U224" s="32"/>
      <c r="V224" s="32"/>
      <c r="W224" s="32"/>
      <c r="X224" s="34">
        <f t="shared" si="73"/>
        <v>0</v>
      </c>
      <c r="Y224" s="19"/>
    </row>
    <row r="225" spans="1:25">
      <c r="A225" s="20" t="s">
        <v>42</v>
      </c>
      <c r="B225" s="29"/>
      <c r="C225" s="30">
        <v>18</v>
      </c>
      <c r="D225" s="30"/>
      <c r="E225" s="30"/>
      <c r="F225" s="30"/>
      <c r="G225" s="32"/>
      <c r="H225" s="32"/>
      <c r="I225" s="32"/>
      <c r="J225" s="32"/>
      <c r="K225" s="34">
        <f t="shared" si="71"/>
        <v>18</v>
      </c>
      <c r="L225" s="19">
        <v>42576</v>
      </c>
      <c r="N225" s="65"/>
      <c r="O225" s="29"/>
      <c r="P225" s="30"/>
      <c r="Q225" s="30"/>
      <c r="R225" s="30"/>
      <c r="S225" s="30"/>
      <c r="T225" s="32"/>
      <c r="U225" s="32"/>
      <c r="V225" s="32"/>
      <c r="W225" s="32"/>
      <c r="X225" s="34">
        <f t="shared" si="73"/>
        <v>0</v>
      </c>
      <c r="Y225" s="19"/>
    </row>
    <row r="226" spans="1:25">
      <c r="A226" s="20" t="s">
        <v>42</v>
      </c>
      <c r="B226" s="29"/>
      <c r="C226" s="30"/>
      <c r="D226" s="30"/>
      <c r="E226" s="30">
        <v>12</v>
      </c>
      <c r="F226" s="30">
        <v>6</v>
      </c>
      <c r="G226" s="32"/>
      <c r="H226" s="32"/>
      <c r="I226" s="32"/>
      <c r="J226" s="32"/>
      <c r="K226" s="34">
        <f t="shared" si="71"/>
        <v>18</v>
      </c>
      <c r="L226" s="19">
        <v>42576</v>
      </c>
      <c r="N226" s="65"/>
      <c r="O226" s="29"/>
      <c r="P226" s="30"/>
      <c r="Q226" s="30"/>
      <c r="R226" s="30"/>
      <c r="S226" s="30"/>
      <c r="T226" s="32"/>
      <c r="U226" s="32"/>
      <c r="V226" s="32"/>
      <c r="W226" s="32"/>
      <c r="X226" s="34">
        <f t="shared" si="73"/>
        <v>0</v>
      </c>
      <c r="Y226" s="19"/>
    </row>
    <row r="227" spans="1:25" ht="14.25" thickBot="1">
      <c r="A227" s="28" t="s">
        <v>27</v>
      </c>
      <c r="B227" s="29"/>
      <c r="C227" s="30"/>
      <c r="D227" s="30"/>
      <c r="E227" s="31">
        <v>1</v>
      </c>
      <c r="F227" s="31"/>
      <c r="G227" s="32"/>
      <c r="H227" s="33"/>
      <c r="I227" s="33"/>
      <c r="J227" s="33"/>
      <c r="K227" s="34">
        <f t="shared" si="71"/>
        <v>1</v>
      </c>
      <c r="L227" s="36">
        <v>42572</v>
      </c>
      <c r="N227" s="28"/>
      <c r="O227" s="29"/>
      <c r="P227" s="30"/>
      <c r="Q227" s="30"/>
      <c r="R227" s="31"/>
      <c r="S227" s="31"/>
      <c r="T227" s="32"/>
      <c r="U227" s="33"/>
      <c r="V227" s="33"/>
      <c r="W227" s="33"/>
      <c r="X227" s="34">
        <f t="shared" si="73"/>
        <v>0</v>
      </c>
      <c r="Y227" s="36"/>
    </row>
    <row r="228" spans="1:25" ht="14.25" thickBot="1">
      <c r="A228" s="2" t="s">
        <v>19</v>
      </c>
      <c r="B228" s="23">
        <f t="shared" ref="B228:J228" si="74">SUM(B208:B227)</f>
        <v>20</v>
      </c>
      <c r="C228" s="24">
        <f t="shared" si="74"/>
        <v>23</v>
      </c>
      <c r="D228" s="24">
        <f t="shared" si="74"/>
        <v>6</v>
      </c>
      <c r="E228" s="24">
        <f t="shared" si="74"/>
        <v>48</v>
      </c>
      <c r="F228" s="24">
        <f t="shared" si="74"/>
        <v>32</v>
      </c>
      <c r="G228" s="25">
        <f t="shared" si="74"/>
        <v>2</v>
      </c>
      <c r="H228" s="25">
        <f t="shared" si="74"/>
        <v>17</v>
      </c>
      <c r="I228" s="25">
        <f t="shared" si="74"/>
        <v>1</v>
      </c>
      <c r="J228" s="25">
        <f t="shared" si="74"/>
        <v>21</v>
      </c>
      <c r="K228" s="37">
        <f>SUM(B228:J228)</f>
        <v>170</v>
      </c>
      <c r="L228" s="27"/>
      <c r="N228" s="2" t="s">
        <v>19</v>
      </c>
      <c r="O228" s="23">
        <f t="shared" ref="O228:W228" si="75">SUM(O208:O227)</f>
        <v>15</v>
      </c>
      <c r="P228" s="24">
        <f t="shared" si="75"/>
        <v>20</v>
      </c>
      <c r="Q228" s="24">
        <f t="shared" si="75"/>
        <v>0</v>
      </c>
      <c r="R228" s="24">
        <f t="shared" si="75"/>
        <v>35</v>
      </c>
      <c r="S228" s="24">
        <f t="shared" si="75"/>
        <v>20</v>
      </c>
      <c r="T228" s="25">
        <f t="shared" si="75"/>
        <v>5</v>
      </c>
      <c r="U228" s="25">
        <f t="shared" si="75"/>
        <v>15</v>
      </c>
      <c r="V228" s="25">
        <f t="shared" si="75"/>
        <v>0</v>
      </c>
      <c r="W228" s="25">
        <f t="shared" si="75"/>
        <v>25</v>
      </c>
      <c r="X228" s="37">
        <f>SUM(O228:W228)</f>
        <v>135</v>
      </c>
      <c r="Y228" s="27"/>
    </row>
    <row r="229" spans="1:25" ht="14.25" thickBot="1">
      <c r="A229" s="38" t="s">
        <v>17</v>
      </c>
      <c r="B229" s="39">
        <f>B207-B228</f>
        <v>8</v>
      </c>
      <c r="C229" s="39">
        <f t="shared" ref="C229:K229" si="76">C207-C228</f>
        <v>11</v>
      </c>
      <c r="D229" s="39">
        <f t="shared" si="76"/>
        <v>4</v>
      </c>
      <c r="E229" s="39">
        <f t="shared" si="76"/>
        <v>-3</v>
      </c>
      <c r="F229" s="39">
        <f t="shared" si="76"/>
        <v>4</v>
      </c>
      <c r="G229" s="39">
        <f t="shared" si="76"/>
        <v>9</v>
      </c>
      <c r="H229" s="39">
        <f t="shared" si="76"/>
        <v>13</v>
      </c>
      <c r="I229" s="39">
        <f t="shared" si="76"/>
        <v>15</v>
      </c>
      <c r="J229" s="40">
        <f t="shared" si="76"/>
        <v>8</v>
      </c>
      <c r="K229" s="37">
        <f t="shared" si="76"/>
        <v>69</v>
      </c>
      <c r="L229" s="41"/>
      <c r="N229" s="38" t="s">
        <v>17</v>
      </c>
      <c r="O229" s="39">
        <f>O207-O228</f>
        <v>163</v>
      </c>
      <c r="P229" s="39">
        <f t="shared" ref="P229:X229" si="77">P207-P228</f>
        <v>234</v>
      </c>
      <c r="Q229" s="39">
        <f t="shared" si="77"/>
        <v>147</v>
      </c>
      <c r="R229" s="39">
        <f t="shared" si="77"/>
        <v>327</v>
      </c>
      <c r="S229" s="39">
        <f t="shared" si="77"/>
        <v>319</v>
      </c>
      <c r="T229" s="39">
        <f t="shared" si="77"/>
        <v>215</v>
      </c>
      <c r="U229" s="39">
        <f t="shared" si="77"/>
        <v>71</v>
      </c>
      <c r="V229" s="39">
        <f t="shared" si="77"/>
        <v>201</v>
      </c>
      <c r="W229" s="40">
        <f t="shared" si="77"/>
        <v>185</v>
      </c>
      <c r="X229" s="37">
        <f t="shared" si="77"/>
        <v>1862</v>
      </c>
      <c r="Y229" s="41"/>
    </row>
    <row r="232" spans="1:25" ht="19.5" thickBot="1">
      <c r="A232" s="1" t="s">
        <v>22</v>
      </c>
      <c r="N232" s="1" t="s">
        <v>21</v>
      </c>
    </row>
    <row r="233" spans="1:25" ht="19.5" thickBot="1">
      <c r="A233" s="2" t="s">
        <v>0</v>
      </c>
      <c r="B233" s="163" t="s">
        <v>20</v>
      </c>
      <c r="C233" s="164"/>
      <c r="D233" s="164"/>
      <c r="E233" s="164"/>
      <c r="F233" s="164"/>
      <c r="G233" s="164"/>
      <c r="H233" s="165"/>
      <c r="I233" s="165"/>
      <c r="J233" s="165"/>
      <c r="K233" s="166"/>
      <c r="L233" s="161" t="s">
        <v>1</v>
      </c>
      <c r="N233" s="2" t="s">
        <v>0</v>
      </c>
      <c r="O233" s="163" t="s">
        <v>20</v>
      </c>
      <c r="P233" s="164"/>
      <c r="Q233" s="164"/>
      <c r="R233" s="164"/>
      <c r="S233" s="164"/>
      <c r="T233" s="164"/>
      <c r="U233" s="165"/>
      <c r="V233" s="165"/>
      <c r="W233" s="165"/>
      <c r="X233" s="166"/>
      <c r="Y233" s="161" t="s">
        <v>1</v>
      </c>
    </row>
    <row r="234" spans="1:25" ht="14.25" thickBot="1">
      <c r="A234" s="2" t="s">
        <v>2</v>
      </c>
      <c r="B234" s="3" t="s">
        <v>3</v>
      </c>
      <c r="C234" s="4" t="s">
        <v>4</v>
      </c>
      <c r="D234" s="4" t="s">
        <v>5</v>
      </c>
      <c r="E234" s="4" t="s">
        <v>6</v>
      </c>
      <c r="F234" s="4" t="s">
        <v>7</v>
      </c>
      <c r="G234" s="5" t="s">
        <v>8</v>
      </c>
      <c r="H234" s="4" t="s">
        <v>9</v>
      </c>
      <c r="I234" s="6" t="s">
        <v>10</v>
      </c>
      <c r="J234" s="5" t="s">
        <v>11</v>
      </c>
      <c r="K234" s="7" t="s">
        <v>12</v>
      </c>
      <c r="L234" s="162"/>
      <c r="N234" s="2" t="s">
        <v>2</v>
      </c>
      <c r="O234" s="3" t="s">
        <v>3</v>
      </c>
      <c r="P234" s="4" t="s">
        <v>4</v>
      </c>
      <c r="Q234" s="4" t="s">
        <v>5</v>
      </c>
      <c r="R234" s="4" t="s">
        <v>6</v>
      </c>
      <c r="S234" s="4" t="s">
        <v>7</v>
      </c>
      <c r="T234" s="5" t="s">
        <v>8</v>
      </c>
      <c r="U234" s="4" t="s">
        <v>9</v>
      </c>
      <c r="V234" s="6" t="s">
        <v>10</v>
      </c>
      <c r="W234" s="5" t="s">
        <v>11</v>
      </c>
      <c r="X234" s="7" t="s">
        <v>12</v>
      </c>
      <c r="Y234" s="162"/>
    </row>
    <row r="235" spans="1:25">
      <c r="A235" s="52" t="s">
        <v>17</v>
      </c>
      <c r="B235" s="55">
        <f>B229</f>
        <v>8</v>
      </c>
      <c r="C235" s="56">
        <f>C229</f>
        <v>11</v>
      </c>
      <c r="D235" s="56">
        <f t="shared" ref="D235:J235" si="78">D229</f>
        <v>4</v>
      </c>
      <c r="E235" s="56">
        <f t="shared" si="78"/>
        <v>-3</v>
      </c>
      <c r="F235" s="56">
        <f t="shared" si="78"/>
        <v>4</v>
      </c>
      <c r="G235" s="56">
        <f t="shared" si="78"/>
        <v>9</v>
      </c>
      <c r="H235" s="56">
        <f t="shared" si="78"/>
        <v>13</v>
      </c>
      <c r="I235" s="56">
        <f t="shared" si="78"/>
        <v>15</v>
      </c>
      <c r="J235" s="56">
        <f t="shared" si="78"/>
        <v>8</v>
      </c>
      <c r="K235" s="53">
        <f t="shared" ref="K235:K237" si="79">SUM(B235:J235)</f>
        <v>69</v>
      </c>
      <c r="L235" s="54"/>
      <c r="N235" s="52" t="s">
        <v>17</v>
      </c>
      <c r="O235" s="55">
        <f t="shared" ref="O235:W235" si="80">O229</f>
        <v>163</v>
      </c>
      <c r="P235" s="56">
        <f t="shared" si="80"/>
        <v>234</v>
      </c>
      <c r="Q235" s="56">
        <f t="shared" si="80"/>
        <v>147</v>
      </c>
      <c r="R235" s="56">
        <f t="shared" si="80"/>
        <v>327</v>
      </c>
      <c r="S235" s="56">
        <f t="shared" si="80"/>
        <v>319</v>
      </c>
      <c r="T235" s="56">
        <f t="shared" si="80"/>
        <v>215</v>
      </c>
      <c r="U235" s="56">
        <f t="shared" si="80"/>
        <v>71</v>
      </c>
      <c r="V235" s="56">
        <f t="shared" si="80"/>
        <v>201</v>
      </c>
      <c r="W235" s="56">
        <f t="shared" si="80"/>
        <v>185</v>
      </c>
      <c r="X235" s="53">
        <f t="shared" ref="X235:X241" si="81">SUM(O235:W235)</f>
        <v>1862</v>
      </c>
      <c r="Y235" s="54"/>
    </row>
    <row r="236" spans="1:25">
      <c r="A236" s="8" t="s">
        <v>14</v>
      </c>
      <c r="B236" s="9"/>
      <c r="C236" s="10">
        <v>5</v>
      </c>
      <c r="D236" s="10"/>
      <c r="E236" s="10">
        <v>20</v>
      </c>
      <c r="F236" s="10">
        <v>15</v>
      </c>
      <c r="G236" s="11"/>
      <c r="H236" s="11"/>
      <c r="I236" s="11"/>
      <c r="J236" s="11">
        <v>10</v>
      </c>
      <c r="K236" s="13">
        <f t="shared" si="79"/>
        <v>50</v>
      </c>
      <c r="L236" s="12">
        <v>42574</v>
      </c>
      <c r="N236" s="8" t="s">
        <v>14</v>
      </c>
      <c r="O236" s="9"/>
      <c r="P236" s="10"/>
      <c r="Q236" s="10"/>
      <c r="R236" s="10"/>
      <c r="S236" s="10"/>
      <c r="T236" s="11"/>
      <c r="U236" s="11"/>
      <c r="V236" s="11"/>
      <c r="W236" s="11"/>
      <c r="X236" s="13">
        <f t="shared" si="81"/>
        <v>0</v>
      </c>
      <c r="Y236" s="12"/>
    </row>
    <row r="237" spans="1:25">
      <c r="A237" s="8" t="s">
        <v>15</v>
      </c>
      <c r="B237" s="15">
        <v>5</v>
      </c>
      <c r="C237" s="16"/>
      <c r="D237" s="16">
        <v>5</v>
      </c>
      <c r="E237" s="16"/>
      <c r="F237" s="16">
        <v>5</v>
      </c>
      <c r="G237" s="17"/>
      <c r="H237" s="17"/>
      <c r="I237" s="17"/>
      <c r="J237" s="17"/>
      <c r="K237" s="18">
        <f t="shared" si="79"/>
        <v>15</v>
      </c>
      <c r="L237" s="19">
        <v>42577</v>
      </c>
      <c r="N237" s="8" t="s">
        <v>15</v>
      </c>
      <c r="O237" s="15"/>
      <c r="P237" s="16"/>
      <c r="Q237" s="16"/>
      <c r="R237" s="16"/>
      <c r="S237" s="16"/>
      <c r="T237" s="17"/>
      <c r="U237" s="17"/>
      <c r="V237" s="17"/>
      <c r="W237" s="17"/>
      <c r="X237" s="18">
        <f t="shared" si="81"/>
        <v>0</v>
      </c>
      <c r="Y237" s="19"/>
    </row>
    <row r="238" spans="1:25">
      <c r="A238" s="8" t="s">
        <v>132</v>
      </c>
      <c r="B238" s="67">
        <v>2</v>
      </c>
      <c r="C238" s="35"/>
      <c r="D238" s="35"/>
      <c r="E238" s="35">
        <v>2</v>
      </c>
      <c r="F238" s="35"/>
      <c r="G238" s="35">
        <v>2</v>
      </c>
      <c r="H238" s="35"/>
      <c r="I238" s="35"/>
      <c r="J238" s="69"/>
      <c r="K238" s="13">
        <f>SUM(B238:J238)</f>
        <v>6</v>
      </c>
      <c r="L238" s="22">
        <v>42581</v>
      </c>
      <c r="N238" s="8" t="s">
        <v>16</v>
      </c>
      <c r="O238" s="9"/>
      <c r="P238" s="10"/>
      <c r="Q238" s="10"/>
      <c r="R238" s="10"/>
      <c r="S238" s="10"/>
      <c r="T238" s="10"/>
      <c r="U238" s="10"/>
      <c r="V238" s="10"/>
      <c r="W238" s="21"/>
      <c r="X238" s="18">
        <f t="shared" si="81"/>
        <v>0</v>
      </c>
      <c r="Y238" s="22"/>
    </row>
    <row r="239" spans="1:25" ht="14.25" thickBot="1">
      <c r="A239" s="8" t="s">
        <v>88</v>
      </c>
      <c r="B239" s="70"/>
      <c r="C239" s="71"/>
      <c r="D239" s="71"/>
      <c r="E239" s="71">
        <v>10</v>
      </c>
      <c r="F239" s="71"/>
      <c r="G239" s="71">
        <v>10</v>
      </c>
      <c r="H239" s="71"/>
      <c r="I239" s="71"/>
      <c r="J239" s="72">
        <v>15</v>
      </c>
      <c r="K239" s="26">
        <f>SUM(B239:J239)</f>
        <v>35</v>
      </c>
      <c r="L239" s="73">
        <v>42588</v>
      </c>
      <c r="N239" s="8" t="s">
        <v>23</v>
      </c>
      <c r="O239" s="42"/>
      <c r="P239" s="43"/>
      <c r="Q239" s="43"/>
      <c r="R239" s="43"/>
      <c r="S239" s="43"/>
      <c r="T239" s="43"/>
      <c r="U239" s="43"/>
      <c r="V239" s="43"/>
      <c r="W239" s="44"/>
      <c r="X239" s="45">
        <f t="shared" si="81"/>
        <v>0</v>
      </c>
      <c r="Y239" s="19"/>
    </row>
    <row r="240" spans="1:25" ht="14.25" thickBot="1">
      <c r="A240" s="76" t="s">
        <v>18</v>
      </c>
      <c r="B240" s="77">
        <f>SUM(B235:B239)</f>
        <v>15</v>
      </c>
      <c r="C240" s="78">
        <f t="shared" ref="C240:J240" si="82">SUM(C235:C239)</f>
        <v>16</v>
      </c>
      <c r="D240" s="78">
        <f t="shared" si="82"/>
        <v>9</v>
      </c>
      <c r="E240" s="78">
        <f t="shared" si="82"/>
        <v>29</v>
      </c>
      <c r="F240" s="78">
        <f t="shared" si="82"/>
        <v>24</v>
      </c>
      <c r="G240" s="79">
        <f t="shared" si="82"/>
        <v>21</v>
      </c>
      <c r="H240" s="79">
        <f t="shared" si="82"/>
        <v>13</v>
      </c>
      <c r="I240" s="79">
        <f t="shared" si="82"/>
        <v>15</v>
      </c>
      <c r="J240" s="79">
        <f t="shared" si="82"/>
        <v>33</v>
      </c>
      <c r="K240" s="26">
        <f t="shared" ref="K240:K260" si="83">SUM(B240:J240)</f>
        <v>175</v>
      </c>
      <c r="L240" s="27"/>
      <c r="N240" s="2" t="s">
        <v>18</v>
      </c>
      <c r="O240" s="23">
        <f t="shared" ref="O240:W240" si="84">SUM(O235:O239)</f>
        <v>163</v>
      </c>
      <c r="P240" s="24">
        <f t="shared" si="84"/>
        <v>234</v>
      </c>
      <c r="Q240" s="24">
        <f t="shared" si="84"/>
        <v>147</v>
      </c>
      <c r="R240" s="24">
        <f t="shared" si="84"/>
        <v>327</v>
      </c>
      <c r="S240" s="24">
        <f t="shared" si="84"/>
        <v>319</v>
      </c>
      <c r="T240" s="25">
        <f t="shared" si="84"/>
        <v>215</v>
      </c>
      <c r="U240" s="25">
        <f t="shared" si="84"/>
        <v>71</v>
      </c>
      <c r="V240" s="25">
        <f t="shared" si="84"/>
        <v>201</v>
      </c>
      <c r="W240" s="25">
        <f t="shared" si="84"/>
        <v>185</v>
      </c>
      <c r="X240" s="26">
        <f t="shared" si="81"/>
        <v>1862</v>
      </c>
      <c r="Y240" s="27"/>
    </row>
    <row r="241" spans="1:25">
      <c r="A241" s="20" t="s">
        <v>54</v>
      </c>
      <c r="B241" s="29"/>
      <c r="C241" s="30"/>
      <c r="D241" s="30"/>
      <c r="E241" s="30"/>
      <c r="F241" s="30">
        <v>10</v>
      </c>
      <c r="G241" s="32"/>
      <c r="H241" s="32"/>
      <c r="I241" s="32"/>
      <c r="J241" s="32">
        <v>10</v>
      </c>
      <c r="K241" s="34">
        <f t="shared" si="83"/>
        <v>20</v>
      </c>
      <c r="L241" s="19">
        <v>42577</v>
      </c>
      <c r="N241" s="28" t="s">
        <v>29</v>
      </c>
      <c r="O241" s="9"/>
      <c r="P241" s="10">
        <v>5</v>
      </c>
      <c r="Q241" s="10"/>
      <c r="R241" s="10">
        <v>20</v>
      </c>
      <c r="S241" s="10">
        <v>15</v>
      </c>
      <c r="T241" s="11"/>
      <c r="U241" s="11"/>
      <c r="V241" s="11"/>
      <c r="W241" s="11">
        <v>10</v>
      </c>
      <c r="X241" s="13">
        <f t="shared" si="81"/>
        <v>50</v>
      </c>
      <c r="Y241" s="12">
        <v>42574</v>
      </c>
    </row>
    <row r="242" spans="1:25">
      <c r="A242" s="20" t="s">
        <v>27</v>
      </c>
      <c r="B242" s="29"/>
      <c r="C242" s="30"/>
      <c r="D242" s="30"/>
      <c r="E242" s="30"/>
      <c r="F242" s="30">
        <v>1</v>
      </c>
      <c r="G242" s="32"/>
      <c r="H242" s="32"/>
      <c r="I242" s="32"/>
      <c r="J242" s="32"/>
      <c r="K242" s="34">
        <f t="shared" si="83"/>
        <v>1</v>
      </c>
      <c r="L242" s="22">
        <v>42574</v>
      </c>
      <c r="N242" s="28" t="s">
        <v>29</v>
      </c>
      <c r="O242" s="67">
        <v>5</v>
      </c>
      <c r="P242" s="35"/>
      <c r="Q242" s="35">
        <v>5</v>
      </c>
      <c r="R242" s="35"/>
      <c r="S242" s="35">
        <v>5</v>
      </c>
      <c r="T242" s="35"/>
      <c r="U242" s="35"/>
      <c r="V242" s="35"/>
      <c r="W242" s="68"/>
      <c r="X242" s="13">
        <f>SUM(O242:W242)</f>
        <v>15</v>
      </c>
      <c r="Y242" s="19">
        <v>42577</v>
      </c>
    </row>
    <row r="243" spans="1:25">
      <c r="A243" s="20" t="s">
        <v>127</v>
      </c>
      <c r="B243" s="29"/>
      <c r="C243" s="30">
        <v>1</v>
      </c>
      <c r="D243" s="30"/>
      <c r="E243" s="30">
        <v>1</v>
      </c>
      <c r="F243" s="30"/>
      <c r="G243" s="32"/>
      <c r="H243" s="32"/>
      <c r="I243" s="32"/>
      <c r="J243" s="32">
        <v>1</v>
      </c>
      <c r="K243" s="34">
        <f t="shared" si="83"/>
        <v>3</v>
      </c>
      <c r="L243" s="22">
        <v>42575</v>
      </c>
      <c r="N243" s="28" t="s">
        <v>29</v>
      </c>
      <c r="O243" s="29"/>
      <c r="P243" s="30"/>
      <c r="Q243" s="30"/>
      <c r="R243" s="30">
        <v>10</v>
      </c>
      <c r="S243" s="30"/>
      <c r="T243" s="32">
        <v>10</v>
      </c>
      <c r="U243" s="32"/>
      <c r="V243" s="32"/>
      <c r="W243" s="32">
        <v>10</v>
      </c>
      <c r="X243" s="34">
        <f t="shared" ref="X243:X260" si="85">SUM(O243:W243)</f>
        <v>30</v>
      </c>
      <c r="Y243" s="22">
        <v>42588</v>
      </c>
    </row>
    <row r="244" spans="1:25">
      <c r="A244" s="20" t="s">
        <v>122</v>
      </c>
      <c r="B244" s="29"/>
      <c r="C244" s="30"/>
      <c r="D244" s="30"/>
      <c r="E244" s="30"/>
      <c r="F244" s="30"/>
      <c r="G244" s="32"/>
      <c r="H244" s="32"/>
      <c r="I244" s="32"/>
      <c r="J244" s="32">
        <v>1</v>
      </c>
      <c r="K244" s="34">
        <f t="shared" si="83"/>
        <v>1</v>
      </c>
      <c r="L244" s="22">
        <v>42577</v>
      </c>
      <c r="N244" s="28"/>
      <c r="O244" s="29"/>
      <c r="P244" s="30"/>
      <c r="Q244" s="30"/>
      <c r="R244" s="30"/>
      <c r="S244" s="30"/>
      <c r="T244" s="32"/>
      <c r="U244" s="33"/>
      <c r="V244" s="32"/>
      <c r="W244" s="32"/>
      <c r="X244" s="34">
        <f t="shared" si="85"/>
        <v>0</v>
      </c>
      <c r="Y244" s="22"/>
    </row>
    <row r="245" spans="1:25">
      <c r="A245" s="20" t="s">
        <v>123</v>
      </c>
      <c r="B245" s="29"/>
      <c r="C245" s="30"/>
      <c r="D245" s="30"/>
      <c r="E245" s="30">
        <v>2</v>
      </c>
      <c r="F245" s="30"/>
      <c r="G245" s="32"/>
      <c r="H245" s="33"/>
      <c r="I245" s="32">
        <v>2</v>
      </c>
      <c r="J245" s="32"/>
      <c r="K245" s="34">
        <f t="shared" si="83"/>
        <v>4</v>
      </c>
      <c r="L245" s="22">
        <v>42577</v>
      </c>
      <c r="N245" s="20"/>
      <c r="O245" s="29"/>
      <c r="P245" s="30"/>
      <c r="Q245" s="30"/>
      <c r="R245" s="30"/>
      <c r="S245" s="30"/>
      <c r="T245" s="32"/>
      <c r="U245" s="32"/>
      <c r="V245" s="32"/>
      <c r="W245" s="32"/>
      <c r="X245" s="34">
        <f t="shared" si="85"/>
        <v>0</v>
      </c>
      <c r="Y245" s="22"/>
    </row>
    <row r="246" spans="1:25">
      <c r="A246" s="20" t="s">
        <v>122</v>
      </c>
      <c r="B246" s="29"/>
      <c r="C246" s="30">
        <v>1</v>
      </c>
      <c r="D246" s="30"/>
      <c r="E246" s="30"/>
      <c r="F246" s="30"/>
      <c r="G246" s="32"/>
      <c r="H246" s="33"/>
      <c r="I246" s="33">
        <v>1</v>
      </c>
      <c r="J246" s="33"/>
      <c r="K246" s="34">
        <f t="shared" si="83"/>
        <v>2</v>
      </c>
      <c r="L246" s="22">
        <v>42578</v>
      </c>
      <c r="N246" s="20"/>
      <c r="O246" s="29"/>
      <c r="P246" s="30"/>
      <c r="Q246" s="30"/>
      <c r="R246" s="30"/>
      <c r="S246" s="30"/>
      <c r="T246" s="32"/>
      <c r="U246" s="33"/>
      <c r="V246" s="33"/>
      <c r="W246" s="33"/>
      <c r="X246" s="34">
        <f t="shared" si="85"/>
        <v>0</v>
      </c>
      <c r="Y246" s="22"/>
    </row>
    <row r="247" spans="1:25">
      <c r="A247" s="20" t="s">
        <v>63</v>
      </c>
      <c r="B247" s="29"/>
      <c r="C247" s="30">
        <v>-3</v>
      </c>
      <c r="D247" s="30"/>
      <c r="E247" s="31"/>
      <c r="F247" s="31"/>
      <c r="G247" s="32"/>
      <c r="H247" s="33"/>
      <c r="I247" s="33"/>
      <c r="J247" s="33"/>
      <c r="K247" s="34">
        <f t="shared" si="83"/>
        <v>-3</v>
      </c>
      <c r="L247" s="22">
        <v>42578</v>
      </c>
      <c r="N247" s="28"/>
      <c r="O247" s="29"/>
      <c r="P247" s="30"/>
      <c r="Q247" s="30"/>
      <c r="R247" s="31"/>
      <c r="S247" s="31"/>
      <c r="T247" s="32"/>
      <c r="U247" s="33"/>
      <c r="V247" s="33"/>
      <c r="W247" s="33"/>
      <c r="X247" s="34">
        <f t="shared" si="85"/>
        <v>0</v>
      </c>
      <c r="Y247" s="22"/>
    </row>
    <row r="248" spans="1:25">
      <c r="A248" s="20" t="s">
        <v>27</v>
      </c>
      <c r="B248" s="35"/>
      <c r="C248" s="31"/>
      <c r="D248" s="31"/>
      <c r="E248" s="31"/>
      <c r="F248" s="31">
        <v>2</v>
      </c>
      <c r="G248" s="33"/>
      <c r="H248" s="33"/>
      <c r="I248" s="33"/>
      <c r="J248" s="33"/>
      <c r="K248" s="34">
        <f t="shared" si="83"/>
        <v>2</v>
      </c>
      <c r="L248" s="22">
        <v>42577</v>
      </c>
      <c r="N248" s="28"/>
      <c r="O248" s="35"/>
      <c r="P248" s="31"/>
      <c r="Q248" s="31"/>
      <c r="R248" s="31"/>
      <c r="S248" s="31"/>
      <c r="T248" s="33"/>
      <c r="U248" s="33"/>
      <c r="V248" s="33"/>
      <c r="W248" s="33"/>
      <c r="X248" s="34">
        <f t="shared" si="85"/>
        <v>0</v>
      </c>
      <c r="Y248" s="22"/>
    </row>
    <row r="249" spans="1:25">
      <c r="A249" s="20" t="s">
        <v>27</v>
      </c>
      <c r="B249" s="35"/>
      <c r="C249" s="31"/>
      <c r="D249" s="31"/>
      <c r="E249" s="31">
        <v>1</v>
      </c>
      <c r="F249" s="31"/>
      <c r="G249" s="33"/>
      <c r="H249" s="33"/>
      <c r="I249" s="33"/>
      <c r="J249" s="33"/>
      <c r="K249" s="34">
        <f t="shared" si="83"/>
        <v>1</v>
      </c>
      <c r="L249" s="22">
        <v>42579</v>
      </c>
      <c r="N249" s="28"/>
      <c r="O249" s="35"/>
      <c r="P249" s="31"/>
      <c r="Q249" s="31"/>
      <c r="R249" s="31"/>
      <c r="S249" s="31"/>
      <c r="T249" s="33"/>
      <c r="U249" s="33"/>
      <c r="V249" s="33"/>
      <c r="W249" s="33"/>
      <c r="X249" s="34">
        <f t="shared" si="85"/>
        <v>0</v>
      </c>
      <c r="Y249" s="22"/>
    </row>
    <row r="250" spans="1:25">
      <c r="A250" s="20" t="s">
        <v>27</v>
      </c>
      <c r="B250" s="35"/>
      <c r="C250" s="31"/>
      <c r="D250" s="31"/>
      <c r="E250" s="31"/>
      <c r="F250" s="31"/>
      <c r="G250" s="33"/>
      <c r="H250" s="33">
        <v>1</v>
      </c>
      <c r="I250" s="33"/>
      <c r="J250" s="33"/>
      <c r="K250" s="34">
        <f t="shared" si="83"/>
        <v>1</v>
      </c>
      <c r="L250" s="22">
        <v>42580</v>
      </c>
      <c r="N250" s="28"/>
      <c r="O250" s="35"/>
      <c r="P250" s="31"/>
      <c r="Q250" s="31"/>
      <c r="R250" s="31"/>
      <c r="S250" s="31"/>
      <c r="T250" s="33"/>
      <c r="U250" s="33"/>
      <c r="V250" s="33"/>
      <c r="W250" s="33"/>
      <c r="X250" s="34">
        <f t="shared" si="85"/>
        <v>0</v>
      </c>
      <c r="Y250" s="22"/>
    </row>
    <row r="251" spans="1:25">
      <c r="A251" s="20" t="s">
        <v>116</v>
      </c>
      <c r="B251" s="29"/>
      <c r="C251" s="30"/>
      <c r="D251" s="30"/>
      <c r="E251" s="30"/>
      <c r="F251" s="30"/>
      <c r="G251" s="32"/>
      <c r="H251" s="32"/>
      <c r="I251" s="32">
        <v>1</v>
      </c>
      <c r="J251" s="32"/>
      <c r="K251" s="34">
        <f t="shared" si="83"/>
        <v>1</v>
      </c>
      <c r="L251" s="22">
        <v>42586</v>
      </c>
      <c r="N251" s="28"/>
      <c r="O251" s="29"/>
      <c r="P251" s="30"/>
      <c r="Q251" s="30"/>
      <c r="R251" s="30"/>
      <c r="S251" s="30"/>
      <c r="T251" s="32"/>
      <c r="U251" s="32"/>
      <c r="V251" s="32"/>
      <c r="W251" s="32"/>
      <c r="X251" s="34">
        <f t="shared" si="85"/>
        <v>0</v>
      </c>
      <c r="Y251" s="22"/>
    </row>
    <row r="252" spans="1:25">
      <c r="A252" s="20" t="s">
        <v>27</v>
      </c>
      <c r="B252" s="35"/>
      <c r="C252" s="31"/>
      <c r="D252" s="31"/>
      <c r="E252" s="31"/>
      <c r="F252" s="31"/>
      <c r="G252" s="33"/>
      <c r="H252" s="33"/>
      <c r="I252" s="33">
        <v>1</v>
      </c>
      <c r="J252" s="33"/>
      <c r="K252" s="34">
        <f t="shared" si="83"/>
        <v>1</v>
      </c>
      <c r="L252" s="22">
        <v>42581</v>
      </c>
      <c r="N252" s="28"/>
      <c r="O252" s="35"/>
      <c r="P252" s="31"/>
      <c r="Q252" s="31"/>
      <c r="R252" s="31"/>
      <c r="S252" s="31"/>
      <c r="T252" s="33"/>
      <c r="U252" s="33"/>
      <c r="V252" s="33"/>
      <c r="W252" s="33"/>
      <c r="X252" s="34">
        <f t="shared" si="85"/>
        <v>0</v>
      </c>
      <c r="Y252" s="22"/>
    </row>
    <row r="253" spans="1:25">
      <c r="A253" s="20" t="s">
        <v>122</v>
      </c>
      <c r="B253" s="29"/>
      <c r="C253" s="30"/>
      <c r="D253" s="30"/>
      <c r="E253" s="30">
        <v>1</v>
      </c>
      <c r="F253" s="30"/>
      <c r="G253" s="32">
        <v>1</v>
      </c>
      <c r="H253" s="33"/>
      <c r="I253" s="33"/>
      <c r="J253" s="33">
        <v>1</v>
      </c>
      <c r="K253" s="34">
        <f t="shared" si="83"/>
        <v>3</v>
      </c>
      <c r="L253" s="22">
        <v>42584</v>
      </c>
      <c r="M253" s="74"/>
      <c r="N253" s="28"/>
      <c r="O253" s="29"/>
      <c r="P253" s="30"/>
      <c r="Q253" s="30"/>
      <c r="R253" s="30"/>
      <c r="S253" s="30"/>
      <c r="T253" s="32"/>
      <c r="U253" s="33"/>
      <c r="V253" s="33"/>
      <c r="W253" s="33"/>
      <c r="X253" s="34">
        <f t="shared" si="85"/>
        <v>0</v>
      </c>
      <c r="Y253" s="22"/>
    </row>
    <row r="254" spans="1:25">
      <c r="A254" s="65" t="s">
        <v>27</v>
      </c>
      <c r="B254" s="29"/>
      <c r="C254" s="30"/>
      <c r="D254" s="30"/>
      <c r="E254" s="30">
        <v>1</v>
      </c>
      <c r="F254" s="30"/>
      <c r="G254" s="32"/>
      <c r="H254" s="32"/>
      <c r="I254" s="32"/>
      <c r="J254" s="32"/>
      <c r="K254" s="34">
        <f t="shared" si="83"/>
        <v>1</v>
      </c>
      <c r="L254" s="19">
        <v>42583</v>
      </c>
      <c r="N254" s="28"/>
      <c r="O254" s="35"/>
      <c r="P254" s="31"/>
      <c r="Q254" s="31"/>
      <c r="R254" s="31"/>
      <c r="S254" s="31"/>
      <c r="T254" s="33"/>
      <c r="U254" s="33"/>
      <c r="V254" s="33"/>
      <c r="W254" s="33"/>
      <c r="X254" s="34">
        <f t="shared" si="85"/>
        <v>0</v>
      </c>
      <c r="Y254" s="22"/>
    </row>
    <row r="255" spans="1:25">
      <c r="A255" s="20" t="s">
        <v>134</v>
      </c>
      <c r="B255" s="35"/>
      <c r="C255" s="31">
        <v>-2</v>
      </c>
      <c r="D255" s="31"/>
      <c r="E255" s="31"/>
      <c r="F255" s="31"/>
      <c r="G255" s="33"/>
      <c r="H255" s="33"/>
      <c r="I255" s="33"/>
      <c r="J255" s="33">
        <v>2</v>
      </c>
      <c r="K255" s="34">
        <f t="shared" si="83"/>
        <v>0</v>
      </c>
      <c r="L255" s="22">
        <v>42586</v>
      </c>
      <c r="N255" s="28"/>
      <c r="O255" s="35"/>
      <c r="P255" s="31"/>
      <c r="Q255" s="31"/>
      <c r="R255" s="31"/>
      <c r="S255" s="31"/>
      <c r="T255" s="33"/>
      <c r="U255" s="33"/>
      <c r="V255" s="33"/>
      <c r="W255" s="33"/>
      <c r="X255" s="34">
        <f t="shared" si="85"/>
        <v>0</v>
      </c>
      <c r="Y255" s="22"/>
    </row>
    <row r="256" spans="1:25">
      <c r="A256" s="8" t="s">
        <v>54</v>
      </c>
      <c r="B256" s="29"/>
      <c r="C256" s="30"/>
      <c r="D256" s="30"/>
      <c r="E256" s="30">
        <v>10</v>
      </c>
      <c r="F256" s="30"/>
      <c r="G256" s="32">
        <v>10</v>
      </c>
      <c r="H256" s="32"/>
      <c r="I256" s="32"/>
      <c r="J256" s="32">
        <v>10</v>
      </c>
      <c r="K256" s="34">
        <f t="shared" si="83"/>
        <v>30</v>
      </c>
      <c r="L256" s="22">
        <v>42591</v>
      </c>
      <c r="N256" s="65"/>
      <c r="O256" s="29"/>
      <c r="P256" s="30"/>
      <c r="Q256" s="30"/>
      <c r="R256" s="30"/>
      <c r="S256" s="30"/>
      <c r="T256" s="32"/>
      <c r="U256" s="32"/>
      <c r="V256" s="32"/>
      <c r="W256" s="32"/>
      <c r="X256" s="34">
        <f t="shared" si="85"/>
        <v>0</v>
      </c>
      <c r="Y256" s="22"/>
    </row>
    <row r="257" spans="1:25">
      <c r="A257" s="66" t="s">
        <v>27</v>
      </c>
      <c r="B257" s="29"/>
      <c r="C257" s="30"/>
      <c r="D257" s="30"/>
      <c r="E257" s="30"/>
      <c r="F257" s="30"/>
      <c r="G257" s="32">
        <v>1</v>
      </c>
      <c r="H257" s="32"/>
      <c r="I257" s="32"/>
      <c r="J257" s="32"/>
      <c r="K257" s="34">
        <f t="shared" si="83"/>
        <v>1</v>
      </c>
      <c r="L257" s="19">
        <v>42585</v>
      </c>
      <c r="N257" s="28"/>
      <c r="O257" s="29"/>
      <c r="P257" s="30"/>
      <c r="Q257" s="30"/>
      <c r="R257" s="30"/>
      <c r="S257" s="30"/>
      <c r="T257" s="32"/>
      <c r="U257" s="32"/>
      <c r="V257" s="32"/>
      <c r="W257" s="32"/>
      <c r="X257" s="34">
        <f t="shared" si="85"/>
        <v>0</v>
      </c>
      <c r="Y257" s="19"/>
    </row>
    <row r="258" spans="1:25">
      <c r="A258" s="20" t="s">
        <v>127</v>
      </c>
      <c r="B258" s="29"/>
      <c r="C258" s="30">
        <v>1</v>
      </c>
      <c r="D258" s="30"/>
      <c r="E258" s="30"/>
      <c r="F258" s="30"/>
      <c r="G258" s="32"/>
      <c r="H258" s="32"/>
      <c r="I258" s="32"/>
      <c r="J258" s="32"/>
      <c r="K258" s="34">
        <f t="shared" si="83"/>
        <v>1</v>
      </c>
      <c r="L258" s="19">
        <v>42586</v>
      </c>
      <c r="N258" s="65"/>
      <c r="O258" s="29"/>
      <c r="P258" s="30"/>
      <c r="Q258" s="30"/>
      <c r="R258" s="30"/>
      <c r="S258" s="30"/>
      <c r="T258" s="32"/>
      <c r="U258" s="32"/>
      <c r="V258" s="32"/>
      <c r="W258" s="32"/>
      <c r="X258" s="34">
        <f t="shared" si="85"/>
        <v>0</v>
      </c>
      <c r="Y258" s="19"/>
    </row>
    <row r="259" spans="1:25">
      <c r="A259" s="20" t="s">
        <v>138</v>
      </c>
      <c r="B259" s="29"/>
      <c r="C259" s="30"/>
      <c r="D259" s="30"/>
      <c r="E259" s="30">
        <v>-2</v>
      </c>
      <c r="F259" s="30"/>
      <c r="G259" s="32">
        <v>-2</v>
      </c>
      <c r="H259" s="32"/>
      <c r="I259" s="32"/>
      <c r="J259" s="32"/>
      <c r="K259" s="34">
        <f t="shared" si="83"/>
        <v>-4</v>
      </c>
      <c r="L259" s="19">
        <v>42590</v>
      </c>
      <c r="N259" s="65"/>
      <c r="O259" s="29"/>
      <c r="P259" s="30"/>
      <c r="Q259" s="30"/>
      <c r="R259" s="30"/>
      <c r="S259" s="30"/>
      <c r="T259" s="32"/>
      <c r="U259" s="32"/>
      <c r="V259" s="32"/>
      <c r="W259" s="32"/>
      <c r="X259" s="34">
        <f t="shared" si="85"/>
        <v>0</v>
      </c>
      <c r="Y259" s="19"/>
    </row>
    <row r="260" spans="1:25" ht="14.25" thickBot="1">
      <c r="A260" s="28" t="s">
        <v>27</v>
      </c>
      <c r="B260" s="29">
        <v>1</v>
      </c>
      <c r="C260" s="30"/>
      <c r="D260" s="30"/>
      <c r="E260" s="31"/>
      <c r="F260" s="31"/>
      <c r="G260" s="32"/>
      <c r="H260" s="33"/>
      <c r="I260" s="33"/>
      <c r="J260" s="33"/>
      <c r="K260" s="34">
        <f t="shared" si="83"/>
        <v>1</v>
      </c>
      <c r="L260" s="36">
        <v>42590</v>
      </c>
      <c r="N260" s="65"/>
      <c r="O260" s="29"/>
      <c r="P260" s="30"/>
      <c r="Q260" s="30"/>
      <c r="R260" s="30"/>
      <c r="S260" s="30"/>
      <c r="T260" s="32"/>
      <c r="U260" s="32"/>
      <c r="V260" s="32"/>
      <c r="W260" s="32"/>
      <c r="X260" s="34">
        <f t="shared" si="85"/>
        <v>0</v>
      </c>
      <c r="Y260" s="22"/>
    </row>
    <row r="261" spans="1:25" ht="14.25" thickBot="1">
      <c r="A261" s="2" t="s">
        <v>19</v>
      </c>
      <c r="B261" s="23">
        <f t="shared" ref="B261:J261" si="86">SUM(B241:B260)</f>
        <v>1</v>
      </c>
      <c r="C261" s="24">
        <f t="shared" si="86"/>
        <v>-2</v>
      </c>
      <c r="D261" s="24">
        <f t="shared" si="86"/>
        <v>0</v>
      </c>
      <c r="E261" s="24">
        <f t="shared" si="86"/>
        <v>14</v>
      </c>
      <c r="F261" s="24">
        <f t="shared" si="86"/>
        <v>13</v>
      </c>
      <c r="G261" s="25">
        <f t="shared" si="86"/>
        <v>10</v>
      </c>
      <c r="H261" s="25">
        <f t="shared" si="86"/>
        <v>1</v>
      </c>
      <c r="I261" s="25">
        <f t="shared" si="86"/>
        <v>5</v>
      </c>
      <c r="J261" s="25">
        <f t="shared" si="86"/>
        <v>25</v>
      </c>
      <c r="K261" s="37">
        <f>SUM(B261:J261)</f>
        <v>67</v>
      </c>
      <c r="L261" s="27"/>
      <c r="N261" s="2" t="s">
        <v>19</v>
      </c>
      <c r="O261" s="23">
        <f t="shared" ref="O261:W261" si="87">SUM(O241:O260)</f>
        <v>5</v>
      </c>
      <c r="P261" s="24">
        <f t="shared" si="87"/>
        <v>5</v>
      </c>
      <c r="Q261" s="24">
        <f t="shared" si="87"/>
        <v>5</v>
      </c>
      <c r="R261" s="24">
        <f t="shared" si="87"/>
        <v>30</v>
      </c>
      <c r="S261" s="24">
        <f t="shared" si="87"/>
        <v>20</v>
      </c>
      <c r="T261" s="25">
        <f t="shared" si="87"/>
        <v>10</v>
      </c>
      <c r="U261" s="25">
        <f t="shared" si="87"/>
        <v>0</v>
      </c>
      <c r="V261" s="25">
        <f t="shared" si="87"/>
        <v>0</v>
      </c>
      <c r="W261" s="25">
        <f t="shared" si="87"/>
        <v>20</v>
      </c>
      <c r="X261" s="37">
        <f>SUM(O261:W261)</f>
        <v>95</v>
      </c>
      <c r="Y261" s="27"/>
    </row>
    <row r="262" spans="1:25" ht="14.25" thickBot="1">
      <c r="A262" s="38" t="s">
        <v>17</v>
      </c>
      <c r="B262" s="39">
        <f>B240-B261</f>
        <v>14</v>
      </c>
      <c r="C262" s="39">
        <f t="shared" ref="C262:K262" si="88">C240-C261</f>
        <v>18</v>
      </c>
      <c r="D262" s="39">
        <f t="shared" si="88"/>
        <v>9</v>
      </c>
      <c r="E262" s="39">
        <f t="shared" si="88"/>
        <v>15</v>
      </c>
      <c r="F262" s="39">
        <f t="shared" si="88"/>
        <v>11</v>
      </c>
      <c r="G262" s="39">
        <f t="shared" si="88"/>
        <v>11</v>
      </c>
      <c r="H262" s="39">
        <f t="shared" si="88"/>
        <v>12</v>
      </c>
      <c r="I262" s="39">
        <f t="shared" si="88"/>
        <v>10</v>
      </c>
      <c r="J262" s="40">
        <f t="shared" si="88"/>
        <v>8</v>
      </c>
      <c r="K262" s="37">
        <f t="shared" si="88"/>
        <v>108</v>
      </c>
      <c r="L262" s="41"/>
      <c r="N262" s="38" t="s">
        <v>17</v>
      </c>
      <c r="O262" s="39">
        <f>O240-O261</f>
        <v>158</v>
      </c>
      <c r="P262" s="39">
        <f t="shared" ref="P262:X262" si="89">P240-P261</f>
        <v>229</v>
      </c>
      <c r="Q262" s="39">
        <f t="shared" si="89"/>
        <v>142</v>
      </c>
      <c r="R262" s="39">
        <f t="shared" si="89"/>
        <v>297</v>
      </c>
      <c r="S262" s="39">
        <f t="shared" si="89"/>
        <v>299</v>
      </c>
      <c r="T262" s="39">
        <f t="shared" si="89"/>
        <v>205</v>
      </c>
      <c r="U262" s="39">
        <f t="shared" si="89"/>
        <v>71</v>
      </c>
      <c r="V262" s="39">
        <f t="shared" si="89"/>
        <v>201</v>
      </c>
      <c r="W262" s="40">
        <f t="shared" si="89"/>
        <v>165</v>
      </c>
      <c r="X262" s="37">
        <f t="shared" si="89"/>
        <v>1767</v>
      </c>
      <c r="Y262" s="41"/>
    </row>
    <row r="265" spans="1:25" ht="19.5" thickBot="1">
      <c r="A265" s="1" t="s">
        <v>22</v>
      </c>
      <c r="N265" s="1" t="s">
        <v>21</v>
      </c>
    </row>
    <row r="266" spans="1:25" ht="19.5" thickBot="1">
      <c r="A266" s="2" t="s">
        <v>0</v>
      </c>
      <c r="B266" s="163" t="s">
        <v>20</v>
      </c>
      <c r="C266" s="164"/>
      <c r="D266" s="164"/>
      <c r="E266" s="164"/>
      <c r="F266" s="164"/>
      <c r="G266" s="164"/>
      <c r="H266" s="165"/>
      <c r="I266" s="165"/>
      <c r="J266" s="165"/>
      <c r="K266" s="166"/>
      <c r="L266" s="161" t="s">
        <v>1</v>
      </c>
      <c r="N266" s="2" t="s">
        <v>0</v>
      </c>
      <c r="O266" s="163" t="s">
        <v>20</v>
      </c>
      <c r="P266" s="164"/>
      <c r="Q266" s="164"/>
      <c r="R266" s="164"/>
      <c r="S266" s="164"/>
      <c r="T266" s="164"/>
      <c r="U266" s="165"/>
      <c r="V266" s="165"/>
      <c r="W266" s="165"/>
      <c r="X266" s="166"/>
      <c r="Y266" s="161" t="s">
        <v>1</v>
      </c>
    </row>
    <row r="267" spans="1:25" ht="14.25" thickBot="1">
      <c r="A267" s="2" t="s">
        <v>2</v>
      </c>
      <c r="B267" s="3" t="s">
        <v>3</v>
      </c>
      <c r="C267" s="4" t="s">
        <v>4</v>
      </c>
      <c r="D267" s="4" t="s">
        <v>5</v>
      </c>
      <c r="E267" s="4" t="s">
        <v>6</v>
      </c>
      <c r="F267" s="4" t="s">
        <v>7</v>
      </c>
      <c r="G267" s="5" t="s">
        <v>8</v>
      </c>
      <c r="H267" s="4" t="s">
        <v>9</v>
      </c>
      <c r="I267" s="6" t="s">
        <v>10</v>
      </c>
      <c r="J267" s="5" t="s">
        <v>11</v>
      </c>
      <c r="K267" s="7" t="s">
        <v>12</v>
      </c>
      <c r="L267" s="162"/>
      <c r="N267" s="2" t="s">
        <v>2</v>
      </c>
      <c r="O267" s="3" t="s">
        <v>3</v>
      </c>
      <c r="P267" s="4" t="s">
        <v>4</v>
      </c>
      <c r="Q267" s="4" t="s">
        <v>5</v>
      </c>
      <c r="R267" s="4" t="s">
        <v>6</v>
      </c>
      <c r="S267" s="4" t="s">
        <v>7</v>
      </c>
      <c r="T267" s="5" t="s">
        <v>8</v>
      </c>
      <c r="U267" s="4" t="s">
        <v>9</v>
      </c>
      <c r="V267" s="6" t="s">
        <v>10</v>
      </c>
      <c r="W267" s="5" t="s">
        <v>11</v>
      </c>
      <c r="X267" s="7" t="s">
        <v>12</v>
      </c>
      <c r="Y267" s="162"/>
    </row>
    <row r="268" spans="1:25">
      <c r="A268" s="52" t="s">
        <v>17</v>
      </c>
      <c r="B268" s="55">
        <f>B262</f>
        <v>14</v>
      </c>
      <c r="C268" s="56">
        <f>C262</f>
        <v>18</v>
      </c>
      <c r="D268" s="56">
        <f t="shared" ref="D268:J268" si="90">D262</f>
        <v>9</v>
      </c>
      <c r="E268" s="56">
        <f t="shared" si="90"/>
        <v>15</v>
      </c>
      <c r="F268" s="56">
        <f t="shared" si="90"/>
        <v>11</v>
      </c>
      <c r="G268" s="56">
        <f t="shared" si="90"/>
        <v>11</v>
      </c>
      <c r="H268" s="56">
        <f t="shared" si="90"/>
        <v>12</v>
      </c>
      <c r="I268" s="56">
        <f t="shared" si="90"/>
        <v>10</v>
      </c>
      <c r="J268" s="56">
        <f t="shared" si="90"/>
        <v>8</v>
      </c>
      <c r="K268" s="53">
        <f t="shared" ref="K268:K270" si="91">SUM(B268:J268)</f>
        <v>108</v>
      </c>
      <c r="L268" s="54"/>
      <c r="N268" s="52" t="s">
        <v>17</v>
      </c>
      <c r="O268" s="55">
        <f t="shared" ref="O268:W268" si="92">O262</f>
        <v>158</v>
      </c>
      <c r="P268" s="56">
        <f t="shared" si="92"/>
        <v>229</v>
      </c>
      <c r="Q268" s="56">
        <f t="shared" si="92"/>
        <v>142</v>
      </c>
      <c r="R268" s="56">
        <f t="shared" si="92"/>
        <v>297</v>
      </c>
      <c r="S268" s="56">
        <f t="shared" si="92"/>
        <v>299</v>
      </c>
      <c r="T268" s="56">
        <f t="shared" si="92"/>
        <v>205</v>
      </c>
      <c r="U268" s="56">
        <f t="shared" si="92"/>
        <v>71</v>
      </c>
      <c r="V268" s="56">
        <f t="shared" si="92"/>
        <v>201</v>
      </c>
      <c r="W268" s="56">
        <f t="shared" si="92"/>
        <v>165</v>
      </c>
      <c r="X268" s="53">
        <f t="shared" ref="X268:X274" si="93">SUM(O268:W268)</f>
        <v>1767</v>
      </c>
      <c r="Y268" s="54"/>
    </row>
    <row r="269" spans="1:25">
      <c r="A269" s="8" t="s">
        <v>141</v>
      </c>
      <c r="B269" s="9">
        <v>14</v>
      </c>
      <c r="C269" s="10"/>
      <c r="D269" s="10"/>
      <c r="E269" s="10">
        <v>10</v>
      </c>
      <c r="F269" s="10">
        <v>12</v>
      </c>
      <c r="G269" s="11"/>
      <c r="H269" s="11">
        <v>11</v>
      </c>
      <c r="I269" s="11"/>
      <c r="J269" s="11">
        <v>15</v>
      </c>
      <c r="K269" s="13">
        <f t="shared" si="91"/>
        <v>62</v>
      </c>
      <c r="L269" s="12">
        <v>42591</v>
      </c>
      <c r="N269" s="8" t="s">
        <v>14</v>
      </c>
      <c r="O269" s="9"/>
      <c r="P269" s="10"/>
      <c r="Q269" s="10"/>
      <c r="R269" s="10"/>
      <c r="S269" s="10"/>
      <c r="T269" s="11"/>
      <c r="U269" s="11"/>
      <c r="V269" s="11"/>
      <c r="W269" s="11"/>
      <c r="X269" s="13">
        <f t="shared" si="93"/>
        <v>0</v>
      </c>
      <c r="Y269" s="12"/>
    </row>
    <row r="270" spans="1:25">
      <c r="A270" s="8" t="s">
        <v>15</v>
      </c>
      <c r="B270" s="15"/>
      <c r="C270" s="16"/>
      <c r="D270" s="16"/>
      <c r="E270" s="16"/>
      <c r="F270" s="16"/>
      <c r="G270" s="17"/>
      <c r="H270" s="17"/>
      <c r="I270" s="17">
        <v>15</v>
      </c>
      <c r="J270" s="17"/>
      <c r="K270" s="18">
        <f t="shared" si="91"/>
        <v>15</v>
      </c>
      <c r="L270" s="19">
        <v>42600</v>
      </c>
      <c r="N270" s="8" t="s">
        <v>15</v>
      </c>
      <c r="O270" s="15"/>
      <c r="P270" s="16"/>
      <c r="Q270" s="16"/>
      <c r="R270" s="16"/>
      <c r="S270" s="16"/>
      <c r="T270" s="17"/>
      <c r="U270" s="17"/>
      <c r="V270" s="17"/>
      <c r="W270" s="17"/>
      <c r="X270" s="18">
        <f t="shared" si="93"/>
        <v>0</v>
      </c>
      <c r="Y270" s="19"/>
    </row>
    <row r="271" spans="1:25">
      <c r="A271" s="8" t="s">
        <v>118</v>
      </c>
      <c r="B271" s="67"/>
      <c r="C271" s="35">
        <v>2</v>
      </c>
      <c r="D271" s="35"/>
      <c r="E271" s="35"/>
      <c r="F271" s="35"/>
      <c r="G271" s="35"/>
      <c r="H271" s="35">
        <v>2</v>
      </c>
      <c r="I271" s="35">
        <v>3</v>
      </c>
      <c r="J271" s="69"/>
      <c r="K271" s="13">
        <f>SUM(B271:J271)</f>
        <v>7</v>
      </c>
      <c r="L271" s="22">
        <v>42599</v>
      </c>
      <c r="N271" s="8" t="s">
        <v>16</v>
      </c>
      <c r="O271" s="9"/>
      <c r="P271" s="10"/>
      <c r="Q271" s="10"/>
      <c r="R271" s="10"/>
      <c r="S271" s="10"/>
      <c r="T271" s="10"/>
      <c r="U271" s="10"/>
      <c r="V271" s="10"/>
      <c r="W271" s="21"/>
      <c r="X271" s="18">
        <f t="shared" si="93"/>
        <v>0</v>
      </c>
      <c r="Y271" s="22"/>
    </row>
    <row r="272" spans="1:25" ht="14.25" thickBot="1">
      <c r="A272" s="8" t="s">
        <v>153</v>
      </c>
      <c r="B272" s="70"/>
      <c r="C272" s="71">
        <v>1</v>
      </c>
      <c r="D272" s="71"/>
      <c r="E272" s="71"/>
      <c r="F272" s="71"/>
      <c r="G272" s="71"/>
      <c r="H272" s="71"/>
      <c r="I272" s="71"/>
      <c r="J272" s="72">
        <v>1</v>
      </c>
      <c r="K272" s="26">
        <f>SUM(B272:J272)</f>
        <v>2</v>
      </c>
      <c r="L272" s="73">
        <v>42612</v>
      </c>
      <c r="N272" s="8" t="s">
        <v>23</v>
      </c>
      <c r="O272" s="42"/>
      <c r="P272" s="43"/>
      <c r="Q272" s="43"/>
      <c r="R272" s="43"/>
      <c r="S272" s="43"/>
      <c r="T272" s="43"/>
      <c r="U272" s="43"/>
      <c r="V272" s="43"/>
      <c r="W272" s="44"/>
      <c r="X272" s="45">
        <f t="shared" si="93"/>
        <v>0</v>
      </c>
      <c r="Y272" s="19"/>
    </row>
    <row r="273" spans="1:25" ht="14.25" thickBot="1">
      <c r="A273" s="76" t="s">
        <v>18</v>
      </c>
      <c r="B273" s="77">
        <f>SUM(B268:B272)</f>
        <v>28</v>
      </c>
      <c r="C273" s="78">
        <f t="shared" ref="C273:J273" si="94">SUM(C268:C272)</f>
        <v>21</v>
      </c>
      <c r="D273" s="78">
        <f t="shared" si="94"/>
        <v>9</v>
      </c>
      <c r="E273" s="78">
        <f t="shared" si="94"/>
        <v>25</v>
      </c>
      <c r="F273" s="78">
        <f t="shared" si="94"/>
        <v>23</v>
      </c>
      <c r="G273" s="79">
        <f t="shared" si="94"/>
        <v>11</v>
      </c>
      <c r="H273" s="79">
        <f t="shared" si="94"/>
        <v>25</v>
      </c>
      <c r="I273" s="79">
        <f t="shared" si="94"/>
        <v>28</v>
      </c>
      <c r="J273" s="79">
        <f t="shared" si="94"/>
        <v>24</v>
      </c>
      <c r="K273" s="26">
        <f t="shared" ref="K273:K293" si="95">SUM(B273:J273)</f>
        <v>194</v>
      </c>
      <c r="L273" s="27"/>
      <c r="N273" s="2" t="s">
        <v>18</v>
      </c>
      <c r="O273" s="23">
        <f t="shared" ref="O273:W273" si="96">SUM(O268:O272)</f>
        <v>158</v>
      </c>
      <c r="P273" s="24">
        <f t="shared" si="96"/>
        <v>229</v>
      </c>
      <c r="Q273" s="24">
        <f t="shared" si="96"/>
        <v>142</v>
      </c>
      <c r="R273" s="24">
        <f t="shared" si="96"/>
        <v>297</v>
      </c>
      <c r="S273" s="24">
        <f t="shared" si="96"/>
        <v>299</v>
      </c>
      <c r="T273" s="25">
        <f t="shared" si="96"/>
        <v>205</v>
      </c>
      <c r="U273" s="25">
        <f t="shared" si="96"/>
        <v>71</v>
      </c>
      <c r="V273" s="25">
        <f t="shared" si="96"/>
        <v>201</v>
      </c>
      <c r="W273" s="25">
        <f t="shared" si="96"/>
        <v>165</v>
      </c>
      <c r="X273" s="26">
        <f t="shared" si="93"/>
        <v>1767</v>
      </c>
      <c r="Y273" s="27"/>
    </row>
    <row r="274" spans="1:25">
      <c r="A274" s="20" t="s">
        <v>83</v>
      </c>
      <c r="B274" s="29">
        <v>2</v>
      </c>
      <c r="C274" s="30">
        <v>-4</v>
      </c>
      <c r="D274" s="30"/>
      <c r="E274" s="30"/>
      <c r="F274" s="30"/>
      <c r="G274" s="32">
        <v>2</v>
      </c>
      <c r="H274" s="32"/>
      <c r="I274" s="32"/>
      <c r="J274" s="32"/>
      <c r="K274" s="34">
        <f t="shared" si="95"/>
        <v>0</v>
      </c>
      <c r="L274" s="19">
        <v>42594</v>
      </c>
      <c r="N274" s="28" t="s">
        <v>145</v>
      </c>
      <c r="O274" s="9"/>
      <c r="P274" s="10"/>
      <c r="Q274" s="10"/>
      <c r="R274" s="10"/>
      <c r="S274" s="10"/>
      <c r="T274" s="11"/>
      <c r="U274" s="11"/>
      <c r="V274" s="11">
        <v>15</v>
      </c>
      <c r="W274" s="11"/>
      <c r="X274" s="13">
        <f t="shared" si="93"/>
        <v>15</v>
      </c>
      <c r="Y274" s="12">
        <v>42600</v>
      </c>
    </row>
    <row r="275" spans="1:25">
      <c r="A275" s="20" t="s">
        <v>54</v>
      </c>
      <c r="B275" s="29">
        <v>10</v>
      </c>
      <c r="C275" s="30"/>
      <c r="D275" s="30"/>
      <c r="E275" s="30"/>
      <c r="F275" s="30"/>
      <c r="G275" s="32"/>
      <c r="H275" s="32"/>
      <c r="I275" s="32"/>
      <c r="J275" s="32"/>
      <c r="K275" s="34">
        <f t="shared" si="95"/>
        <v>10</v>
      </c>
      <c r="L275" s="22">
        <v>42599</v>
      </c>
      <c r="N275" s="28"/>
      <c r="O275" s="67"/>
      <c r="P275" s="35"/>
      <c r="Q275" s="35"/>
      <c r="R275" s="35"/>
      <c r="S275" s="35"/>
      <c r="T275" s="35"/>
      <c r="U275" s="35"/>
      <c r="V275" s="35"/>
      <c r="W275" s="68"/>
      <c r="X275" s="13">
        <f>SUM(O275:W275)</f>
        <v>0</v>
      </c>
      <c r="Y275" s="19"/>
    </row>
    <row r="276" spans="1:25">
      <c r="A276" s="20" t="s">
        <v>144</v>
      </c>
      <c r="B276" s="29">
        <v>1</v>
      </c>
      <c r="C276" s="30"/>
      <c r="D276" s="30"/>
      <c r="E276" s="30"/>
      <c r="F276" s="30"/>
      <c r="G276" s="32"/>
      <c r="H276" s="32">
        <v>1</v>
      </c>
      <c r="I276" s="32"/>
      <c r="J276" s="32"/>
      <c r="K276" s="34">
        <f t="shared" si="95"/>
        <v>2</v>
      </c>
      <c r="L276" s="22">
        <v>42593</v>
      </c>
      <c r="N276" s="28"/>
      <c r="O276" s="29"/>
      <c r="P276" s="30"/>
      <c r="Q276" s="30"/>
      <c r="R276" s="30"/>
      <c r="S276" s="30"/>
      <c r="T276" s="32"/>
      <c r="U276" s="32"/>
      <c r="V276" s="32"/>
      <c r="W276" s="32"/>
      <c r="X276" s="34">
        <f t="shared" ref="X276:X293" si="97">SUM(O276:W276)</f>
        <v>0</v>
      </c>
      <c r="Y276" s="22"/>
    </row>
    <row r="277" spans="1:25">
      <c r="A277" s="20" t="s">
        <v>27</v>
      </c>
      <c r="B277" s="29"/>
      <c r="C277" s="30"/>
      <c r="D277" s="30"/>
      <c r="E277" s="30"/>
      <c r="F277" s="30"/>
      <c r="G277" s="32"/>
      <c r="H277" s="32"/>
      <c r="I277" s="32"/>
      <c r="J277" s="32">
        <v>1</v>
      </c>
      <c r="K277" s="34">
        <f t="shared" si="95"/>
        <v>1</v>
      </c>
      <c r="L277" s="22">
        <v>42595</v>
      </c>
      <c r="N277" s="28"/>
      <c r="O277" s="29"/>
      <c r="P277" s="30"/>
      <c r="Q277" s="30"/>
      <c r="R277" s="30"/>
      <c r="S277" s="30"/>
      <c r="T277" s="32"/>
      <c r="U277" s="33"/>
      <c r="V277" s="32"/>
      <c r="W277" s="32"/>
      <c r="X277" s="34">
        <f t="shared" si="97"/>
        <v>0</v>
      </c>
      <c r="Y277" s="22"/>
    </row>
    <row r="278" spans="1:25">
      <c r="A278" s="20" t="s">
        <v>54</v>
      </c>
      <c r="B278" s="29"/>
      <c r="C278" s="30"/>
      <c r="D278" s="30"/>
      <c r="E278" s="30"/>
      <c r="F278" s="30"/>
      <c r="G278" s="32"/>
      <c r="H278" s="33"/>
      <c r="I278" s="32">
        <v>10</v>
      </c>
      <c r="J278" s="32"/>
      <c r="K278" s="34">
        <f t="shared" si="95"/>
        <v>10</v>
      </c>
      <c r="L278" s="22">
        <v>42601</v>
      </c>
      <c r="N278" s="20"/>
      <c r="O278" s="29"/>
      <c r="P278" s="30"/>
      <c r="Q278" s="30"/>
      <c r="R278" s="30"/>
      <c r="S278" s="30"/>
      <c r="T278" s="32"/>
      <c r="U278" s="32"/>
      <c r="V278" s="32"/>
      <c r="W278" s="32"/>
      <c r="X278" s="34">
        <f t="shared" si="97"/>
        <v>0</v>
      </c>
      <c r="Y278" s="22"/>
    </row>
    <row r="279" spans="1:25">
      <c r="A279" s="20" t="s">
        <v>27</v>
      </c>
      <c r="B279" s="29"/>
      <c r="C279" s="30"/>
      <c r="D279" s="30">
        <v>1</v>
      </c>
      <c r="E279" s="30"/>
      <c r="F279" s="30"/>
      <c r="G279" s="32">
        <v>1</v>
      </c>
      <c r="H279" s="33"/>
      <c r="I279" s="33"/>
      <c r="J279" s="33"/>
      <c r="K279" s="34">
        <f t="shared" si="95"/>
        <v>2</v>
      </c>
      <c r="L279" s="22">
        <v>42598</v>
      </c>
      <c r="N279" s="20"/>
      <c r="O279" s="29"/>
      <c r="P279" s="30"/>
      <c r="Q279" s="30"/>
      <c r="R279" s="30"/>
      <c r="S279" s="30"/>
      <c r="T279" s="32"/>
      <c r="U279" s="33"/>
      <c r="V279" s="33"/>
      <c r="W279" s="33"/>
      <c r="X279" s="34">
        <f t="shared" si="97"/>
        <v>0</v>
      </c>
      <c r="Y279" s="22"/>
    </row>
    <row r="280" spans="1:25">
      <c r="A280" s="20" t="s">
        <v>83</v>
      </c>
      <c r="B280" s="29"/>
      <c r="C280" s="30"/>
      <c r="D280" s="30">
        <v>-3</v>
      </c>
      <c r="E280" s="31"/>
      <c r="F280" s="31"/>
      <c r="G280" s="32"/>
      <c r="H280" s="33"/>
      <c r="I280" s="33">
        <v>3</v>
      </c>
      <c r="J280" s="33"/>
      <c r="K280" s="34">
        <f t="shared" si="95"/>
        <v>0</v>
      </c>
      <c r="L280" s="22">
        <v>42601</v>
      </c>
      <c r="N280" s="28"/>
      <c r="O280" s="29"/>
      <c r="P280" s="30"/>
      <c r="Q280" s="30"/>
      <c r="R280" s="31"/>
      <c r="S280" s="31"/>
      <c r="T280" s="32"/>
      <c r="U280" s="33"/>
      <c r="V280" s="33"/>
      <c r="W280" s="33"/>
      <c r="X280" s="34">
        <f t="shared" si="97"/>
        <v>0</v>
      </c>
      <c r="Y280" s="22"/>
    </row>
    <row r="281" spans="1:25">
      <c r="A281" s="20" t="s">
        <v>127</v>
      </c>
      <c r="B281" s="35"/>
      <c r="C281" s="31">
        <v>1</v>
      </c>
      <c r="D281" s="31"/>
      <c r="E281" s="31"/>
      <c r="F281" s="31"/>
      <c r="G281" s="33"/>
      <c r="H281" s="33"/>
      <c r="I281" s="33"/>
      <c r="J281" s="33"/>
      <c r="K281" s="34">
        <f t="shared" si="95"/>
        <v>1</v>
      </c>
      <c r="L281" s="22">
        <v>42602</v>
      </c>
      <c r="N281" s="28"/>
      <c r="O281" s="35"/>
      <c r="P281" s="31"/>
      <c r="Q281" s="31"/>
      <c r="R281" s="31"/>
      <c r="S281" s="31"/>
      <c r="T281" s="33"/>
      <c r="U281" s="33"/>
      <c r="V281" s="33"/>
      <c r="W281" s="33"/>
      <c r="X281" s="34">
        <f t="shared" si="97"/>
        <v>0</v>
      </c>
      <c r="Y281" s="22"/>
    </row>
    <row r="282" spans="1:25">
      <c r="A282" s="20" t="s">
        <v>27</v>
      </c>
      <c r="B282" s="35"/>
      <c r="C282" s="31"/>
      <c r="D282" s="31"/>
      <c r="E282" s="31"/>
      <c r="F282" s="31"/>
      <c r="G282" s="33">
        <v>2</v>
      </c>
      <c r="H282" s="33"/>
      <c r="I282" s="33"/>
      <c r="J282" s="33">
        <v>1</v>
      </c>
      <c r="K282" s="34">
        <f t="shared" si="95"/>
        <v>3</v>
      </c>
      <c r="L282" s="22">
        <v>42601</v>
      </c>
      <c r="N282" s="28"/>
      <c r="O282" s="35"/>
      <c r="P282" s="31"/>
      <c r="Q282" s="31"/>
      <c r="R282" s="31"/>
      <c r="S282" s="31"/>
      <c r="T282" s="33"/>
      <c r="U282" s="33"/>
      <c r="V282" s="33"/>
      <c r="W282" s="33"/>
      <c r="X282" s="34">
        <f t="shared" si="97"/>
        <v>0</v>
      </c>
      <c r="Y282" s="22"/>
    </row>
    <row r="283" spans="1:25">
      <c r="A283" s="20" t="s">
        <v>54</v>
      </c>
      <c r="B283" s="35"/>
      <c r="C283" s="31"/>
      <c r="D283" s="31"/>
      <c r="E283" s="31"/>
      <c r="F283" s="31">
        <v>10</v>
      </c>
      <c r="G283" s="33"/>
      <c r="H283" s="33"/>
      <c r="I283" s="33">
        <v>10</v>
      </c>
      <c r="J283" s="33"/>
      <c r="K283" s="34">
        <f t="shared" si="95"/>
        <v>20</v>
      </c>
      <c r="L283" s="22">
        <v>42607</v>
      </c>
      <c r="N283" s="28"/>
      <c r="O283" s="35"/>
      <c r="P283" s="31"/>
      <c r="Q283" s="31"/>
      <c r="R283" s="31"/>
      <c r="S283" s="31"/>
      <c r="T283" s="33"/>
      <c r="U283" s="33"/>
      <c r="V283" s="33"/>
      <c r="W283" s="33"/>
      <c r="X283" s="34">
        <f t="shared" si="97"/>
        <v>0</v>
      </c>
      <c r="Y283" s="22"/>
    </row>
    <row r="284" spans="1:25">
      <c r="A284" s="20" t="s">
        <v>27</v>
      </c>
      <c r="B284" s="29"/>
      <c r="C284" s="30"/>
      <c r="D284" s="30"/>
      <c r="E284" s="30"/>
      <c r="F284" s="30"/>
      <c r="G284" s="32"/>
      <c r="H284" s="32">
        <v>1</v>
      </c>
      <c r="I284" s="32"/>
      <c r="J284" s="32"/>
      <c r="K284" s="34">
        <f t="shared" si="95"/>
        <v>1</v>
      </c>
      <c r="L284" s="22">
        <v>42604</v>
      </c>
      <c r="N284" s="28"/>
      <c r="O284" s="29"/>
      <c r="P284" s="30"/>
      <c r="Q284" s="30"/>
      <c r="R284" s="30"/>
      <c r="S284" s="30"/>
      <c r="T284" s="32"/>
      <c r="U284" s="32"/>
      <c r="V284" s="32"/>
      <c r="W284" s="32"/>
      <c r="X284" s="34">
        <f t="shared" si="97"/>
        <v>0</v>
      </c>
      <c r="Y284" s="22"/>
    </row>
    <row r="285" spans="1:25">
      <c r="A285" s="20" t="s">
        <v>27</v>
      </c>
      <c r="B285" s="35"/>
      <c r="C285" s="31"/>
      <c r="D285" s="31"/>
      <c r="E285" s="31"/>
      <c r="F285" s="31"/>
      <c r="G285" s="33"/>
      <c r="H285" s="33">
        <v>1</v>
      </c>
      <c r="I285" s="33"/>
      <c r="J285" s="33"/>
      <c r="K285" s="34">
        <f t="shared" si="95"/>
        <v>1</v>
      </c>
      <c r="L285" s="22">
        <v>42605</v>
      </c>
      <c r="N285" s="28"/>
      <c r="O285" s="35"/>
      <c r="P285" s="31"/>
      <c r="Q285" s="31"/>
      <c r="R285" s="31"/>
      <c r="S285" s="31"/>
      <c r="T285" s="33"/>
      <c r="U285" s="33"/>
      <c r="V285" s="33"/>
      <c r="W285" s="33"/>
      <c r="X285" s="34">
        <f t="shared" si="97"/>
        <v>0</v>
      </c>
      <c r="Y285" s="22"/>
    </row>
    <row r="286" spans="1:25">
      <c r="A286" s="20" t="s">
        <v>27</v>
      </c>
      <c r="B286" s="29"/>
      <c r="C286" s="30"/>
      <c r="D286" s="30"/>
      <c r="E286" s="30"/>
      <c r="F286" s="30">
        <v>1</v>
      </c>
      <c r="G286" s="32"/>
      <c r="H286" s="33"/>
      <c r="I286" s="33"/>
      <c r="J286" s="33"/>
      <c r="K286" s="34">
        <f t="shared" si="95"/>
        <v>1</v>
      </c>
      <c r="L286" s="22">
        <v>42607</v>
      </c>
      <c r="N286" s="28"/>
      <c r="O286" s="29"/>
      <c r="P286" s="30"/>
      <c r="Q286" s="30"/>
      <c r="R286" s="30"/>
      <c r="S286" s="30"/>
      <c r="T286" s="32"/>
      <c r="U286" s="33"/>
      <c r="V286" s="33"/>
      <c r="W286" s="33"/>
      <c r="X286" s="34">
        <f t="shared" si="97"/>
        <v>0</v>
      </c>
      <c r="Y286" s="22"/>
    </row>
    <row r="287" spans="1:25">
      <c r="A287" s="20" t="s">
        <v>83</v>
      </c>
      <c r="B287" s="29"/>
      <c r="C287" s="30">
        <v>-2</v>
      </c>
      <c r="D287" s="30"/>
      <c r="E287" s="30">
        <v>2</v>
      </c>
      <c r="F287" s="30"/>
      <c r="G287" s="32"/>
      <c r="H287" s="32"/>
      <c r="I287" s="32"/>
      <c r="J287" s="32"/>
      <c r="K287" s="34">
        <f t="shared" si="95"/>
        <v>0</v>
      </c>
      <c r="L287" s="19">
        <v>42611</v>
      </c>
      <c r="N287" s="28"/>
      <c r="O287" s="35"/>
      <c r="P287" s="31"/>
      <c r="Q287" s="31"/>
      <c r="R287" s="31"/>
      <c r="S287" s="31"/>
      <c r="T287" s="33"/>
      <c r="U287" s="33"/>
      <c r="V287" s="33"/>
      <c r="W287" s="33"/>
      <c r="X287" s="34">
        <f t="shared" si="97"/>
        <v>0</v>
      </c>
      <c r="Y287" s="22"/>
    </row>
    <row r="288" spans="1:25">
      <c r="A288" s="20" t="s">
        <v>54</v>
      </c>
      <c r="B288" s="35"/>
      <c r="C288" s="31"/>
      <c r="D288" s="31"/>
      <c r="E288" s="31"/>
      <c r="F288" s="31"/>
      <c r="G288" s="33"/>
      <c r="H288" s="33">
        <v>10</v>
      </c>
      <c r="I288" s="33"/>
      <c r="J288" s="33"/>
      <c r="K288" s="34">
        <f t="shared" si="95"/>
        <v>10</v>
      </c>
      <c r="L288" s="22">
        <v>42613</v>
      </c>
      <c r="N288" s="28"/>
      <c r="O288" s="35"/>
      <c r="P288" s="31"/>
      <c r="Q288" s="31"/>
      <c r="R288" s="31"/>
      <c r="S288" s="31"/>
      <c r="T288" s="33"/>
      <c r="U288" s="33"/>
      <c r="V288" s="33"/>
      <c r="W288" s="33"/>
      <c r="X288" s="34">
        <f t="shared" si="97"/>
        <v>0</v>
      </c>
      <c r="Y288" s="22"/>
    </row>
    <row r="289" spans="1:26">
      <c r="A289" s="8" t="s">
        <v>27</v>
      </c>
      <c r="B289" s="29"/>
      <c r="C289" s="30">
        <v>1</v>
      </c>
      <c r="D289" s="30"/>
      <c r="E289" s="30"/>
      <c r="F289" s="30"/>
      <c r="G289" s="32"/>
      <c r="H289" s="32"/>
      <c r="I289" s="32"/>
      <c r="J289" s="32"/>
      <c r="K289" s="34">
        <f t="shared" si="95"/>
        <v>1</v>
      </c>
      <c r="L289" s="22">
        <v>42611</v>
      </c>
      <c r="N289" s="65"/>
      <c r="O289" s="29"/>
      <c r="P289" s="30"/>
      <c r="Q289" s="30"/>
      <c r="R289" s="30"/>
      <c r="S289" s="30"/>
      <c r="T289" s="32"/>
      <c r="U289" s="32"/>
      <c r="V289" s="32"/>
      <c r="W289" s="32"/>
      <c r="X289" s="34">
        <f t="shared" si="97"/>
        <v>0</v>
      </c>
      <c r="Y289" s="22"/>
    </row>
    <row r="290" spans="1:26">
      <c r="A290" s="8" t="s">
        <v>27</v>
      </c>
      <c r="B290" s="29"/>
      <c r="C290" s="30"/>
      <c r="D290" s="30"/>
      <c r="E290" s="30"/>
      <c r="F290" s="30">
        <v>1</v>
      </c>
      <c r="G290" s="32"/>
      <c r="H290" s="32"/>
      <c r="I290" s="32"/>
      <c r="J290" s="32"/>
      <c r="K290" s="34">
        <f t="shared" si="95"/>
        <v>1</v>
      </c>
      <c r="L290" s="19">
        <v>42613</v>
      </c>
      <c r="N290" s="28"/>
      <c r="O290" s="29"/>
      <c r="P290" s="30"/>
      <c r="Q290" s="30"/>
      <c r="R290" s="30"/>
      <c r="S290" s="30"/>
      <c r="T290" s="32"/>
      <c r="U290" s="32"/>
      <c r="V290" s="32"/>
      <c r="W290" s="32"/>
      <c r="X290" s="34">
        <f t="shared" si="97"/>
        <v>0</v>
      </c>
      <c r="Y290" s="19"/>
    </row>
    <row r="291" spans="1:26">
      <c r="A291" s="20"/>
      <c r="B291" s="29"/>
      <c r="C291" s="30"/>
      <c r="D291" s="30"/>
      <c r="E291" s="30"/>
      <c r="F291" s="30"/>
      <c r="G291" s="32"/>
      <c r="H291" s="32"/>
      <c r="I291" s="32"/>
      <c r="J291" s="32"/>
      <c r="K291" s="34">
        <f t="shared" si="95"/>
        <v>0</v>
      </c>
      <c r="L291" s="19"/>
      <c r="N291" s="65"/>
      <c r="O291" s="29"/>
      <c r="P291" s="30"/>
      <c r="Q291" s="30"/>
      <c r="R291" s="30"/>
      <c r="S291" s="30"/>
      <c r="T291" s="32"/>
      <c r="U291" s="32"/>
      <c r="V291" s="32"/>
      <c r="W291" s="32"/>
      <c r="X291" s="34">
        <f t="shared" si="97"/>
        <v>0</v>
      </c>
      <c r="Y291" s="19"/>
    </row>
    <row r="292" spans="1:26">
      <c r="A292" s="20"/>
      <c r="B292" s="29"/>
      <c r="C292" s="30"/>
      <c r="D292" s="30"/>
      <c r="E292" s="30"/>
      <c r="F292" s="30"/>
      <c r="G292" s="32"/>
      <c r="H292" s="32"/>
      <c r="I292" s="32"/>
      <c r="J292" s="32"/>
      <c r="K292" s="34">
        <f t="shared" si="95"/>
        <v>0</v>
      </c>
      <c r="L292" s="19"/>
      <c r="N292" s="65"/>
      <c r="O292" s="29"/>
      <c r="P292" s="30"/>
      <c r="Q292" s="30"/>
      <c r="R292" s="30"/>
      <c r="S292" s="30"/>
      <c r="T292" s="32"/>
      <c r="U292" s="32"/>
      <c r="V292" s="32"/>
      <c r="W292" s="32"/>
      <c r="X292" s="34">
        <f t="shared" si="97"/>
        <v>0</v>
      </c>
      <c r="Y292" s="19"/>
    </row>
    <row r="293" spans="1:26" ht="14.25" thickBot="1">
      <c r="A293" s="28" t="s">
        <v>154</v>
      </c>
      <c r="B293" s="29">
        <v>-1</v>
      </c>
      <c r="C293" s="30"/>
      <c r="D293" s="30"/>
      <c r="E293" s="31">
        <v>-1</v>
      </c>
      <c r="F293" s="31">
        <v>1</v>
      </c>
      <c r="G293" s="32"/>
      <c r="H293" s="33"/>
      <c r="I293" s="33"/>
      <c r="J293" s="33"/>
      <c r="K293" s="34">
        <f t="shared" si="95"/>
        <v>-1</v>
      </c>
      <c r="L293" s="36">
        <v>42613</v>
      </c>
      <c r="N293" s="65"/>
      <c r="O293" s="29"/>
      <c r="P293" s="30"/>
      <c r="Q293" s="30"/>
      <c r="R293" s="30"/>
      <c r="S293" s="30"/>
      <c r="T293" s="32"/>
      <c r="U293" s="32"/>
      <c r="V293" s="32"/>
      <c r="W293" s="32"/>
      <c r="X293" s="34">
        <f t="shared" si="97"/>
        <v>0</v>
      </c>
      <c r="Y293" s="22"/>
      <c r="Z293" s="74"/>
    </row>
    <row r="294" spans="1:26" ht="14.25" thickBot="1">
      <c r="A294" s="2" t="s">
        <v>19</v>
      </c>
      <c r="B294" s="23">
        <f t="shared" ref="B294:J294" si="98">SUM(B274:B293)</f>
        <v>12</v>
      </c>
      <c r="C294" s="24">
        <f t="shared" si="98"/>
        <v>-4</v>
      </c>
      <c r="D294" s="24">
        <f t="shared" si="98"/>
        <v>-2</v>
      </c>
      <c r="E294" s="24">
        <f t="shared" si="98"/>
        <v>1</v>
      </c>
      <c r="F294" s="24">
        <f t="shared" si="98"/>
        <v>13</v>
      </c>
      <c r="G294" s="25">
        <f t="shared" si="98"/>
        <v>5</v>
      </c>
      <c r="H294" s="25">
        <f t="shared" si="98"/>
        <v>13</v>
      </c>
      <c r="I294" s="25">
        <f t="shared" si="98"/>
        <v>23</v>
      </c>
      <c r="J294" s="25">
        <f t="shared" si="98"/>
        <v>2</v>
      </c>
      <c r="K294" s="37">
        <f>SUM(B294:J294)</f>
        <v>63</v>
      </c>
      <c r="L294" s="27"/>
      <c r="N294" s="2" t="s">
        <v>19</v>
      </c>
      <c r="O294" s="23">
        <f t="shared" ref="O294:W294" si="99">SUM(O274:O293)</f>
        <v>0</v>
      </c>
      <c r="P294" s="24">
        <f t="shared" si="99"/>
        <v>0</v>
      </c>
      <c r="Q294" s="24">
        <f t="shared" si="99"/>
        <v>0</v>
      </c>
      <c r="R294" s="24">
        <f t="shared" si="99"/>
        <v>0</v>
      </c>
      <c r="S294" s="24">
        <f t="shared" si="99"/>
        <v>0</v>
      </c>
      <c r="T294" s="25">
        <f t="shared" si="99"/>
        <v>0</v>
      </c>
      <c r="U294" s="25">
        <f t="shared" si="99"/>
        <v>0</v>
      </c>
      <c r="V294" s="25">
        <f t="shared" si="99"/>
        <v>15</v>
      </c>
      <c r="W294" s="25">
        <f t="shared" si="99"/>
        <v>0</v>
      </c>
      <c r="X294" s="37">
        <f>SUM(O294:W294)</f>
        <v>15</v>
      </c>
      <c r="Y294" s="27"/>
    </row>
    <row r="295" spans="1:26" ht="14.25" thickBot="1">
      <c r="A295" s="38" t="s">
        <v>17</v>
      </c>
      <c r="B295" s="39">
        <f>B273-B294</f>
        <v>16</v>
      </c>
      <c r="C295" s="39">
        <f t="shared" ref="C295:K295" si="100">C273-C294</f>
        <v>25</v>
      </c>
      <c r="D295" s="39">
        <f t="shared" si="100"/>
        <v>11</v>
      </c>
      <c r="E295" s="39">
        <f t="shared" si="100"/>
        <v>24</v>
      </c>
      <c r="F295" s="39">
        <f t="shared" si="100"/>
        <v>10</v>
      </c>
      <c r="G295" s="39">
        <f t="shared" si="100"/>
        <v>6</v>
      </c>
      <c r="H295" s="39">
        <f t="shared" si="100"/>
        <v>12</v>
      </c>
      <c r="I295" s="39">
        <f t="shared" si="100"/>
        <v>5</v>
      </c>
      <c r="J295" s="40">
        <f t="shared" si="100"/>
        <v>22</v>
      </c>
      <c r="K295" s="37">
        <f t="shared" si="100"/>
        <v>131</v>
      </c>
      <c r="L295" s="41"/>
      <c r="N295" s="38" t="s">
        <v>17</v>
      </c>
      <c r="O295" s="39">
        <f>O273-O294</f>
        <v>158</v>
      </c>
      <c r="P295" s="39">
        <f t="shared" ref="P295:X295" si="101">P273-P294</f>
        <v>229</v>
      </c>
      <c r="Q295" s="39">
        <f t="shared" si="101"/>
        <v>142</v>
      </c>
      <c r="R295" s="39">
        <f t="shared" si="101"/>
        <v>297</v>
      </c>
      <c r="S295" s="39">
        <f t="shared" si="101"/>
        <v>299</v>
      </c>
      <c r="T295" s="39">
        <f t="shared" si="101"/>
        <v>205</v>
      </c>
      <c r="U295" s="39">
        <f t="shared" si="101"/>
        <v>71</v>
      </c>
      <c r="V295" s="39">
        <f t="shared" si="101"/>
        <v>186</v>
      </c>
      <c r="W295" s="40">
        <f t="shared" si="101"/>
        <v>165</v>
      </c>
      <c r="X295" s="37">
        <f t="shared" si="101"/>
        <v>1752</v>
      </c>
      <c r="Y295" s="41"/>
    </row>
    <row r="298" spans="1:26" ht="19.5" thickBot="1">
      <c r="A298" s="1" t="s">
        <v>22</v>
      </c>
      <c r="N298" s="1" t="s">
        <v>21</v>
      </c>
    </row>
    <row r="299" spans="1:26" ht="19.5" thickBot="1">
      <c r="A299" s="2" t="s">
        <v>0</v>
      </c>
      <c r="B299" s="163" t="s">
        <v>20</v>
      </c>
      <c r="C299" s="164"/>
      <c r="D299" s="164"/>
      <c r="E299" s="164"/>
      <c r="F299" s="164"/>
      <c r="G299" s="164"/>
      <c r="H299" s="165"/>
      <c r="I299" s="165"/>
      <c r="J299" s="165"/>
      <c r="K299" s="166"/>
      <c r="L299" s="161" t="s">
        <v>1</v>
      </c>
      <c r="N299" s="2" t="s">
        <v>0</v>
      </c>
      <c r="O299" s="163" t="s">
        <v>20</v>
      </c>
      <c r="P299" s="164"/>
      <c r="Q299" s="164"/>
      <c r="R299" s="164"/>
      <c r="S299" s="164"/>
      <c r="T299" s="164"/>
      <c r="U299" s="165"/>
      <c r="V299" s="165"/>
      <c r="W299" s="165"/>
      <c r="X299" s="166"/>
      <c r="Y299" s="161" t="s">
        <v>1</v>
      </c>
    </row>
    <row r="300" spans="1:26" ht="14.25" thickBot="1">
      <c r="A300" s="2" t="s">
        <v>2</v>
      </c>
      <c r="B300" s="3" t="s">
        <v>3</v>
      </c>
      <c r="C300" s="4" t="s">
        <v>4</v>
      </c>
      <c r="D300" s="4" t="s">
        <v>5</v>
      </c>
      <c r="E300" s="4" t="s">
        <v>6</v>
      </c>
      <c r="F300" s="4" t="s">
        <v>7</v>
      </c>
      <c r="G300" s="5" t="s">
        <v>8</v>
      </c>
      <c r="H300" s="4" t="s">
        <v>9</v>
      </c>
      <c r="I300" s="6" t="s">
        <v>10</v>
      </c>
      <c r="J300" s="5" t="s">
        <v>11</v>
      </c>
      <c r="K300" s="7" t="s">
        <v>12</v>
      </c>
      <c r="L300" s="162"/>
      <c r="N300" s="2" t="s">
        <v>2</v>
      </c>
      <c r="O300" s="3" t="s">
        <v>3</v>
      </c>
      <c r="P300" s="4" t="s">
        <v>4</v>
      </c>
      <c r="Q300" s="4" t="s">
        <v>5</v>
      </c>
      <c r="R300" s="4" t="s">
        <v>6</v>
      </c>
      <c r="S300" s="4" t="s">
        <v>7</v>
      </c>
      <c r="T300" s="5" t="s">
        <v>8</v>
      </c>
      <c r="U300" s="4" t="s">
        <v>9</v>
      </c>
      <c r="V300" s="6" t="s">
        <v>10</v>
      </c>
      <c r="W300" s="5" t="s">
        <v>11</v>
      </c>
      <c r="X300" s="7" t="s">
        <v>12</v>
      </c>
      <c r="Y300" s="162"/>
    </row>
    <row r="301" spans="1:26">
      <c r="A301" s="52" t="s">
        <v>17</v>
      </c>
      <c r="B301" s="55">
        <f>B295</f>
        <v>16</v>
      </c>
      <c r="C301" s="56">
        <f>C295</f>
        <v>25</v>
      </c>
      <c r="D301" s="56">
        <f t="shared" ref="D301:J301" si="102">D295</f>
        <v>11</v>
      </c>
      <c r="E301" s="56">
        <f t="shared" si="102"/>
        <v>24</v>
      </c>
      <c r="F301" s="56">
        <f t="shared" si="102"/>
        <v>10</v>
      </c>
      <c r="G301" s="56">
        <f t="shared" si="102"/>
        <v>6</v>
      </c>
      <c r="H301" s="56">
        <f t="shared" si="102"/>
        <v>12</v>
      </c>
      <c r="I301" s="56">
        <f t="shared" si="102"/>
        <v>5</v>
      </c>
      <c r="J301" s="56">
        <f t="shared" si="102"/>
        <v>22</v>
      </c>
      <c r="K301" s="53">
        <f t="shared" ref="K301:K303" si="103">SUM(B301:J301)</f>
        <v>131</v>
      </c>
      <c r="L301" s="54"/>
      <c r="N301" s="52" t="s">
        <v>17</v>
      </c>
      <c r="O301" s="55">
        <f t="shared" ref="O301:W301" si="104">O295</f>
        <v>158</v>
      </c>
      <c r="P301" s="56">
        <f t="shared" si="104"/>
        <v>229</v>
      </c>
      <c r="Q301" s="56">
        <f t="shared" si="104"/>
        <v>142</v>
      </c>
      <c r="R301" s="56">
        <f t="shared" si="104"/>
        <v>297</v>
      </c>
      <c r="S301" s="56">
        <f t="shared" si="104"/>
        <v>299</v>
      </c>
      <c r="T301" s="56">
        <f t="shared" si="104"/>
        <v>205</v>
      </c>
      <c r="U301" s="56">
        <f t="shared" si="104"/>
        <v>71</v>
      </c>
      <c r="V301" s="56">
        <f t="shared" si="104"/>
        <v>186</v>
      </c>
      <c r="W301" s="56">
        <f t="shared" si="104"/>
        <v>165</v>
      </c>
      <c r="X301" s="53">
        <f t="shared" ref="X301:X307" si="105">SUM(O301:W301)</f>
        <v>1752</v>
      </c>
      <c r="Y301" s="54"/>
    </row>
    <row r="302" spans="1:26">
      <c r="A302" s="8" t="s">
        <v>117</v>
      </c>
      <c r="B302" s="9"/>
      <c r="C302" s="10"/>
      <c r="D302" s="10"/>
      <c r="E302" s="10"/>
      <c r="F302" s="10"/>
      <c r="G302" s="11">
        <v>2</v>
      </c>
      <c r="H302" s="11"/>
      <c r="I302" s="11"/>
      <c r="J302" s="11"/>
      <c r="K302" s="13">
        <f t="shared" si="103"/>
        <v>2</v>
      </c>
      <c r="L302" s="12">
        <v>42616</v>
      </c>
      <c r="N302" s="8" t="s">
        <v>14</v>
      </c>
      <c r="O302" s="9"/>
      <c r="P302" s="10"/>
      <c r="Q302" s="10"/>
      <c r="R302" s="10"/>
      <c r="S302" s="10"/>
      <c r="T302" s="11"/>
      <c r="U302" s="11"/>
      <c r="V302" s="11"/>
      <c r="W302" s="11"/>
      <c r="X302" s="13">
        <f t="shared" si="105"/>
        <v>0</v>
      </c>
      <c r="Y302" s="12"/>
    </row>
    <row r="303" spans="1:26">
      <c r="A303" s="8" t="s">
        <v>15</v>
      </c>
      <c r="B303" s="9"/>
      <c r="C303" s="10"/>
      <c r="D303" s="10"/>
      <c r="E303" s="10"/>
      <c r="F303" s="10">
        <v>20</v>
      </c>
      <c r="G303" s="11"/>
      <c r="H303" s="11"/>
      <c r="I303" s="11">
        <v>5</v>
      </c>
      <c r="J303" s="21"/>
      <c r="K303" s="13">
        <f t="shared" si="103"/>
        <v>25</v>
      </c>
      <c r="L303" s="19">
        <v>42622</v>
      </c>
      <c r="N303" s="8" t="s">
        <v>15</v>
      </c>
      <c r="O303" s="15"/>
      <c r="P303" s="16"/>
      <c r="Q303" s="16"/>
      <c r="R303" s="16"/>
      <c r="S303" s="16"/>
      <c r="T303" s="17"/>
      <c r="U303" s="17"/>
      <c r="V303" s="17"/>
      <c r="W303" s="17"/>
      <c r="X303" s="18">
        <f t="shared" si="105"/>
        <v>0</v>
      </c>
      <c r="Y303" s="19"/>
    </row>
    <row r="304" spans="1:26">
      <c r="A304" s="8" t="s">
        <v>16</v>
      </c>
      <c r="B304" s="67"/>
      <c r="C304" s="35"/>
      <c r="D304" s="35">
        <v>5</v>
      </c>
      <c r="E304" s="35">
        <v>10</v>
      </c>
      <c r="F304" s="35"/>
      <c r="G304" s="35">
        <v>5</v>
      </c>
      <c r="H304" s="35">
        <v>5</v>
      </c>
      <c r="I304" s="35">
        <v>5</v>
      </c>
      <c r="J304" s="68"/>
      <c r="K304" s="34">
        <f>SUM(B304:J304)</f>
        <v>30</v>
      </c>
      <c r="L304" s="73">
        <v>42627</v>
      </c>
      <c r="N304" s="8" t="s">
        <v>16</v>
      </c>
      <c r="O304" s="9"/>
      <c r="P304" s="10"/>
      <c r="Q304" s="10"/>
      <c r="R304" s="10"/>
      <c r="S304" s="10"/>
      <c r="T304" s="10"/>
      <c r="U304" s="10"/>
      <c r="V304" s="10"/>
      <c r="W304" s="21"/>
      <c r="X304" s="18">
        <f t="shared" si="105"/>
        <v>0</v>
      </c>
      <c r="Y304" s="22"/>
    </row>
    <row r="305" spans="1:25" ht="14.25" thickBot="1">
      <c r="A305" s="8" t="s">
        <v>23</v>
      </c>
      <c r="B305" s="70"/>
      <c r="C305" s="71"/>
      <c r="D305" s="71"/>
      <c r="E305" s="71">
        <v>15</v>
      </c>
      <c r="F305" s="71">
        <v>5</v>
      </c>
      <c r="G305" s="71"/>
      <c r="H305" s="71"/>
      <c r="I305" s="71"/>
      <c r="J305" s="72"/>
      <c r="K305" s="26">
        <f>SUM(B305:J305)</f>
        <v>20</v>
      </c>
      <c r="L305" s="73">
        <v>42628</v>
      </c>
      <c r="N305" s="8" t="s">
        <v>23</v>
      </c>
      <c r="O305" s="42"/>
      <c r="P305" s="43"/>
      <c r="Q305" s="43"/>
      <c r="R305" s="43"/>
      <c r="S305" s="43"/>
      <c r="T305" s="43"/>
      <c r="U305" s="43"/>
      <c r="V305" s="43"/>
      <c r="W305" s="44"/>
      <c r="X305" s="45">
        <f t="shared" si="105"/>
        <v>0</v>
      </c>
      <c r="Y305" s="19"/>
    </row>
    <row r="306" spans="1:25" ht="14.25" thickBot="1">
      <c r="A306" s="76" t="s">
        <v>18</v>
      </c>
      <c r="B306" s="77">
        <f>SUM(B301:B305)</f>
        <v>16</v>
      </c>
      <c r="C306" s="78">
        <f t="shared" ref="C306:J306" si="106">SUM(C301:C305)</f>
        <v>25</v>
      </c>
      <c r="D306" s="78">
        <f t="shared" si="106"/>
        <v>16</v>
      </c>
      <c r="E306" s="78">
        <f t="shared" si="106"/>
        <v>49</v>
      </c>
      <c r="F306" s="78">
        <f t="shared" si="106"/>
        <v>35</v>
      </c>
      <c r="G306" s="79">
        <f t="shared" si="106"/>
        <v>13</v>
      </c>
      <c r="H306" s="79">
        <f t="shared" si="106"/>
        <v>17</v>
      </c>
      <c r="I306" s="79">
        <f t="shared" si="106"/>
        <v>15</v>
      </c>
      <c r="J306" s="79">
        <f t="shared" si="106"/>
        <v>22</v>
      </c>
      <c r="K306" s="26">
        <f t="shared" ref="K306:K326" si="107">SUM(B306:J306)</f>
        <v>208</v>
      </c>
      <c r="L306" s="27"/>
      <c r="N306" s="2" t="s">
        <v>18</v>
      </c>
      <c r="O306" s="23">
        <f t="shared" ref="O306:W306" si="108">SUM(O301:O305)</f>
        <v>158</v>
      </c>
      <c r="P306" s="24">
        <f t="shared" si="108"/>
        <v>229</v>
      </c>
      <c r="Q306" s="24">
        <f t="shared" si="108"/>
        <v>142</v>
      </c>
      <c r="R306" s="24">
        <f t="shared" si="108"/>
        <v>297</v>
      </c>
      <c r="S306" s="24">
        <f t="shared" si="108"/>
        <v>299</v>
      </c>
      <c r="T306" s="25">
        <f t="shared" si="108"/>
        <v>205</v>
      </c>
      <c r="U306" s="25">
        <f t="shared" si="108"/>
        <v>71</v>
      </c>
      <c r="V306" s="25">
        <f t="shared" si="108"/>
        <v>186</v>
      </c>
      <c r="W306" s="25">
        <f t="shared" si="108"/>
        <v>165</v>
      </c>
      <c r="X306" s="26">
        <f t="shared" si="105"/>
        <v>1752</v>
      </c>
      <c r="Y306" s="27"/>
    </row>
    <row r="307" spans="1:25">
      <c r="A307" s="8" t="s">
        <v>27</v>
      </c>
      <c r="B307" s="29"/>
      <c r="C307" s="30"/>
      <c r="D307" s="30"/>
      <c r="E307" s="30"/>
      <c r="F307" s="30">
        <v>2</v>
      </c>
      <c r="G307" s="32"/>
      <c r="H307" s="32"/>
      <c r="I307" s="32"/>
      <c r="J307" s="32"/>
      <c r="K307" s="34">
        <f t="shared" si="107"/>
        <v>2</v>
      </c>
      <c r="L307" s="19">
        <v>42615</v>
      </c>
      <c r="N307" s="28" t="s">
        <v>145</v>
      </c>
      <c r="O307" s="9"/>
      <c r="P307" s="10"/>
      <c r="Q307" s="10"/>
      <c r="R307" s="10"/>
      <c r="S307" s="10">
        <v>20</v>
      </c>
      <c r="T307" s="11"/>
      <c r="U307" s="11"/>
      <c r="V307" s="11">
        <v>5</v>
      </c>
      <c r="W307" s="11"/>
      <c r="X307" s="13">
        <f t="shared" si="105"/>
        <v>25</v>
      </c>
      <c r="Y307" s="12">
        <v>42622</v>
      </c>
    </row>
    <row r="308" spans="1:25">
      <c r="A308" s="20" t="s">
        <v>83</v>
      </c>
      <c r="B308" s="29"/>
      <c r="C308" s="30">
        <v>-2</v>
      </c>
      <c r="D308" s="30"/>
      <c r="E308" s="30"/>
      <c r="F308" s="30"/>
      <c r="G308" s="32"/>
      <c r="H308" s="32"/>
      <c r="I308" s="32"/>
      <c r="J308" s="32">
        <v>2</v>
      </c>
      <c r="K308" s="34">
        <f t="shared" si="107"/>
        <v>0</v>
      </c>
      <c r="L308" s="22">
        <v>42616</v>
      </c>
      <c r="N308" s="28" t="s">
        <v>145</v>
      </c>
      <c r="O308" s="67"/>
      <c r="P308" s="35"/>
      <c r="Q308" s="35">
        <v>5</v>
      </c>
      <c r="R308" s="35">
        <v>10</v>
      </c>
      <c r="S308" s="35"/>
      <c r="T308" s="35">
        <v>5</v>
      </c>
      <c r="U308" s="35">
        <v>5</v>
      </c>
      <c r="V308" s="35">
        <v>5</v>
      </c>
      <c r="W308" s="68"/>
      <c r="X308" s="13">
        <f>SUM(O308:W308)</f>
        <v>30</v>
      </c>
      <c r="Y308" s="19">
        <v>42627</v>
      </c>
    </row>
    <row r="309" spans="1:25">
      <c r="A309" s="75" t="s">
        <v>156</v>
      </c>
      <c r="B309" s="29"/>
      <c r="C309" s="30">
        <v>1</v>
      </c>
      <c r="D309" s="30"/>
      <c r="E309" s="30"/>
      <c r="F309" s="30"/>
      <c r="G309" s="32"/>
      <c r="H309" s="32"/>
      <c r="I309" s="32"/>
      <c r="J309" s="32"/>
      <c r="K309" s="34">
        <f t="shared" si="107"/>
        <v>1</v>
      </c>
      <c r="L309" s="22">
        <v>42616</v>
      </c>
      <c r="N309" s="28" t="s">
        <v>145</v>
      </c>
      <c r="O309" s="29"/>
      <c r="P309" s="30"/>
      <c r="Q309" s="30"/>
      <c r="R309" s="30">
        <v>15</v>
      </c>
      <c r="S309" s="30">
        <v>5</v>
      </c>
      <c r="T309" s="32"/>
      <c r="U309" s="32"/>
      <c r="V309" s="32"/>
      <c r="W309" s="32"/>
      <c r="X309" s="34">
        <f t="shared" ref="X309:X326" si="109">SUM(O309:W309)</f>
        <v>20</v>
      </c>
      <c r="Y309" s="22">
        <v>42628</v>
      </c>
    </row>
    <row r="310" spans="1:25">
      <c r="A310" s="28" t="s">
        <v>24</v>
      </c>
      <c r="B310" s="29"/>
      <c r="C310" s="30"/>
      <c r="D310" s="30"/>
      <c r="E310" s="30"/>
      <c r="F310" s="30"/>
      <c r="G310" s="32"/>
      <c r="H310" s="32">
        <v>1</v>
      </c>
      <c r="I310" s="32"/>
      <c r="J310" s="32"/>
      <c r="K310" s="34">
        <f t="shared" si="107"/>
        <v>1</v>
      </c>
      <c r="L310" s="22">
        <v>42619</v>
      </c>
      <c r="N310" s="28" t="s">
        <v>24</v>
      </c>
      <c r="O310" s="29"/>
      <c r="P310" s="30"/>
      <c r="Q310" s="30"/>
      <c r="R310" s="30">
        <v>112</v>
      </c>
      <c r="S310" s="30">
        <v>150</v>
      </c>
      <c r="T310" s="32"/>
      <c r="U310" s="33"/>
      <c r="V310" s="32"/>
      <c r="W310" s="32"/>
      <c r="X310" s="34">
        <f t="shared" si="109"/>
        <v>262</v>
      </c>
      <c r="Y310" s="22">
        <v>42632</v>
      </c>
    </row>
    <row r="311" spans="1:25">
      <c r="A311" s="20" t="s">
        <v>27</v>
      </c>
      <c r="B311" s="29"/>
      <c r="C311" s="30"/>
      <c r="D311" s="30"/>
      <c r="E311" s="30"/>
      <c r="F311" s="30">
        <v>1</v>
      </c>
      <c r="G311" s="32"/>
      <c r="H311" s="33"/>
      <c r="I311" s="32"/>
      <c r="J311" s="32"/>
      <c r="K311" s="34">
        <f t="shared" si="107"/>
        <v>1</v>
      </c>
      <c r="L311" s="22">
        <v>42618</v>
      </c>
      <c r="N311" s="20"/>
      <c r="O311" s="29"/>
      <c r="P311" s="30"/>
      <c r="Q311" s="30"/>
      <c r="R311" s="30"/>
      <c r="S311" s="30"/>
      <c r="T311" s="32"/>
      <c r="U311" s="32"/>
      <c r="V311" s="32"/>
      <c r="W311" s="32"/>
      <c r="X311" s="34">
        <f t="shared" si="109"/>
        <v>0</v>
      </c>
      <c r="Y311" s="22"/>
    </row>
    <row r="312" spans="1:25">
      <c r="A312" s="20" t="s">
        <v>83</v>
      </c>
      <c r="B312" s="29"/>
      <c r="C312" s="30">
        <v>-2</v>
      </c>
      <c r="D312" s="30"/>
      <c r="E312" s="30"/>
      <c r="F312" s="30"/>
      <c r="G312" s="32">
        <v>2</v>
      </c>
      <c r="H312" s="33"/>
      <c r="I312" s="33"/>
      <c r="J312" s="33"/>
      <c r="K312" s="34">
        <f t="shared" si="107"/>
        <v>0</v>
      </c>
      <c r="L312" s="22">
        <v>42620</v>
      </c>
      <c r="N312" s="20"/>
      <c r="O312" s="29"/>
      <c r="P312" s="30"/>
      <c r="Q312" s="30"/>
      <c r="R312" s="30"/>
      <c r="S312" s="30"/>
      <c r="T312" s="32"/>
      <c r="U312" s="33"/>
      <c r="V312" s="33"/>
      <c r="W312" s="33"/>
      <c r="X312" s="34">
        <f t="shared" si="109"/>
        <v>0</v>
      </c>
      <c r="Y312" s="22"/>
    </row>
    <row r="313" spans="1:25">
      <c r="A313" s="20" t="s">
        <v>24</v>
      </c>
      <c r="B313" s="29"/>
      <c r="C313" s="30"/>
      <c r="D313" s="30"/>
      <c r="E313" s="31">
        <v>11</v>
      </c>
      <c r="F313" s="31">
        <v>2</v>
      </c>
      <c r="G313" s="32"/>
      <c r="H313" s="33">
        <v>6</v>
      </c>
      <c r="I313" s="33">
        <v>5</v>
      </c>
      <c r="J313" s="33"/>
      <c r="K313" s="34">
        <f t="shared" si="107"/>
        <v>24</v>
      </c>
      <c r="L313" s="22">
        <v>42620</v>
      </c>
      <c r="N313" s="28"/>
      <c r="O313" s="29"/>
      <c r="P313" s="30"/>
      <c r="Q313" s="30"/>
      <c r="R313" s="31"/>
      <c r="S313" s="31"/>
      <c r="T313" s="32"/>
      <c r="U313" s="33"/>
      <c r="V313" s="33"/>
      <c r="W313" s="33"/>
      <c r="X313" s="34">
        <f t="shared" si="109"/>
        <v>0</v>
      </c>
      <c r="Y313" s="22"/>
    </row>
    <row r="314" spans="1:25">
      <c r="A314" s="20" t="s">
        <v>27</v>
      </c>
      <c r="B314" s="35"/>
      <c r="C314" s="31"/>
      <c r="D314" s="31"/>
      <c r="E314" s="31">
        <v>1</v>
      </c>
      <c r="F314" s="31">
        <v>1</v>
      </c>
      <c r="G314" s="33"/>
      <c r="H314" s="33"/>
      <c r="I314" s="33"/>
      <c r="J314" s="33"/>
      <c r="K314" s="34">
        <f t="shared" si="107"/>
        <v>2</v>
      </c>
      <c r="L314" s="22">
        <v>42619</v>
      </c>
      <c r="N314" s="28"/>
      <c r="O314" s="35"/>
      <c r="P314" s="31"/>
      <c r="Q314" s="31"/>
      <c r="R314" s="31"/>
      <c r="S314" s="31"/>
      <c r="T314" s="33"/>
      <c r="U314" s="33"/>
      <c r="V314" s="33"/>
      <c r="W314" s="33"/>
      <c r="X314" s="34">
        <f t="shared" si="109"/>
        <v>0</v>
      </c>
      <c r="Y314" s="22"/>
    </row>
    <row r="315" spans="1:25">
      <c r="A315" s="20" t="s">
        <v>116</v>
      </c>
      <c r="B315" s="35">
        <v>1</v>
      </c>
      <c r="C315" s="31"/>
      <c r="D315" s="31"/>
      <c r="E315" s="31"/>
      <c r="F315" s="31"/>
      <c r="G315" s="33"/>
      <c r="H315" s="33"/>
      <c r="I315" s="33"/>
      <c r="J315" s="33"/>
      <c r="K315" s="34">
        <f t="shared" si="107"/>
        <v>1</v>
      </c>
      <c r="L315" s="22">
        <v>42621</v>
      </c>
      <c r="N315" s="28"/>
      <c r="O315" s="35"/>
      <c r="P315" s="31"/>
      <c r="Q315" s="31"/>
      <c r="R315" s="31"/>
      <c r="S315" s="31"/>
      <c r="T315" s="33"/>
      <c r="U315" s="33"/>
      <c r="V315" s="33"/>
      <c r="W315" s="33"/>
      <c r="X315" s="34">
        <f t="shared" si="109"/>
        <v>0</v>
      </c>
      <c r="Y315" s="22"/>
    </row>
    <row r="316" spans="1:25">
      <c r="A316" s="20" t="s">
        <v>54</v>
      </c>
      <c r="B316" s="35"/>
      <c r="C316" s="31"/>
      <c r="D316" s="31">
        <v>5</v>
      </c>
      <c r="E316" s="31"/>
      <c r="F316" s="31"/>
      <c r="G316" s="33"/>
      <c r="H316" s="33"/>
      <c r="I316" s="33"/>
      <c r="J316" s="33"/>
      <c r="K316" s="34">
        <f t="shared" si="107"/>
        <v>5</v>
      </c>
      <c r="L316" s="22">
        <v>42625</v>
      </c>
      <c r="N316" s="28"/>
      <c r="O316" s="35"/>
      <c r="P316" s="31"/>
      <c r="Q316" s="31"/>
      <c r="R316" s="31"/>
      <c r="S316" s="31"/>
      <c r="T316" s="33"/>
      <c r="U316" s="33"/>
      <c r="V316" s="33"/>
      <c r="W316" s="33"/>
      <c r="X316" s="34">
        <f t="shared" si="109"/>
        <v>0</v>
      </c>
      <c r="Y316" s="22"/>
    </row>
    <row r="317" spans="1:25">
      <c r="A317" s="20" t="s">
        <v>27</v>
      </c>
      <c r="B317" s="29"/>
      <c r="C317" s="30"/>
      <c r="D317" s="30"/>
      <c r="E317" s="30">
        <v>1</v>
      </c>
      <c r="F317" s="30"/>
      <c r="G317" s="32"/>
      <c r="H317" s="32"/>
      <c r="I317" s="32"/>
      <c r="J317" s="32"/>
      <c r="K317" s="34">
        <f t="shared" si="107"/>
        <v>1</v>
      </c>
      <c r="L317" s="22">
        <v>42620</v>
      </c>
      <c r="N317" s="28"/>
      <c r="O317" s="29"/>
      <c r="P317" s="30"/>
      <c r="Q317" s="30"/>
      <c r="R317" s="30"/>
      <c r="S317" s="30"/>
      <c r="T317" s="32"/>
      <c r="U317" s="32"/>
      <c r="V317" s="32"/>
      <c r="W317" s="32"/>
      <c r="X317" s="34">
        <f t="shared" si="109"/>
        <v>0</v>
      </c>
      <c r="Y317" s="22"/>
    </row>
    <row r="318" spans="1:25">
      <c r="A318" s="20" t="s">
        <v>24</v>
      </c>
      <c r="B318" s="35"/>
      <c r="C318" s="31"/>
      <c r="D318" s="31"/>
      <c r="E318" s="31"/>
      <c r="F318" s="31">
        <v>15</v>
      </c>
      <c r="G318" s="33"/>
      <c r="H318" s="33"/>
      <c r="I318" s="33">
        <v>1</v>
      </c>
      <c r="J318" s="33"/>
      <c r="K318" s="34">
        <f t="shared" si="107"/>
        <v>16</v>
      </c>
      <c r="L318" s="22">
        <v>42623</v>
      </c>
      <c r="N318" s="28"/>
      <c r="O318" s="35"/>
      <c r="P318" s="31"/>
      <c r="Q318" s="31"/>
      <c r="R318" s="31"/>
      <c r="S318" s="31"/>
      <c r="T318" s="33"/>
      <c r="U318" s="33"/>
      <c r="V318" s="33"/>
      <c r="W318" s="33"/>
      <c r="X318" s="34">
        <f t="shared" si="109"/>
        <v>0</v>
      </c>
      <c r="Y318" s="22"/>
    </row>
    <row r="319" spans="1:25">
      <c r="A319" s="20" t="s">
        <v>83</v>
      </c>
      <c r="B319" s="29"/>
      <c r="C319" s="30">
        <v>-2</v>
      </c>
      <c r="D319" s="30"/>
      <c r="E319" s="30"/>
      <c r="F319" s="30"/>
      <c r="G319" s="32"/>
      <c r="H319" s="33">
        <v>2</v>
      </c>
      <c r="I319" s="33"/>
      <c r="J319" s="33"/>
      <c r="K319" s="34">
        <f t="shared" si="107"/>
        <v>0</v>
      </c>
      <c r="L319" s="22">
        <v>42625</v>
      </c>
      <c r="N319" s="28"/>
      <c r="O319" s="29"/>
      <c r="P319" s="30"/>
      <c r="Q319" s="30"/>
      <c r="R319" s="30"/>
      <c r="S319" s="30"/>
      <c r="T319" s="32"/>
      <c r="U319" s="33"/>
      <c r="V319" s="33"/>
      <c r="W319" s="33"/>
      <c r="X319" s="34">
        <f t="shared" si="109"/>
        <v>0</v>
      </c>
      <c r="Y319" s="22"/>
    </row>
    <row r="320" spans="1:25">
      <c r="A320" s="20" t="s">
        <v>27</v>
      </c>
      <c r="B320" s="29"/>
      <c r="C320" s="30"/>
      <c r="D320" s="30"/>
      <c r="E320" s="30">
        <v>1</v>
      </c>
      <c r="F320" s="30"/>
      <c r="G320" s="32"/>
      <c r="H320" s="32"/>
      <c r="I320" s="32"/>
      <c r="J320" s="32"/>
      <c r="K320" s="34">
        <f t="shared" si="107"/>
        <v>1</v>
      </c>
      <c r="L320" s="19">
        <v>42622</v>
      </c>
      <c r="N320" s="28"/>
      <c r="O320" s="35"/>
      <c r="P320" s="31"/>
      <c r="Q320" s="31"/>
      <c r="R320" s="31"/>
      <c r="S320" s="31"/>
      <c r="T320" s="33"/>
      <c r="U320" s="33"/>
      <c r="V320" s="33"/>
      <c r="W320" s="33"/>
      <c r="X320" s="34">
        <f t="shared" si="109"/>
        <v>0</v>
      </c>
      <c r="Y320" s="22"/>
    </row>
    <row r="321" spans="1:25">
      <c r="A321" s="20" t="s">
        <v>24</v>
      </c>
      <c r="B321" s="35"/>
      <c r="C321" s="31"/>
      <c r="D321" s="31"/>
      <c r="E321" s="31">
        <v>4</v>
      </c>
      <c r="F321" s="31"/>
      <c r="G321" s="33"/>
      <c r="H321" s="33"/>
      <c r="I321" s="33"/>
      <c r="J321" s="33"/>
      <c r="K321" s="34">
        <f t="shared" si="107"/>
        <v>4</v>
      </c>
      <c r="L321" s="22">
        <v>42626</v>
      </c>
      <c r="N321" s="28"/>
      <c r="O321" s="35"/>
      <c r="P321" s="31"/>
      <c r="Q321" s="31"/>
      <c r="R321" s="31"/>
      <c r="S321" s="31"/>
      <c r="T321" s="33"/>
      <c r="U321" s="33"/>
      <c r="V321" s="33"/>
      <c r="W321" s="33"/>
      <c r="X321" s="34">
        <f t="shared" si="109"/>
        <v>0</v>
      </c>
      <c r="Y321" s="22"/>
    </row>
    <row r="322" spans="1:25">
      <c r="A322" s="8" t="s">
        <v>27</v>
      </c>
      <c r="B322" s="29"/>
      <c r="C322" s="30"/>
      <c r="D322" s="30"/>
      <c r="E322" s="30">
        <v>3</v>
      </c>
      <c r="F322" s="30"/>
      <c r="G322" s="32">
        <v>1</v>
      </c>
      <c r="H322" s="32"/>
      <c r="I322" s="32"/>
      <c r="J322" s="32"/>
      <c r="K322" s="34">
        <f t="shared" si="107"/>
        <v>4</v>
      </c>
      <c r="L322" s="22">
        <v>42625</v>
      </c>
      <c r="N322" s="65"/>
      <c r="O322" s="29"/>
      <c r="P322" s="30"/>
      <c r="Q322" s="30"/>
      <c r="R322" s="30"/>
      <c r="S322" s="30"/>
      <c r="T322" s="32"/>
      <c r="U322" s="32"/>
      <c r="V322" s="32"/>
      <c r="W322" s="32"/>
      <c r="X322" s="34">
        <f t="shared" si="109"/>
        <v>0</v>
      </c>
      <c r="Y322" s="22"/>
    </row>
    <row r="323" spans="1:25">
      <c r="A323" s="20" t="s">
        <v>54</v>
      </c>
      <c r="B323" s="29"/>
      <c r="C323" s="30"/>
      <c r="D323" s="30"/>
      <c r="E323" s="30">
        <v>10</v>
      </c>
      <c r="F323" s="30"/>
      <c r="G323" s="32"/>
      <c r="H323" s="32"/>
      <c r="I323" s="32"/>
      <c r="J323" s="32"/>
      <c r="K323" s="34">
        <f t="shared" si="107"/>
        <v>10</v>
      </c>
      <c r="L323" s="19">
        <v>42628</v>
      </c>
      <c r="N323" s="28"/>
      <c r="O323" s="29"/>
      <c r="P323" s="30"/>
      <c r="Q323" s="30"/>
      <c r="R323" s="30"/>
      <c r="S323" s="30"/>
      <c r="T323" s="32"/>
      <c r="U323" s="32"/>
      <c r="V323" s="32"/>
      <c r="W323" s="32"/>
      <c r="X323" s="34">
        <f t="shared" si="109"/>
        <v>0</v>
      </c>
      <c r="Y323" s="19"/>
    </row>
    <row r="324" spans="1:25">
      <c r="A324" s="8" t="s">
        <v>118</v>
      </c>
      <c r="B324" s="29"/>
      <c r="C324" s="30"/>
      <c r="D324" s="30"/>
      <c r="E324" s="30"/>
      <c r="F324" s="30"/>
      <c r="G324" s="32"/>
      <c r="H324" s="32">
        <v>-1</v>
      </c>
      <c r="I324" s="32"/>
      <c r="J324" s="32"/>
      <c r="K324" s="34">
        <f t="shared" si="107"/>
        <v>-1</v>
      </c>
      <c r="L324" s="19">
        <v>42627</v>
      </c>
      <c r="N324" s="65"/>
      <c r="O324" s="29"/>
      <c r="P324" s="30"/>
      <c r="Q324" s="30"/>
      <c r="R324" s="30"/>
      <c r="S324" s="30"/>
      <c r="T324" s="32"/>
      <c r="U324" s="32"/>
      <c r="V324" s="32"/>
      <c r="W324" s="32"/>
      <c r="X324" s="34">
        <f t="shared" si="109"/>
        <v>0</v>
      </c>
      <c r="Y324" s="19"/>
    </row>
    <row r="325" spans="1:25">
      <c r="A325" s="28" t="s">
        <v>24</v>
      </c>
      <c r="B325" s="29"/>
      <c r="C325" s="30"/>
      <c r="D325" s="30"/>
      <c r="E325" s="30">
        <v>3</v>
      </c>
      <c r="F325" s="30">
        <v>2</v>
      </c>
      <c r="G325" s="32"/>
      <c r="H325" s="32"/>
      <c r="I325" s="32"/>
      <c r="J325" s="32"/>
      <c r="K325" s="34">
        <f t="shared" si="107"/>
        <v>5</v>
      </c>
      <c r="L325" s="19">
        <v>42628</v>
      </c>
      <c r="N325" s="65"/>
      <c r="O325" s="29"/>
      <c r="P325" s="30"/>
      <c r="Q325" s="30"/>
      <c r="R325" s="30"/>
      <c r="S325" s="30"/>
      <c r="T325" s="32"/>
      <c r="U325" s="32"/>
      <c r="V325" s="32"/>
      <c r="W325" s="32"/>
      <c r="X325" s="34">
        <f t="shared" si="109"/>
        <v>0</v>
      </c>
      <c r="Y325" s="19"/>
    </row>
    <row r="326" spans="1:25" ht="14.25" thickBot="1">
      <c r="A326" s="28" t="s">
        <v>24</v>
      </c>
      <c r="B326" s="29"/>
      <c r="C326" s="30"/>
      <c r="D326" s="30"/>
      <c r="E326" s="31">
        <v>1</v>
      </c>
      <c r="F326" s="31"/>
      <c r="G326" s="32"/>
      <c r="H326" s="33"/>
      <c r="I326" s="33"/>
      <c r="J326" s="33"/>
      <c r="K326" s="34">
        <f t="shared" si="107"/>
        <v>1</v>
      </c>
      <c r="L326" s="36">
        <v>42630</v>
      </c>
      <c r="N326" s="65"/>
      <c r="O326" s="29"/>
      <c r="P326" s="30"/>
      <c r="Q326" s="30"/>
      <c r="R326" s="30"/>
      <c r="S326" s="30"/>
      <c r="T326" s="32"/>
      <c r="U326" s="32"/>
      <c r="V326" s="32"/>
      <c r="W326" s="32"/>
      <c r="X326" s="34">
        <f t="shared" si="109"/>
        <v>0</v>
      </c>
      <c r="Y326" s="22"/>
    </row>
    <row r="327" spans="1:25" ht="14.25" thickBot="1">
      <c r="A327" s="2" t="s">
        <v>19</v>
      </c>
      <c r="B327" s="23">
        <f t="shared" ref="B327:J327" si="110">SUM(B307:B326)</f>
        <v>1</v>
      </c>
      <c r="C327" s="24">
        <f t="shared" si="110"/>
        <v>-5</v>
      </c>
      <c r="D327" s="24">
        <f t="shared" si="110"/>
        <v>5</v>
      </c>
      <c r="E327" s="24">
        <f t="shared" si="110"/>
        <v>35</v>
      </c>
      <c r="F327" s="24">
        <f t="shared" si="110"/>
        <v>23</v>
      </c>
      <c r="G327" s="25">
        <f t="shared" si="110"/>
        <v>3</v>
      </c>
      <c r="H327" s="25">
        <f t="shared" si="110"/>
        <v>8</v>
      </c>
      <c r="I327" s="25">
        <f t="shared" si="110"/>
        <v>6</v>
      </c>
      <c r="J327" s="25">
        <f t="shared" si="110"/>
        <v>2</v>
      </c>
      <c r="K327" s="37">
        <f>SUM(B327:J327)</f>
        <v>78</v>
      </c>
      <c r="L327" s="27"/>
      <c r="N327" s="2" t="s">
        <v>19</v>
      </c>
      <c r="O327" s="23">
        <f t="shared" ref="O327:W327" si="111">SUM(O307:O326)</f>
        <v>0</v>
      </c>
      <c r="P327" s="24">
        <f t="shared" si="111"/>
        <v>0</v>
      </c>
      <c r="Q327" s="24">
        <f t="shared" si="111"/>
        <v>5</v>
      </c>
      <c r="R327" s="24">
        <f t="shared" si="111"/>
        <v>137</v>
      </c>
      <c r="S327" s="24">
        <f t="shared" si="111"/>
        <v>175</v>
      </c>
      <c r="T327" s="25">
        <f t="shared" si="111"/>
        <v>5</v>
      </c>
      <c r="U327" s="25">
        <f t="shared" si="111"/>
        <v>5</v>
      </c>
      <c r="V327" s="25">
        <f t="shared" si="111"/>
        <v>10</v>
      </c>
      <c r="W327" s="25">
        <f t="shared" si="111"/>
        <v>0</v>
      </c>
      <c r="X327" s="37">
        <f>SUM(O327:W327)</f>
        <v>337</v>
      </c>
      <c r="Y327" s="27"/>
    </row>
    <row r="328" spans="1:25" ht="14.25" thickBot="1">
      <c r="A328" s="38" t="s">
        <v>17</v>
      </c>
      <c r="B328" s="39">
        <f>B306-B327</f>
        <v>15</v>
      </c>
      <c r="C328" s="39">
        <f t="shared" ref="C328:K328" si="112">C306-C327</f>
        <v>30</v>
      </c>
      <c r="D328" s="39">
        <f t="shared" si="112"/>
        <v>11</v>
      </c>
      <c r="E328" s="39">
        <f t="shared" si="112"/>
        <v>14</v>
      </c>
      <c r="F328" s="39">
        <f t="shared" si="112"/>
        <v>12</v>
      </c>
      <c r="G328" s="39">
        <f t="shared" si="112"/>
        <v>10</v>
      </c>
      <c r="H328" s="39">
        <f t="shared" si="112"/>
        <v>9</v>
      </c>
      <c r="I328" s="39">
        <f t="shared" si="112"/>
        <v>9</v>
      </c>
      <c r="J328" s="40">
        <f t="shared" si="112"/>
        <v>20</v>
      </c>
      <c r="K328" s="37">
        <f t="shared" si="112"/>
        <v>130</v>
      </c>
      <c r="L328" s="41"/>
      <c r="N328" s="38" t="s">
        <v>17</v>
      </c>
      <c r="O328" s="39">
        <f>O306-O327</f>
        <v>158</v>
      </c>
      <c r="P328" s="39">
        <f t="shared" ref="P328:X328" si="113">P306-P327</f>
        <v>229</v>
      </c>
      <c r="Q328" s="39">
        <f t="shared" si="113"/>
        <v>137</v>
      </c>
      <c r="R328" s="39">
        <f t="shared" si="113"/>
        <v>160</v>
      </c>
      <c r="S328" s="39">
        <f t="shared" si="113"/>
        <v>124</v>
      </c>
      <c r="T328" s="39">
        <f t="shared" si="113"/>
        <v>200</v>
      </c>
      <c r="U328" s="39">
        <f t="shared" si="113"/>
        <v>66</v>
      </c>
      <c r="V328" s="39">
        <f t="shared" si="113"/>
        <v>176</v>
      </c>
      <c r="W328" s="40">
        <f t="shared" si="113"/>
        <v>165</v>
      </c>
      <c r="X328" s="37">
        <f t="shared" si="113"/>
        <v>1415</v>
      </c>
      <c r="Y328" s="41"/>
    </row>
    <row r="329" spans="1:25">
      <c r="A329" s="82" t="s">
        <v>168</v>
      </c>
      <c r="B329">
        <f t="shared" ref="B329:K329" si="114">B327+B294+B261+B228+B195+B162+B129+B96+B63+B30</f>
        <v>85</v>
      </c>
      <c r="C329">
        <f t="shared" si="114"/>
        <v>66</v>
      </c>
      <c r="D329">
        <f t="shared" si="114"/>
        <v>54</v>
      </c>
      <c r="E329">
        <f t="shared" si="114"/>
        <v>199</v>
      </c>
      <c r="F329">
        <f t="shared" si="114"/>
        <v>205</v>
      </c>
      <c r="G329">
        <f t="shared" si="114"/>
        <v>101</v>
      </c>
      <c r="H329">
        <f t="shared" si="114"/>
        <v>131</v>
      </c>
      <c r="I329">
        <f t="shared" si="114"/>
        <v>132</v>
      </c>
      <c r="J329">
        <f t="shared" si="114"/>
        <v>152</v>
      </c>
      <c r="K329">
        <f t="shared" si="114"/>
        <v>1125</v>
      </c>
    </row>
    <row r="330" spans="1:25">
      <c r="A330" s="82" t="s">
        <v>167</v>
      </c>
      <c r="B330" s="81">
        <f t="shared" ref="B330:K330" si="115">B329/$K$329*100</f>
        <v>7.5555555555555554</v>
      </c>
      <c r="C330" s="81">
        <f t="shared" si="115"/>
        <v>5.8666666666666663</v>
      </c>
      <c r="D330" s="81">
        <f t="shared" si="115"/>
        <v>4.8</v>
      </c>
      <c r="E330" s="81">
        <f t="shared" si="115"/>
        <v>17.68888888888889</v>
      </c>
      <c r="F330" s="81">
        <f t="shared" si="115"/>
        <v>18.222222222222221</v>
      </c>
      <c r="G330" s="81">
        <f t="shared" si="115"/>
        <v>8.9777777777777779</v>
      </c>
      <c r="H330" s="81">
        <f t="shared" si="115"/>
        <v>11.644444444444444</v>
      </c>
      <c r="I330" s="81">
        <f t="shared" si="115"/>
        <v>11.733333333333333</v>
      </c>
      <c r="J330" s="81">
        <f t="shared" si="115"/>
        <v>13.511111111111109</v>
      </c>
      <c r="K330" s="81">
        <f t="shared" si="115"/>
        <v>100</v>
      </c>
    </row>
    <row r="331" spans="1:25" ht="19.5" thickBot="1">
      <c r="A331" s="1" t="s">
        <v>22</v>
      </c>
      <c r="N331" s="97" t="s">
        <v>21</v>
      </c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</row>
    <row r="332" spans="1:25" ht="19.5" thickBot="1">
      <c r="A332" s="2" t="s">
        <v>0</v>
      </c>
      <c r="B332" s="163" t="s">
        <v>20</v>
      </c>
      <c r="C332" s="164"/>
      <c r="D332" s="164"/>
      <c r="E332" s="164"/>
      <c r="F332" s="164"/>
      <c r="G332" s="164"/>
      <c r="H332" s="165"/>
      <c r="I332" s="165"/>
      <c r="J332" s="165"/>
      <c r="K332" s="166"/>
      <c r="L332" s="161" t="s">
        <v>1</v>
      </c>
      <c r="N332" s="99" t="s">
        <v>0</v>
      </c>
      <c r="O332" s="168" t="s">
        <v>20</v>
      </c>
      <c r="P332" s="169"/>
      <c r="Q332" s="169"/>
      <c r="R332" s="169"/>
      <c r="S332" s="169"/>
      <c r="T332" s="169"/>
      <c r="U332" s="170"/>
      <c r="V332" s="170"/>
      <c r="W332" s="170"/>
      <c r="X332" s="171"/>
      <c r="Y332" s="172" t="s">
        <v>1</v>
      </c>
    </row>
    <row r="333" spans="1:25" ht="14.25" thickBot="1">
      <c r="A333" s="2" t="s">
        <v>2</v>
      </c>
      <c r="B333" s="3" t="s">
        <v>3</v>
      </c>
      <c r="C333" s="4" t="s">
        <v>4</v>
      </c>
      <c r="D333" s="4" t="s">
        <v>5</v>
      </c>
      <c r="E333" s="4" t="s">
        <v>6</v>
      </c>
      <c r="F333" s="4" t="s">
        <v>7</v>
      </c>
      <c r="G333" s="5" t="s">
        <v>8</v>
      </c>
      <c r="H333" s="4" t="s">
        <v>9</v>
      </c>
      <c r="I333" s="6" t="s">
        <v>10</v>
      </c>
      <c r="J333" s="5" t="s">
        <v>11</v>
      </c>
      <c r="K333" s="7" t="s">
        <v>12</v>
      </c>
      <c r="L333" s="167"/>
      <c r="N333" s="99" t="s">
        <v>2</v>
      </c>
      <c r="O333" s="100" t="s">
        <v>3</v>
      </c>
      <c r="P333" s="101" t="s">
        <v>4</v>
      </c>
      <c r="Q333" s="101" t="s">
        <v>5</v>
      </c>
      <c r="R333" s="101" t="s">
        <v>6</v>
      </c>
      <c r="S333" s="101" t="s">
        <v>7</v>
      </c>
      <c r="T333" s="102" t="s">
        <v>8</v>
      </c>
      <c r="U333" s="101" t="s">
        <v>9</v>
      </c>
      <c r="V333" s="103" t="s">
        <v>10</v>
      </c>
      <c r="W333" s="102" t="s">
        <v>11</v>
      </c>
      <c r="X333" s="104" t="s">
        <v>12</v>
      </c>
      <c r="Y333" s="173"/>
    </row>
    <row r="334" spans="1:25">
      <c r="A334" s="52" t="s">
        <v>17</v>
      </c>
      <c r="B334" s="55">
        <f>B328</f>
        <v>15</v>
      </c>
      <c r="C334" s="56">
        <f>C328</f>
        <v>30</v>
      </c>
      <c r="D334" s="56">
        <f t="shared" ref="D334:J334" si="116">D328</f>
        <v>11</v>
      </c>
      <c r="E334" s="56">
        <f t="shared" si="116"/>
        <v>14</v>
      </c>
      <c r="F334" s="56">
        <f t="shared" si="116"/>
        <v>12</v>
      </c>
      <c r="G334" s="56">
        <f t="shared" si="116"/>
        <v>10</v>
      </c>
      <c r="H334" s="56">
        <f t="shared" si="116"/>
        <v>9</v>
      </c>
      <c r="I334" s="56">
        <f t="shared" si="116"/>
        <v>9</v>
      </c>
      <c r="J334" s="56">
        <f t="shared" si="116"/>
        <v>20</v>
      </c>
      <c r="K334" s="83">
        <f t="shared" ref="K334:K336" si="117">SUM(B334:J334)</f>
        <v>130</v>
      </c>
      <c r="L334" s="86"/>
      <c r="N334" s="105" t="s">
        <v>17</v>
      </c>
      <c r="O334" s="106">
        <f t="shared" ref="O334:W334" si="118">O328</f>
        <v>158</v>
      </c>
      <c r="P334" s="107">
        <f t="shared" si="118"/>
        <v>229</v>
      </c>
      <c r="Q334" s="107">
        <f t="shared" si="118"/>
        <v>137</v>
      </c>
      <c r="R334" s="107">
        <f t="shared" si="118"/>
        <v>160</v>
      </c>
      <c r="S334" s="107">
        <f t="shared" si="118"/>
        <v>124</v>
      </c>
      <c r="T334" s="107">
        <f t="shared" si="118"/>
        <v>200</v>
      </c>
      <c r="U334" s="107">
        <f t="shared" si="118"/>
        <v>66</v>
      </c>
      <c r="V334" s="107">
        <f t="shared" si="118"/>
        <v>176</v>
      </c>
      <c r="W334" s="107">
        <f t="shared" si="118"/>
        <v>165</v>
      </c>
      <c r="X334" s="108">
        <f t="shared" ref="X334:X340" si="119">SUM(O334:W334)</f>
        <v>1415</v>
      </c>
      <c r="Y334" s="109"/>
    </row>
    <row r="335" spans="1:25">
      <c r="A335" s="8" t="s">
        <v>14</v>
      </c>
      <c r="B335" s="9"/>
      <c r="C335" s="10"/>
      <c r="D335" s="10"/>
      <c r="E335" s="10">
        <v>15</v>
      </c>
      <c r="F335" s="10"/>
      <c r="G335" s="11">
        <v>15</v>
      </c>
      <c r="H335" s="11"/>
      <c r="I335" s="11"/>
      <c r="J335" s="11"/>
      <c r="K335" s="84">
        <f t="shared" si="117"/>
        <v>30</v>
      </c>
      <c r="L335" s="87">
        <v>42634</v>
      </c>
      <c r="N335" s="110" t="s">
        <v>14</v>
      </c>
      <c r="O335" s="111"/>
      <c r="P335" s="112"/>
      <c r="Q335" s="112"/>
      <c r="R335" s="112"/>
      <c r="S335" s="112"/>
      <c r="T335" s="113"/>
      <c r="U335" s="113"/>
      <c r="V335" s="113"/>
      <c r="W335" s="113"/>
      <c r="X335" s="114">
        <f t="shared" si="119"/>
        <v>0</v>
      </c>
      <c r="Y335" s="115"/>
    </row>
    <row r="336" spans="1:25">
      <c r="A336" s="52" t="s">
        <v>15</v>
      </c>
      <c r="B336" s="91"/>
      <c r="C336" s="92"/>
      <c r="D336" s="92"/>
      <c r="E336" s="92">
        <v>10</v>
      </c>
      <c r="F336" s="92">
        <v>10</v>
      </c>
      <c r="G336" s="93"/>
      <c r="H336" s="93">
        <v>20</v>
      </c>
      <c r="I336" s="93">
        <v>10</v>
      </c>
      <c r="J336" s="154"/>
      <c r="K336" s="94">
        <f t="shared" si="117"/>
        <v>50</v>
      </c>
      <c r="L336" s="95">
        <v>42636</v>
      </c>
      <c r="N336" s="110" t="s">
        <v>15</v>
      </c>
      <c r="O336" s="155"/>
      <c r="P336" s="156"/>
      <c r="Q336" s="156"/>
      <c r="R336" s="156"/>
      <c r="S336" s="156"/>
      <c r="T336" s="157"/>
      <c r="U336" s="157"/>
      <c r="V336" s="157"/>
      <c r="W336" s="157"/>
      <c r="X336" s="116">
        <f t="shared" si="119"/>
        <v>0</v>
      </c>
      <c r="Y336" s="117"/>
    </row>
    <row r="337" spans="1:25">
      <c r="A337" s="8" t="s">
        <v>16</v>
      </c>
      <c r="B337" s="67"/>
      <c r="C337" s="35"/>
      <c r="D337" s="35"/>
      <c r="E337" s="35"/>
      <c r="F337" s="35"/>
      <c r="G337" s="35"/>
      <c r="H337" s="35"/>
      <c r="I337" s="35"/>
      <c r="J337" s="68"/>
      <c r="K337" s="85">
        <f>SUM(B337:J337)</f>
        <v>0</v>
      </c>
      <c r="L337" s="87"/>
      <c r="N337" s="105" t="s">
        <v>16</v>
      </c>
      <c r="O337" s="129"/>
      <c r="P337" s="130"/>
      <c r="Q337" s="130"/>
      <c r="R337" s="130">
        <v>380</v>
      </c>
      <c r="S337" s="130">
        <v>450</v>
      </c>
      <c r="T337" s="130"/>
      <c r="U337" s="130">
        <v>170</v>
      </c>
      <c r="V337" s="130">
        <v>50</v>
      </c>
      <c r="W337" s="160">
        <v>50</v>
      </c>
      <c r="X337" s="150">
        <f t="shared" si="119"/>
        <v>1100</v>
      </c>
      <c r="Y337" s="144">
        <v>42705</v>
      </c>
    </row>
    <row r="338" spans="1:25" ht="14.25" thickBot="1">
      <c r="A338" s="8" t="s">
        <v>23</v>
      </c>
      <c r="B338" s="70"/>
      <c r="C338" s="71"/>
      <c r="D338" s="71"/>
      <c r="E338" s="71"/>
      <c r="F338" s="71"/>
      <c r="G338" s="71"/>
      <c r="H338" s="71"/>
      <c r="I338" s="71"/>
      <c r="J338" s="72"/>
      <c r="K338" s="88">
        <f>SUM(B338:J338)</f>
        <v>0</v>
      </c>
      <c r="L338" s="36"/>
      <c r="N338" s="110" t="s">
        <v>23</v>
      </c>
      <c r="O338" s="119"/>
      <c r="P338" s="120"/>
      <c r="Q338" s="120"/>
      <c r="R338" s="120"/>
      <c r="S338" s="120"/>
      <c r="T338" s="120"/>
      <c r="U338" s="120"/>
      <c r="V338" s="120"/>
      <c r="W338" s="121"/>
      <c r="X338" s="122">
        <f t="shared" si="119"/>
        <v>0</v>
      </c>
      <c r="Y338" s="117"/>
    </row>
    <row r="339" spans="1:25" ht="14.25" thickBot="1">
      <c r="A339" s="76" t="s">
        <v>18</v>
      </c>
      <c r="B339" s="77">
        <f>SUM(B334:B338)</f>
        <v>15</v>
      </c>
      <c r="C339" s="78">
        <f t="shared" ref="C339:J339" si="120">SUM(C334:C338)</f>
        <v>30</v>
      </c>
      <c r="D339" s="78">
        <f t="shared" si="120"/>
        <v>11</v>
      </c>
      <c r="E339" s="78">
        <f t="shared" si="120"/>
        <v>39</v>
      </c>
      <c r="F339" s="78">
        <f t="shared" si="120"/>
        <v>22</v>
      </c>
      <c r="G339" s="79">
        <f t="shared" si="120"/>
        <v>25</v>
      </c>
      <c r="H339" s="79">
        <f t="shared" si="120"/>
        <v>29</v>
      </c>
      <c r="I339" s="79">
        <f t="shared" si="120"/>
        <v>19</v>
      </c>
      <c r="J339" s="79">
        <f t="shared" si="120"/>
        <v>20</v>
      </c>
      <c r="K339" s="26">
        <f t="shared" ref="K339:K359" si="121">SUM(B339:J339)</f>
        <v>210</v>
      </c>
      <c r="L339" s="41"/>
      <c r="N339" s="99" t="s">
        <v>18</v>
      </c>
      <c r="O339" s="123">
        <f t="shared" ref="O339:W339" si="122">SUM(O334:O338)</f>
        <v>158</v>
      </c>
      <c r="P339" s="124">
        <f t="shared" si="122"/>
        <v>229</v>
      </c>
      <c r="Q339" s="124">
        <f t="shared" si="122"/>
        <v>137</v>
      </c>
      <c r="R339" s="124">
        <f t="shared" si="122"/>
        <v>540</v>
      </c>
      <c r="S339" s="124">
        <f t="shared" si="122"/>
        <v>574</v>
      </c>
      <c r="T339" s="125">
        <f t="shared" si="122"/>
        <v>200</v>
      </c>
      <c r="U339" s="125">
        <f t="shared" si="122"/>
        <v>236</v>
      </c>
      <c r="V339" s="125">
        <f t="shared" si="122"/>
        <v>226</v>
      </c>
      <c r="W339" s="125">
        <f t="shared" si="122"/>
        <v>215</v>
      </c>
      <c r="X339" s="126">
        <f t="shared" si="119"/>
        <v>2515</v>
      </c>
      <c r="Y339" s="127"/>
    </row>
    <row r="340" spans="1:25">
      <c r="A340" s="8" t="s">
        <v>24</v>
      </c>
      <c r="B340" s="29"/>
      <c r="C340" s="30"/>
      <c r="D340" s="30"/>
      <c r="E340" s="30">
        <v>4</v>
      </c>
      <c r="F340" s="30"/>
      <c r="G340" s="32"/>
      <c r="H340" s="32"/>
      <c r="I340" s="32"/>
      <c r="J340" s="32"/>
      <c r="K340" s="34">
        <f t="shared" si="121"/>
        <v>4</v>
      </c>
      <c r="L340" s="19">
        <v>42630</v>
      </c>
      <c r="M340" s="89"/>
      <c r="N340" s="132" t="s">
        <v>145</v>
      </c>
      <c r="O340" s="111"/>
      <c r="P340" s="112"/>
      <c r="Q340" s="112"/>
      <c r="R340" s="112">
        <v>15</v>
      </c>
      <c r="S340" s="112"/>
      <c r="T340" s="113">
        <v>15</v>
      </c>
      <c r="U340" s="113"/>
      <c r="V340" s="113"/>
      <c r="W340" s="113"/>
      <c r="X340" s="114">
        <f t="shared" si="119"/>
        <v>30</v>
      </c>
      <c r="Y340" s="115">
        <v>42634</v>
      </c>
    </row>
    <row r="341" spans="1:25">
      <c r="A341" s="20" t="s">
        <v>27</v>
      </c>
      <c r="B341" s="29"/>
      <c r="C341" s="30"/>
      <c r="D341" s="30"/>
      <c r="E341" s="30">
        <v>2</v>
      </c>
      <c r="F341" s="30"/>
      <c r="G341" s="32"/>
      <c r="H341" s="32"/>
      <c r="I341" s="32"/>
      <c r="J341" s="32"/>
      <c r="K341" s="34">
        <f t="shared" si="121"/>
        <v>2</v>
      </c>
      <c r="L341" s="22">
        <v>42630</v>
      </c>
      <c r="N341" s="128" t="s">
        <v>145</v>
      </c>
      <c r="O341" s="129"/>
      <c r="P341" s="158"/>
      <c r="Q341" s="158"/>
      <c r="R341" s="158">
        <v>10</v>
      </c>
      <c r="S341" s="158">
        <v>10</v>
      </c>
      <c r="T341" s="158"/>
      <c r="U341" s="158">
        <v>20</v>
      </c>
      <c r="V341" s="158">
        <v>10</v>
      </c>
      <c r="W341" s="159"/>
      <c r="X341" s="131">
        <f>SUM(O341:W341)</f>
        <v>50</v>
      </c>
      <c r="Y341" s="151">
        <v>42636</v>
      </c>
    </row>
    <row r="342" spans="1:25">
      <c r="A342" s="90" t="s">
        <v>54</v>
      </c>
      <c r="B342" s="46"/>
      <c r="C342" s="47"/>
      <c r="D342" s="47"/>
      <c r="E342" s="47"/>
      <c r="F342" s="47"/>
      <c r="G342" s="48">
        <v>10</v>
      </c>
      <c r="H342" s="48"/>
      <c r="I342" s="48"/>
      <c r="J342" s="48"/>
      <c r="K342" s="49">
        <f t="shared" si="121"/>
        <v>10</v>
      </c>
      <c r="L342" s="63">
        <v>42636</v>
      </c>
      <c r="N342" s="132"/>
      <c r="O342" s="134"/>
      <c r="P342" s="135"/>
      <c r="Q342" s="135"/>
      <c r="R342" s="135"/>
      <c r="S342" s="135"/>
      <c r="T342" s="136"/>
      <c r="U342" s="136"/>
      <c r="V342" s="136"/>
      <c r="W342" s="136"/>
      <c r="X342" s="137">
        <f t="shared" ref="X342:X359" si="123">SUM(O342:W342)</f>
        <v>0</v>
      </c>
      <c r="Y342" s="118"/>
    </row>
    <row r="343" spans="1:25">
      <c r="A343" s="28" t="s">
        <v>24</v>
      </c>
      <c r="B343" s="29"/>
      <c r="C343" s="30"/>
      <c r="D343" s="30"/>
      <c r="E343" s="30">
        <v>5</v>
      </c>
      <c r="F343" s="30"/>
      <c r="G343" s="32"/>
      <c r="H343" s="32"/>
      <c r="I343" s="32"/>
      <c r="J343" s="32"/>
      <c r="K343" s="34">
        <f t="shared" si="121"/>
        <v>5</v>
      </c>
      <c r="L343" s="22">
        <v>42634</v>
      </c>
      <c r="N343" s="132"/>
      <c r="O343" s="134"/>
      <c r="P343" s="135"/>
      <c r="Q343" s="135"/>
      <c r="R343" s="135"/>
      <c r="S343" s="135"/>
      <c r="T343" s="136"/>
      <c r="U343" s="113"/>
      <c r="V343" s="136"/>
      <c r="W343" s="136"/>
      <c r="X343" s="137">
        <f t="shared" si="123"/>
        <v>0</v>
      </c>
      <c r="Y343" s="118"/>
    </row>
    <row r="344" spans="1:25">
      <c r="A344" s="96" t="s">
        <v>24</v>
      </c>
      <c r="B344" s="46"/>
      <c r="C344" s="47"/>
      <c r="D344" s="47"/>
      <c r="E344" s="47">
        <v>5</v>
      </c>
      <c r="F344" s="47"/>
      <c r="G344" s="48"/>
      <c r="H344" s="152"/>
      <c r="I344" s="48"/>
      <c r="J344" s="48"/>
      <c r="K344" s="49">
        <f t="shared" si="121"/>
        <v>5</v>
      </c>
      <c r="L344" s="63">
        <v>42635</v>
      </c>
      <c r="N344" s="110"/>
      <c r="O344" s="134"/>
      <c r="P344" s="135"/>
      <c r="Q344" s="135"/>
      <c r="R344" s="135"/>
      <c r="S344" s="135"/>
      <c r="T344" s="136"/>
      <c r="U344" s="136"/>
      <c r="V344" s="136"/>
      <c r="W344" s="136"/>
      <c r="X344" s="137">
        <f t="shared" si="123"/>
        <v>0</v>
      </c>
      <c r="Y344" s="118"/>
    </row>
    <row r="345" spans="1:25">
      <c r="A345" s="20" t="s">
        <v>27</v>
      </c>
      <c r="B345" s="29"/>
      <c r="C345" s="30"/>
      <c r="D345" s="30"/>
      <c r="E345" s="30"/>
      <c r="F345" s="30">
        <v>1</v>
      </c>
      <c r="G345" s="32"/>
      <c r="H345" s="33"/>
      <c r="I345" s="33">
        <v>4</v>
      </c>
      <c r="J345" s="33"/>
      <c r="K345" s="34">
        <f t="shared" si="121"/>
        <v>5</v>
      </c>
      <c r="L345" s="22">
        <v>42633</v>
      </c>
      <c r="N345" s="110"/>
      <c r="O345" s="134"/>
      <c r="P345" s="135"/>
      <c r="Q345" s="135"/>
      <c r="R345" s="135"/>
      <c r="S345" s="135"/>
      <c r="T345" s="136"/>
      <c r="U345" s="113"/>
      <c r="V345" s="113"/>
      <c r="W345" s="113"/>
      <c r="X345" s="137">
        <f t="shared" si="123"/>
        <v>0</v>
      </c>
      <c r="Y345" s="118"/>
    </row>
    <row r="346" spans="1:25">
      <c r="A346" s="96" t="s">
        <v>24</v>
      </c>
      <c r="B346" s="46"/>
      <c r="C346" s="47"/>
      <c r="D346" s="47"/>
      <c r="E346" s="153">
        <v>9</v>
      </c>
      <c r="F346" s="153">
        <v>5</v>
      </c>
      <c r="G346" s="48"/>
      <c r="H346" s="152">
        <v>14</v>
      </c>
      <c r="I346" s="152">
        <v>1</v>
      </c>
      <c r="J346" s="152"/>
      <c r="K346" s="49">
        <f t="shared" si="121"/>
        <v>29</v>
      </c>
      <c r="L346" s="63">
        <v>42635</v>
      </c>
      <c r="N346" s="132"/>
      <c r="O346" s="134"/>
      <c r="P346" s="135"/>
      <c r="Q346" s="135"/>
      <c r="R346" s="112"/>
      <c r="S346" s="112"/>
      <c r="T346" s="136"/>
      <c r="U346" s="113"/>
      <c r="V346" s="113"/>
      <c r="W346" s="113"/>
      <c r="X346" s="137">
        <f t="shared" si="123"/>
        <v>0</v>
      </c>
      <c r="Y346" s="118"/>
    </row>
    <row r="347" spans="1:25">
      <c r="A347" s="20"/>
      <c r="B347" s="35"/>
      <c r="C347" s="31"/>
      <c r="D347" s="31"/>
      <c r="E347" s="31"/>
      <c r="F347" s="31"/>
      <c r="G347" s="33"/>
      <c r="H347" s="33"/>
      <c r="I347" s="33"/>
      <c r="J347" s="33"/>
      <c r="K347" s="34">
        <f t="shared" si="121"/>
        <v>0</v>
      </c>
      <c r="L347" s="22"/>
      <c r="N347" s="132"/>
      <c r="O347" s="133"/>
      <c r="P347" s="112"/>
      <c r="Q347" s="112"/>
      <c r="R347" s="112"/>
      <c r="S347" s="112"/>
      <c r="T347" s="113"/>
      <c r="U347" s="113"/>
      <c r="V347" s="113"/>
      <c r="W347" s="113"/>
      <c r="X347" s="137">
        <f t="shared" si="123"/>
        <v>0</v>
      </c>
      <c r="Y347" s="118"/>
    </row>
    <row r="348" spans="1:25">
      <c r="A348" s="20"/>
      <c r="B348" s="35"/>
      <c r="C348" s="31"/>
      <c r="D348" s="31"/>
      <c r="E348" s="31"/>
      <c r="F348" s="31"/>
      <c r="G348" s="33"/>
      <c r="H348" s="33"/>
      <c r="I348" s="33"/>
      <c r="J348" s="33"/>
      <c r="K348" s="34">
        <f t="shared" si="121"/>
        <v>0</v>
      </c>
      <c r="L348" s="22"/>
      <c r="N348" s="132"/>
      <c r="O348" s="133"/>
      <c r="P348" s="112"/>
      <c r="Q348" s="112"/>
      <c r="R348" s="112"/>
      <c r="S348" s="112"/>
      <c r="T348" s="113"/>
      <c r="U348" s="113"/>
      <c r="V348" s="113"/>
      <c r="W348" s="113"/>
      <c r="X348" s="137">
        <f t="shared" si="123"/>
        <v>0</v>
      </c>
      <c r="Y348" s="118"/>
    </row>
    <row r="349" spans="1:25">
      <c r="A349" s="20"/>
      <c r="B349" s="35"/>
      <c r="C349" s="31"/>
      <c r="D349" s="31"/>
      <c r="E349" s="31"/>
      <c r="F349" s="31"/>
      <c r="G349" s="33"/>
      <c r="H349" s="33"/>
      <c r="I349" s="33"/>
      <c r="J349" s="33"/>
      <c r="K349" s="34">
        <f t="shared" si="121"/>
        <v>0</v>
      </c>
      <c r="L349" s="22"/>
      <c r="N349" s="132"/>
      <c r="O349" s="133"/>
      <c r="P349" s="112"/>
      <c r="Q349" s="112"/>
      <c r="R349" s="112"/>
      <c r="S349" s="112"/>
      <c r="T349" s="113"/>
      <c r="U349" s="113"/>
      <c r="V349" s="113"/>
      <c r="W349" s="113"/>
      <c r="X349" s="137">
        <f t="shared" si="123"/>
        <v>0</v>
      </c>
      <c r="Y349" s="118"/>
    </row>
    <row r="350" spans="1:25">
      <c r="A350" s="20"/>
      <c r="B350" s="29"/>
      <c r="C350" s="30"/>
      <c r="D350" s="30"/>
      <c r="E350" s="30"/>
      <c r="F350" s="30"/>
      <c r="G350" s="32"/>
      <c r="H350" s="32"/>
      <c r="I350" s="32"/>
      <c r="J350" s="32"/>
      <c r="K350" s="34">
        <f t="shared" si="121"/>
        <v>0</v>
      </c>
      <c r="L350" s="22"/>
      <c r="N350" s="132"/>
      <c r="O350" s="134"/>
      <c r="P350" s="135"/>
      <c r="Q350" s="135"/>
      <c r="R350" s="135"/>
      <c r="S350" s="135"/>
      <c r="T350" s="136"/>
      <c r="U350" s="136"/>
      <c r="V350" s="136"/>
      <c r="W350" s="136"/>
      <c r="X350" s="137">
        <f t="shared" si="123"/>
        <v>0</v>
      </c>
      <c r="Y350" s="118"/>
    </row>
    <row r="351" spans="1:25">
      <c r="A351" s="20"/>
      <c r="B351" s="35"/>
      <c r="C351" s="31"/>
      <c r="D351" s="31"/>
      <c r="E351" s="31"/>
      <c r="F351" s="31"/>
      <c r="G351" s="33"/>
      <c r="H351" s="33"/>
      <c r="I351" s="33"/>
      <c r="J351" s="33"/>
      <c r="K351" s="34">
        <f t="shared" si="121"/>
        <v>0</v>
      </c>
      <c r="L351" s="22"/>
      <c r="N351" s="132"/>
      <c r="O351" s="133"/>
      <c r="P351" s="112"/>
      <c r="Q351" s="112"/>
      <c r="R351" s="112"/>
      <c r="S351" s="112"/>
      <c r="T351" s="113"/>
      <c r="U351" s="113"/>
      <c r="V351" s="113"/>
      <c r="W351" s="113"/>
      <c r="X351" s="137">
        <f t="shared" si="123"/>
        <v>0</v>
      </c>
      <c r="Y351" s="118"/>
    </row>
    <row r="352" spans="1:25">
      <c r="A352" s="20"/>
      <c r="B352" s="29"/>
      <c r="C352" s="30"/>
      <c r="D352" s="30"/>
      <c r="E352" s="30"/>
      <c r="F352" s="30"/>
      <c r="G352" s="32"/>
      <c r="H352" s="33"/>
      <c r="I352" s="33"/>
      <c r="J352" s="33"/>
      <c r="K352" s="34">
        <f t="shared" si="121"/>
        <v>0</v>
      </c>
      <c r="L352" s="22"/>
      <c r="N352" s="132"/>
      <c r="O352" s="134"/>
      <c r="P352" s="135"/>
      <c r="Q352" s="135"/>
      <c r="R352" s="135"/>
      <c r="S352" s="135"/>
      <c r="T352" s="136"/>
      <c r="U352" s="113"/>
      <c r="V352" s="113"/>
      <c r="W352" s="113"/>
      <c r="X352" s="137">
        <f t="shared" si="123"/>
        <v>0</v>
      </c>
      <c r="Y352" s="118"/>
    </row>
    <row r="353" spans="1:25">
      <c r="A353" s="20"/>
      <c r="B353" s="29"/>
      <c r="C353" s="30"/>
      <c r="D353" s="30"/>
      <c r="E353" s="30"/>
      <c r="F353" s="30"/>
      <c r="G353" s="32"/>
      <c r="H353" s="32"/>
      <c r="I353" s="32"/>
      <c r="J353" s="32"/>
      <c r="K353" s="34">
        <f t="shared" si="121"/>
        <v>0</v>
      </c>
      <c r="L353" s="19"/>
      <c r="N353" s="132"/>
      <c r="O353" s="133"/>
      <c r="P353" s="112"/>
      <c r="Q353" s="112"/>
      <c r="R353" s="112"/>
      <c r="S353" s="112"/>
      <c r="T353" s="113"/>
      <c r="U353" s="113"/>
      <c r="V353" s="113"/>
      <c r="W353" s="113"/>
      <c r="X353" s="137">
        <f t="shared" si="123"/>
        <v>0</v>
      </c>
      <c r="Y353" s="118"/>
    </row>
    <row r="354" spans="1:25">
      <c r="A354" s="20"/>
      <c r="B354" s="35"/>
      <c r="C354" s="31"/>
      <c r="D354" s="31"/>
      <c r="E354" s="31"/>
      <c r="F354" s="31"/>
      <c r="G354" s="33"/>
      <c r="H354" s="33"/>
      <c r="I354" s="33"/>
      <c r="J354" s="33"/>
      <c r="K354" s="34">
        <f t="shared" si="121"/>
        <v>0</v>
      </c>
      <c r="L354" s="22"/>
      <c r="N354" s="132"/>
      <c r="O354" s="133"/>
      <c r="P354" s="112"/>
      <c r="Q354" s="112"/>
      <c r="R354" s="112"/>
      <c r="S354" s="112"/>
      <c r="T354" s="113"/>
      <c r="U354" s="113"/>
      <c r="V354" s="113"/>
      <c r="W354" s="113"/>
      <c r="X354" s="137">
        <f t="shared" si="123"/>
        <v>0</v>
      </c>
      <c r="Y354" s="118"/>
    </row>
    <row r="355" spans="1:25">
      <c r="A355" s="8"/>
      <c r="B355" s="29"/>
      <c r="C355" s="30"/>
      <c r="D355" s="30"/>
      <c r="E355" s="30"/>
      <c r="F355" s="30"/>
      <c r="G355" s="32"/>
      <c r="H355" s="32"/>
      <c r="I355" s="32"/>
      <c r="J355" s="32"/>
      <c r="K355" s="34">
        <f t="shared" si="121"/>
        <v>0</v>
      </c>
      <c r="L355" s="22"/>
      <c r="N355" s="138"/>
      <c r="O355" s="134"/>
      <c r="P355" s="135"/>
      <c r="Q355" s="135"/>
      <c r="R355" s="135"/>
      <c r="S355" s="135"/>
      <c r="T355" s="136"/>
      <c r="U355" s="136"/>
      <c r="V355" s="136"/>
      <c r="W355" s="136"/>
      <c r="X355" s="137">
        <f t="shared" si="123"/>
        <v>0</v>
      </c>
      <c r="Y355" s="118"/>
    </row>
    <row r="356" spans="1:25">
      <c r="A356" s="20"/>
      <c r="B356" s="29"/>
      <c r="C356" s="30"/>
      <c r="D356" s="30"/>
      <c r="E356" s="30"/>
      <c r="F356" s="30"/>
      <c r="G356" s="32"/>
      <c r="H356" s="32"/>
      <c r="I356" s="32"/>
      <c r="J356" s="32"/>
      <c r="K356" s="34">
        <f t="shared" si="121"/>
        <v>0</v>
      </c>
      <c r="L356" s="19"/>
      <c r="N356" s="132"/>
      <c r="O356" s="134"/>
      <c r="P356" s="135"/>
      <c r="Q356" s="135"/>
      <c r="R356" s="135"/>
      <c r="S356" s="135"/>
      <c r="T356" s="136"/>
      <c r="U356" s="136"/>
      <c r="V356" s="136"/>
      <c r="W356" s="136"/>
      <c r="X356" s="137">
        <f t="shared" si="123"/>
        <v>0</v>
      </c>
      <c r="Y356" s="117"/>
    </row>
    <row r="357" spans="1:25">
      <c r="A357" s="8"/>
      <c r="B357" s="29"/>
      <c r="C357" s="30"/>
      <c r="D357" s="30"/>
      <c r="E357" s="30"/>
      <c r="F357" s="30"/>
      <c r="G357" s="32"/>
      <c r="H357" s="32"/>
      <c r="I357" s="32"/>
      <c r="J357" s="32"/>
      <c r="K357" s="34">
        <f t="shared" si="121"/>
        <v>0</v>
      </c>
      <c r="L357" s="19"/>
      <c r="N357" s="138"/>
      <c r="O357" s="134"/>
      <c r="P357" s="135"/>
      <c r="Q357" s="135"/>
      <c r="R357" s="135"/>
      <c r="S357" s="135"/>
      <c r="T357" s="136"/>
      <c r="U357" s="136"/>
      <c r="V357" s="136"/>
      <c r="W357" s="136"/>
      <c r="X357" s="137">
        <f t="shared" si="123"/>
        <v>0</v>
      </c>
      <c r="Y357" s="117"/>
    </row>
    <row r="358" spans="1:25">
      <c r="A358" s="28"/>
      <c r="B358" s="29"/>
      <c r="C358" s="30"/>
      <c r="D358" s="30"/>
      <c r="E358" s="30"/>
      <c r="F358" s="30"/>
      <c r="G358" s="32"/>
      <c r="H358" s="32"/>
      <c r="I358" s="32"/>
      <c r="J358" s="32"/>
      <c r="K358" s="34">
        <f t="shared" si="121"/>
        <v>0</v>
      </c>
      <c r="L358" s="19"/>
      <c r="N358" s="128" t="s">
        <v>24</v>
      </c>
      <c r="O358" s="140"/>
      <c r="P358" s="141"/>
      <c r="Q358" s="141"/>
      <c r="R358" s="141">
        <v>200</v>
      </c>
      <c r="S358" s="141">
        <v>200</v>
      </c>
      <c r="T358" s="142"/>
      <c r="U358" s="142"/>
      <c r="V358" s="142"/>
      <c r="W358" s="142"/>
      <c r="X358" s="143">
        <f t="shared" si="123"/>
        <v>400</v>
      </c>
      <c r="Y358" s="151"/>
    </row>
    <row r="359" spans="1:25" ht="14.25" thickBot="1">
      <c r="A359" s="28"/>
      <c r="B359" s="29"/>
      <c r="C359" s="30"/>
      <c r="D359" s="30"/>
      <c r="E359" s="31"/>
      <c r="F359" s="31"/>
      <c r="G359" s="32"/>
      <c r="H359" s="33"/>
      <c r="I359" s="33"/>
      <c r="J359" s="33"/>
      <c r="K359" s="34">
        <f t="shared" si="121"/>
        <v>0</v>
      </c>
      <c r="L359" s="36"/>
      <c r="N359" s="139" t="s">
        <v>58</v>
      </c>
      <c r="O359" s="140"/>
      <c r="P359" s="141"/>
      <c r="Q359" s="141"/>
      <c r="R359" s="141"/>
      <c r="S359" s="141"/>
      <c r="T359" s="142"/>
      <c r="U359" s="142"/>
      <c r="V359" s="142"/>
      <c r="W359" s="142"/>
      <c r="X359" s="143">
        <f t="shared" si="123"/>
        <v>0</v>
      </c>
      <c r="Y359" s="144"/>
    </row>
    <row r="360" spans="1:25" ht="14.25" thickBot="1">
      <c r="A360" s="2" t="s">
        <v>19</v>
      </c>
      <c r="B360" s="23">
        <f t="shared" ref="B360:J360" si="124">SUM(B340:B359)</f>
        <v>0</v>
      </c>
      <c r="C360" s="24">
        <f t="shared" si="124"/>
        <v>0</v>
      </c>
      <c r="D360" s="24">
        <f t="shared" si="124"/>
        <v>0</v>
      </c>
      <c r="E360" s="24">
        <f t="shared" si="124"/>
        <v>25</v>
      </c>
      <c r="F360" s="24">
        <f t="shared" si="124"/>
        <v>6</v>
      </c>
      <c r="G360" s="25">
        <f t="shared" si="124"/>
        <v>10</v>
      </c>
      <c r="H360" s="25">
        <f t="shared" si="124"/>
        <v>14</v>
      </c>
      <c r="I360" s="25">
        <f t="shared" si="124"/>
        <v>5</v>
      </c>
      <c r="J360" s="25">
        <f t="shared" si="124"/>
        <v>0</v>
      </c>
      <c r="K360" s="37">
        <f>SUM(B360:J360)</f>
        <v>60</v>
      </c>
      <c r="L360" s="27"/>
      <c r="N360" s="99" t="s">
        <v>19</v>
      </c>
      <c r="O360" s="123">
        <f t="shared" ref="O360:W360" si="125">SUM(O340:O359)</f>
        <v>0</v>
      </c>
      <c r="P360" s="124">
        <f t="shared" si="125"/>
        <v>0</v>
      </c>
      <c r="Q360" s="124">
        <f t="shared" si="125"/>
        <v>0</v>
      </c>
      <c r="R360" s="124">
        <f t="shared" si="125"/>
        <v>225</v>
      </c>
      <c r="S360" s="124">
        <f t="shared" si="125"/>
        <v>210</v>
      </c>
      <c r="T360" s="125">
        <f t="shared" si="125"/>
        <v>15</v>
      </c>
      <c r="U360" s="125">
        <f t="shared" si="125"/>
        <v>20</v>
      </c>
      <c r="V360" s="125">
        <f t="shared" si="125"/>
        <v>10</v>
      </c>
      <c r="W360" s="125">
        <f t="shared" si="125"/>
        <v>0</v>
      </c>
      <c r="X360" s="145">
        <f>SUM(O360:W360)</f>
        <v>480</v>
      </c>
      <c r="Y360" s="127"/>
    </row>
    <row r="361" spans="1:25" ht="14.25" thickBot="1">
      <c r="A361" s="38" t="s">
        <v>17</v>
      </c>
      <c r="B361" s="39">
        <f>B339-B360</f>
        <v>15</v>
      </c>
      <c r="C361" s="39">
        <f t="shared" ref="C361:K361" si="126">C339-C360</f>
        <v>30</v>
      </c>
      <c r="D361" s="39">
        <f t="shared" si="126"/>
        <v>11</v>
      </c>
      <c r="E361" s="39">
        <f t="shared" si="126"/>
        <v>14</v>
      </c>
      <c r="F361" s="39">
        <f t="shared" si="126"/>
        <v>16</v>
      </c>
      <c r="G361" s="39">
        <f t="shared" si="126"/>
        <v>15</v>
      </c>
      <c r="H361" s="39">
        <f t="shared" si="126"/>
        <v>15</v>
      </c>
      <c r="I361" s="39">
        <f t="shared" si="126"/>
        <v>14</v>
      </c>
      <c r="J361" s="40">
        <f t="shared" si="126"/>
        <v>20</v>
      </c>
      <c r="K361" s="37">
        <f t="shared" si="126"/>
        <v>150</v>
      </c>
      <c r="L361" s="41"/>
      <c r="N361" s="146" t="s">
        <v>17</v>
      </c>
      <c r="O361" s="147">
        <f>O339-O360</f>
        <v>158</v>
      </c>
      <c r="P361" s="147">
        <f t="shared" ref="P361:X361" si="127">P339-P360</f>
        <v>229</v>
      </c>
      <c r="Q361" s="147">
        <f t="shared" si="127"/>
        <v>137</v>
      </c>
      <c r="R361" s="147">
        <f t="shared" si="127"/>
        <v>315</v>
      </c>
      <c r="S361" s="147">
        <f t="shared" si="127"/>
        <v>364</v>
      </c>
      <c r="T361" s="147">
        <f t="shared" si="127"/>
        <v>185</v>
      </c>
      <c r="U361" s="147">
        <f t="shared" si="127"/>
        <v>216</v>
      </c>
      <c r="V361" s="147">
        <f t="shared" si="127"/>
        <v>216</v>
      </c>
      <c r="W361" s="148">
        <f t="shared" si="127"/>
        <v>215</v>
      </c>
      <c r="X361" s="145">
        <f t="shared" si="127"/>
        <v>2035</v>
      </c>
      <c r="Y361" s="149"/>
    </row>
  </sheetData>
  <mergeCells count="44">
    <mergeCell ref="B2:K2"/>
    <mergeCell ref="L2:L3"/>
    <mergeCell ref="O2:X2"/>
    <mergeCell ref="Y2:Y3"/>
    <mergeCell ref="B35:K35"/>
    <mergeCell ref="L35:L36"/>
    <mergeCell ref="O35:X35"/>
    <mergeCell ref="Y35:Y36"/>
    <mergeCell ref="B68:K68"/>
    <mergeCell ref="L68:L69"/>
    <mergeCell ref="O68:X68"/>
    <mergeCell ref="Y68:Y69"/>
    <mergeCell ref="B101:K101"/>
    <mergeCell ref="L101:L102"/>
    <mergeCell ref="O101:X101"/>
    <mergeCell ref="Y101:Y102"/>
    <mergeCell ref="B134:K134"/>
    <mergeCell ref="L134:L135"/>
    <mergeCell ref="O134:X134"/>
    <mergeCell ref="Y134:Y135"/>
    <mergeCell ref="B167:K167"/>
    <mergeCell ref="L167:L168"/>
    <mergeCell ref="O167:X167"/>
    <mergeCell ref="Y167:Y168"/>
    <mergeCell ref="B200:K200"/>
    <mergeCell ref="L200:L201"/>
    <mergeCell ref="O200:X200"/>
    <mergeCell ref="Y200:Y201"/>
    <mergeCell ref="B233:K233"/>
    <mergeCell ref="L233:L234"/>
    <mergeCell ref="O233:X233"/>
    <mergeCell ref="Y233:Y234"/>
    <mergeCell ref="B332:K332"/>
    <mergeCell ref="L332:L333"/>
    <mergeCell ref="O332:X332"/>
    <mergeCell ref="Y332:Y333"/>
    <mergeCell ref="B266:K266"/>
    <mergeCell ref="L266:L267"/>
    <mergeCell ref="O266:X266"/>
    <mergeCell ref="Y266:Y267"/>
    <mergeCell ref="B299:K299"/>
    <mergeCell ref="L299:L300"/>
    <mergeCell ref="O299:X299"/>
    <mergeCell ref="Y299:Y300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追加案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2019-06-20T10:21:47Z</dcterms:modified>
</cp:coreProperties>
</file>